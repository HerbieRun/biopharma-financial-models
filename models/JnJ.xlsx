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45D0D7C-AFB2-4361-AE67-091D6CB859E0}" xr6:coauthVersionLast="47" xr6:coauthVersionMax="47" xr10:uidLastSave="{00000000-0000-0000-0000-000000000000}"/>
  <bookViews>
    <workbookView xWindow="37395" yWindow="435" windowWidth="27555" windowHeight="14520" xr2:uid="{DF72C41C-FBC3-4A57-B2D0-EDB2A4FCF73C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Data'!$Y$5:$Y$1258,MIN('Stock Price'!$I$9,1254)):INDEX('Peer Data'!$Y$5:$Y$1258,MAX('Stock Price'!$I$10,1))</definedName>
    <definedName name="PeerPct_GSK">INDEX('Peer Data'!$R$5:$R$1258,MIN('Stock Price'!$I$9,1254)):INDEX('Peer Data'!$R$5:$R$1258,MAX('Stock Price'!$I$10,1))</definedName>
    <definedName name="PeerPct_JnJ">INDEX('Peer Data'!$O$5:$O$1258,MIN('Stock Price'!$I$9,1254)):INDEX('Peer Data'!$O$5:$O$1258,MAX('Stock Price'!$I$10,1))</definedName>
    <definedName name="PeerPct_LLY">INDEX('Peer Data'!$X$5:$X$1258,MIN('Stock Price'!$I$9,1254)):INDEX('Peer Data'!$X$5:$X$1258,MAX('Stock Price'!$I$10,1))</definedName>
    <definedName name="PeerPct_MRK">INDEX('Peer Data'!$V$5:$V$1258,MIN('Stock Price'!$I$9,1254)):INDEX('Peer Data'!$V$5:$V$1258,MAX('Stock Price'!$I$10,1))</definedName>
    <definedName name="PeerPct_NVS">INDEX('Peer Data'!$P$5:$P$1258,MIN('Stock Price'!$I$9,1254)):INDEX('Peer Data'!$P$5:$P$1258,MAX('Stock Price'!$I$10,1))</definedName>
    <definedName name="PeerPct_PFE">INDEX('Peer Data'!$W$5:$W$1258,MIN('Stock Price'!$I$9,1254)):INDEX('Peer Data'!$W$5:$W$1258,MAX('Stock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87" i="2"/>
  <c r="Z419" i="2"/>
  <c r="Z451" i="2"/>
  <c r="Z483" i="2"/>
  <c r="Z515" i="2"/>
  <c r="Z547" i="2"/>
  <c r="Z579" i="2"/>
  <c r="Z604" i="2"/>
  <c r="Z627" i="2"/>
  <c r="Z641" i="2"/>
  <c r="Z650" i="2"/>
  <c r="Z659" i="2"/>
  <c r="Z668" i="2"/>
  <c r="Z677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340" i="2"/>
  <c r="Z388" i="2"/>
  <c r="Z420" i="2"/>
  <c r="Z452" i="2"/>
  <c r="Z484" i="2"/>
  <c r="Z516" i="2"/>
  <c r="Z548" i="2"/>
  <c r="Z580" i="2"/>
  <c r="Z610" i="2"/>
  <c r="Z628" i="2"/>
  <c r="Z642" i="2"/>
  <c r="Z651" i="2"/>
  <c r="Z660" i="2"/>
  <c r="Z669" i="2"/>
  <c r="Z678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348" i="2"/>
  <c r="Z395" i="2"/>
  <c r="Z427" i="2"/>
  <c r="Z459" i="2"/>
  <c r="Z491" i="2"/>
  <c r="Z523" i="2"/>
  <c r="Z555" i="2"/>
  <c r="Z587" i="2"/>
  <c r="Z611" i="2"/>
  <c r="Z634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356" i="2"/>
  <c r="Z396" i="2"/>
  <c r="Z428" i="2"/>
  <c r="Z460" i="2"/>
  <c r="Z492" i="2"/>
  <c r="Z524" i="2"/>
  <c r="Z556" i="2"/>
  <c r="Z588" i="2"/>
  <c r="Z612" i="2"/>
  <c r="Z635" i="2"/>
  <c r="Z644" i="2"/>
  <c r="Z653" i="2"/>
  <c r="Z662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364" i="2"/>
  <c r="Z403" i="2"/>
  <c r="Z435" i="2"/>
  <c r="Z467" i="2"/>
  <c r="Z499" i="2"/>
  <c r="Z531" i="2"/>
  <c r="Z563" i="2"/>
  <c r="Z595" i="2"/>
  <c r="Z618" i="2"/>
  <c r="Z636" i="2"/>
  <c r="Z645" i="2"/>
  <c r="Z654" i="2"/>
  <c r="Z663" i="2"/>
  <c r="Z673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372" i="2"/>
  <c r="Z404" i="2"/>
  <c r="Z436" i="2"/>
  <c r="Z468" i="2"/>
  <c r="Z500" i="2"/>
  <c r="Z532" i="2"/>
  <c r="Z564" i="2"/>
  <c r="Z596" i="2"/>
  <c r="Z619" i="2"/>
  <c r="Z637" i="2"/>
  <c r="Z646" i="2"/>
  <c r="Z655" i="2"/>
  <c r="Z665" i="2"/>
  <c r="Z674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379" i="2"/>
  <c r="Z411" i="2"/>
  <c r="Z443" i="2"/>
  <c r="Z475" i="2"/>
  <c r="Z507" i="2"/>
  <c r="Z539" i="2"/>
  <c r="Z571" i="2"/>
  <c r="Z602" i="2"/>
  <c r="Z620" i="2"/>
  <c r="Z638" i="2"/>
  <c r="Z647" i="2"/>
  <c r="Z657" i="2"/>
  <c r="Z666" i="2"/>
  <c r="Z675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380" i="2"/>
  <c r="Z412" i="2"/>
  <c r="Z444" i="2"/>
  <c r="Z476" i="2"/>
  <c r="Z508" i="2"/>
  <c r="Z540" i="2"/>
  <c r="Z572" i="2"/>
  <c r="Z603" i="2"/>
  <c r="Z626" i="2"/>
  <c r="Z639" i="2"/>
  <c r="Z649" i="2"/>
  <c r="Z658" i="2"/>
  <c r="Z667" i="2"/>
  <c r="Z676" i="2"/>
  <c r="Z685" i="2"/>
  <c r="Z693" i="2"/>
  <c r="Z701" i="2"/>
  <c r="Z709" i="2"/>
  <c r="Z717" i="2"/>
  <c r="Z725" i="2"/>
  <c r="Z733" i="2"/>
  <c r="Z797" i="2"/>
  <c r="Z853" i="2"/>
  <c r="Z885" i="2"/>
  <c r="Z917" i="2"/>
  <c r="Z949" i="2"/>
  <c r="Z980" i="2"/>
  <c r="Z1003" i="2"/>
  <c r="Z1019" i="2"/>
  <c r="Z1035" i="2"/>
  <c r="Z1051" i="2"/>
  <c r="Z1067" i="2"/>
  <c r="Z1083" i="2"/>
  <c r="Z1099" i="2"/>
  <c r="Z1115" i="2"/>
  <c r="Z1129" i="2"/>
  <c r="Z1139" i="2"/>
  <c r="Z1149" i="2"/>
  <c r="Z1161" i="2"/>
  <c r="Z1171" i="2"/>
  <c r="Z1181" i="2"/>
  <c r="Z1193" i="2"/>
  <c r="Z1203" i="2"/>
  <c r="Z1213" i="2"/>
  <c r="Z1225" i="2"/>
  <c r="Z1235" i="2"/>
  <c r="Z1244" i="2"/>
  <c r="Z1252" i="2"/>
  <c r="Z741" i="2"/>
  <c r="Z805" i="2"/>
  <c r="Z860" i="2"/>
  <c r="Z892" i="2"/>
  <c r="Z924" i="2"/>
  <c r="Z956" i="2"/>
  <c r="Z981" i="2"/>
  <c r="Z1004" i="2"/>
  <c r="Z1020" i="2"/>
  <c r="Z1036" i="2"/>
  <c r="Z1052" i="2"/>
  <c r="Z1068" i="2"/>
  <c r="Z1084" i="2"/>
  <c r="Z1100" i="2"/>
  <c r="Z1116" i="2"/>
  <c r="Z1130" i="2"/>
  <c r="Z1140" i="2"/>
  <c r="Z1152" i="2"/>
  <c r="Z1162" i="2"/>
  <c r="Z1172" i="2"/>
  <c r="Z1184" i="2"/>
  <c r="Z1194" i="2"/>
  <c r="Z1204" i="2"/>
  <c r="Z1216" i="2"/>
  <c r="Z1226" i="2"/>
  <c r="Z1236" i="2"/>
  <c r="Z1245" i="2"/>
  <c r="Z1253" i="2"/>
  <c r="Z749" i="2"/>
  <c r="Z813" i="2"/>
  <c r="Z861" i="2"/>
  <c r="Z893" i="2"/>
  <c r="Z925" i="2"/>
  <c r="Z957" i="2"/>
  <c r="Z987" i="2"/>
  <c r="Z1005" i="2"/>
  <c r="Z1021" i="2"/>
  <c r="Z1037" i="2"/>
  <c r="Z1053" i="2"/>
  <c r="Z1069" i="2"/>
  <c r="Z1085" i="2"/>
  <c r="Z1101" i="2"/>
  <c r="Z1117" i="2"/>
  <c r="Z1131" i="2"/>
  <c r="Z1141" i="2"/>
  <c r="Z1153" i="2"/>
  <c r="Z1163" i="2"/>
  <c r="Z1173" i="2"/>
  <c r="Z1185" i="2"/>
  <c r="Z1195" i="2"/>
  <c r="Z1205" i="2"/>
  <c r="Z1217" i="2"/>
  <c r="Z1227" i="2"/>
  <c r="Z1237" i="2"/>
  <c r="Z1246" i="2"/>
  <c r="Z1254" i="2"/>
  <c r="Z757" i="2"/>
  <c r="Z821" i="2"/>
  <c r="Z868" i="2"/>
  <c r="Z900" i="2"/>
  <c r="Z932" i="2"/>
  <c r="Z964" i="2"/>
  <c r="Z988" i="2"/>
  <c r="Z1010" i="2"/>
  <c r="Z1026" i="2"/>
  <c r="Z1042" i="2"/>
  <c r="Z1058" i="2"/>
  <c r="Z1074" i="2"/>
  <c r="Z1090" i="2"/>
  <c r="Z1106" i="2"/>
  <c r="Z1122" i="2"/>
  <c r="Z1132" i="2"/>
  <c r="Z1144" i="2"/>
  <c r="Z1154" i="2"/>
  <c r="Z1164" i="2"/>
  <c r="Z1176" i="2"/>
  <c r="Z1186" i="2"/>
  <c r="Z1196" i="2"/>
  <c r="Z1208" i="2"/>
  <c r="Z1218" i="2"/>
  <c r="Z1228" i="2"/>
  <c r="Z1238" i="2"/>
  <c r="Z1247" i="2"/>
  <c r="Z1255" i="2"/>
  <c r="Z765" i="2"/>
  <c r="Z829" i="2"/>
  <c r="Z869" i="2"/>
  <c r="Z901" i="2"/>
  <c r="Z933" i="2"/>
  <c r="Z965" i="2"/>
  <c r="Z989" i="2"/>
  <c r="Z1011" i="2"/>
  <c r="Z1027" i="2"/>
  <c r="Z1043" i="2"/>
  <c r="Z1059" i="2"/>
  <c r="Z1075" i="2"/>
  <c r="Z1091" i="2"/>
  <c r="Z1107" i="2"/>
  <c r="Z1123" i="2"/>
  <c r="Z1133" i="2"/>
  <c r="Z1145" i="2"/>
  <c r="Z1155" i="2"/>
  <c r="Z1165" i="2"/>
  <c r="Z1177" i="2"/>
  <c r="Z1187" i="2"/>
  <c r="Z1197" i="2"/>
  <c r="Z1209" i="2"/>
  <c r="Z1219" i="2"/>
  <c r="Z1229" i="2"/>
  <c r="Z1240" i="2"/>
  <c r="Z1248" i="2"/>
  <c r="Z1256" i="2"/>
  <c r="Z773" i="2"/>
  <c r="Z837" i="2"/>
  <c r="Z876" i="2"/>
  <c r="Z908" i="2"/>
  <c r="Z940" i="2"/>
  <c r="Z972" i="2"/>
  <c r="Z995" i="2"/>
  <c r="Z1012" i="2"/>
  <c r="Z1028" i="2"/>
  <c r="Z1044" i="2"/>
  <c r="Z1060" i="2"/>
  <c r="Z1076" i="2"/>
  <c r="Z1092" i="2"/>
  <c r="Z1108" i="2"/>
  <c r="Z1124" i="2"/>
  <c r="Z1136" i="2"/>
  <c r="Z1146" i="2"/>
  <c r="Z1156" i="2"/>
  <c r="Z1168" i="2"/>
  <c r="Z1178" i="2"/>
  <c r="Z1188" i="2"/>
  <c r="Z1200" i="2"/>
  <c r="Z1210" i="2"/>
  <c r="Z1220" i="2"/>
  <c r="Z1232" i="2"/>
  <c r="Z1241" i="2"/>
  <c r="Z1249" i="2"/>
  <c r="Z1257" i="2"/>
  <c r="Z781" i="2"/>
  <c r="Z845" i="2"/>
  <c r="Z877" i="2"/>
  <c r="Z909" i="2"/>
  <c r="Z941" i="2"/>
  <c r="Z973" i="2"/>
  <c r="Z996" i="2"/>
  <c r="Z1013" i="2"/>
  <c r="Z1029" i="2"/>
  <c r="Z1045" i="2"/>
  <c r="Z1061" i="2"/>
  <c r="Z1077" i="2"/>
  <c r="Z1093" i="2"/>
  <c r="Z1109" i="2"/>
  <c r="Z1125" i="2"/>
  <c r="Z1137" i="2"/>
  <c r="Z1147" i="2"/>
  <c r="Z1157" i="2"/>
  <c r="Z1169" i="2"/>
  <c r="Z1179" i="2"/>
  <c r="Z1189" i="2"/>
  <c r="Z1201" i="2"/>
  <c r="Z1211" i="2"/>
  <c r="Z1221" i="2"/>
  <c r="Z1233" i="2"/>
  <c r="Z1242" i="2"/>
  <c r="Z1250" i="2"/>
  <c r="Z1258" i="2"/>
  <c r="V60" i="1" s="1"/>
  <c r="AC16" i="2" s="1"/>
  <c r="Z789" i="2"/>
  <c r="Z852" i="2"/>
  <c r="Z884" i="2"/>
  <c r="Z916" i="2"/>
  <c r="Z948" i="2"/>
  <c r="Z979" i="2"/>
  <c r="Z997" i="2"/>
  <c r="Z1018" i="2"/>
  <c r="Z1034" i="2"/>
  <c r="Z1050" i="2"/>
  <c r="Z1066" i="2"/>
  <c r="Z1082" i="2"/>
  <c r="Z1098" i="2"/>
  <c r="Z1114" i="2"/>
  <c r="Z1128" i="2"/>
  <c r="Z1138" i="2"/>
  <c r="Z1148" i="2"/>
  <c r="Z1160" i="2"/>
  <c r="Z1170" i="2"/>
  <c r="Z1180" i="2"/>
  <c r="Z1192" i="2"/>
  <c r="Z1202" i="2"/>
  <c r="Z1212" i="2"/>
  <c r="Z1224" i="2"/>
  <c r="Z1234" i="2"/>
  <c r="Z1243" i="2"/>
  <c r="Z1251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411" i="2"/>
  <c r="Y475" i="2"/>
  <c r="Y539" i="2"/>
  <c r="Y571" i="2"/>
  <c r="Y603" i="2"/>
  <c r="Y628" i="2"/>
  <c r="Y651" i="2"/>
  <c r="Y674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932" i="2"/>
  <c r="Y419" i="2"/>
  <c r="Y483" i="2"/>
  <c r="Y540" i="2"/>
  <c r="Y572" i="2"/>
  <c r="Y604" i="2"/>
  <c r="Y634" i="2"/>
  <c r="Y652" i="2"/>
  <c r="Y67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948" i="2"/>
  <c r="Y427" i="2"/>
  <c r="Y491" i="2"/>
  <c r="Y547" i="2"/>
  <c r="Y579" i="2"/>
  <c r="Y611" i="2"/>
  <c r="Y635" i="2"/>
  <c r="Y658" i="2"/>
  <c r="Y676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940" i="2"/>
  <c r="Y435" i="2"/>
  <c r="Y499" i="2"/>
  <c r="Y548" i="2"/>
  <c r="Y580" i="2"/>
  <c r="Y612" i="2"/>
  <c r="Y636" i="2"/>
  <c r="Y659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443" i="2"/>
  <c r="Y507" i="2"/>
  <c r="Y555" i="2"/>
  <c r="Y587" i="2"/>
  <c r="Y619" i="2"/>
  <c r="Y642" i="2"/>
  <c r="Y660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916" i="2"/>
  <c r="Y451" i="2"/>
  <c r="Y515" i="2"/>
  <c r="Y556" i="2"/>
  <c r="Y588" i="2"/>
  <c r="Y620" i="2"/>
  <c r="Y643" i="2"/>
  <c r="Y666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908" i="2"/>
  <c r="Y459" i="2"/>
  <c r="Y523" i="2"/>
  <c r="Y563" i="2"/>
  <c r="Y595" i="2"/>
  <c r="Y626" i="2"/>
  <c r="Y644" i="2"/>
  <c r="Y667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900" i="2"/>
  <c r="Y467" i="2"/>
  <c r="Y531" i="2"/>
  <c r="Y564" i="2"/>
  <c r="Y596" i="2"/>
  <c r="Y627" i="2"/>
  <c r="Y650" i="2"/>
  <c r="Y668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24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11" i="2"/>
  <c r="X75" i="2"/>
  <c r="X139" i="2"/>
  <c r="X203" i="2"/>
  <c r="X267" i="2"/>
  <c r="X323" i="2"/>
  <c r="X355" i="2"/>
  <c r="X387" i="2"/>
  <c r="X419" i="2"/>
  <c r="X451" i="2"/>
  <c r="X483" i="2"/>
  <c r="X515" i="2"/>
  <c r="X547" i="2"/>
  <c r="X579" i="2"/>
  <c r="X610" i="2"/>
  <c r="X628" i="2"/>
  <c r="X651" i="2"/>
  <c r="X674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9" i="2"/>
  <c r="X83" i="2"/>
  <c r="X147" i="2"/>
  <c r="X211" i="2"/>
  <c r="X275" i="2"/>
  <c r="X324" i="2"/>
  <c r="X356" i="2"/>
  <c r="X388" i="2"/>
  <c r="X420" i="2"/>
  <c r="X452" i="2"/>
  <c r="X484" i="2"/>
  <c r="X516" i="2"/>
  <c r="X548" i="2"/>
  <c r="X580" i="2"/>
  <c r="X611" i="2"/>
  <c r="X634" i="2"/>
  <c r="X652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27" i="2"/>
  <c r="X91" i="2"/>
  <c r="X155" i="2"/>
  <c r="X219" i="2"/>
  <c r="X283" i="2"/>
  <c r="X331" i="2"/>
  <c r="X363" i="2"/>
  <c r="X395" i="2"/>
  <c r="X427" i="2"/>
  <c r="X459" i="2"/>
  <c r="X491" i="2"/>
  <c r="X523" i="2"/>
  <c r="X555" i="2"/>
  <c r="X587" i="2"/>
  <c r="X612" i="2"/>
  <c r="X635" i="2"/>
  <c r="X658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35" i="2"/>
  <c r="X99" i="2"/>
  <c r="X163" i="2"/>
  <c r="X227" i="2"/>
  <c r="X291" i="2"/>
  <c r="X332" i="2"/>
  <c r="X364" i="2"/>
  <c r="X396" i="2"/>
  <c r="X428" i="2"/>
  <c r="X460" i="2"/>
  <c r="X492" i="2"/>
  <c r="X524" i="2"/>
  <c r="X556" i="2"/>
  <c r="X588" i="2"/>
  <c r="X618" i="2"/>
  <c r="X636" i="2"/>
  <c r="X659" i="2"/>
  <c r="X681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43" i="2"/>
  <c r="X107" i="2"/>
  <c r="X171" i="2"/>
  <c r="X235" i="2"/>
  <c r="X299" i="2"/>
  <c r="X339" i="2"/>
  <c r="X371" i="2"/>
  <c r="X403" i="2"/>
  <c r="X435" i="2"/>
  <c r="X467" i="2"/>
  <c r="X499" i="2"/>
  <c r="X531" i="2"/>
  <c r="X563" i="2"/>
  <c r="X595" i="2"/>
  <c r="X619" i="2"/>
  <c r="X642" i="2"/>
  <c r="X660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51" i="2"/>
  <c r="X115" i="2"/>
  <c r="X179" i="2"/>
  <c r="X243" i="2"/>
  <c r="X307" i="2"/>
  <c r="X340" i="2"/>
  <c r="X372" i="2"/>
  <c r="X404" i="2"/>
  <c r="X436" i="2"/>
  <c r="X468" i="2"/>
  <c r="X500" i="2"/>
  <c r="X532" i="2"/>
  <c r="X564" i="2"/>
  <c r="X596" i="2"/>
  <c r="X620" i="2"/>
  <c r="X643" i="2"/>
  <c r="X666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67" i="2"/>
  <c r="X131" i="2"/>
  <c r="X195" i="2"/>
  <c r="X259" i="2"/>
  <c r="X316" i="2"/>
  <c r="X348" i="2"/>
  <c r="X380" i="2"/>
  <c r="X412" i="2"/>
  <c r="X444" i="2"/>
  <c r="X476" i="2"/>
  <c r="X508" i="2"/>
  <c r="X540" i="2"/>
  <c r="X572" i="2"/>
  <c r="X604" i="2"/>
  <c r="X627" i="2"/>
  <c r="X650" i="2"/>
  <c r="X668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59" i="2"/>
  <c r="X443" i="2"/>
  <c r="X667" i="2"/>
  <c r="X740" i="2"/>
  <c r="X797" i="2"/>
  <c r="X829" i="2"/>
  <c r="X861" i="2"/>
  <c r="X893" i="2"/>
  <c r="X925" i="2"/>
  <c r="X948" i="2"/>
  <c r="X964" i="2"/>
  <c r="X980" i="2"/>
  <c r="X996" i="2"/>
  <c r="X1012" i="2"/>
  <c r="X1028" i="2"/>
  <c r="X1044" i="2"/>
  <c r="X1060" i="2"/>
  <c r="X1076" i="2"/>
  <c r="X1092" i="2"/>
  <c r="X1108" i="2"/>
  <c r="X1124" i="2"/>
  <c r="X1140" i="2"/>
  <c r="X1156" i="2"/>
  <c r="X1168" i="2"/>
  <c r="X1178" i="2"/>
  <c r="X1188" i="2"/>
  <c r="X1200" i="2"/>
  <c r="X1209" i="2"/>
  <c r="X1218" i="2"/>
  <c r="X1226" i="2"/>
  <c r="X1234" i="2"/>
  <c r="X1242" i="2"/>
  <c r="X1250" i="2"/>
  <c r="X1258" i="2"/>
  <c r="V58" i="1" s="1"/>
  <c r="AC14" i="2" s="1"/>
  <c r="X626" i="2"/>
  <c r="X1026" i="2"/>
  <c r="X1154" i="2"/>
  <c r="X1232" i="2"/>
  <c r="X123" i="2"/>
  <c r="X475" i="2"/>
  <c r="X684" i="2"/>
  <c r="X748" i="2"/>
  <c r="X804" i="2"/>
  <c r="X836" i="2"/>
  <c r="X868" i="2"/>
  <c r="X900" i="2"/>
  <c r="X932" i="2"/>
  <c r="X949" i="2"/>
  <c r="X965" i="2"/>
  <c r="X981" i="2"/>
  <c r="X997" i="2"/>
  <c r="X1013" i="2"/>
  <c r="X1029" i="2"/>
  <c r="X1045" i="2"/>
  <c r="X1061" i="2"/>
  <c r="X1077" i="2"/>
  <c r="X1093" i="2"/>
  <c r="X1109" i="2"/>
  <c r="X1125" i="2"/>
  <c r="X1141" i="2"/>
  <c r="X1157" i="2"/>
  <c r="X1169" i="2"/>
  <c r="X1179" i="2"/>
  <c r="X1189" i="2"/>
  <c r="X1201" i="2"/>
  <c r="X1210" i="2"/>
  <c r="X1219" i="2"/>
  <c r="X1227" i="2"/>
  <c r="X1235" i="2"/>
  <c r="X1243" i="2"/>
  <c r="X1251" i="2"/>
  <c r="X821" i="2"/>
  <c r="X962" i="2"/>
  <c r="X1042" i="2"/>
  <c r="X1122" i="2"/>
  <c r="X1206" i="2"/>
  <c r="X187" i="2"/>
  <c r="X507" i="2"/>
  <c r="X692" i="2"/>
  <c r="X756" i="2"/>
  <c r="X805" i="2"/>
  <c r="X837" i="2"/>
  <c r="X869" i="2"/>
  <c r="X901" i="2"/>
  <c r="X933" i="2"/>
  <c r="X954" i="2"/>
  <c r="X970" i="2"/>
  <c r="X986" i="2"/>
  <c r="X1002" i="2"/>
  <c r="X1018" i="2"/>
  <c r="X1034" i="2"/>
  <c r="X1050" i="2"/>
  <c r="X1066" i="2"/>
  <c r="X1082" i="2"/>
  <c r="X1098" i="2"/>
  <c r="X1114" i="2"/>
  <c r="X1130" i="2"/>
  <c r="X1146" i="2"/>
  <c r="X1160" i="2"/>
  <c r="X1170" i="2"/>
  <c r="X1180" i="2"/>
  <c r="X1192" i="2"/>
  <c r="X1202" i="2"/>
  <c r="X1211" i="2"/>
  <c r="X1220" i="2"/>
  <c r="X1228" i="2"/>
  <c r="X1236" i="2"/>
  <c r="X1244" i="2"/>
  <c r="X1252" i="2"/>
  <c r="X788" i="2"/>
  <c r="X978" i="2"/>
  <c r="X1090" i="2"/>
  <c r="X1176" i="2"/>
  <c r="X1224" i="2"/>
  <c r="X251" i="2"/>
  <c r="X539" i="2"/>
  <c r="X700" i="2"/>
  <c r="X764" i="2"/>
  <c r="X812" i="2"/>
  <c r="X844" i="2"/>
  <c r="X876" i="2"/>
  <c r="X908" i="2"/>
  <c r="X939" i="2"/>
  <c r="X955" i="2"/>
  <c r="X971" i="2"/>
  <c r="X987" i="2"/>
  <c r="X1003" i="2"/>
  <c r="X1019" i="2"/>
  <c r="X1035" i="2"/>
  <c r="X1051" i="2"/>
  <c r="X1067" i="2"/>
  <c r="X1083" i="2"/>
  <c r="X1099" i="2"/>
  <c r="X1115" i="2"/>
  <c r="X1131" i="2"/>
  <c r="X1147" i="2"/>
  <c r="X1161" i="2"/>
  <c r="X1171" i="2"/>
  <c r="X1181" i="2"/>
  <c r="X1193" i="2"/>
  <c r="X1203" i="2"/>
  <c r="X1212" i="2"/>
  <c r="X1221" i="2"/>
  <c r="X1229" i="2"/>
  <c r="X1237" i="2"/>
  <c r="X1245" i="2"/>
  <c r="X1253" i="2"/>
  <c r="X724" i="2"/>
  <c r="X994" i="2"/>
  <c r="X1106" i="2"/>
  <c r="X1186" i="2"/>
  <c r="X1216" i="2"/>
  <c r="X1256" i="2"/>
  <c r="X315" i="2"/>
  <c r="X571" i="2"/>
  <c r="X708" i="2"/>
  <c r="X772" i="2"/>
  <c r="X813" i="2"/>
  <c r="X845" i="2"/>
  <c r="X877" i="2"/>
  <c r="X909" i="2"/>
  <c r="X940" i="2"/>
  <c r="X956" i="2"/>
  <c r="X972" i="2"/>
  <c r="X988" i="2"/>
  <c r="X1004" i="2"/>
  <c r="X1020" i="2"/>
  <c r="X1036" i="2"/>
  <c r="X1052" i="2"/>
  <c r="X1068" i="2"/>
  <c r="X1084" i="2"/>
  <c r="X1100" i="2"/>
  <c r="X1116" i="2"/>
  <c r="X1132" i="2"/>
  <c r="X1148" i="2"/>
  <c r="X1162" i="2"/>
  <c r="X1172" i="2"/>
  <c r="X1184" i="2"/>
  <c r="X1194" i="2"/>
  <c r="X1204" i="2"/>
  <c r="X1213" i="2"/>
  <c r="X1222" i="2"/>
  <c r="X1230" i="2"/>
  <c r="X1238" i="2"/>
  <c r="X1246" i="2"/>
  <c r="X1254" i="2"/>
  <c r="X379" i="2"/>
  <c r="X917" i="2"/>
  <c r="X1058" i="2"/>
  <c r="X1196" i="2"/>
  <c r="X347" i="2"/>
  <c r="X603" i="2"/>
  <c r="X716" i="2"/>
  <c r="X780" i="2"/>
  <c r="X820" i="2"/>
  <c r="X852" i="2"/>
  <c r="X884" i="2"/>
  <c r="X916" i="2"/>
  <c r="X941" i="2"/>
  <c r="X957" i="2"/>
  <c r="X973" i="2"/>
  <c r="X989" i="2"/>
  <c r="X1005" i="2"/>
  <c r="X1021" i="2"/>
  <c r="X1037" i="2"/>
  <c r="X1053" i="2"/>
  <c r="X1069" i="2"/>
  <c r="X1085" i="2"/>
  <c r="X1101" i="2"/>
  <c r="X1117" i="2"/>
  <c r="X1133" i="2"/>
  <c r="X1149" i="2"/>
  <c r="X1163" i="2"/>
  <c r="X1173" i="2"/>
  <c r="X1185" i="2"/>
  <c r="X1195" i="2"/>
  <c r="X1205" i="2"/>
  <c r="X1214" i="2"/>
  <c r="X1223" i="2"/>
  <c r="X1231" i="2"/>
  <c r="X1239" i="2"/>
  <c r="X1247" i="2"/>
  <c r="X1255" i="2"/>
  <c r="X853" i="2"/>
  <c r="X1138" i="2"/>
  <c r="X1248" i="2"/>
  <c r="X411" i="2"/>
  <c r="X644" i="2"/>
  <c r="X732" i="2"/>
  <c r="X796" i="2"/>
  <c r="X828" i="2"/>
  <c r="X860" i="2"/>
  <c r="X892" i="2"/>
  <c r="X924" i="2"/>
  <c r="X947" i="2"/>
  <c r="X963" i="2"/>
  <c r="X979" i="2"/>
  <c r="X995" i="2"/>
  <c r="X1011" i="2"/>
  <c r="X1027" i="2"/>
  <c r="X1043" i="2"/>
  <c r="X1059" i="2"/>
  <c r="X1075" i="2"/>
  <c r="X1091" i="2"/>
  <c r="X1107" i="2"/>
  <c r="X1123" i="2"/>
  <c r="X1139" i="2"/>
  <c r="X1155" i="2"/>
  <c r="X1165" i="2"/>
  <c r="X1177" i="2"/>
  <c r="X1187" i="2"/>
  <c r="X1197" i="2"/>
  <c r="X1208" i="2"/>
  <c r="X1217" i="2"/>
  <c r="X1225" i="2"/>
  <c r="X1233" i="2"/>
  <c r="X1241" i="2"/>
  <c r="X1249" i="2"/>
  <c r="X1257" i="2"/>
  <c r="X885" i="2"/>
  <c r="X946" i="2"/>
  <c r="X1010" i="2"/>
  <c r="X1074" i="2"/>
  <c r="X1164" i="2"/>
  <c r="X1240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227" i="2"/>
  <c r="W291" i="2"/>
  <c r="W355" i="2"/>
  <c r="W419" i="2"/>
  <c r="W452" i="2"/>
  <c r="W484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235" i="2"/>
  <c r="W299" i="2"/>
  <c r="W363" i="2"/>
  <c r="W427" i="2"/>
  <c r="W459" i="2"/>
  <c r="W491" i="2"/>
  <c r="W523" i="2"/>
  <c r="W555" i="2"/>
  <c r="W587" i="2"/>
  <c r="W619" i="2"/>
  <c r="W651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243" i="2"/>
  <c r="W307" i="2"/>
  <c r="W371" i="2"/>
  <c r="W428" i="2"/>
  <c r="W460" i="2"/>
  <c r="W492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251" i="2"/>
  <c r="W315" i="2"/>
  <c r="W379" i="2"/>
  <c r="W435" i="2"/>
  <c r="W467" i="2"/>
  <c r="W499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259" i="2"/>
  <c r="W323" i="2"/>
  <c r="W387" i="2"/>
  <c r="W436" i="2"/>
  <c r="W468" i="2"/>
  <c r="W500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267" i="2"/>
  <c r="W331" i="2"/>
  <c r="W395" i="2"/>
  <c r="W443" i="2"/>
  <c r="W475" i="2"/>
  <c r="W507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275" i="2"/>
  <c r="W339" i="2"/>
  <c r="W403" i="2"/>
  <c r="W444" i="2"/>
  <c r="W476" i="2"/>
  <c r="W508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83" i="2"/>
  <c r="W347" i="2"/>
  <c r="W411" i="2"/>
  <c r="W451" i="2"/>
  <c r="W483" i="2"/>
  <c r="W515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620" i="2"/>
  <c r="V667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700" i="2"/>
  <c r="V716" i="2"/>
  <c r="V732" i="2"/>
  <c r="V756" i="2"/>
  <c r="V780" i="2"/>
  <c r="V812" i="2"/>
  <c r="V868" i="2"/>
  <c r="V900" i="2"/>
  <c r="V940" i="2"/>
  <c r="V972" i="2"/>
  <c r="V564" i="2"/>
  <c r="V628" i="2"/>
  <c r="V668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692" i="2"/>
  <c r="V844" i="2"/>
  <c r="V916" i="2"/>
  <c r="V980" i="2"/>
  <c r="V572" i="2"/>
  <c r="V636" i="2"/>
  <c r="V675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80" i="2"/>
  <c r="V644" i="2"/>
  <c r="V676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684" i="2"/>
  <c r="V724" i="2"/>
  <c r="V772" i="2"/>
  <c r="V804" i="2"/>
  <c r="V836" i="2"/>
  <c r="V852" i="2"/>
  <c r="V884" i="2"/>
  <c r="V924" i="2"/>
  <c r="V956" i="2"/>
  <c r="V588" i="2"/>
  <c r="V651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659" i="2"/>
  <c r="V740" i="2"/>
  <c r="V764" i="2"/>
  <c r="V796" i="2"/>
  <c r="V828" i="2"/>
  <c r="V860" i="2"/>
  <c r="V892" i="2"/>
  <c r="V932" i="2"/>
  <c r="V964" i="2"/>
  <c r="V596" i="2"/>
  <c r="V652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604" i="2"/>
  <c r="V748" i="2"/>
  <c r="V788" i="2"/>
  <c r="V820" i="2"/>
  <c r="V876" i="2"/>
  <c r="V908" i="2"/>
  <c r="V948" i="2"/>
  <c r="V988" i="2"/>
  <c r="V1004" i="2"/>
  <c r="V612" i="2"/>
  <c r="V660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708" i="2"/>
  <c r="V1060" i="2"/>
  <c r="V1124" i="2"/>
  <c r="V1188" i="2"/>
  <c r="V1252" i="2"/>
  <c r="V996" i="2"/>
  <c r="V1068" i="2"/>
  <c r="V1132" i="2"/>
  <c r="V1196" i="2"/>
  <c r="V1012" i="2"/>
  <c r="V1076" i="2"/>
  <c r="V1140" i="2"/>
  <c r="V1204" i="2"/>
  <c r="V1020" i="2"/>
  <c r="V1084" i="2"/>
  <c r="V1148" i="2"/>
  <c r="V1212" i="2"/>
  <c r="V1028" i="2"/>
  <c r="V1092" i="2"/>
  <c r="V1156" i="2"/>
  <c r="V1220" i="2"/>
  <c r="V1036" i="2"/>
  <c r="V1100" i="2"/>
  <c r="V1164" i="2"/>
  <c r="V1228" i="2"/>
  <c r="V1044" i="2"/>
  <c r="V1108" i="2"/>
  <c r="V1172" i="2"/>
  <c r="V1236" i="2"/>
  <c r="V1052" i="2"/>
  <c r="V1116" i="2"/>
  <c r="V1180" i="2"/>
  <c r="V1244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11" i="2"/>
  <c r="U75" i="2"/>
  <c r="U139" i="2"/>
  <c r="U203" i="2"/>
  <c r="U267" i="2"/>
  <c r="U331" i="2"/>
  <c r="U379" i="2"/>
  <c r="U411" i="2"/>
  <c r="U443" i="2"/>
  <c r="U475" i="2"/>
  <c r="U507" i="2"/>
  <c r="U531" i="2"/>
  <c r="U554" i="2"/>
  <c r="U572" i="2"/>
  <c r="U595" i="2"/>
  <c r="U618" i="2"/>
  <c r="U636" i="2"/>
  <c r="U659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9" i="2"/>
  <c r="U83" i="2"/>
  <c r="U147" i="2"/>
  <c r="U211" i="2"/>
  <c r="U275" i="2"/>
  <c r="U339" i="2"/>
  <c r="U386" i="2"/>
  <c r="U418" i="2"/>
  <c r="U450" i="2"/>
  <c r="U482" i="2"/>
  <c r="U514" i="2"/>
  <c r="U532" i="2"/>
  <c r="U555" i="2"/>
  <c r="U578" i="2"/>
  <c r="U596" i="2"/>
  <c r="U619" i="2"/>
  <c r="U642" i="2"/>
  <c r="U27" i="2"/>
  <c r="U91" i="2"/>
  <c r="U155" i="2"/>
  <c r="U219" i="2"/>
  <c r="U283" i="2"/>
  <c r="U347" i="2"/>
  <c r="U387" i="2"/>
  <c r="U419" i="2"/>
  <c r="U451" i="2"/>
  <c r="U483" i="2"/>
  <c r="U515" i="2"/>
  <c r="U538" i="2"/>
  <c r="U556" i="2"/>
  <c r="U579" i="2"/>
  <c r="U602" i="2"/>
  <c r="U620" i="2"/>
  <c r="U643" i="2"/>
  <c r="U666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35" i="2"/>
  <c r="U99" i="2"/>
  <c r="U163" i="2"/>
  <c r="U227" i="2"/>
  <c r="U291" i="2"/>
  <c r="U355" i="2"/>
  <c r="U394" i="2"/>
  <c r="U426" i="2"/>
  <c r="U458" i="2"/>
  <c r="U490" i="2"/>
  <c r="U516" i="2"/>
  <c r="U539" i="2"/>
  <c r="U562" i="2"/>
  <c r="U580" i="2"/>
  <c r="U603" i="2"/>
  <c r="U626" i="2"/>
  <c r="U644" i="2"/>
  <c r="U667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43" i="2"/>
  <c r="U107" i="2"/>
  <c r="U171" i="2"/>
  <c r="U235" i="2"/>
  <c r="U299" i="2"/>
  <c r="U363" i="2"/>
  <c r="U395" i="2"/>
  <c r="U427" i="2"/>
  <c r="U459" i="2"/>
  <c r="U491" i="2"/>
  <c r="U522" i="2"/>
  <c r="U540" i="2"/>
  <c r="U563" i="2"/>
  <c r="U586" i="2"/>
  <c r="U604" i="2"/>
  <c r="U627" i="2"/>
  <c r="U650" i="2"/>
  <c r="U66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51" i="2"/>
  <c r="U115" i="2"/>
  <c r="U179" i="2"/>
  <c r="U243" i="2"/>
  <c r="U307" i="2"/>
  <c r="U370" i="2"/>
  <c r="U402" i="2"/>
  <c r="U434" i="2"/>
  <c r="U466" i="2"/>
  <c r="U498" i="2"/>
  <c r="U523" i="2"/>
  <c r="U546" i="2"/>
  <c r="U564" i="2"/>
  <c r="U587" i="2"/>
  <c r="U610" i="2"/>
  <c r="U628" i="2"/>
  <c r="U651" i="2"/>
  <c r="U674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67" i="2"/>
  <c r="U131" i="2"/>
  <c r="U195" i="2"/>
  <c r="U259" i="2"/>
  <c r="U323" i="2"/>
  <c r="U378" i="2"/>
  <c r="U410" i="2"/>
  <c r="U442" i="2"/>
  <c r="U474" i="2"/>
  <c r="U506" i="2"/>
  <c r="U530" i="2"/>
  <c r="U548" i="2"/>
  <c r="U571" i="2"/>
  <c r="U594" i="2"/>
  <c r="U612" i="2"/>
  <c r="U635" i="2"/>
  <c r="U658" i="2"/>
  <c r="U676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59" i="2"/>
  <c r="U467" i="2"/>
  <c r="U652" i="2"/>
  <c r="U704" i="2"/>
  <c r="U736" i="2"/>
  <c r="U768" i="2"/>
  <c r="U800" i="2"/>
  <c r="U832" i="2"/>
  <c r="U864" i="2"/>
  <c r="U896" i="2"/>
  <c r="U923" i="2"/>
  <c r="U944" i="2"/>
  <c r="U961" i="2"/>
  <c r="U977" i="2"/>
  <c r="U993" i="2"/>
  <c r="U1009" i="2"/>
  <c r="U1025" i="2"/>
  <c r="U1041" i="2"/>
  <c r="U1057" i="2"/>
  <c r="U1073" i="2"/>
  <c r="U1087" i="2"/>
  <c r="U1099" i="2"/>
  <c r="U1112" i="2"/>
  <c r="U1126" i="2"/>
  <c r="U1137" i="2"/>
  <c r="U1151" i="2"/>
  <c r="U1163" i="2"/>
  <c r="U1176" i="2"/>
  <c r="U1190" i="2"/>
  <c r="U1201" i="2"/>
  <c r="U1215" i="2"/>
  <c r="U1224" i="2"/>
  <c r="U1232" i="2"/>
  <c r="U1240" i="2"/>
  <c r="U1248" i="2"/>
  <c r="U1256" i="2"/>
  <c r="U123" i="2"/>
  <c r="U499" i="2"/>
  <c r="U660" i="2"/>
  <c r="U707" i="2"/>
  <c r="U739" i="2"/>
  <c r="U771" i="2"/>
  <c r="U803" i="2"/>
  <c r="U835" i="2"/>
  <c r="U867" i="2"/>
  <c r="U899" i="2"/>
  <c r="U927" i="2"/>
  <c r="U947" i="2"/>
  <c r="U963" i="2"/>
  <c r="U979" i="2"/>
  <c r="U995" i="2"/>
  <c r="U1011" i="2"/>
  <c r="U1027" i="2"/>
  <c r="U1043" i="2"/>
  <c r="U1059" i="2"/>
  <c r="U1075" i="2"/>
  <c r="U1088" i="2"/>
  <c r="U1102" i="2"/>
  <c r="U1113" i="2"/>
  <c r="U1127" i="2"/>
  <c r="U1139" i="2"/>
  <c r="U1152" i="2"/>
  <c r="U1166" i="2"/>
  <c r="U1177" i="2"/>
  <c r="U1191" i="2"/>
  <c r="U1203" i="2"/>
  <c r="U1216" i="2"/>
  <c r="U1225" i="2"/>
  <c r="U1233" i="2"/>
  <c r="U1241" i="2"/>
  <c r="U1249" i="2"/>
  <c r="U1257" i="2"/>
  <c r="U675" i="2"/>
  <c r="U872" i="2"/>
  <c r="U904" i="2"/>
  <c r="U928" i="2"/>
  <c r="U951" i="2"/>
  <c r="U967" i="2"/>
  <c r="U983" i="2"/>
  <c r="U999" i="2"/>
  <c r="U1015" i="2"/>
  <c r="U1031" i="2"/>
  <c r="U1047" i="2"/>
  <c r="U1063" i="2"/>
  <c r="U1115" i="2"/>
  <c r="U1128" i="2"/>
  <c r="U1142" i="2"/>
  <c r="U1179" i="2"/>
  <c r="U1217" i="2"/>
  <c r="U1250" i="2"/>
  <c r="U187" i="2"/>
  <c r="U524" i="2"/>
  <c r="U251" i="2"/>
  <c r="U547" i="2"/>
  <c r="U683" i="2"/>
  <c r="U715" i="2"/>
  <c r="U747" i="2"/>
  <c r="U779" i="2"/>
  <c r="U811" i="2"/>
  <c r="U843" i="2"/>
  <c r="U875" i="2"/>
  <c r="U907" i="2"/>
  <c r="U931" i="2"/>
  <c r="U952" i="2"/>
  <c r="U968" i="2"/>
  <c r="U984" i="2"/>
  <c r="U1000" i="2"/>
  <c r="U1016" i="2"/>
  <c r="U1032" i="2"/>
  <c r="U1048" i="2"/>
  <c r="U1064" i="2"/>
  <c r="U1079" i="2"/>
  <c r="U1091" i="2"/>
  <c r="U1104" i="2"/>
  <c r="U1118" i="2"/>
  <c r="U1129" i="2"/>
  <c r="U1143" i="2"/>
  <c r="U1155" i="2"/>
  <c r="U1168" i="2"/>
  <c r="U1182" i="2"/>
  <c r="U1193" i="2"/>
  <c r="U1207" i="2"/>
  <c r="U1218" i="2"/>
  <c r="U1227" i="2"/>
  <c r="U1235" i="2"/>
  <c r="U1243" i="2"/>
  <c r="U1251" i="2"/>
  <c r="U840" i="2"/>
  <c r="U1206" i="2"/>
  <c r="U315" i="2"/>
  <c r="U570" i="2"/>
  <c r="U688" i="2"/>
  <c r="U720" i="2"/>
  <c r="U752" i="2"/>
  <c r="U784" i="2"/>
  <c r="U816" i="2"/>
  <c r="U848" i="2"/>
  <c r="U880" i="2"/>
  <c r="U912" i="2"/>
  <c r="U935" i="2"/>
  <c r="U953" i="2"/>
  <c r="U969" i="2"/>
  <c r="U985" i="2"/>
  <c r="U1001" i="2"/>
  <c r="U1017" i="2"/>
  <c r="U1033" i="2"/>
  <c r="U1049" i="2"/>
  <c r="U1065" i="2"/>
  <c r="U1080" i="2"/>
  <c r="U1094" i="2"/>
  <c r="U1105" i="2"/>
  <c r="U1119" i="2"/>
  <c r="U1131" i="2"/>
  <c r="U1144" i="2"/>
  <c r="U1158" i="2"/>
  <c r="U1169" i="2"/>
  <c r="U1183" i="2"/>
  <c r="U1195" i="2"/>
  <c r="U1208" i="2"/>
  <c r="U1219" i="2"/>
  <c r="U1228" i="2"/>
  <c r="U1236" i="2"/>
  <c r="U1244" i="2"/>
  <c r="U1252" i="2"/>
  <c r="U776" i="2"/>
  <c r="U1078" i="2"/>
  <c r="U1153" i="2"/>
  <c r="U1226" i="2"/>
  <c r="U1258" i="2"/>
  <c r="V55" i="1" s="1"/>
  <c r="AC11" i="2" s="1"/>
  <c r="U371" i="2"/>
  <c r="U588" i="2"/>
  <c r="U691" i="2"/>
  <c r="U723" i="2"/>
  <c r="U755" i="2"/>
  <c r="U787" i="2"/>
  <c r="U819" i="2"/>
  <c r="U851" i="2"/>
  <c r="U883" i="2"/>
  <c r="U915" i="2"/>
  <c r="U936" i="2"/>
  <c r="U955" i="2"/>
  <c r="U971" i="2"/>
  <c r="U987" i="2"/>
  <c r="U1003" i="2"/>
  <c r="U1019" i="2"/>
  <c r="U1035" i="2"/>
  <c r="U1051" i="2"/>
  <c r="U1067" i="2"/>
  <c r="U1081" i="2"/>
  <c r="U1095" i="2"/>
  <c r="U1107" i="2"/>
  <c r="U1120" i="2"/>
  <c r="U1134" i="2"/>
  <c r="U1145" i="2"/>
  <c r="U1159" i="2"/>
  <c r="U1171" i="2"/>
  <c r="U1184" i="2"/>
  <c r="U1198" i="2"/>
  <c r="U1209" i="2"/>
  <c r="U1220" i="2"/>
  <c r="U1229" i="2"/>
  <c r="U1237" i="2"/>
  <c r="U1245" i="2"/>
  <c r="U1253" i="2"/>
  <c r="U808" i="2"/>
  <c r="U1192" i="2"/>
  <c r="U403" i="2"/>
  <c r="U611" i="2"/>
  <c r="U696" i="2"/>
  <c r="U728" i="2"/>
  <c r="U760" i="2"/>
  <c r="U792" i="2"/>
  <c r="U824" i="2"/>
  <c r="U856" i="2"/>
  <c r="U888" i="2"/>
  <c r="U919" i="2"/>
  <c r="U939" i="2"/>
  <c r="U959" i="2"/>
  <c r="U975" i="2"/>
  <c r="U991" i="2"/>
  <c r="U1007" i="2"/>
  <c r="U1023" i="2"/>
  <c r="U1039" i="2"/>
  <c r="U1055" i="2"/>
  <c r="U1071" i="2"/>
  <c r="U1083" i="2"/>
  <c r="U1096" i="2"/>
  <c r="U1110" i="2"/>
  <c r="U1121" i="2"/>
  <c r="U1135" i="2"/>
  <c r="U1147" i="2"/>
  <c r="U1160" i="2"/>
  <c r="U1174" i="2"/>
  <c r="U1185" i="2"/>
  <c r="U1199" i="2"/>
  <c r="U1211" i="2"/>
  <c r="U1222" i="2"/>
  <c r="U1230" i="2"/>
  <c r="U1238" i="2"/>
  <c r="U1246" i="2"/>
  <c r="U1254" i="2"/>
  <c r="U744" i="2"/>
  <c r="U1089" i="2"/>
  <c r="U1167" i="2"/>
  <c r="U1234" i="2"/>
  <c r="U435" i="2"/>
  <c r="U634" i="2"/>
  <c r="U699" i="2"/>
  <c r="U731" i="2"/>
  <c r="U763" i="2"/>
  <c r="U795" i="2"/>
  <c r="U827" i="2"/>
  <c r="U859" i="2"/>
  <c r="U891" i="2"/>
  <c r="U920" i="2"/>
  <c r="U943" i="2"/>
  <c r="U960" i="2"/>
  <c r="U976" i="2"/>
  <c r="U992" i="2"/>
  <c r="U1008" i="2"/>
  <c r="U1024" i="2"/>
  <c r="U1040" i="2"/>
  <c r="U1056" i="2"/>
  <c r="U1072" i="2"/>
  <c r="U1086" i="2"/>
  <c r="U1097" i="2"/>
  <c r="U1111" i="2"/>
  <c r="U1123" i="2"/>
  <c r="U1136" i="2"/>
  <c r="U1150" i="2"/>
  <c r="U1161" i="2"/>
  <c r="U1175" i="2"/>
  <c r="U1187" i="2"/>
  <c r="U1200" i="2"/>
  <c r="U1214" i="2"/>
  <c r="U1223" i="2"/>
  <c r="U1231" i="2"/>
  <c r="U1239" i="2"/>
  <c r="U1247" i="2"/>
  <c r="U1255" i="2"/>
  <c r="U712" i="2"/>
  <c r="U1103" i="2"/>
  <c r="U1242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9" i="2"/>
  <c r="T41" i="2"/>
  <c r="T73" i="2"/>
  <c r="T105" i="2"/>
  <c r="T137" i="2"/>
  <c r="T169" i="2"/>
  <c r="T201" i="2"/>
  <c r="T233" i="2"/>
  <c r="T265" i="2"/>
  <c r="T297" i="2"/>
  <c r="T329" i="2"/>
  <c r="T361" i="2"/>
  <c r="T393" i="2"/>
  <c r="T425" i="2"/>
  <c r="T457" i="2"/>
  <c r="T489" i="2"/>
  <c r="T521" i="2"/>
  <c r="T553" i="2"/>
  <c r="T577" i="2"/>
  <c r="T600" i="2"/>
  <c r="T620" i="2"/>
  <c r="T641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2" i="2"/>
  <c r="T44" i="2"/>
  <c r="T76" i="2"/>
  <c r="T108" i="2"/>
  <c r="T140" i="2"/>
  <c r="T172" i="2"/>
  <c r="T204" i="2"/>
  <c r="T236" i="2"/>
  <c r="T268" i="2"/>
  <c r="T300" i="2"/>
  <c r="T332" i="2"/>
  <c r="T364" i="2"/>
  <c r="T396" i="2"/>
  <c r="T428" i="2"/>
  <c r="T460" i="2"/>
  <c r="T492" i="2"/>
  <c r="T524" i="2"/>
  <c r="T556" i="2"/>
  <c r="T580" i="2"/>
  <c r="T601" i="2"/>
  <c r="T624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7" i="2"/>
  <c r="T49" i="2"/>
  <c r="T81" i="2"/>
  <c r="T113" i="2"/>
  <c r="T145" i="2"/>
  <c r="T177" i="2"/>
  <c r="T209" i="2"/>
  <c r="T241" i="2"/>
  <c r="T273" i="2"/>
  <c r="T305" i="2"/>
  <c r="T337" i="2"/>
  <c r="T369" i="2"/>
  <c r="T401" i="2"/>
  <c r="T433" i="2"/>
  <c r="T465" i="2"/>
  <c r="T497" i="2"/>
  <c r="T529" i="2"/>
  <c r="T561" i="2"/>
  <c r="T584" i="2"/>
  <c r="T604" i="2"/>
  <c r="T625" i="2"/>
  <c r="T648" i="2"/>
  <c r="T664" i="2"/>
  <c r="T680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20" i="2"/>
  <c r="T52" i="2"/>
  <c r="T84" i="2"/>
  <c r="T116" i="2"/>
  <c r="T148" i="2"/>
  <c r="T180" i="2"/>
  <c r="T212" i="2"/>
  <c r="T244" i="2"/>
  <c r="T276" i="2"/>
  <c r="T308" i="2"/>
  <c r="T340" i="2"/>
  <c r="T372" i="2"/>
  <c r="T404" i="2"/>
  <c r="T436" i="2"/>
  <c r="T468" i="2"/>
  <c r="T500" i="2"/>
  <c r="T532" i="2"/>
  <c r="T564" i="2"/>
  <c r="T585" i="2"/>
  <c r="T608" i="2"/>
  <c r="T628" i="2"/>
  <c r="T649" i="2"/>
  <c r="T665" i="2"/>
  <c r="T681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28" i="2"/>
  <c r="T60" i="2"/>
  <c r="T92" i="2"/>
  <c r="T124" i="2"/>
  <c r="T156" i="2"/>
  <c r="T188" i="2"/>
  <c r="T220" i="2"/>
  <c r="T252" i="2"/>
  <c r="T284" i="2"/>
  <c r="T316" i="2"/>
  <c r="T348" i="2"/>
  <c r="T380" i="2"/>
  <c r="T412" i="2"/>
  <c r="T444" i="2"/>
  <c r="T476" i="2"/>
  <c r="T508" i="2"/>
  <c r="T540" i="2"/>
  <c r="T569" i="2"/>
  <c r="T592" i="2"/>
  <c r="T612" i="2"/>
  <c r="T633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33" i="2"/>
  <c r="T65" i="2"/>
  <c r="T97" i="2"/>
  <c r="T129" i="2"/>
  <c r="T161" i="2"/>
  <c r="T193" i="2"/>
  <c r="T225" i="2"/>
  <c r="T257" i="2"/>
  <c r="T289" i="2"/>
  <c r="T321" i="2"/>
  <c r="T353" i="2"/>
  <c r="T385" i="2"/>
  <c r="T417" i="2"/>
  <c r="T449" i="2"/>
  <c r="T481" i="2"/>
  <c r="T513" i="2"/>
  <c r="T545" i="2"/>
  <c r="T572" i="2"/>
  <c r="T593" i="2"/>
  <c r="T616" i="2"/>
  <c r="T636" i="2"/>
  <c r="T656" i="2"/>
  <c r="T672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25" i="2"/>
  <c r="T153" i="2"/>
  <c r="T281" i="2"/>
  <c r="T409" i="2"/>
  <c r="T537" i="2"/>
  <c r="T632" i="2"/>
  <c r="T691" i="2"/>
  <c r="T723" i="2"/>
  <c r="T755" i="2"/>
  <c r="T787" i="2"/>
  <c r="T819" i="2"/>
  <c r="T851" i="2"/>
  <c r="T883" i="2"/>
  <c r="T915" i="2"/>
  <c r="T947" i="2"/>
  <c r="T979" i="2"/>
  <c r="T1011" i="2"/>
  <c r="T1043" i="2"/>
  <c r="T1070" i="2"/>
  <c r="T1093" i="2"/>
  <c r="T1115" i="2"/>
  <c r="T1134" i="2"/>
  <c r="T1157" i="2"/>
  <c r="T1178" i="2"/>
  <c r="T1194" i="2"/>
  <c r="T1210" i="2"/>
  <c r="T1226" i="2"/>
  <c r="T1242" i="2"/>
  <c r="T1258" i="2"/>
  <c r="V54" i="1" s="1"/>
  <c r="AC10" i="2" s="1"/>
  <c r="T473" i="2"/>
  <c r="T36" i="2"/>
  <c r="T164" i="2"/>
  <c r="T292" i="2"/>
  <c r="T420" i="2"/>
  <c r="T548" i="2"/>
  <c r="T640" i="2"/>
  <c r="T694" i="2"/>
  <c r="T726" i="2"/>
  <c r="T758" i="2"/>
  <c r="T790" i="2"/>
  <c r="T822" i="2"/>
  <c r="T854" i="2"/>
  <c r="T886" i="2"/>
  <c r="T918" i="2"/>
  <c r="T950" i="2"/>
  <c r="T982" i="2"/>
  <c r="T1014" i="2"/>
  <c r="T1046" i="2"/>
  <c r="T1075" i="2"/>
  <c r="T1094" i="2"/>
  <c r="T1117" i="2"/>
  <c r="T1139" i="2"/>
  <c r="T1158" i="2"/>
  <c r="T1179" i="2"/>
  <c r="T1195" i="2"/>
  <c r="T1211" i="2"/>
  <c r="T1227" i="2"/>
  <c r="T1243" i="2"/>
  <c r="T345" i="2"/>
  <c r="T57" i="2"/>
  <c r="T185" i="2"/>
  <c r="T313" i="2"/>
  <c r="T441" i="2"/>
  <c r="T568" i="2"/>
  <c r="T651" i="2"/>
  <c r="T699" i="2"/>
  <c r="T731" i="2"/>
  <c r="T763" i="2"/>
  <c r="T795" i="2"/>
  <c r="T827" i="2"/>
  <c r="T859" i="2"/>
  <c r="T891" i="2"/>
  <c r="T923" i="2"/>
  <c r="T955" i="2"/>
  <c r="T987" i="2"/>
  <c r="T1019" i="2"/>
  <c r="T1051" i="2"/>
  <c r="T1077" i="2"/>
  <c r="T1099" i="2"/>
  <c r="T1118" i="2"/>
  <c r="T1141" i="2"/>
  <c r="T1163" i="2"/>
  <c r="T1181" i="2"/>
  <c r="T1197" i="2"/>
  <c r="T1213" i="2"/>
  <c r="T1229" i="2"/>
  <c r="T1245" i="2"/>
  <c r="T217" i="2"/>
  <c r="T667" i="2"/>
  <c r="T739" i="2"/>
  <c r="T803" i="2"/>
  <c r="T867" i="2"/>
  <c r="T931" i="2"/>
  <c r="T995" i="2"/>
  <c r="T1059" i="2"/>
  <c r="T1102" i="2"/>
  <c r="T1147" i="2"/>
  <c r="T1186" i="2"/>
  <c r="T1218" i="2"/>
  <c r="T1250" i="2"/>
  <c r="T68" i="2"/>
  <c r="T196" i="2"/>
  <c r="T324" i="2"/>
  <c r="T452" i="2"/>
  <c r="T576" i="2"/>
  <c r="T657" i="2"/>
  <c r="T702" i="2"/>
  <c r="T734" i="2"/>
  <c r="T766" i="2"/>
  <c r="T798" i="2"/>
  <c r="T830" i="2"/>
  <c r="T862" i="2"/>
  <c r="T894" i="2"/>
  <c r="T926" i="2"/>
  <c r="T958" i="2"/>
  <c r="T990" i="2"/>
  <c r="T1022" i="2"/>
  <c r="T1054" i="2"/>
  <c r="T1078" i="2"/>
  <c r="T1101" i="2"/>
  <c r="T1123" i="2"/>
  <c r="T1142" i="2"/>
  <c r="T1165" i="2"/>
  <c r="T1182" i="2"/>
  <c r="T1198" i="2"/>
  <c r="T1214" i="2"/>
  <c r="T1230" i="2"/>
  <c r="T1246" i="2"/>
  <c r="T89" i="2"/>
  <c r="T588" i="2"/>
  <c r="T707" i="2"/>
  <c r="T771" i="2"/>
  <c r="T835" i="2"/>
  <c r="T899" i="2"/>
  <c r="T963" i="2"/>
  <c r="T1027" i="2"/>
  <c r="T1083" i="2"/>
  <c r="T1125" i="2"/>
  <c r="T1166" i="2"/>
  <c r="T1202" i="2"/>
  <c r="T1234" i="2"/>
  <c r="T100" i="2"/>
  <c r="T228" i="2"/>
  <c r="T356" i="2"/>
  <c r="T484" i="2"/>
  <c r="T596" i="2"/>
  <c r="T673" i="2"/>
  <c r="T710" i="2"/>
  <c r="T742" i="2"/>
  <c r="T774" i="2"/>
  <c r="T806" i="2"/>
  <c r="T838" i="2"/>
  <c r="T870" i="2"/>
  <c r="T902" i="2"/>
  <c r="T934" i="2"/>
  <c r="T966" i="2"/>
  <c r="T998" i="2"/>
  <c r="T1030" i="2"/>
  <c r="T1062" i="2"/>
  <c r="T1085" i="2"/>
  <c r="T1107" i="2"/>
  <c r="T1126" i="2"/>
  <c r="T1149" i="2"/>
  <c r="T1171" i="2"/>
  <c r="T1187" i="2"/>
  <c r="T1203" i="2"/>
  <c r="T1219" i="2"/>
  <c r="T1235" i="2"/>
  <c r="T1251" i="2"/>
  <c r="T132" i="2"/>
  <c r="T260" i="2"/>
  <c r="T388" i="2"/>
  <c r="T516" i="2"/>
  <c r="T617" i="2"/>
  <c r="T686" i="2"/>
  <c r="T718" i="2"/>
  <c r="T750" i="2"/>
  <c r="T782" i="2"/>
  <c r="T814" i="2"/>
  <c r="T846" i="2"/>
  <c r="T878" i="2"/>
  <c r="T910" i="2"/>
  <c r="T942" i="2"/>
  <c r="T974" i="2"/>
  <c r="T1006" i="2"/>
  <c r="T1038" i="2"/>
  <c r="T1069" i="2"/>
  <c r="T1091" i="2"/>
  <c r="T1110" i="2"/>
  <c r="T1133" i="2"/>
  <c r="T1155" i="2"/>
  <c r="T1174" i="2"/>
  <c r="T1190" i="2"/>
  <c r="T1206" i="2"/>
  <c r="T1222" i="2"/>
  <c r="T1238" i="2"/>
  <c r="T1254" i="2"/>
  <c r="T121" i="2"/>
  <c r="T249" i="2"/>
  <c r="T377" i="2"/>
  <c r="T505" i="2"/>
  <c r="T609" i="2"/>
  <c r="T683" i="2"/>
  <c r="T715" i="2"/>
  <c r="T747" i="2"/>
  <c r="T779" i="2"/>
  <c r="T811" i="2"/>
  <c r="T843" i="2"/>
  <c r="T875" i="2"/>
  <c r="T907" i="2"/>
  <c r="T939" i="2"/>
  <c r="T971" i="2"/>
  <c r="T1003" i="2"/>
  <c r="T1035" i="2"/>
  <c r="T1067" i="2"/>
  <c r="T1086" i="2"/>
  <c r="T1109" i="2"/>
  <c r="T1131" i="2"/>
  <c r="T1150" i="2"/>
  <c r="T1173" i="2"/>
  <c r="T1189" i="2"/>
  <c r="T1205" i="2"/>
  <c r="T1221" i="2"/>
  <c r="T1237" i="2"/>
  <c r="T125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11" i="2"/>
  <c r="S75" i="2"/>
  <c r="S139" i="2"/>
  <c r="S203" i="2"/>
  <c r="S267" i="2"/>
  <c r="S331" i="2"/>
  <c r="S395" i="2"/>
  <c r="S459" i="2"/>
  <c r="S523" i="2"/>
  <c r="S587" i="2"/>
  <c r="S627" i="2"/>
  <c r="S659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251" i="2"/>
  <c r="S19" i="2"/>
  <c r="S83" i="2"/>
  <c r="S147" i="2"/>
  <c r="S211" i="2"/>
  <c r="S275" i="2"/>
  <c r="S339" i="2"/>
  <c r="S403" i="2"/>
  <c r="S467" i="2"/>
  <c r="S531" i="2"/>
  <c r="S595" i="2"/>
  <c r="S628" i="2"/>
  <c r="S660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315" i="2"/>
  <c r="S27" i="2"/>
  <c r="S91" i="2"/>
  <c r="S155" i="2"/>
  <c r="S219" i="2"/>
  <c r="S283" i="2"/>
  <c r="S347" i="2"/>
  <c r="S411" i="2"/>
  <c r="S475" i="2"/>
  <c r="S539" i="2"/>
  <c r="S603" i="2"/>
  <c r="S635" i="2"/>
  <c r="S667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35" i="2"/>
  <c r="S99" i="2"/>
  <c r="S163" i="2"/>
  <c r="S227" i="2"/>
  <c r="S291" i="2"/>
  <c r="S355" i="2"/>
  <c r="S419" i="2"/>
  <c r="S483" i="2"/>
  <c r="S547" i="2"/>
  <c r="S604" i="2"/>
  <c r="S636" i="2"/>
  <c r="S668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43" i="2"/>
  <c r="S107" i="2"/>
  <c r="S171" i="2"/>
  <c r="S235" i="2"/>
  <c r="S299" i="2"/>
  <c r="S363" i="2"/>
  <c r="S427" i="2"/>
  <c r="S491" i="2"/>
  <c r="S555" i="2"/>
  <c r="S611" i="2"/>
  <c r="S643" i="2"/>
  <c r="S675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51" i="2"/>
  <c r="S115" i="2"/>
  <c r="S179" i="2"/>
  <c r="S243" i="2"/>
  <c r="S307" i="2"/>
  <c r="S371" i="2"/>
  <c r="S435" i="2"/>
  <c r="S499" i="2"/>
  <c r="S563" i="2"/>
  <c r="S612" i="2"/>
  <c r="S644" i="2"/>
  <c r="S676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67" i="2"/>
  <c r="S131" i="2"/>
  <c r="S195" i="2"/>
  <c r="S259" i="2"/>
  <c r="S323" i="2"/>
  <c r="S387" i="2"/>
  <c r="S451" i="2"/>
  <c r="S515" i="2"/>
  <c r="S579" i="2"/>
  <c r="S620" i="2"/>
  <c r="S652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59" i="2"/>
  <c r="S123" i="2"/>
  <c r="S683" i="2"/>
  <c r="S747" i="2"/>
  <c r="S811" i="2"/>
  <c r="S875" i="2"/>
  <c r="S939" i="2"/>
  <c r="S1003" i="2"/>
  <c r="S1067" i="2"/>
  <c r="S1131" i="2"/>
  <c r="S1195" i="2"/>
  <c r="S787" i="2"/>
  <c r="S859" i="2"/>
  <c r="S187" i="2"/>
  <c r="S691" i="2"/>
  <c r="S755" i="2"/>
  <c r="S819" i="2"/>
  <c r="S883" i="2"/>
  <c r="S947" i="2"/>
  <c r="S1011" i="2"/>
  <c r="S1075" i="2"/>
  <c r="S1139" i="2"/>
  <c r="S1203" i="2"/>
  <c r="S723" i="2"/>
  <c r="S795" i="2"/>
  <c r="S379" i="2"/>
  <c r="S699" i="2"/>
  <c r="S763" i="2"/>
  <c r="S827" i="2"/>
  <c r="S891" i="2"/>
  <c r="S955" i="2"/>
  <c r="S1019" i="2"/>
  <c r="S1083" i="2"/>
  <c r="S1147" i="2"/>
  <c r="S1211" i="2"/>
  <c r="S571" i="2"/>
  <c r="S987" i="2"/>
  <c r="S867" i="2"/>
  <c r="S443" i="2"/>
  <c r="S707" i="2"/>
  <c r="S771" i="2"/>
  <c r="S835" i="2"/>
  <c r="S899" i="2"/>
  <c r="S963" i="2"/>
  <c r="S1027" i="2"/>
  <c r="S1091" i="2"/>
  <c r="S1155" i="2"/>
  <c r="S1219" i="2"/>
  <c r="S851" i="2"/>
  <c r="S1235" i="2"/>
  <c r="S731" i="2"/>
  <c r="S1051" i="2"/>
  <c r="S1179" i="2"/>
  <c r="S739" i="2"/>
  <c r="S507" i="2"/>
  <c r="S715" i="2"/>
  <c r="S779" i="2"/>
  <c r="S843" i="2"/>
  <c r="S907" i="2"/>
  <c r="S971" i="2"/>
  <c r="S1035" i="2"/>
  <c r="S1099" i="2"/>
  <c r="S1163" i="2"/>
  <c r="S1227" i="2"/>
  <c r="S915" i="2"/>
  <c r="S619" i="2"/>
  <c r="S1115" i="2"/>
  <c r="S1243" i="2"/>
  <c r="S651" i="2"/>
  <c r="S979" i="2"/>
  <c r="S1043" i="2"/>
  <c r="S1107" i="2"/>
  <c r="S1171" i="2"/>
  <c r="S923" i="2"/>
  <c r="S803" i="2"/>
  <c r="S931" i="2"/>
  <c r="S995" i="2"/>
  <c r="S1059" i="2"/>
  <c r="S1123" i="2"/>
  <c r="S1187" i="2"/>
  <c r="S1251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9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17" i="2"/>
  <c r="R40" i="2"/>
  <c r="R59" i="2"/>
  <c r="R81" i="2"/>
  <c r="R104" i="2"/>
  <c r="R123" i="2"/>
  <c r="R145" i="2"/>
  <c r="R168" i="2"/>
  <c r="R187" i="2"/>
  <c r="R209" i="2"/>
  <c r="R232" i="2"/>
  <c r="R251" i="2"/>
  <c r="R273" i="2"/>
  <c r="R296" i="2"/>
  <c r="R315" i="2"/>
  <c r="R337" i="2"/>
  <c r="R360" i="2"/>
  <c r="R379" i="2"/>
  <c r="R401" i="2"/>
  <c r="R424" i="2"/>
  <c r="R443" i="2"/>
  <c r="R465" i="2"/>
  <c r="R488" i="2"/>
  <c r="R507" i="2"/>
  <c r="R529" i="2"/>
  <c r="R545" i="2"/>
  <c r="R561" i="2"/>
  <c r="R572" i="2"/>
  <c r="R586" i="2"/>
  <c r="R600" i="2"/>
  <c r="R611" i="2"/>
  <c r="R625" i="2"/>
  <c r="R636" i="2"/>
  <c r="R650" i="2"/>
  <c r="R664" i="2"/>
  <c r="R675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9" i="2"/>
  <c r="R41" i="2"/>
  <c r="R64" i="2"/>
  <c r="R83" i="2"/>
  <c r="R105" i="2"/>
  <c r="R128" i="2"/>
  <c r="R147" i="2"/>
  <c r="R169" i="2"/>
  <c r="R192" i="2"/>
  <c r="R211" i="2"/>
  <c r="R233" i="2"/>
  <c r="R256" i="2"/>
  <c r="R275" i="2"/>
  <c r="R297" i="2"/>
  <c r="R320" i="2"/>
  <c r="R339" i="2"/>
  <c r="R361" i="2"/>
  <c r="R384" i="2"/>
  <c r="R403" i="2"/>
  <c r="R425" i="2"/>
  <c r="R448" i="2"/>
  <c r="R467" i="2"/>
  <c r="R489" i="2"/>
  <c r="R512" i="2"/>
  <c r="R531" i="2"/>
  <c r="R547" i="2"/>
  <c r="R562" i="2"/>
  <c r="R576" i="2"/>
  <c r="R587" i="2"/>
  <c r="R601" i="2"/>
  <c r="R612" i="2"/>
  <c r="R626" i="2"/>
  <c r="R640" i="2"/>
  <c r="R651" i="2"/>
  <c r="R665" i="2"/>
  <c r="R676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1023" i="2"/>
  <c r="R1031" i="2"/>
  <c r="R1039" i="2"/>
  <c r="R1047" i="2"/>
  <c r="R1055" i="2"/>
  <c r="R1063" i="2"/>
  <c r="R1071" i="2"/>
  <c r="R24" i="2"/>
  <c r="R43" i="2"/>
  <c r="R65" i="2"/>
  <c r="R88" i="2"/>
  <c r="R107" i="2"/>
  <c r="R129" i="2"/>
  <c r="R152" i="2"/>
  <c r="R171" i="2"/>
  <c r="R193" i="2"/>
  <c r="R216" i="2"/>
  <c r="R235" i="2"/>
  <c r="R257" i="2"/>
  <c r="R280" i="2"/>
  <c r="R299" i="2"/>
  <c r="R321" i="2"/>
  <c r="R344" i="2"/>
  <c r="R363" i="2"/>
  <c r="R385" i="2"/>
  <c r="R408" i="2"/>
  <c r="R427" i="2"/>
  <c r="R449" i="2"/>
  <c r="R472" i="2"/>
  <c r="R491" i="2"/>
  <c r="R513" i="2"/>
  <c r="R532" i="2"/>
  <c r="R548" i="2"/>
  <c r="R563" i="2"/>
  <c r="R577" i="2"/>
  <c r="R588" i="2"/>
  <c r="R602" i="2"/>
  <c r="R616" i="2"/>
  <c r="R627" i="2"/>
  <c r="R641" i="2"/>
  <c r="R652" i="2"/>
  <c r="R666" i="2"/>
  <c r="R680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25" i="2"/>
  <c r="R48" i="2"/>
  <c r="R67" i="2"/>
  <c r="R89" i="2"/>
  <c r="R112" i="2"/>
  <c r="R131" i="2"/>
  <c r="R153" i="2"/>
  <c r="R176" i="2"/>
  <c r="R195" i="2"/>
  <c r="R217" i="2"/>
  <c r="R240" i="2"/>
  <c r="R259" i="2"/>
  <c r="R281" i="2"/>
  <c r="R304" i="2"/>
  <c r="R323" i="2"/>
  <c r="R345" i="2"/>
  <c r="R368" i="2"/>
  <c r="R387" i="2"/>
  <c r="R409" i="2"/>
  <c r="R432" i="2"/>
  <c r="R451" i="2"/>
  <c r="R473" i="2"/>
  <c r="R496" i="2"/>
  <c r="R515" i="2"/>
  <c r="R536" i="2"/>
  <c r="R552" i="2"/>
  <c r="R564" i="2"/>
  <c r="R578" i="2"/>
  <c r="R592" i="2"/>
  <c r="R603" i="2"/>
  <c r="R617" i="2"/>
  <c r="R628" i="2"/>
  <c r="R642" i="2"/>
  <c r="R656" i="2"/>
  <c r="R667" i="2"/>
  <c r="R681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32" i="2"/>
  <c r="R51" i="2"/>
  <c r="R73" i="2"/>
  <c r="R96" i="2"/>
  <c r="R115" i="2"/>
  <c r="R137" i="2"/>
  <c r="R160" i="2"/>
  <c r="R179" i="2"/>
  <c r="R201" i="2"/>
  <c r="R224" i="2"/>
  <c r="R243" i="2"/>
  <c r="R265" i="2"/>
  <c r="R288" i="2"/>
  <c r="R307" i="2"/>
  <c r="R329" i="2"/>
  <c r="R352" i="2"/>
  <c r="R371" i="2"/>
  <c r="R393" i="2"/>
  <c r="R416" i="2"/>
  <c r="R435" i="2"/>
  <c r="R457" i="2"/>
  <c r="R480" i="2"/>
  <c r="R499" i="2"/>
  <c r="R521" i="2"/>
  <c r="R539" i="2"/>
  <c r="R555" i="2"/>
  <c r="R569" i="2"/>
  <c r="R580" i="2"/>
  <c r="R594" i="2"/>
  <c r="R608" i="2"/>
  <c r="R619" i="2"/>
  <c r="R633" i="2"/>
  <c r="R644" i="2"/>
  <c r="R658" i="2"/>
  <c r="R672" i="2"/>
  <c r="R683" i="2"/>
  <c r="R691" i="2"/>
  <c r="R699" i="2"/>
  <c r="R707" i="2"/>
  <c r="R715" i="2"/>
  <c r="R723" i="2"/>
  <c r="R731" i="2"/>
  <c r="R739" i="2"/>
  <c r="R747" i="2"/>
  <c r="R755" i="2"/>
  <c r="R763" i="2"/>
  <c r="R11" i="2"/>
  <c r="R72" i="2"/>
  <c r="R121" i="2"/>
  <c r="R184" i="2"/>
  <c r="R241" i="2"/>
  <c r="R291" i="2"/>
  <c r="R353" i="2"/>
  <c r="R411" i="2"/>
  <c r="R464" i="2"/>
  <c r="R523" i="2"/>
  <c r="R568" i="2"/>
  <c r="R596" i="2"/>
  <c r="R634" i="2"/>
  <c r="R668" i="2"/>
  <c r="R693" i="2"/>
  <c r="R716" i="2"/>
  <c r="R738" i="2"/>
  <c r="R757" i="2"/>
  <c r="R778" i="2"/>
  <c r="R794" i="2"/>
  <c r="R810" i="2"/>
  <c r="R842" i="2"/>
  <c r="R858" i="2"/>
  <c r="R874" i="2"/>
  <c r="R890" i="2"/>
  <c r="R905" i="2"/>
  <c r="R916" i="2"/>
  <c r="R930" i="2"/>
  <c r="R941" i="2"/>
  <c r="R953" i="2"/>
  <c r="R963" i="2"/>
  <c r="R973" i="2"/>
  <c r="R985" i="2"/>
  <c r="R995" i="2"/>
  <c r="R1005" i="2"/>
  <c r="R1017" i="2"/>
  <c r="R1027" i="2"/>
  <c r="R1037" i="2"/>
  <c r="R1049" i="2"/>
  <c r="R1059" i="2"/>
  <c r="R1069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16" i="2"/>
  <c r="R75" i="2"/>
  <c r="R136" i="2"/>
  <c r="R185" i="2"/>
  <c r="R248" i="2"/>
  <c r="R305" i="2"/>
  <c r="R355" i="2"/>
  <c r="R417" i="2"/>
  <c r="R475" i="2"/>
  <c r="R528" i="2"/>
  <c r="R570" i="2"/>
  <c r="R604" i="2"/>
  <c r="R635" i="2"/>
  <c r="R673" i="2"/>
  <c r="R698" i="2"/>
  <c r="R717" i="2"/>
  <c r="R740" i="2"/>
  <c r="R762" i="2"/>
  <c r="R779" i="2"/>
  <c r="R795" i="2"/>
  <c r="R811" i="2"/>
  <c r="R827" i="2"/>
  <c r="R843" i="2"/>
  <c r="R859" i="2"/>
  <c r="R875" i="2"/>
  <c r="R891" i="2"/>
  <c r="R906" i="2"/>
  <c r="R917" i="2"/>
  <c r="R931" i="2"/>
  <c r="R944" i="2"/>
  <c r="R954" i="2"/>
  <c r="R964" i="2"/>
  <c r="R976" i="2"/>
  <c r="R986" i="2"/>
  <c r="R996" i="2"/>
  <c r="R1008" i="2"/>
  <c r="R1018" i="2"/>
  <c r="R1028" i="2"/>
  <c r="R1040" i="2"/>
  <c r="R1050" i="2"/>
  <c r="R1060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27" i="2"/>
  <c r="R80" i="2"/>
  <c r="R139" i="2"/>
  <c r="R200" i="2"/>
  <c r="R249" i="2"/>
  <c r="R312" i="2"/>
  <c r="R369" i="2"/>
  <c r="R419" i="2"/>
  <c r="R481" i="2"/>
  <c r="R537" i="2"/>
  <c r="R571" i="2"/>
  <c r="R609" i="2"/>
  <c r="R643" i="2"/>
  <c r="R674" i="2"/>
  <c r="R700" i="2"/>
  <c r="R722" i="2"/>
  <c r="R741" i="2"/>
  <c r="R764" i="2"/>
  <c r="R780" i="2"/>
  <c r="R796" i="2"/>
  <c r="R812" i="2"/>
  <c r="R828" i="2"/>
  <c r="R844" i="2"/>
  <c r="R860" i="2"/>
  <c r="R876" i="2"/>
  <c r="R892" i="2"/>
  <c r="R907" i="2"/>
  <c r="R921" i="2"/>
  <c r="R932" i="2"/>
  <c r="R945" i="2"/>
  <c r="R955" i="2"/>
  <c r="R965" i="2"/>
  <c r="R977" i="2"/>
  <c r="R987" i="2"/>
  <c r="R997" i="2"/>
  <c r="R1009" i="2"/>
  <c r="R1019" i="2"/>
  <c r="R1029" i="2"/>
  <c r="R1041" i="2"/>
  <c r="R1051" i="2"/>
  <c r="R1061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225" i="2"/>
  <c r="R690" i="2"/>
  <c r="R820" i="2"/>
  <c r="R914" i="2"/>
  <c r="R981" i="2"/>
  <c r="R1025" i="2"/>
  <c r="R1067" i="2"/>
  <c r="R1109" i="2"/>
  <c r="R1133" i="2"/>
  <c r="R1149" i="2"/>
  <c r="R1173" i="2"/>
  <c r="R1205" i="2"/>
  <c r="R1237" i="2"/>
  <c r="R33" i="2"/>
  <c r="R91" i="2"/>
  <c r="R144" i="2"/>
  <c r="R203" i="2"/>
  <c r="R264" i="2"/>
  <c r="R313" i="2"/>
  <c r="R376" i="2"/>
  <c r="R433" i="2"/>
  <c r="R483" i="2"/>
  <c r="R540" i="2"/>
  <c r="R579" i="2"/>
  <c r="R610" i="2"/>
  <c r="R648" i="2"/>
  <c r="R682" i="2"/>
  <c r="R701" i="2"/>
  <c r="R724" i="2"/>
  <c r="R746" i="2"/>
  <c r="R765" i="2"/>
  <c r="R781" i="2"/>
  <c r="R797" i="2"/>
  <c r="R813" i="2"/>
  <c r="R829" i="2"/>
  <c r="R845" i="2"/>
  <c r="R861" i="2"/>
  <c r="R877" i="2"/>
  <c r="R893" i="2"/>
  <c r="R908" i="2"/>
  <c r="R922" i="2"/>
  <c r="R933" i="2"/>
  <c r="R946" i="2"/>
  <c r="R956" i="2"/>
  <c r="R968" i="2"/>
  <c r="R978" i="2"/>
  <c r="R988" i="2"/>
  <c r="R1000" i="2"/>
  <c r="R1010" i="2"/>
  <c r="R1020" i="2"/>
  <c r="R1032" i="2"/>
  <c r="R1042" i="2"/>
  <c r="R1052" i="2"/>
  <c r="R1064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63" i="2"/>
  <c r="R283" i="2"/>
  <c r="R336" i="2"/>
  <c r="R505" i="2"/>
  <c r="R624" i="2"/>
  <c r="R732" i="2"/>
  <c r="R788" i="2"/>
  <c r="R836" i="2"/>
  <c r="R884" i="2"/>
  <c r="R939" i="2"/>
  <c r="R971" i="2"/>
  <c r="R1013" i="2"/>
  <c r="R1057" i="2"/>
  <c r="R1101" i="2"/>
  <c r="R1141" i="2"/>
  <c r="R1181" i="2"/>
  <c r="R1213" i="2"/>
  <c r="R1245" i="2"/>
  <c r="R35" i="2"/>
  <c r="R97" i="2"/>
  <c r="R155" i="2"/>
  <c r="R208" i="2"/>
  <c r="R267" i="2"/>
  <c r="R328" i="2"/>
  <c r="R377" i="2"/>
  <c r="R440" i="2"/>
  <c r="R497" i="2"/>
  <c r="R544" i="2"/>
  <c r="R584" i="2"/>
  <c r="R618" i="2"/>
  <c r="R649" i="2"/>
  <c r="R684" i="2"/>
  <c r="R706" i="2"/>
  <c r="R725" i="2"/>
  <c r="R748" i="2"/>
  <c r="R770" i="2"/>
  <c r="R786" i="2"/>
  <c r="R802" i="2"/>
  <c r="R818" i="2"/>
  <c r="R834" i="2"/>
  <c r="R850" i="2"/>
  <c r="R866" i="2"/>
  <c r="R882" i="2"/>
  <c r="R898" i="2"/>
  <c r="R909" i="2"/>
  <c r="R923" i="2"/>
  <c r="R937" i="2"/>
  <c r="R947" i="2"/>
  <c r="R957" i="2"/>
  <c r="R969" i="2"/>
  <c r="R979" i="2"/>
  <c r="R989" i="2"/>
  <c r="R1001" i="2"/>
  <c r="R1011" i="2"/>
  <c r="R1021" i="2"/>
  <c r="R1033" i="2"/>
  <c r="R1043" i="2"/>
  <c r="R1053" i="2"/>
  <c r="R1065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13" i="2"/>
  <c r="R395" i="2"/>
  <c r="R556" i="2"/>
  <c r="R659" i="2"/>
  <c r="R754" i="2"/>
  <c r="R852" i="2"/>
  <c r="R900" i="2"/>
  <c r="R949" i="2"/>
  <c r="R993" i="2"/>
  <c r="R1045" i="2"/>
  <c r="R1085" i="2"/>
  <c r="R1093" i="2"/>
  <c r="R1125" i="2"/>
  <c r="R1157" i="2"/>
  <c r="R1189" i="2"/>
  <c r="R1221" i="2"/>
  <c r="R1253" i="2"/>
  <c r="R49" i="2"/>
  <c r="R99" i="2"/>
  <c r="R161" i="2"/>
  <c r="R219" i="2"/>
  <c r="R272" i="2"/>
  <c r="R331" i="2"/>
  <c r="R392" i="2"/>
  <c r="R441" i="2"/>
  <c r="R504" i="2"/>
  <c r="R553" i="2"/>
  <c r="R585" i="2"/>
  <c r="R620" i="2"/>
  <c r="R657" i="2"/>
  <c r="R685" i="2"/>
  <c r="R708" i="2"/>
  <c r="R730" i="2"/>
  <c r="R749" i="2"/>
  <c r="R771" i="2"/>
  <c r="R787" i="2"/>
  <c r="R803" i="2"/>
  <c r="R819" i="2"/>
  <c r="R835" i="2"/>
  <c r="R851" i="2"/>
  <c r="R867" i="2"/>
  <c r="R883" i="2"/>
  <c r="R899" i="2"/>
  <c r="R913" i="2"/>
  <c r="R924" i="2"/>
  <c r="R938" i="2"/>
  <c r="R948" i="2"/>
  <c r="R960" i="2"/>
  <c r="R970" i="2"/>
  <c r="R980" i="2"/>
  <c r="R992" i="2"/>
  <c r="R1002" i="2"/>
  <c r="R1012" i="2"/>
  <c r="R1024" i="2"/>
  <c r="R1034" i="2"/>
  <c r="R1044" i="2"/>
  <c r="R1056" i="2"/>
  <c r="R1066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56" i="2"/>
  <c r="R456" i="2"/>
  <c r="R593" i="2"/>
  <c r="R709" i="2"/>
  <c r="R772" i="2"/>
  <c r="R804" i="2"/>
  <c r="R868" i="2"/>
  <c r="R925" i="2"/>
  <c r="R961" i="2"/>
  <c r="R1003" i="2"/>
  <c r="R1035" i="2"/>
  <c r="R1077" i="2"/>
  <c r="R1117" i="2"/>
  <c r="R1165" i="2"/>
  <c r="R1197" i="2"/>
  <c r="R1229" i="2"/>
  <c r="R57" i="2"/>
  <c r="R120" i="2"/>
  <c r="R177" i="2"/>
  <c r="R227" i="2"/>
  <c r="R289" i="2"/>
  <c r="R347" i="2"/>
  <c r="R400" i="2"/>
  <c r="R459" i="2"/>
  <c r="R520" i="2"/>
  <c r="R560" i="2"/>
  <c r="R595" i="2"/>
  <c r="R632" i="2"/>
  <c r="R660" i="2"/>
  <c r="R692" i="2"/>
  <c r="R714" i="2"/>
  <c r="R733" i="2"/>
  <c r="R756" i="2"/>
  <c r="R773" i="2"/>
  <c r="R789" i="2"/>
  <c r="R805" i="2"/>
  <c r="R821" i="2"/>
  <c r="R837" i="2"/>
  <c r="R853" i="2"/>
  <c r="R869" i="2"/>
  <c r="R885" i="2"/>
  <c r="R901" i="2"/>
  <c r="R915" i="2"/>
  <c r="R929" i="2"/>
  <c r="R940" i="2"/>
  <c r="R952" i="2"/>
  <c r="R962" i="2"/>
  <c r="R972" i="2"/>
  <c r="R984" i="2"/>
  <c r="R994" i="2"/>
  <c r="R1004" i="2"/>
  <c r="R1016" i="2"/>
  <c r="R1026" i="2"/>
  <c r="R1036" i="2"/>
  <c r="R1048" i="2"/>
  <c r="R1058" i="2"/>
  <c r="R1068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826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10" i="2"/>
  <c r="Q42" i="2"/>
  <c r="Q74" i="2"/>
  <c r="Q106" i="2"/>
  <c r="Q138" i="2"/>
  <c r="Q170" i="2"/>
  <c r="Q202" i="2"/>
  <c r="Q234" i="2"/>
  <c r="Q266" i="2"/>
  <c r="Q298" i="2"/>
  <c r="Q330" i="2"/>
  <c r="Q362" i="2"/>
  <c r="Q394" i="2"/>
  <c r="Q426" i="2"/>
  <c r="Q458" i="2"/>
  <c r="Q490" i="2"/>
  <c r="Q522" i="2"/>
  <c r="Q546" i="2"/>
  <c r="Q564" i="2"/>
  <c r="Q587" i="2"/>
  <c r="Q604" i="2"/>
  <c r="Q620" i="2"/>
  <c r="Q636" i="2"/>
  <c r="Q652" i="2"/>
  <c r="Q668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" i="2"/>
  <c r="Q43" i="2"/>
  <c r="Q75" i="2"/>
  <c r="Q107" i="2"/>
  <c r="Q139" i="2"/>
  <c r="Q171" i="2"/>
  <c r="Q203" i="2"/>
  <c r="Q235" i="2"/>
  <c r="Q267" i="2"/>
  <c r="Q299" i="2"/>
  <c r="Q331" i="2"/>
  <c r="Q363" i="2"/>
  <c r="Q395" i="2"/>
  <c r="Q427" i="2"/>
  <c r="Q459" i="2"/>
  <c r="Q491" i="2"/>
  <c r="Q523" i="2"/>
  <c r="Q547" i="2"/>
  <c r="Q570" i="2"/>
  <c r="Q588" i="2"/>
  <c r="Q605" i="2"/>
  <c r="Q621" i="2"/>
  <c r="Q637" i="2"/>
  <c r="Q653" i="2"/>
  <c r="Q669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8" i="2"/>
  <c r="Q50" i="2"/>
  <c r="Q82" i="2"/>
  <c r="Q114" i="2"/>
  <c r="Q146" i="2"/>
  <c r="Q178" i="2"/>
  <c r="Q210" i="2"/>
  <c r="Q242" i="2"/>
  <c r="Q274" i="2"/>
  <c r="Q306" i="2"/>
  <c r="Q338" i="2"/>
  <c r="Q370" i="2"/>
  <c r="Q402" i="2"/>
  <c r="Q434" i="2"/>
  <c r="Q466" i="2"/>
  <c r="Q498" i="2"/>
  <c r="Q530" i="2"/>
  <c r="Q548" i="2"/>
  <c r="Q571" i="2"/>
  <c r="Q594" i="2"/>
  <c r="Q610" i="2"/>
  <c r="Q626" i="2"/>
  <c r="Q642" i="2"/>
  <c r="Q658" i="2"/>
  <c r="Q674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1149" i="2"/>
  <c r="Q1157" i="2"/>
  <c r="Q1165" i="2"/>
  <c r="Q1173" i="2"/>
  <c r="Q1181" i="2"/>
  <c r="Q1189" i="2"/>
  <c r="Q1197" i="2"/>
  <c r="Q19" i="2"/>
  <c r="Q51" i="2"/>
  <c r="Q83" i="2"/>
  <c r="Q115" i="2"/>
  <c r="Q147" i="2"/>
  <c r="Q179" i="2"/>
  <c r="Q211" i="2"/>
  <c r="Q243" i="2"/>
  <c r="Q275" i="2"/>
  <c r="Q307" i="2"/>
  <c r="Q339" i="2"/>
  <c r="Q371" i="2"/>
  <c r="Q403" i="2"/>
  <c r="Q435" i="2"/>
  <c r="Q467" i="2"/>
  <c r="Q499" i="2"/>
  <c r="Q531" i="2"/>
  <c r="Q554" i="2"/>
  <c r="Q572" i="2"/>
  <c r="Q595" i="2"/>
  <c r="Q611" i="2"/>
  <c r="Q627" i="2"/>
  <c r="Q643" i="2"/>
  <c r="Q659" i="2"/>
  <c r="Q675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26" i="2"/>
  <c r="Q58" i="2"/>
  <c r="Q90" i="2"/>
  <c r="Q122" i="2"/>
  <c r="Q154" i="2"/>
  <c r="Q186" i="2"/>
  <c r="Q218" i="2"/>
  <c r="Q250" i="2"/>
  <c r="Q282" i="2"/>
  <c r="Q314" i="2"/>
  <c r="Q346" i="2"/>
  <c r="Q378" i="2"/>
  <c r="Q410" i="2"/>
  <c r="Q442" i="2"/>
  <c r="Q474" i="2"/>
  <c r="Q506" i="2"/>
  <c r="Q532" i="2"/>
  <c r="Q555" i="2"/>
  <c r="Q578" i="2"/>
  <c r="Q596" i="2"/>
  <c r="Q612" i="2"/>
  <c r="Q628" i="2"/>
  <c r="Q644" i="2"/>
  <c r="Q660" i="2"/>
  <c r="Q676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35" i="2"/>
  <c r="Q67" i="2"/>
  <c r="Q99" i="2"/>
  <c r="Q131" i="2"/>
  <c r="Q163" i="2"/>
  <c r="Q195" i="2"/>
  <c r="Q227" i="2"/>
  <c r="Q259" i="2"/>
  <c r="Q291" i="2"/>
  <c r="Q323" i="2"/>
  <c r="Q355" i="2"/>
  <c r="Q387" i="2"/>
  <c r="Q419" i="2"/>
  <c r="Q451" i="2"/>
  <c r="Q483" i="2"/>
  <c r="Q515" i="2"/>
  <c r="Q540" i="2"/>
  <c r="Q563" i="2"/>
  <c r="Q586" i="2"/>
  <c r="Q603" i="2"/>
  <c r="Q619" i="2"/>
  <c r="Q635" i="2"/>
  <c r="Q651" i="2"/>
  <c r="Q667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27" i="2"/>
  <c r="Q155" i="2"/>
  <c r="Q283" i="2"/>
  <c r="Q411" i="2"/>
  <c r="Q538" i="2"/>
  <c r="Q613" i="2"/>
  <c r="Q677" i="2"/>
  <c r="Q712" i="2"/>
  <c r="Q744" i="2"/>
  <c r="Q776" i="2"/>
  <c r="Q808" i="2"/>
  <c r="Q833" i="2"/>
  <c r="Q856" i="2"/>
  <c r="Q874" i="2"/>
  <c r="Q897" i="2"/>
  <c r="Q920" i="2"/>
  <c r="Q938" i="2"/>
  <c r="Q961" i="2"/>
  <c r="Q983" i="2"/>
  <c r="Q999" i="2"/>
  <c r="Q1015" i="2"/>
  <c r="Q1031" i="2"/>
  <c r="Q1047" i="2"/>
  <c r="Q1063" i="2"/>
  <c r="Q1079" i="2"/>
  <c r="Q1090" i="2"/>
  <c r="Q1104" i="2"/>
  <c r="Q1118" i="2"/>
  <c r="Q1129" i="2"/>
  <c r="Q1143" i="2"/>
  <c r="Q1154" i="2"/>
  <c r="Q1167" i="2"/>
  <c r="Q1176" i="2"/>
  <c r="Q1185" i="2"/>
  <c r="Q1194" i="2"/>
  <c r="Q1203" i="2"/>
  <c r="Q1211" i="2"/>
  <c r="Q1219" i="2"/>
  <c r="Q1227" i="2"/>
  <c r="Q1235" i="2"/>
  <c r="Q1243" i="2"/>
  <c r="Q1251" i="2"/>
  <c r="Q98" i="2"/>
  <c r="Q889" i="2"/>
  <c r="Q1008" i="2"/>
  <c r="Q1098" i="2"/>
  <c r="Q1182" i="2"/>
  <c r="Q1232" i="2"/>
  <c r="Q379" i="2"/>
  <c r="Q661" i="2"/>
  <c r="Q736" i="2"/>
  <c r="Q800" i="2"/>
  <c r="Q849" i="2"/>
  <c r="Q890" i="2"/>
  <c r="Q936" i="2"/>
  <c r="Q977" i="2"/>
  <c r="Q1009" i="2"/>
  <c r="Q1041" i="2"/>
  <c r="Q1088" i="2"/>
  <c r="Q1127" i="2"/>
  <c r="Q1163" i="2"/>
  <c r="Q1183" i="2"/>
  <c r="Q1209" i="2"/>
  <c r="Q1225" i="2"/>
  <c r="Q1257" i="2"/>
  <c r="Q34" i="2"/>
  <c r="Q162" i="2"/>
  <c r="Q290" i="2"/>
  <c r="Q418" i="2"/>
  <c r="Q539" i="2"/>
  <c r="Q618" i="2"/>
  <c r="Q681" i="2"/>
  <c r="Q713" i="2"/>
  <c r="Q745" i="2"/>
  <c r="Q777" i="2"/>
  <c r="Q809" i="2"/>
  <c r="Q834" i="2"/>
  <c r="Q857" i="2"/>
  <c r="Q880" i="2"/>
  <c r="Q898" i="2"/>
  <c r="Q921" i="2"/>
  <c r="Q944" i="2"/>
  <c r="Q962" i="2"/>
  <c r="Q984" i="2"/>
  <c r="Q1000" i="2"/>
  <c r="Q1016" i="2"/>
  <c r="Q1032" i="2"/>
  <c r="Q1048" i="2"/>
  <c r="Q1064" i="2"/>
  <c r="Q1080" i="2"/>
  <c r="Q1094" i="2"/>
  <c r="Q1105" i="2"/>
  <c r="Q1119" i="2"/>
  <c r="Q1130" i="2"/>
  <c r="Q1144" i="2"/>
  <c r="Q1158" i="2"/>
  <c r="Q1168" i="2"/>
  <c r="Q1177" i="2"/>
  <c r="Q1186" i="2"/>
  <c r="Q1195" i="2"/>
  <c r="Q1204" i="2"/>
  <c r="Q1212" i="2"/>
  <c r="Q1220" i="2"/>
  <c r="Q1228" i="2"/>
  <c r="Q1236" i="2"/>
  <c r="Q1244" i="2"/>
  <c r="Q1252" i="2"/>
  <c r="Q354" i="2"/>
  <c r="Q825" i="2"/>
  <c r="Q992" i="2"/>
  <c r="Q1087" i="2"/>
  <c r="Q1172" i="2"/>
  <c r="Q1208" i="2"/>
  <c r="Q1240" i="2"/>
  <c r="Q123" i="2"/>
  <c r="Q704" i="2"/>
  <c r="Q768" i="2"/>
  <c r="Q826" i="2"/>
  <c r="Q872" i="2"/>
  <c r="Q913" i="2"/>
  <c r="Q954" i="2"/>
  <c r="Q993" i="2"/>
  <c r="Q1025" i="2"/>
  <c r="Q1057" i="2"/>
  <c r="Q1102" i="2"/>
  <c r="Q1113" i="2"/>
  <c r="Q1152" i="2"/>
  <c r="Q1174" i="2"/>
  <c r="Q1201" i="2"/>
  <c r="Q1217" i="2"/>
  <c r="Q1241" i="2"/>
  <c r="Q59" i="2"/>
  <c r="Q187" i="2"/>
  <c r="Q315" i="2"/>
  <c r="Q443" i="2"/>
  <c r="Q556" i="2"/>
  <c r="Q629" i="2"/>
  <c r="Q688" i="2"/>
  <c r="Q720" i="2"/>
  <c r="Q752" i="2"/>
  <c r="Q784" i="2"/>
  <c r="Q816" i="2"/>
  <c r="Q840" i="2"/>
  <c r="Q858" i="2"/>
  <c r="Q881" i="2"/>
  <c r="Q904" i="2"/>
  <c r="Q922" i="2"/>
  <c r="Q945" i="2"/>
  <c r="Q968" i="2"/>
  <c r="Q985" i="2"/>
  <c r="Q1001" i="2"/>
  <c r="Q1017" i="2"/>
  <c r="Q1033" i="2"/>
  <c r="Q1049" i="2"/>
  <c r="Q1065" i="2"/>
  <c r="Q1081" i="2"/>
  <c r="Q1095" i="2"/>
  <c r="Q1106" i="2"/>
  <c r="Q1120" i="2"/>
  <c r="Q1134" i="2"/>
  <c r="Q1145" i="2"/>
  <c r="Q1159" i="2"/>
  <c r="Q1169" i="2"/>
  <c r="Q1178" i="2"/>
  <c r="Q1187" i="2"/>
  <c r="Q1196" i="2"/>
  <c r="Q1205" i="2"/>
  <c r="Q1213" i="2"/>
  <c r="Q1221" i="2"/>
  <c r="Q1229" i="2"/>
  <c r="Q1237" i="2"/>
  <c r="Q1245" i="2"/>
  <c r="Q1253" i="2"/>
  <c r="Q482" i="2"/>
  <c r="Q697" i="2"/>
  <c r="Q793" i="2"/>
  <c r="Q848" i="2"/>
  <c r="Q912" i="2"/>
  <c r="Q953" i="2"/>
  <c r="Q1024" i="2"/>
  <c r="Q1056" i="2"/>
  <c r="Q1112" i="2"/>
  <c r="Q1151" i="2"/>
  <c r="Q1191" i="2"/>
  <c r="Q1224" i="2"/>
  <c r="Q1256" i="2"/>
  <c r="Q66" i="2"/>
  <c r="Q194" i="2"/>
  <c r="Q322" i="2"/>
  <c r="Q450" i="2"/>
  <c r="Q562" i="2"/>
  <c r="Q634" i="2"/>
  <c r="Q689" i="2"/>
  <c r="Q721" i="2"/>
  <c r="Q753" i="2"/>
  <c r="Q785" i="2"/>
  <c r="Q817" i="2"/>
  <c r="Q841" i="2"/>
  <c r="Q864" i="2"/>
  <c r="Q882" i="2"/>
  <c r="Q905" i="2"/>
  <c r="Q928" i="2"/>
  <c r="Q946" i="2"/>
  <c r="Q969" i="2"/>
  <c r="Q986" i="2"/>
  <c r="Q1002" i="2"/>
  <c r="Q1018" i="2"/>
  <c r="Q1034" i="2"/>
  <c r="Q1050" i="2"/>
  <c r="Q1066" i="2"/>
  <c r="Q1082" i="2"/>
  <c r="Q1096" i="2"/>
  <c r="Q1110" i="2"/>
  <c r="Q1121" i="2"/>
  <c r="Q1135" i="2"/>
  <c r="Q1146" i="2"/>
  <c r="Q1160" i="2"/>
  <c r="Q1170" i="2"/>
  <c r="Q1179" i="2"/>
  <c r="Q1188" i="2"/>
  <c r="Q1198" i="2"/>
  <c r="Q1206" i="2"/>
  <c r="Q1214" i="2"/>
  <c r="Q1222" i="2"/>
  <c r="Q1230" i="2"/>
  <c r="Q1238" i="2"/>
  <c r="Q1246" i="2"/>
  <c r="Q1254" i="2"/>
  <c r="Q226" i="2"/>
  <c r="Q1137" i="2"/>
  <c r="Q507" i="2"/>
  <c r="Q1138" i="2"/>
  <c r="Q1233" i="2"/>
  <c r="Q91" i="2"/>
  <c r="Q219" i="2"/>
  <c r="Q347" i="2"/>
  <c r="Q475" i="2"/>
  <c r="Q579" i="2"/>
  <c r="Q645" i="2"/>
  <c r="Q696" i="2"/>
  <c r="Q728" i="2"/>
  <c r="Q760" i="2"/>
  <c r="Q792" i="2"/>
  <c r="Q824" i="2"/>
  <c r="Q842" i="2"/>
  <c r="Q865" i="2"/>
  <c r="Q888" i="2"/>
  <c r="Q906" i="2"/>
  <c r="Q929" i="2"/>
  <c r="Q952" i="2"/>
  <c r="Q970" i="2"/>
  <c r="Q991" i="2"/>
  <c r="Q1007" i="2"/>
  <c r="Q1023" i="2"/>
  <c r="Q1039" i="2"/>
  <c r="Q1055" i="2"/>
  <c r="Q1071" i="2"/>
  <c r="Q1086" i="2"/>
  <c r="Q1097" i="2"/>
  <c r="Q1111" i="2"/>
  <c r="Q1122" i="2"/>
  <c r="Q1136" i="2"/>
  <c r="Q1150" i="2"/>
  <c r="Q1161" i="2"/>
  <c r="Q1171" i="2"/>
  <c r="Q1180" i="2"/>
  <c r="Q1190" i="2"/>
  <c r="Q1199" i="2"/>
  <c r="Q1207" i="2"/>
  <c r="Q1215" i="2"/>
  <c r="Q1223" i="2"/>
  <c r="Q1231" i="2"/>
  <c r="Q1239" i="2"/>
  <c r="Q1247" i="2"/>
  <c r="Q1255" i="2"/>
  <c r="Q650" i="2"/>
  <c r="Q597" i="2"/>
  <c r="Q130" i="2"/>
  <c r="Q258" i="2"/>
  <c r="Q386" i="2"/>
  <c r="Q514" i="2"/>
  <c r="Q602" i="2"/>
  <c r="Q666" i="2"/>
  <c r="Q705" i="2"/>
  <c r="Q737" i="2"/>
  <c r="Q769" i="2"/>
  <c r="Q801" i="2"/>
  <c r="Q832" i="2"/>
  <c r="Q850" i="2"/>
  <c r="Q873" i="2"/>
  <c r="Q896" i="2"/>
  <c r="Q914" i="2"/>
  <c r="Q937" i="2"/>
  <c r="Q960" i="2"/>
  <c r="Q978" i="2"/>
  <c r="Q994" i="2"/>
  <c r="Q1010" i="2"/>
  <c r="Q1026" i="2"/>
  <c r="Q1042" i="2"/>
  <c r="Q1058" i="2"/>
  <c r="Q1074" i="2"/>
  <c r="Q1089" i="2"/>
  <c r="Q1103" i="2"/>
  <c r="Q1114" i="2"/>
  <c r="Q1128" i="2"/>
  <c r="Q1142" i="2"/>
  <c r="Q1153" i="2"/>
  <c r="Q1166" i="2"/>
  <c r="Q1175" i="2"/>
  <c r="Q1184" i="2"/>
  <c r="Q1193" i="2"/>
  <c r="Q1202" i="2"/>
  <c r="Q1210" i="2"/>
  <c r="Q1218" i="2"/>
  <c r="Q1226" i="2"/>
  <c r="Q1234" i="2"/>
  <c r="Q1242" i="2"/>
  <c r="Q1250" i="2"/>
  <c r="Q1258" i="2"/>
  <c r="V51" i="1" s="1"/>
  <c r="AC7" i="2" s="1"/>
  <c r="Q580" i="2"/>
  <c r="Q729" i="2"/>
  <c r="Q761" i="2"/>
  <c r="Q866" i="2"/>
  <c r="Q930" i="2"/>
  <c r="Q976" i="2"/>
  <c r="Q1040" i="2"/>
  <c r="Q1072" i="2"/>
  <c r="Q1126" i="2"/>
  <c r="Q1162" i="2"/>
  <c r="Q1200" i="2"/>
  <c r="Q1216" i="2"/>
  <c r="Q1248" i="2"/>
  <c r="Q251" i="2"/>
  <c r="Q1073" i="2"/>
  <c r="Q1192" i="2"/>
  <c r="Q1249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245" i="2"/>
  <c r="P286" i="2"/>
  <c r="P318" i="2"/>
  <c r="P350" i="2"/>
  <c r="P382" i="2"/>
  <c r="P414" i="2"/>
  <c r="P446" i="2"/>
  <c r="P478" i="2"/>
  <c r="P510" i="2"/>
  <c r="P542" i="2"/>
  <c r="P572" i="2"/>
  <c r="P590" i="2"/>
  <c r="P613" i="2"/>
  <c r="P635" i="2"/>
  <c r="P651" i="2"/>
  <c r="P667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253" i="2"/>
  <c r="P293" i="2"/>
  <c r="P325" i="2"/>
  <c r="P357" i="2"/>
  <c r="P389" i="2"/>
  <c r="P421" i="2"/>
  <c r="P453" i="2"/>
  <c r="P485" i="2"/>
  <c r="P517" i="2"/>
  <c r="P549" i="2"/>
  <c r="P573" i="2"/>
  <c r="P596" i="2"/>
  <c r="P614" i="2"/>
  <c r="P636" i="2"/>
  <c r="P652" i="2"/>
  <c r="P668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261" i="2"/>
  <c r="P294" i="2"/>
  <c r="P326" i="2"/>
  <c r="P358" i="2"/>
  <c r="P390" i="2"/>
  <c r="P422" i="2"/>
  <c r="P454" i="2"/>
  <c r="P486" i="2"/>
  <c r="P518" i="2"/>
  <c r="P550" i="2"/>
  <c r="P574" i="2"/>
  <c r="P597" i="2"/>
  <c r="P620" i="2"/>
  <c r="P637" i="2"/>
  <c r="P653" i="2"/>
  <c r="P66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269" i="2"/>
  <c r="P301" i="2"/>
  <c r="P333" i="2"/>
  <c r="P365" i="2"/>
  <c r="P397" i="2"/>
  <c r="P429" i="2"/>
  <c r="P461" i="2"/>
  <c r="P493" i="2"/>
  <c r="P525" i="2"/>
  <c r="P557" i="2"/>
  <c r="P580" i="2"/>
  <c r="P598" i="2"/>
  <c r="P621" i="2"/>
  <c r="P638" i="2"/>
  <c r="P654" i="2"/>
  <c r="P670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270" i="2"/>
  <c r="P302" i="2"/>
  <c r="P334" i="2"/>
  <c r="P366" i="2"/>
  <c r="P398" i="2"/>
  <c r="P430" i="2"/>
  <c r="P462" i="2"/>
  <c r="P494" i="2"/>
  <c r="P526" i="2"/>
  <c r="P558" i="2"/>
  <c r="P581" i="2"/>
  <c r="P604" i="2"/>
  <c r="P622" i="2"/>
  <c r="P643" i="2"/>
  <c r="P659" i="2"/>
  <c r="P675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277" i="2"/>
  <c r="P309" i="2"/>
  <c r="P341" i="2"/>
  <c r="P373" i="2"/>
  <c r="P405" i="2"/>
  <c r="P437" i="2"/>
  <c r="P469" i="2"/>
  <c r="P501" i="2"/>
  <c r="P533" i="2"/>
  <c r="P564" i="2"/>
  <c r="P582" i="2"/>
  <c r="P605" i="2"/>
  <c r="P628" i="2"/>
  <c r="P644" i="2"/>
  <c r="P660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278" i="2"/>
  <c r="P310" i="2"/>
  <c r="P342" i="2"/>
  <c r="P374" i="2"/>
  <c r="P406" i="2"/>
  <c r="P438" i="2"/>
  <c r="P470" i="2"/>
  <c r="P502" i="2"/>
  <c r="P534" i="2"/>
  <c r="P565" i="2"/>
  <c r="P588" i="2"/>
  <c r="P606" i="2"/>
  <c r="P629" i="2"/>
  <c r="P645" i="2"/>
  <c r="P661" i="2"/>
  <c r="P677" i="2"/>
  <c r="P689" i="2"/>
  <c r="P697" i="2"/>
  <c r="P705" i="2"/>
  <c r="P713" i="2"/>
  <c r="P721" i="2"/>
  <c r="P729" i="2"/>
  <c r="P285" i="2"/>
  <c r="P317" i="2"/>
  <c r="P349" i="2"/>
  <c r="P381" i="2"/>
  <c r="P413" i="2"/>
  <c r="P445" i="2"/>
  <c r="P477" i="2"/>
  <c r="P509" i="2"/>
  <c r="P541" i="2"/>
  <c r="P566" i="2"/>
  <c r="P589" i="2"/>
  <c r="P612" i="2"/>
  <c r="P630" i="2"/>
  <c r="P646" i="2"/>
  <c r="P662" i="2"/>
  <c r="P678" i="2"/>
  <c r="P690" i="2"/>
  <c r="P745" i="2"/>
  <c r="P777" i="2"/>
  <c r="P801" i="2"/>
  <c r="P824" i="2"/>
  <c r="P842" i="2"/>
  <c r="P865" i="2"/>
  <c r="P888" i="2"/>
  <c r="P905" i="2"/>
  <c r="P921" i="2"/>
  <c r="P937" i="2"/>
  <c r="P953" i="2"/>
  <c r="P969" i="2"/>
  <c r="P983" i="2"/>
  <c r="P994" i="2"/>
  <c r="P1008" i="2"/>
  <c r="P1022" i="2"/>
  <c r="P1033" i="2"/>
  <c r="P1046" i="2"/>
  <c r="P1056" i="2"/>
  <c r="P1066" i="2"/>
  <c r="P1078" i="2"/>
  <c r="P1088" i="2"/>
  <c r="P1098" i="2"/>
  <c r="P1110" i="2"/>
  <c r="P1120" i="2"/>
  <c r="P1130" i="2"/>
  <c r="P1142" i="2"/>
  <c r="P1152" i="2"/>
  <c r="P1161" i="2"/>
  <c r="P1170" i="2"/>
  <c r="P1180" i="2"/>
  <c r="P1189" i="2"/>
  <c r="P1198" i="2"/>
  <c r="P1207" i="2"/>
  <c r="P1216" i="2"/>
  <c r="P1225" i="2"/>
  <c r="P1234" i="2"/>
  <c r="P1242" i="2"/>
  <c r="P1250" i="2"/>
  <c r="P1258" i="2"/>
  <c r="V50" i="1" s="1"/>
  <c r="AC6" i="2" s="1"/>
  <c r="P698" i="2"/>
  <c r="P746" i="2"/>
  <c r="P778" i="2"/>
  <c r="P802" i="2"/>
  <c r="P825" i="2"/>
  <c r="P848" i="2"/>
  <c r="P866" i="2"/>
  <c r="P889" i="2"/>
  <c r="P906" i="2"/>
  <c r="P922" i="2"/>
  <c r="P938" i="2"/>
  <c r="P954" i="2"/>
  <c r="P970" i="2"/>
  <c r="P984" i="2"/>
  <c r="P998" i="2"/>
  <c r="P1009" i="2"/>
  <c r="P1023" i="2"/>
  <c r="P1034" i="2"/>
  <c r="P1047" i="2"/>
  <c r="P1057" i="2"/>
  <c r="P1068" i="2"/>
  <c r="P1079" i="2"/>
  <c r="P1089" i="2"/>
  <c r="P1100" i="2"/>
  <c r="P1111" i="2"/>
  <c r="P1121" i="2"/>
  <c r="P1132" i="2"/>
  <c r="P1143" i="2"/>
  <c r="P1153" i="2"/>
  <c r="P1162" i="2"/>
  <c r="P1172" i="2"/>
  <c r="P1181" i="2"/>
  <c r="P1190" i="2"/>
  <c r="P1199" i="2"/>
  <c r="P1208" i="2"/>
  <c r="P1217" i="2"/>
  <c r="P1226" i="2"/>
  <c r="P1235" i="2"/>
  <c r="P1243" i="2"/>
  <c r="P1251" i="2"/>
  <c r="P706" i="2"/>
  <c r="P753" i="2"/>
  <c r="P785" i="2"/>
  <c r="P808" i="2"/>
  <c r="P826" i="2"/>
  <c r="P849" i="2"/>
  <c r="P872" i="2"/>
  <c r="P890" i="2"/>
  <c r="P911" i="2"/>
  <c r="P927" i="2"/>
  <c r="P943" i="2"/>
  <c r="P959" i="2"/>
  <c r="P974" i="2"/>
  <c r="P985" i="2"/>
  <c r="P999" i="2"/>
  <c r="P1010" i="2"/>
  <c r="P1024" i="2"/>
  <c r="P1038" i="2"/>
  <c r="P1048" i="2"/>
  <c r="P1058" i="2"/>
  <c r="P1070" i="2"/>
  <c r="P1080" i="2"/>
  <c r="P1090" i="2"/>
  <c r="P1102" i="2"/>
  <c r="P1112" i="2"/>
  <c r="P1122" i="2"/>
  <c r="P1134" i="2"/>
  <c r="P1144" i="2"/>
  <c r="P1154" i="2"/>
  <c r="P1164" i="2"/>
  <c r="P1173" i="2"/>
  <c r="P1182" i="2"/>
  <c r="P1191" i="2"/>
  <c r="P1200" i="2"/>
  <c r="P1209" i="2"/>
  <c r="P1218" i="2"/>
  <c r="P1228" i="2"/>
  <c r="P1236" i="2"/>
  <c r="P1244" i="2"/>
  <c r="P1252" i="2"/>
  <c r="P714" i="2"/>
  <c r="P754" i="2"/>
  <c r="P786" i="2"/>
  <c r="P809" i="2"/>
  <c r="P832" i="2"/>
  <c r="P850" i="2"/>
  <c r="P873" i="2"/>
  <c r="P896" i="2"/>
  <c r="P912" i="2"/>
  <c r="P928" i="2"/>
  <c r="P944" i="2"/>
  <c r="P960" i="2"/>
  <c r="P975" i="2"/>
  <c r="P986" i="2"/>
  <c r="P1000" i="2"/>
  <c r="P1014" i="2"/>
  <c r="P1025" i="2"/>
  <c r="P1039" i="2"/>
  <c r="P1049" i="2"/>
  <c r="P1060" i="2"/>
  <c r="P1071" i="2"/>
  <c r="P1081" i="2"/>
  <c r="P1092" i="2"/>
  <c r="P1103" i="2"/>
  <c r="P1113" i="2"/>
  <c r="P1124" i="2"/>
  <c r="P1135" i="2"/>
  <c r="P1145" i="2"/>
  <c r="P1156" i="2"/>
  <c r="P1165" i="2"/>
  <c r="P1174" i="2"/>
  <c r="P1183" i="2"/>
  <c r="P1192" i="2"/>
  <c r="P1201" i="2"/>
  <c r="P1210" i="2"/>
  <c r="P1220" i="2"/>
  <c r="P1229" i="2"/>
  <c r="P1237" i="2"/>
  <c r="P1245" i="2"/>
  <c r="P1253" i="2"/>
  <c r="P722" i="2"/>
  <c r="P761" i="2"/>
  <c r="P792" i="2"/>
  <c r="P810" i="2"/>
  <c r="P833" i="2"/>
  <c r="P856" i="2"/>
  <c r="P874" i="2"/>
  <c r="P897" i="2"/>
  <c r="P913" i="2"/>
  <c r="P929" i="2"/>
  <c r="P945" i="2"/>
  <c r="P961" i="2"/>
  <c r="P976" i="2"/>
  <c r="P990" i="2"/>
  <c r="P1001" i="2"/>
  <c r="P1015" i="2"/>
  <c r="P1026" i="2"/>
  <c r="P1040" i="2"/>
  <c r="P1050" i="2"/>
  <c r="P1062" i="2"/>
  <c r="P1072" i="2"/>
  <c r="P1082" i="2"/>
  <c r="P1094" i="2"/>
  <c r="P1104" i="2"/>
  <c r="P1114" i="2"/>
  <c r="P1126" i="2"/>
  <c r="P1136" i="2"/>
  <c r="P1146" i="2"/>
  <c r="P1157" i="2"/>
  <c r="P1166" i="2"/>
  <c r="P1175" i="2"/>
  <c r="P1184" i="2"/>
  <c r="P1193" i="2"/>
  <c r="P1202" i="2"/>
  <c r="P1212" i="2"/>
  <c r="P1221" i="2"/>
  <c r="P1230" i="2"/>
  <c r="P1238" i="2"/>
  <c r="P1246" i="2"/>
  <c r="P1254" i="2"/>
  <c r="P730" i="2"/>
  <c r="P762" i="2"/>
  <c r="P793" i="2"/>
  <c r="P816" i="2"/>
  <c r="P834" i="2"/>
  <c r="P857" i="2"/>
  <c r="P880" i="2"/>
  <c r="P898" i="2"/>
  <c r="P914" i="2"/>
  <c r="P930" i="2"/>
  <c r="P946" i="2"/>
  <c r="P962" i="2"/>
  <c r="P977" i="2"/>
  <c r="P991" i="2"/>
  <c r="P1002" i="2"/>
  <c r="P1016" i="2"/>
  <c r="P1030" i="2"/>
  <c r="P1041" i="2"/>
  <c r="P1052" i="2"/>
  <c r="P1063" i="2"/>
  <c r="P1073" i="2"/>
  <c r="P1084" i="2"/>
  <c r="P1095" i="2"/>
  <c r="P1105" i="2"/>
  <c r="P1116" i="2"/>
  <c r="P1127" i="2"/>
  <c r="P1137" i="2"/>
  <c r="P1148" i="2"/>
  <c r="P1158" i="2"/>
  <c r="P1167" i="2"/>
  <c r="P1176" i="2"/>
  <c r="P1185" i="2"/>
  <c r="P1194" i="2"/>
  <c r="P1204" i="2"/>
  <c r="P1213" i="2"/>
  <c r="P1222" i="2"/>
  <c r="P1231" i="2"/>
  <c r="P1239" i="2"/>
  <c r="P1247" i="2"/>
  <c r="P1255" i="2"/>
  <c r="P737" i="2"/>
  <c r="P769" i="2"/>
  <c r="P794" i="2"/>
  <c r="P817" i="2"/>
  <c r="P840" i="2"/>
  <c r="P858" i="2"/>
  <c r="P881" i="2"/>
  <c r="P903" i="2"/>
  <c r="P919" i="2"/>
  <c r="P935" i="2"/>
  <c r="P951" i="2"/>
  <c r="P967" i="2"/>
  <c r="P978" i="2"/>
  <c r="P992" i="2"/>
  <c r="P1006" i="2"/>
  <c r="P1017" i="2"/>
  <c r="P1031" i="2"/>
  <c r="P1042" i="2"/>
  <c r="P1054" i="2"/>
  <c r="P1064" i="2"/>
  <c r="P1074" i="2"/>
  <c r="P1086" i="2"/>
  <c r="P1096" i="2"/>
  <c r="P1106" i="2"/>
  <c r="P1118" i="2"/>
  <c r="P1128" i="2"/>
  <c r="P1138" i="2"/>
  <c r="P1150" i="2"/>
  <c r="P1159" i="2"/>
  <c r="P1168" i="2"/>
  <c r="P1177" i="2"/>
  <c r="P1186" i="2"/>
  <c r="P1196" i="2"/>
  <c r="P1205" i="2"/>
  <c r="P1214" i="2"/>
  <c r="P1223" i="2"/>
  <c r="P1232" i="2"/>
  <c r="P1240" i="2"/>
  <c r="P1248" i="2"/>
  <c r="P1256" i="2"/>
  <c r="P738" i="2"/>
  <c r="P770" i="2"/>
  <c r="P800" i="2"/>
  <c r="P818" i="2"/>
  <c r="P841" i="2"/>
  <c r="P864" i="2"/>
  <c r="P882" i="2"/>
  <c r="P904" i="2"/>
  <c r="P920" i="2"/>
  <c r="P936" i="2"/>
  <c r="P952" i="2"/>
  <c r="P968" i="2"/>
  <c r="P982" i="2"/>
  <c r="P993" i="2"/>
  <c r="P1007" i="2"/>
  <c r="P1018" i="2"/>
  <c r="P1032" i="2"/>
  <c r="P1044" i="2"/>
  <c r="P1055" i="2"/>
  <c r="P1065" i="2"/>
  <c r="P1076" i="2"/>
  <c r="P1087" i="2"/>
  <c r="P1097" i="2"/>
  <c r="P1108" i="2"/>
  <c r="P1119" i="2"/>
  <c r="P1129" i="2"/>
  <c r="P1140" i="2"/>
  <c r="P1151" i="2"/>
  <c r="P1160" i="2"/>
  <c r="P1169" i="2"/>
  <c r="P1178" i="2"/>
  <c r="P1188" i="2"/>
  <c r="P1197" i="2"/>
  <c r="P1206" i="2"/>
  <c r="P1215" i="2"/>
  <c r="P1224" i="2"/>
  <c r="P1233" i="2"/>
  <c r="P1241" i="2"/>
  <c r="P1249" i="2"/>
  <c r="P1257" i="2"/>
  <c r="O5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9" i="2"/>
  <c r="O29" i="2"/>
  <c r="O52" i="2"/>
  <c r="O73" i="2"/>
  <c r="O93" i="2"/>
  <c r="O116" i="2"/>
  <c r="O137" i="2"/>
  <c r="O157" i="2"/>
  <c r="O173" i="2"/>
  <c r="O189" i="2"/>
  <c r="O205" i="2"/>
  <c r="O221" i="2"/>
  <c r="O237" i="2"/>
  <c r="O253" i="2"/>
  <c r="O269" i="2"/>
  <c r="O285" i="2"/>
  <c r="O301" i="2"/>
  <c r="O317" i="2"/>
  <c r="O333" i="2"/>
  <c r="O349" i="2"/>
  <c r="O365" i="2"/>
  <c r="O381" i="2"/>
  <c r="O397" i="2"/>
  <c r="O413" i="2"/>
  <c r="O429" i="2"/>
  <c r="O445" i="2"/>
  <c r="O461" i="2"/>
  <c r="O477" i="2"/>
  <c r="O493" i="2"/>
  <c r="O509" i="2"/>
  <c r="O525" i="2"/>
  <c r="O541" i="2"/>
  <c r="O557" i="2"/>
  <c r="O573" i="2"/>
  <c r="O589" i="2"/>
  <c r="O605" i="2"/>
  <c r="O621" i="2"/>
  <c r="O635" i="2"/>
  <c r="O646" i="2"/>
  <c r="O660" i="2"/>
  <c r="O673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2" i="2"/>
  <c r="O33" i="2"/>
  <c r="O53" i="2"/>
  <c r="O76" i="2"/>
  <c r="O97" i="2"/>
  <c r="O117" i="2"/>
  <c r="O140" i="2"/>
  <c r="O158" i="2"/>
  <c r="O174" i="2"/>
  <c r="O190" i="2"/>
  <c r="O206" i="2"/>
  <c r="O222" i="2"/>
  <c r="O238" i="2"/>
  <c r="O254" i="2"/>
  <c r="O270" i="2"/>
  <c r="O286" i="2"/>
  <c r="O302" i="2"/>
  <c r="O318" i="2"/>
  <c r="O334" i="2"/>
  <c r="O350" i="2"/>
  <c r="O366" i="2"/>
  <c r="O382" i="2"/>
  <c r="O398" i="2"/>
  <c r="O414" i="2"/>
  <c r="O430" i="2"/>
  <c r="O446" i="2"/>
  <c r="O462" i="2"/>
  <c r="O478" i="2"/>
  <c r="O494" i="2"/>
  <c r="O510" i="2"/>
  <c r="O526" i="2"/>
  <c r="O542" i="2"/>
  <c r="O558" i="2"/>
  <c r="O574" i="2"/>
  <c r="O590" i="2"/>
  <c r="O606" i="2"/>
  <c r="O622" i="2"/>
  <c r="O636" i="2"/>
  <c r="O649" i="2"/>
  <c r="O661" i="2"/>
  <c r="O675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3" i="2"/>
  <c r="O36" i="2"/>
  <c r="O57" i="2"/>
  <c r="O77" i="2"/>
  <c r="O100" i="2"/>
  <c r="O121" i="2"/>
  <c r="O141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37" i="2"/>
  <c r="O651" i="2"/>
  <c r="O662" i="2"/>
  <c r="O676" i="2"/>
  <c r="O687" i="2"/>
  <c r="O695" i="2"/>
  <c r="O703" i="2"/>
  <c r="O711" i="2"/>
  <c r="O719" i="2"/>
  <c r="O727" i="2"/>
  <c r="O735" i="2"/>
  <c r="O743" i="2"/>
  <c r="O751" i="2"/>
  <c r="O17" i="2"/>
  <c r="O37" i="2"/>
  <c r="O60" i="2"/>
  <c r="O81" i="2"/>
  <c r="O101" i="2"/>
  <c r="O124" i="2"/>
  <c r="O145" i="2"/>
  <c r="O164" i="2"/>
  <c r="O180" i="2"/>
  <c r="O196" i="2"/>
  <c r="O212" i="2"/>
  <c r="O228" i="2"/>
  <c r="O244" i="2"/>
  <c r="O260" i="2"/>
  <c r="O276" i="2"/>
  <c r="O292" i="2"/>
  <c r="O308" i="2"/>
  <c r="O324" i="2"/>
  <c r="O340" i="2"/>
  <c r="O356" i="2"/>
  <c r="O372" i="2"/>
  <c r="O388" i="2"/>
  <c r="O404" i="2"/>
  <c r="O420" i="2"/>
  <c r="O436" i="2"/>
  <c r="O452" i="2"/>
  <c r="O468" i="2"/>
  <c r="O484" i="2"/>
  <c r="O500" i="2"/>
  <c r="O516" i="2"/>
  <c r="O532" i="2"/>
  <c r="O548" i="2"/>
  <c r="O564" i="2"/>
  <c r="O580" i="2"/>
  <c r="O596" i="2"/>
  <c r="O612" i="2"/>
  <c r="O627" i="2"/>
  <c r="O638" i="2"/>
  <c r="O652" i="2"/>
  <c r="O665" i="2"/>
  <c r="O677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20" i="2"/>
  <c r="O41" i="2"/>
  <c r="O61" i="2"/>
  <c r="O84" i="2"/>
  <c r="O105" i="2"/>
  <c r="O125" i="2"/>
  <c r="O148" i="2"/>
  <c r="O165" i="2"/>
  <c r="O181" i="2"/>
  <c r="O197" i="2"/>
  <c r="O213" i="2"/>
  <c r="O229" i="2"/>
  <c r="O245" i="2"/>
  <c r="O261" i="2"/>
  <c r="O277" i="2"/>
  <c r="O293" i="2"/>
  <c r="O309" i="2"/>
  <c r="O325" i="2"/>
  <c r="O341" i="2"/>
  <c r="O357" i="2"/>
  <c r="O373" i="2"/>
  <c r="O389" i="2"/>
  <c r="O405" i="2"/>
  <c r="O421" i="2"/>
  <c r="O437" i="2"/>
  <c r="O453" i="2"/>
  <c r="O469" i="2"/>
  <c r="O485" i="2"/>
  <c r="O501" i="2"/>
  <c r="O517" i="2"/>
  <c r="O533" i="2"/>
  <c r="O549" i="2"/>
  <c r="O565" i="2"/>
  <c r="O581" i="2"/>
  <c r="O597" i="2"/>
  <c r="O613" i="2"/>
  <c r="O628" i="2"/>
  <c r="O641" i="2"/>
  <c r="O653" i="2"/>
  <c r="O667" i="2"/>
  <c r="O678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21" i="2"/>
  <c r="O44" i="2"/>
  <c r="O65" i="2"/>
  <c r="O85" i="2"/>
  <c r="O108" i="2"/>
  <c r="O129" i="2"/>
  <c r="O149" i="2"/>
  <c r="O166" i="2"/>
  <c r="O182" i="2"/>
  <c r="O198" i="2"/>
  <c r="O214" i="2"/>
  <c r="O230" i="2"/>
  <c r="O246" i="2"/>
  <c r="O262" i="2"/>
  <c r="O278" i="2"/>
  <c r="O294" i="2"/>
  <c r="O310" i="2"/>
  <c r="O326" i="2"/>
  <c r="O342" i="2"/>
  <c r="O358" i="2"/>
  <c r="O374" i="2"/>
  <c r="O390" i="2"/>
  <c r="O406" i="2"/>
  <c r="O422" i="2"/>
  <c r="O438" i="2"/>
  <c r="O454" i="2"/>
  <c r="O470" i="2"/>
  <c r="O486" i="2"/>
  <c r="O502" i="2"/>
  <c r="O518" i="2"/>
  <c r="O534" i="2"/>
  <c r="O550" i="2"/>
  <c r="O566" i="2"/>
  <c r="O582" i="2"/>
  <c r="O598" i="2"/>
  <c r="O614" i="2"/>
  <c r="O629" i="2"/>
  <c r="O643" i="2"/>
  <c r="O654" i="2"/>
  <c r="O668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25" i="2"/>
  <c r="O45" i="2"/>
  <c r="O68" i="2"/>
  <c r="O89" i="2"/>
  <c r="O109" i="2"/>
  <c r="O132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0" i="2"/>
  <c r="O644" i="2"/>
  <c r="O657" i="2"/>
  <c r="O669" i="2"/>
  <c r="O683" i="2"/>
  <c r="O691" i="2"/>
  <c r="O699" i="2"/>
  <c r="O707" i="2"/>
  <c r="O715" i="2"/>
  <c r="O723" i="2"/>
  <c r="O731" i="2"/>
  <c r="O28" i="2"/>
  <c r="O188" i="2"/>
  <c r="O316" i="2"/>
  <c r="O444" i="2"/>
  <c r="O572" i="2"/>
  <c r="O684" i="2"/>
  <c r="O740" i="2"/>
  <c r="O767" i="2"/>
  <c r="O788" i="2"/>
  <c r="O811" i="2"/>
  <c r="O831" i="2"/>
  <c r="O852" i="2"/>
  <c r="O875" i="2"/>
  <c r="O895" i="2"/>
  <c r="O911" i="2"/>
  <c r="O927" i="2"/>
  <c r="O939" i="2"/>
  <c r="O953" i="2"/>
  <c r="O964" i="2"/>
  <c r="O978" i="2"/>
  <c r="O991" i="2"/>
  <c r="O1002" i="2"/>
  <c r="O1012" i="2"/>
  <c r="O1024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763" i="2"/>
  <c r="O49" i="2"/>
  <c r="O204" i="2"/>
  <c r="O332" i="2"/>
  <c r="O460" i="2"/>
  <c r="O588" i="2"/>
  <c r="O692" i="2"/>
  <c r="O747" i="2"/>
  <c r="O771" i="2"/>
  <c r="O791" i="2"/>
  <c r="O812" i="2"/>
  <c r="O835" i="2"/>
  <c r="O855" i="2"/>
  <c r="O876" i="2"/>
  <c r="O898" i="2"/>
  <c r="O914" i="2"/>
  <c r="O929" i="2"/>
  <c r="O940" i="2"/>
  <c r="O954" i="2"/>
  <c r="O967" i="2"/>
  <c r="O979" i="2"/>
  <c r="O993" i="2"/>
  <c r="O1003" i="2"/>
  <c r="O1015" i="2"/>
  <c r="O1025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540" i="2"/>
  <c r="O783" i="2"/>
  <c r="O907" i="2"/>
  <c r="O987" i="2"/>
  <c r="O1064" i="2"/>
  <c r="O1128" i="2"/>
  <c r="O1176" i="2"/>
  <c r="O1256" i="2"/>
  <c r="O69" i="2"/>
  <c r="O220" i="2"/>
  <c r="O348" i="2"/>
  <c r="O476" i="2"/>
  <c r="O604" i="2"/>
  <c r="O700" i="2"/>
  <c r="O748" i="2"/>
  <c r="O772" i="2"/>
  <c r="O795" i="2"/>
  <c r="O815" i="2"/>
  <c r="O836" i="2"/>
  <c r="O859" i="2"/>
  <c r="O879" i="2"/>
  <c r="O899" i="2"/>
  <c r="O915" i="2"/>
  <c r="O930" i="2"/>
  <c r="O943" i="2"/>
  <c r="O955" i="2"/>
  <c r="O969" i="2"/>
  <c r="O980" i="2"/>
  <c r="O994" i="2"/>
  <c r="O1004" i="2"/>
  <c r="O1016" i="2"/>
  <c r="O1026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659" i="2"/>
  <c r="O868" i="2"/>
  <c r="O937" i="2"/>
  <c r="O1010" i="2"/>
  <c r="O1032" i="2"/>
  <c r="O1072" i="2"/>
  <c r="O1112" i="2"/>
  <c r="O1144" i="2"/>
  <c r="O1168" i="2"/>
  <c r="O1192" i="2"/>
  <c r="O1216" i="2"/>
  <c r="O1240" i="2"/>
  <c r="O92" i="2"/>
  <c r="O236" i="2"/>
  <c r="O364" i="2"/>
  <c r="O492" i="2"/>
  <c r="O620" i="2"/>
  <c r="O708" i="2"/>
  <c r="O755" i="2"/>
  <c r="O775" i="2"/>
  <c r="O796" i="2"/>
  <c r="O819" i="2"/>
  <c r="O839" i="2"/>
  <c r="O860" i="2"/>
  <c r="O883" i="2"/>
  <c r="O900" i="2"/>
  <c r="O916" i="2"/>
  <c r="O931" i="2"/>
  <c r="O945" i="2"/>
  <c r="O956" i="2"/>
  <c r="O970" i="2"/>
  <c r="O983" i="2"/>
  <c r="O995" i="2"/>
  <c r="O1007" i="2"/>
  <c r="O1017" i="2"/>
  <c r="O1027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412" i="2"/>
  <c r="O891" i="2"/>
  <c r="O975" i="2"/>
  <c r="O1056" i="2"/>
  <c r="O1120" i="2"/>
  <c r="O1184" i="2"/>
  <c r="O1248" i="2"/>
  <c r="O113" i="2"/>
  <c r="O252" i="2"/>
  <c r="O380" i="2"/>
  <c r="O508" i="2"/>
  <c r="O633" i="2"/>
  <c r="O716" i="2"/>
  <c r="O756" i="2"/>
  <c r="O779" i="2"/>
  <c r="O799" i="2"/>
  <c r="O820" i="2"/>
  <c r="O843" i="2"/>
  <c r="O863" i="2"/>
  <c r="O884" i="2"/>
  <c r="O903" i="2"/>
  <c r="O919" i="2"/>
  <c r="O932" i="2"/>
  <c r="O946" i="2"/>
  <c r="O959" i="2"/>
  <c r="O971" i="2"/>
  <c r="O985" i="2"/>
  <c r="O996" i="2"/>
  <c r="O1008" i="2"/>
  <c r="O1018" i="2"/>
  <c r="O1028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84" i="2"/>
  <c r="O847" i="2"/>
  <c r="O962" i="2"/>
  <c r="O1040" i="2"/>
  <c r="O1104" i="2"/>
  <c r="O1160" i="2"/>
  <c r="O1224" i="2"/>
  <c r="O133" i="2"/>
  <c r="O268" i="2"/>
  <c r="O396" i="2"/>
  <c r="O524" i="2"/>
  <c r="O645" i="2"/>
  <c r="O724" i="2"/>
  <c r="O759" i="2"/>
  <c r="O780" i="2"/>
  <c r="O803" i="2"/>
  <c r="O823" i="2"/>
  <c r="O844" i="2"/>
  <c r="O867" i="2"/>
  <c r="O887" i="2"/>
  <c r="O906" i="2"/>
  <c r="O922" i="2"/>
  <c r="O935" i="2"/>
  <c r="O947" i="2"/>
  <c r="O961" i="2"/>
  <c r="O972" i="2"/>
  <c r="O986" i="2"/>
  <c r="O999" i="2"/>
  <c r="O1009" i="2"/>
  <c r="O1019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156" i="2"/>
  <c r="O804" i="2"/>
  <c r="O948" i="2"/>
  <c r="O1020" i="2"/>
  <c r="O1088" i="2"/>
  <c r="O1152" i="2"/>
  <c r="O1208" i="2"/>
  <c r="O172" i="2"/>
  <c r="O300" i="2"/>
  <c r="O428" i="2"/>
  <c r="O556" i="2"/>
  <c r="O670" i="2"/>
  <c r="O739" i="2"/>
  <c r="O764" i="2"/>
  <c r="O787" i="2"/>
  <c r="O807" i="2"/>
  <c r="O828" i="2"/>
  <c r="O851" i="2"/>
  <c r="O871" i="2"/>
  <c r="O892" i="2"/>
  <c r="O908" i="2"/>
  <c r="O924" i="2"/>
  <c r="O938" i="2"/>
  <c r="O951" i="2"/>
  <c r="O963" i="2"/>
  <c r="O977" i="2"/>
  <c r="O988" i="2"/>
  <c r="O1001" i="2"/>
  <c r="O1011" i="2"/>
  <c r="O1023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732" i="2"/>
  <c r="O827" i="2"/>
  <c r="O923" i="2"/>
  <c r="O1000" i="2"/>
  <c r="O1048" i="2"/>
  <c r="O1080" i="2"/>
  <c r="O1096" i="2"/>
  <c r="O1136" i="2"/>
  <c r="O1200" i="2"/>
  <c r="O1232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5" i="2" l="1"/>
  <c r="AK11" i="2"/>
  <c r="AG9" i="2" l="1"/>
  <c r="AK10" i="2"/>
  <c r="AG7" i="2" l="1"/>
  <c r="AK9" i="2"/>
  <c r="AG5" i="2" l="1"/>
  <c r="AK8" i="2"/>
  <c r="AG12" i="2" l="1"/>
  <c r="AK7" i="2"/>
  <c r="AG6" i="2" l="1"/>
  <c r="AK6" i="2"/>
  <c r="AG16" i="2" l="1"/>
  <c r="AK5" i="2"/>
  <c r="AG14" i="2" s="1"/>
</calcChain>
</file>

<file path=xl/sharedStrings.xml><?xml version="1.0" encoding="utf-8"?>
<sst xmlns="http://schemas.openxmlformats.org/spreadsheetml/2006/main" count="91" uniqueCount="75">
  <si>
    <t>Johnson &amp; Johnson (JNJ) - Daily Stock Price, Last 5 Years</t>
  </si>
  <si>
    <t>Source: Nasdaq historical quotes (nasdaq.com/market-activity/stocks/jnj),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</si>
  <si>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</si>
  <si>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</si>
  <si>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</si>
  <si>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</si>
  <si>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</si>
  <si>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</si>
  <si>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</si>
  <si>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</si>
  <si>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</si>
  <si>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</si>
  <si>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</si>
  <si>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</si>
  <si>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</si>
  <si>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</si>
  <si>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</si>
  <si>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</si>
  <si>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</si>
  <si>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</si>
  <si>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</si>
  <si>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</si>
  <si>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</si>
  <si>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</si>
  <si>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JnJ trading days (last close on or before each date). Each stock's % change is in its own currency (BAYNr in EUR, others USD). % columns follow Start/End Date in 'Stock Price'!I4:I5.</t>
  </si>
  <si>
    <t>JnJ Close</t>
  </si>
  <si>
    <t>JnJ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</si>
  <si>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</si>
  <si>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</si>
  <si>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</si>
  <si>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</si>
  <si>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</si>
  <si>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</si>
  <si>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</si>
  <si>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</si>
  <si>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</si>
  <si>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</si>
  <si>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</si>
  <si>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</si>
  <si>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</si>
  <si>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</si>
  <si>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</si>
  <si>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</si>
  <si>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</si>
  <si>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</si>
  <si>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</si>
  <si>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</si>
  <si>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ABBV Close</t>
  </si>
  <si>
    <t>ABBV % chg</t>
  </si>
  <si>
    <t>Peer Comps</t>
  </si>
  <si>
    <t>Ticker</t>
  </si>
  <si>
    <t>Rank</t>
  </si>
  <si>
    <t>JnJ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</si>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</sst>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JNJ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159.58000000000001</c:v>
                </c:pt>
                <c:pt idx="1">
                  <c:v>159.91</c:v>
                </c:pt>
                <c:pt idx="2">
                  <c:v>161.34</c:v>
                </c:pt>
                <c:pt idx="3">
                  <c:v>160.93</c:v>
                </c:pt>
                <c:pt idx="4">
                  <c:v>160.25</c:v>
                </c:pt>
                <c:pt idx="5">
                  <c:v>157.69</c:v>
                </c:pt>
                <c:pt idx="6">
                  <c:v>159.19999999999999</c:v>
                </c:pt>
                <c:pt idx="7">
                  <c:v>160.11000000000001</c:v>
                </c:pt>
                <c:pt idx="8">
                  <c:v>161.30000000000001</c:v>
                </c:pt>
                <c:pt idx="9">
                  <c:v>160.12</c:v>
                </c:pt>
                <c:pt idx="10">
                  <c:v>163.87</c:v>
                </c:pt>
                <c:pt idx="11">
                  <c:v>163.78</c:v>
                </c:pt>
                <c:pt idx="12">
                  <c:v>163.4</c:v>
                </c:pt>
                <c:pt idx="13">
                  <c:v>163.72</c:v>
                </c:pt>
                <c:pt idx="14">
                  <c:v>164.08</c:v>
                </c:pt>
                <c:pt idx="15">
                  <c:v>165.75</c:v>
                </c:pt>
                <c:pt idx="16">
                  <c:v>163.74</c:v>
                </c:pt>
                <c:pt idx="17">
                  <c:v>162.85</c:v>
                </c:pt>
                <c:pt idx="18">
                  <c:v>162.88</c:v>
                </c:pt>
                <c:pt idx="19">
                  <c:v>163.02000000000001</c:v>
                </c:pt>
                <c:pt idx="20">
                  <c:v>165.59</c:v>
                </c:pt>
                <c:pt idx="21">
                  <c:v>165.06</c:v>
                </c:pt>
                <c:pt idx="22">
                  <c:v>164.6</c:v>
                </c:pt>
                <c:pt idx="23">
                  <c:v>163.43</c:v>
                </c:pt>
                <c:pt idx="24">
                  <c:v>162.87</c:v>
                </c:pt>
                <c:pt idx="25">
                  <c:v>162.51</c:v>
                </c:pt>
                <c:pt idx="26">
                  <c:v>164.27</c:v>
                </c:pt>
                <c:pt idx="27">
                  <c:v>163.06</c:v>
                </c:pt>
                <c:pt idx="28">
                  <c:v>165.01</c:v>
                </c:pt>
                <c:pt idx="29">
                  <c:v>163.52000000000001</c:v>
                </c:pt>
                <c:pt idx="30">
                  <c:v>162.66999999999999</c:v>
                </c:pt>
                <c:pt idx="31">
                  <c:v>163.28</c:v>
                </c:pt>
                <c:pt idx="32">
                  <c:v>162.4</c:v>
                </c:pt>
                <c:pt idx="33">
                  <c:v>162.88999999999999</c:v>
                </c:pt>
                <c:pt idx="34">
                  <c:v>159.69999999999999</c:v>
                </c:pt>
                <c:pt idx="35">
                  <c:v>160.69</c:v>
                </c:pt>
                <c:pt idx="36">
                  <c:v>160.24</c:v>
                </c:pt>
                <c:pt idx="37">
                  <c:v>159.19999999999999</c:v>
                </c:pt>
                <c:pt idx="38">
                  <c:v>159.75</c:v>
                </c:pt>
                <c:pt idx="39">
                  <c:v>155.93</c:v>
                </c:pt>
                <c:pt idx="40">
                  <c:v>158.08000000000001</c:v>
                </c:pt>
                <c:pt idx="41">
                  <c:v>157.09</c:v>
                </c:pt>
                <c:pt idx="42">
                  <c:v>159.38</c:v>
                </c:pt>
                <c:pt idx="43">
                  <c:v>162.94</c:v>
                </c:pt>
                <c:pt idx="44">
                  <c:v>163.36000000000001</c:v>
                </c:pt>
                <c:pt idx="45">
                  <c:v>164.34</c:v>
                </c:pt>
                <c:pt idx="46">
                  <c:v>165.9</c:v>
                </c:pt>
                <c:pt idx="47">
                  <c:v>165.49</c:v>
                </c:pt>
                <c:pt idx="48">
                  <c:v>168.45</c:v>
                </c:pt>
                <c:pt idx="49">
                  <c:v>170.29</c:v>
                </c:pt>
                <c:pt idx="50">
                  <c:v>171.14</c:v>
                </c:pt>
                <c:pt idx="51">
                  <c:v>173.01</c:v>
                </c:pt>
                <c:pt idx="52">
                  <c:v>168.23</c:v>
                </c:pt>
                <c:pt idx="53">
                  <c:v>167.75</c:v>
                </c:pt>
                <c:pt idx="54">
                  <c:v>167.21</c:v>
                </c:pt>
                <c:pt idx="55">
                  <c:v>167.93</c:v>
                </c:pt>
                <c:pt idx="56">
                  <c:v>168.25</c:v>
                </c:pt>
                <c:pt idx="57">
                  <c:v>169.67</c:v>
                </c:pt>
                <c:pt idx="58">
                  <c:v>170.35</c:v>
                </c:pt>
                <c:pt idx="59">
                  <c:v>171.55</c:v>
                </c:pt>
                <c:pt idx="60">
                  <c:v>172.31</c:v>
                </c:pt>
                <c:pt idx="61">
                  <c:v>171.07</c:v>
                </c:pt>
                <c:pt idx="62">
                  <c:v>171.54</c:v>
                </c:pt>
                <c:pt idx="63">
                  <c:v>171.08</c:v>
                </c:pt>
                <c:pt idx="64">
                  <c:v>172.22</c:v>
                </c:pt>
                <c:pt idx="65">
                  <c:v>171.63</c:v>
                </c:pt>
                <c:pt idx="66">
                  <c:v>173.95</c:v>
                </c:pt>
                <c:pt idx="67">
                  <c:v>173.09</c:v>
                </c:pt>
                <c:pt idx="68">
                  <c:v>171.25</c:v>
                </c:pt>
                <c:pt idx="69">
                  <c:v>169.79</c:v>
                </c:pt>
                <c:pt idx="70">
                  <c:v>168.76</c:v>
                </c:pt>
                <c:pt idx="71">
                  <c:v>167.84</c:v>
                </c:pt>
                <c:pt idx="72">
                  <c:v>167.1</c:v>
                </c:pt>
                <c:pt idx="73">
                  <c:v>166.58</c:v>
                </c:pt>
                <c:pt idx="74">
                  <c:v>165.25</c:v>
                </c:pt>
                <c:pt idx="75">
                  <c:v>164.87</c:v>
                </c:pt>
                <c:pt idx="76">
                  <c:v>162.97</c:v>
                </c:pt>
                <c:pt idx="77">
                  <c:v>167.63</c:v>
                </c:pt>
                <c:pt idx="78">
                  <c:v>168.38</c:v>
                </c:pt>
                <c:pt idx="79">
                  <c:v>170.59</c:v>
                </c:pt>
                <c:pt idx="80">
                  <c:v>171.79</c:v>
                </c:pt>
                <c:pt idx="81">
                  <c:v>172.29</c:v>
                </c:pt>
                <c:pt idx="82">
                  <c:v>170.88</c:v>
                </c:pt>
                <c:pt idx="83">
                  <c:v>172.77</c:v>
                </c:pt>
                <c:pt idx="84">
                  <c:v>172.76</c:v>
                </c:pt>
                <c:pt idx="85">
                  <c:v>171.63</c:v>
                </c:pt>
                <c:pt idx="86">
                  <c:v>171.06</c:v>
                </c:pt>
                <c:pt idx="87">
                  <c:v>171.51</c:v>
                </c:pt>
                <c:pt idx="88">
                  <c:v>171.49</c:v>
                </c:pt>
                <c:pt idx="89">
                  <c:v>169.42</c:v>
                </c:pt>
                <c:pt idx="90">
                  <c:v>167.71</c:v>
                </c:pt>
                <c:pt idx="91">
                  <c:v>165.6</c:v>
                </c:pt>
                <c:pt idx="92">
                  <c:v>167.31</c:v>
                </c:pt>
                <c:pt idx="93">
                  <c:v>167.21</c:v>
                </c:pt>
                <c:pt idx="94">
                  <c:v>166.19</c:v>
                </c:pt>
                <c:pt idx="95">
                  <c:v>163.36000000000001</c:v>
                </c:pt>
                <c:pt idx="96">
                  <c:v>161.13999999999999</c:v>
                </c:pt>
                <c:pt idx="97">
                  <c:v>161.22</c:v>
                </c:pt>
                <c:pt idx="98">
                  <c:v>158.13999999999999</c:v>
                </c:pt>
                <c:pt idx="99">
                  <c:v>166</c:v>
                </c:pt>
                <c:pt idx="100">
                  <c:v>164.57</c:v>
                </c:pt>
                <c:pt idx="101">
                  <c:v>164</c:v>
                </c:pt>
                <c:pt idx="102">
                  <c:v>166.04</c:v>
                </c:pt>
                <c:pt idx="103">
                  <c:v>168.48</c:v>
                </c:pt>
                <c:pt idx="104">
                  <c:v>169.48</c:v>
                </c:pt>
                <c:pt idx="105">
                  <c:v>172.21</c:v>
                </c:pt>
                <c:pt idx="106">
                  <c:v>168.72</c:v>
                </c:pt>
                <c:pt idx="107">
                  <c:v>169.36</c:v>
                </c:pt>
                <c:pt idx="108">
                  <c:v>169.66</c:v>
                </c:pt>
                <c:pt idx="109">
                  <c:v>169.35</c:v>
                </c:pt>
                <c:pt idx="110">
                  <c:v>171.69</c:v>
                </c:pt>
                <c:pt idx="111">
                  <c:v>176.14</c:v>
                </c:pt>
                <c:pt idx="112">
                  <c:v>174.52</c:v>
                </c:pt>
                <c:pt idx="113">
                  <c:v>176.8</c:v>
                </c:pt>
                <c:pt idx="114">
                  <c:v>174.84</c:v>
                </c:pt>
                <c:pt idx="115">
                  <c:v>175.83</c:v>
                </c:pt>
                <c:pt idx="116">
                  <c:v>175</c:v>
                </c:pt>
                <c:pt idx="117">
                  <c:v>174.34</c:v>
                </c:pt>
                <c:pt idx="118">
                  <c:v>175.24</c:v>
                </c:pt>
                <c:pt idx="119">
                  <c:v>176.92</c:v>
                </c:pt>
                <c:pt idx="120">
                  <c:v>177.83</c:v>
                </c:pt>
                <c:pt idx="121">
                  <c:v>177.74</c:v>
                </c:pt>
                <c:pt idx="122">
                  <c:v>179.59</c:v>
                </c:pt>
                <c:pt idx="123">
                  <c:v>177.23</c:v>
                </c:pt>
                <c:pt idx="124">
                  <c:v>178.19</c:v>
                </c:pt>
                <c:pt idx="125">
                  <c:v>176.47</c:v>
                </c:pt>
                <c:pt idx="126">
                  <c:v>177.61</c:v>
                </c:pt>
                <c:pt idx="127">
                  <c:v>182.23</c:v>
                </c:pt>
                <c:pt idx="128">
                  <c:v>181.76</c:v>
                </c:pt>
                <c:pt idx="129">
                  <c:v>182.12</c:v>
                </c:pt>
                <c:pt idx="130">
                  <c:v>179.84</c:v>
                </c:pt>
                <c:pt idx="131">
                  <c:v>179.9</c:v>
                </c:pt>
                <c:pt idx="132">
                  <c:v>180.66</c:v>
                </c:pt>
                <c:pt idx="133">
                  <c:v>179.9</c:v>
                </c:pt>
                <c:pt idx="134">
                  <c:v>177.66</c:v>
                </c:pt>
                <c:pt idx="135">
                  <c:v>183.08</c:v>
                </c:pt>
                <c:pt idx="136">
                  <c:v>183.89</c:v>
                </c:pt>
                <c:pt idx="137">
                  <c:v>183.36</c:v>
                </c:pt>
                <c:pt idx="138">
                  <c:v>181.54</c:v>
                </c:pt>
                <c:pt idx="139">
                  <c:v>186.01</c:v>
                </c:pt>
                <c:pt idx="140">
                  <c:v>184.68</c:v>
                </c:pt>
                <c:pt idx="141">
                  <c:v>182.1</c:v>
                </c:pt>
                <c:pt idx="142">
                  <c:v>183.46</c:v>
                </c:pt>
                <c:pt idx="143">
                  <c:v>180.46</c:v>
                </c:pt>
                <c:pt idx="144">
                  <c:v>178.64</c:v>
                </c:pt>
                <c:pt idx="145">
                  <c:v>178.29</c:v>
                </c:pt>
                <c:pt idx="146">
                  <c:v>180.2</c:v>
                </c:pt>
                <c:pt idx="147">
                  <c:v>176.76</c:v>
                </c:pt>
                <c:pt idx="148">
                  <c:v>176.37</c:v>
                </c:pt>
                <c:pt idx="149">
                  <c:v>177.33</c:v>
                </c:pt>
                <c:pt idx="150">
                  <c:v>177.09</c:v>
                </c:pt>
                <c:pt idx="151">
                  <c:v>176.13</c:v>
                </c:pt>
                <c:pt idx="152">
                  <c:v>177.87</c:v>
                </c:pt>
                <c:pt idx="153">
                  <c:v>176.85</c:v>
                </c:pt>
                <c:pt idx="154">
                  <c:v>178.08</c:v>
                </c:pt>
                <c:pt idx="155">
                  <c:v>178.82</c:v>
                </c:pt>
                <c:pt idx="156">
                  <c:v>175.5</c:v>
                </c:pt>
                <c:pt idx="157">
                  <c:v>173.94</c:v>
                </c:pt>
                <c:pt idx="158">
                  <c:v>176.98</c:v>
                </c:pt>
                <c:pt idx="159">
                  <c:v>179.44</c:v>
                </c:pt>
                <c:pt idx="160">
                  <c:v>181.4</c:v>
                </c:pt>
                <c:pt idx="161">
                  <c:v>179.62</c:v>
                </c:pt>
                <c:pt idx="162">
                  <c:v>179.46</c:v>
                </c:pt>
                <c:pt idx="163">
                  <c:v>181.09</c:v>
                </c:pt>
                <c:pt idx="164">
                  <c:v>179.53</c:v>
                </c:pt>
                <c:pt idx="165">
                  <c:v>177.71</c:v>
                </c:pt>
                <c:pt idx="166">
                  <c:v>177.15</c:v>
                </c:pt>
                <c:pt idx="167">
                  <c:v>176.42</c:v>
                </c:pt>
                <c:pt idx="168">
                  <c:v>176.4</c:v>
                </c:pt>
                <c:pt idx="169">
                  <c:v>178.34</c:v>
                </c:pt>
                <c:pt idx="170">
                  <c:v>177.28</c:v>
                </c:pt>
                <c:pt idx="171">
                  <c:v>173.71</c:v>
                </c:pt>
                <c:pt idx="172">
                  <c:v>172.55</c:v>
                </c:pt>
                <c:pt idx="173">
                  <c:v>170.81</c:v>
                </c:pt>
                <c:pt idx="174">
                  <c:v>168.19</c:v>
                </c:pt>
                <c:pt idx="175">
                  <c:v>169.99</c:v>
                </c:pt>
                <c:pt idx="176">
                  <c:v>170.08</c:v>
                </c:pt>
                <c:pt idx="177">
                  <c:v>169.46</c:v>
                </c:pt>
                <c:pt idx="178">
                  <c:v>173.01</c:v>
                </c:pt>
                <c:pt idx="179">
                  <c:v>175.74</c:v>
                </c:pt>
                <c:pt idx="180">
                  <c:v>179.66</c:v>
                </c:pt>
                <c:pt idx="181">
                  <c:v>182.29</c:v>
                </c:pt>
                <c:pt idx="182">
                  <c:v>182.12</c:v>
                </c:pt>
                <c:pt idx="183">
                  <c:v>176.94</c:v>
                </c:pt>
                <c:pt idx="184">
                  <c:v>176.99</c:v>
                </c:pt>
                <c:pt idx="185">
                  <c:v>177.51</c:v>
                </c:pt>
                <c:pt idx="186">
                  <c:v>179.52</c:v>
                </c:pt>
                <c:pt idx="187">
                  <c:v>178.14</c:v>
                </c:pt>
                <c:pt idx="188">
                  <c:v>178.3</c:v>
                </c:pt>
                <c:pt idx="189">
                  <c:v>178.5</c:v>
                </c:pt>
                <c:pt idx="190">
                  <c:v>178.28</c:v>
                </c:pt>
                <c:pt idx="191">
                  <c:v>178.35</c:v>
                </c:pt>
                <c:pt idx="192">
                  <c:v>175.85</c:v>
                </c:pt>
                <c:pt idx="193">
                  <c:v>175.44</c:v>
                </c:pt>
                <c:pt idx="194">
                  <c:v>175.68</c:v>
                </c:pt>
                <c:pt idx="195">
                  <c:v>178.23</c:v>
                </c:pt>
                <c:pt idx="196">
                  <c:v>174.23</c:v>
                </c:pt>
                <c:pt idx="197">
                  <c:v>171.69</c:v>
                </c:pt>
                <c:pt idx="198">
                  <c:v>170.71</c:v>
                </c:pt>
                <c:pt idx="199">
                  <c:v>171.31</c:v>
                </c:pt>
                <c:pt idx="200">
                  <c:v>172.12</c:v>
                </c:pt>
                <c:pt idx="201">
                  <c:v>172.46</c:v>
                </c:pt>
                <c:pt idx="202">
                  <c:v>173.68</c:v>
                </c:pt>
                <c:pt idx="203">
                  <c:v>173.2</c:v>
                </c:pt>
                <c:pt idx="204">
                  <c:v>174.2</c:v>
                </c:pt>
                <c:pt idx="205">
                  <c:v>174.52</c:v>
                </c:pt>
                <c:pt idx="206">
                  <c:v>173.91</c:v>
                </c:pt>
                <c:pt idx="207">
                  <c:v>172.92</c:v>
                </c:pt>
                <c:pt idx="208">
                  <c:v>174.59</c:v>
                </c:pt>
                <c:pt idx="209">
                  <c:v>171.79</c:v>
                </c:pt>
                <c:pt idx="210">
                  <c:v>171.11</c:v>
                </c:pt>
                <c:pt idx="211">
                  <c:v>170.2</c:v>
                </c:pt>
                <c:pt idx="212">
                  <c:v>170.18</c:v>
                </c:pt>
                <c:pt idx="213">
                  <c:v>170.67</c:v>
                </c:pt>
                <c:pt idx="214">
                  <c:v>167.14</c:v>
                </c:pt>
                <c:pt idx="215">
                  <c:v>165.3</c:v>
                </c:pt>
                <c:pt idx="216">
                  <c:v>166.09</c:v>
                </c:pt>
                <c:pt idx="217">
                  <c:v>167.57</c:v>
                </c:pt>
                <c:pt idx="218">
                  <c:v>167.58</c:v>
                </c:pt>
                <c:pt idx="219">
                  <c:v>166.77</c:v>
                </c:pt>
                <c:pt idx="220">
                  <c:v>169.31</c:v>
                </c:pt>
                <c:pt idx="221">
                  <c:v>167.59</c:v>
                </c:pt>
                <c:pt idx="222">
                  <c:v>166.13</c:v>
                </c:pt>
                <c:pt idx="223">
                  <c:v>165.58</c:v>
                </c:pt>
                <c:pt idx="224">
                  <c:v>167.13</c:v>
                </c:pt>
                <c:pt idx="225">
                  <c:v>164.27</c:v>
                </c:pt>
                <c:pt idx="226">
                  <c:v>163</c:v>
                </c:pt>
                <c:pt idx="227">
                  <c:v>162.43</c:v>
                </c:pt>
                <c:pt idx="228">
                  <c:v>161.34</c:v>
                </c:pt>
                <c:pt idx="229">
                  <c:v>165.34</c:v>
                </c:pt>
                <c:pt idx="230">
                  <c:v>162.74</c:v>
                </c:pt>
                <c:pt idx="231">
                  <c:v>163.18</c:v>
                </c:pt>
                <c:pt idx="232">
                  <c:v>164.07</c:v>
                </c:pt>
                <c:pt idx="233">
                  <c:v>165.39</c:v>
                </c:pt>
                <c:pt idx="234">
                  <c:v>165.71</c:v>
                </c:pt>
                <c:pt idx="235">
                  <c:v>165.64</c:v>
                </c:pt>
                <c:pt idx="236">
                  <c:v>161.33000000000001</c:v>
                </c:pt>
                <c:pt idx="237">
                  <c:v>164.66</c:v>
                </c:pt>
                <c:pt idx="238">
                  <c:v>165.08</c:v>
                </c:pt>
                <c:pt idx="239">
                  <c:v>167.6</c:v>
                </c:pt>
                <c:pt idx="240">
                  <c:v>166.28</c:v>
                </c:pt>
                <c:pt idx="241">
                  <c:v>164.97</c:v>
                </c:pt>
                <c:pt idx="242">
                  <c:v>163.28</c:v>
                </c:pt>
                <c:pt idx="243">
                  <c:v>166.18</c:v>
                </c:pt>
                <c:pt idx="244">
                  <c:v>166.72</c:v>
                </c:pt>
                <c:pt idx="245">
                  <c:v>165.7</c:v>
                </c:pt>
                <c:pt idx="246">
                  <c:v>164.94</c:v>
                </c:pt>
                <c:pt idx="247">
                  <c:v>166.36</c:v>
                </c:pt>
                <c:pt idx="248">
                  <c:v>164.53</c:v>
                </c:pt>
                <c:pt idx="249">
                  <c:v>163.36000000000001</c:v>
                </c:pt>
                <c:pt idx="250">
                  <c:v>163.19999999999999</c:v>
                </c:pt>
                <c:pt idx="251">
                  <c:v>165.62</c:v>
                </c:pt>
                <c:pt idx="252">
                  <c:v>165.11</c:v>
                </c:pt>
                <c:pt idx="253">
                  <c:v>161.91</c:v>
                </c:pt>
                <c:pt idx="254">
                  <c:v>160.19999999999999</c:v>
                </c:pt>
                <c:pt idx="255">
                  <c:v>160.41</c:v>
                </c:pt>
                <c:pt idx="256">
                  <c:v>162.72999999999999</c:v>
                </c:pt>
                <c:pt idx="257">
                  <c:v>162.69</c:v>
                </c:pt>
                <c:pt idx="258">
                  <c:v>165.15</c:v>
                </c:pt>
                <c:pt idx="259">
                  <c:v>164.46</c:v>
                </c:pt>
                <c:pt idx="260">
                  <c:v>166.59</c:v>
                </c:pt>
                <c:pt idx="261">
                  <c:v>166.01</c:v>
                </c:pt>
                <c:pt idx="262">
                  <c:v>164.69</c:v>
                </c:pt>
                <c:pt idx="263">
                  <c:v>165.11</c:v>
                </c:pt>
                <c:pt idx="264">
                  <c:v>168.71</c:v>
                </c:pt>
                <c:pt idx="265">
                  <c:v>170.98</c:v>
                </c:pt>
                <c:pt idx="266">
                  <c:v>170.71</c:v>
                </c:pt>
                <c:pt idx="267">
                  <c:v>172.21</c:v>
                </c:pt>
                <c:pt idx="268">
                  <c:v>172.31</c:v>
                </c:pt>
                <c:pt idx="269">
                  <c:v>174.87</c:v>
                </c:pt>
                <c:pt idx="270">
                  <c:v>173.97</c:v>
                </c:pt>
                <c:pt idx="271">
                  <c:v>173.09</c:v>
                </c:pt>
                <c:pt idx="272">
                  <c:v>170.43</c:v>
                </c:pt>
                <c:pt idx="273">
                  <c:v>170.72</c:v>
                </c:pt>
                <c:pt idx="274">
                  <c:v>171.48</c:v>
                </c:pt>
                <c:pt idx="275">
                  <c:v>172.98</c:v>
                </c:pt>
                <c:pt idx="276">
                  <c:v>173.84</c:v>
                </c:pt>
                <c:pt idx="277">
                  <c:v>172.45</c:v>
                </c:pt>
                <c:pt idx="278">
                  <c:v>174.47</c:v>
                </c:pt>
                <c:pt idx="279">
                  <c:v>169.25</c:v>
                </c:pt>
                <c:pt idx="280">
                  <c:v>171.91</c:v>
                </c:pt>
                <c:pt idx="281">
                  <c:v>172.39</c:v>
                </c:pt>
                <c:pt idx="282">
                  <c:v>173.46</c:v>
                </c:pt>
                <c:pt idx="283">
                  <c:v>174.86</c:v>
                </c:pt>
                <c:pt idx="284">
                  <c:v>176.2</c:v>
                </c:pt>
                <c:pt idx="285">
                  <c:v>175.97</c:v>
                </c:pt>
                <c:pt idx="286">
                  <c:v>176.82</c:v>
                </c:pt>
                <c:pt idx="287">
                  <c:v>177.01</c:v>
                </c:pt>
                <c:pt idx="288">
                  <c:v>177.24</c:v>
                </c:pt>
                <c:pt idx="289">
                  <c:v>177.33</c:v>
                </c:pt>
                <c:pt idx="290">
                  <c:v>176.09</c:v>
                </c:pt>
                <c:pt idx="291">
                  <c:v>178</c:v>
                </c:pt>
                <c:pt idx="292">
                  <c:v>178.74</c:v>
                </c:pt>
                <c:pt idx="293">
                  <c:v>178.88</c:v>
                </c:pt>
                <c:pt idx="294">
                  <c:v>178.78</c:v>
                </c:pt>
                <c:pt idx="295">
                  <c:v>176.1</c:v>
                </c:pt>
                <c:pt idx="296">
                  <c:v>177.17</c:v>
                </c:pt>
                <c:pt idx="297">
                  <c:v>177.2</c:v>
                </c:pt>
                <c:pt idx="298">
                  <c:v>175.74</c:v>
                </c:pt>
                <c:pt idx="299">
                  <c:v>177.84</c:v>
                </c:pt>
                <c:pt idx="300">
                  <c:v>179.21</c:v>
                </c:pt>
                <c:pt idx="301">
                  <c:v>179.76</c:v>
                </c:pt>
                <c:pt idx="302">
                  <c:v>177.49</c:v>
                </c:pt>
                <c:pt idx="303">
                  <c:v>175.67</c:v>
                </c:pt>
                <c:pt idx="304">
                  <c:v>175.48</c:v>
                </c:pt>
                <c:pt idx="305">
                  <c:v>175.67</c:v>
                </c:pt>
                <c:pt idx="306">
                  <c:v>177.68</c:v>
                </c:pt>
                <c:pt idx="307">
                  <c:v>177.03</c:v>
                </c:pt>
                <c:pt idx="308">
                  <c:v>177.48</c:v>
                </c:pt>
                <c:pt idx="309">
                  <c:v>177.43</c:v>
                </c:pt>
                <c:pt idx="310">
                  <c:v>176.66</c:v>
                </c:pt>
                <c:pt idx="311">
                  <c:v>177.56</c:v>
                </c:pt>
                <c:pt idx="312">
                  <c:v>176.65</c:v>
                </c:pt>
                <c:pt idx="313">
                  <c:v>178.19</c:v>
                </c:pt>
                <c:pt idx="314">
                  <c:v>180.13</c:v>
                </c:pt>
                <c:pt idx="315">
                  <c:v>178.8</c:v>
                </c:pt>
                <c:pt idx="316">
                  <c:v>180.25</c:v>
                </c:pt>
                <c:pt idx="317">
                  <c:v>175.58</c:v>
                </c:pt>
                <c:pt idx="318">
                  <c:v>175.16</c:v>
                </c:pt>
                <c:pt idx="319">
                  <c:v>174.88</c:v>
                </c:pt>
                <c:pt idx="320">
                  <c:v>174</c:v>
                </c:pt>
                <c:pt idx="321">
                  <c:v>173.43</c:v>
                </c:pt>
                <c:pt idx="322">
                  <c:v>172.36</c:v>
                </c:pt>
                <c:pt idx="323">
                  <c:v>169.76</c:v>
                </c:pt>
                <c:pt idx="324">
                  <c:v>169.53</c:v>
                </c:pt>
                <c:pt idx="325">
                  <c:v>168.74</c:v>
                </c:pt>
                <c:pt idx="326">
                  <c:v>168.31</c:v>
                </c:pt>
                <c:pt idx="327">
                  <c:v>168.31</c:v>
                </c:pt>
                <c:pt idx="328">
                  <c:v>169.51</c:v>
                </c:pt>
                <c:pt idx="329">
                  <c:v>168.89</c:v>
                </c:pt>
                <c:pt idx="330">
                  <c:v>168.23</c:v>
                </c:pt>
                <c:pt idx="331">
                  <c:v>162</c:v>
                </c:pt>
                <c:pt idx="332">
                  <c:v>163.41999999999999</c:v>
                </c:pt>
                <c:pt idx="333">
                  <c:v>164.92</c:v>
                </c:pt>
                <c:pt idx="334">
                  <c:v>165.54</c:v>
                </c:pt>
                <c:pt idx="335">
                  <c:v>164.61</c:v>
                </c:pt>
                <c:pt idx="336">
                  <c:v>163.36000000000001</c:v>
                </c:pt>
                <c:pt idx="337">
                  <c:v>163.4</c:v>
                </c:pt>
                <c:pt idx="338">
                  <c:v>163.61000000000001</c:v>
                </c:pt>
                <c:pt idx="339">
                  <c:v>161.4</c:v>
                </c:pt>
                <c:pt idx="340">
                  <c:v>162.15</c:v>
                </c:pt>
                <c:pt idx="341">
                  <c:v>162.75</c:v>
                </c:pt>
                <c:pt idx="342">
                  <c:v>162.04</c:v>
                </c:pt>
                <c:pt idx="343">
                  <c:v>159.37</c:v>
                </c:pt>
                <c:pt idx="344">
                  <c:v>158.24</c:v>
                </c:pt>
                <c:pt idx="345">
                  <c:v>160.38999999999999</c:v>
                </c:pt>
                <c:pt idx="346">
                  <c:v>158</c:v>
                </c:pt>
                <c:pt idx="347">
                  <c:v>157.78</c:v>
                </c:pt>
                <c:pt idx="348">
                  <c:v>157.72999999999999</c:v>
                </c:pt>
                <c:pt idx="349">
                  <c:v>155.97</c:v>
                </c:pt>
                <c:pt idx="350">
                  <c:v>155.63</c:v>
                </c:pt>
                <c:pt idx="351">
                  <c:v>153.26</c:v>
                </c:pt>
                <c:pt idx="352">
                  <c:v>152.57</c:v>
                </c:pt>
                <c:pt idx="353">
                  <c:v>152.44999999999999</c:v>
                </c:pt>
                <c:pt idx="354">
                  <c:v>154.02000000000001</c:v>
                </c:pt>
                <c:pt idx="355">
                  <c:v>155.56</c:v>
                </c:pt>
                <c:pt idx="356">
                  <c:v>154.09</c:v>
                </c:pt>
                <c:pt idx="357">
                  <c:v>152.96</c:v>
                </c:pt>
                <c:pt idx="358">
                  <c:v>151.24</c:v>
                </c:pt>
                <c:pt idx="359">
                  <c:v>151.61000000000001</c:v>
                </c:pt>
                <c:pt idx="360">
                  <c:v>153.06</c:v>
                </c:pt>
                <c:pt idx="361">
                  <c:v>153.91999999999999</c:v>
                </c:pt>
                <c:pt idx="362">
                  <c:v>154.35</c:v>
                </c:pt>
                <c:pt idx="363">
                  <c:v>154.03</c:v>
                </c:pt>
                <c:pt idx="364">
                  <c:v>152.38</c:v>
                </c:pt>
                <c:pt idx="365">
                  <c:v>153.88999999999999</c:v>
                </c:pt>
                <c:pt idx="366">
                  <c:v>153.88999999999999</c:v>
                </c:pt>
                <c:pt idx="367">
                  <c:v>151.05000000000001</c:v>
                </c:pt>
                <c:pt idx="368">
                  <c:v>151.13</c:v>
                </c:pt>
                <c:pt idx="369">
                  <c:v>152.65</c:v>
                </c:pt>
                <c:pt idx="370">
                  <c:v>153.30000000000001</c:v>
                </c:pt>
                <c:pt idx="371">
                  <c:v>151.82</c:v>
                </c:pt>
                <c:pt idx="372">
                  <c:v>153.31</c:v>
                </c:pt>
                <c:pt idx="373">
                  <c:v>153.43</c:v>
                </c:pt>
                <c:pt idx="374">
                  <c:v>155</c:v>
                </c:pt>
                <c:pt idx="375">
                  <c:v>156.85</c:v>
                </c:pt>
                <c:pt idx="376">
                  <c:v>158.49</c:v>
                </c:pt>
                <c:pt idx="377">
                  <c:v>165.61</c:v>
                </c:pt>
                <c:pt idx="378">
                  <c:v>165.15</c:v>
                </c:pt>
                <c:pt idx="379">
                  <c:v>164.32</c:v>
                </c:pt>
                <c:pt idx="380">
                  <c:v>164.27</c:v>
                </c:pt>
                <c:pt idx="381">
                  <c:v>163.92</c:v>
                </c:pt>
                <c:pt idx="382">
                  <c:v>166.11</c:v>
                </c:pt>
                <c:pt idx="383">
                  <c:v>165.84</c:v>
                </c:pt>
                <c:pt idx="384">
                  <c:v>165.67</c:v>
                </c:pt>
                <c:pt idx="385">
                  <c:v>161.01</c:v>
                </c:pt>
                <c:pt idx="386">
                  <c:v>162.53</c:v>
                </c:pt>
                <c:pt idx="387">
                  <c:v>163.58000000000001</c:v>
                </c:pt>
                <c:pt idx="388">
                  <c:v>162.69</c:v>
                </c:pt>
                <c:pt idx="389">
                  <c:v>163.68</c:v>
                </c:pt>
                <c:pt idx="390">
                  <c:v>165.18</c:v>
                </c:pt>
                <c:pt idx="391">
                  <c:v>162.62</c:v>
                </c:pt>
                <c:pt idx="392">
                  <c:v>163</c:v>
                </c:pt>
                <c:pt idx="393">
                  <c:v>163.69999999999999</c:v>
                </c:pt>
                <c:pt idx="394">
                  <c:v>163.6</c:v>
                </c:pt>
                <c:pt idx="395">
                  <c:v>165.03</c:v>
                </c:pt>
                <c:pt idx="396">
                  <c:v>162.87</c:v>
                </c:pt>
                <c:pt idx="397">
                  <c:v>162.13</c:v>
                </c:pt>
                <c:pt idx="398">
                  <c:v>162.68</c:v>
                </c:pt>
                <c:pt idx="399">
                  <c:v>162.31</c:v>
                </c:pt>
                <c:pt idx="400">
                  <c:v>161.05000000000001</c:v>
                </c:pt>
                <c:pt idx="401">
                  <c:v>161.65</c:v>
                </c:pt>
                <c:pt idx="402">
                  <c:v>160.99</c:v>
                </c:pt>
                <c:pt idx="403">
                  <c:v>160.78</c:v>
                </c:pt>
                <c:pt idx="404">
                  <c:v>159.55000000000001</c:v>
                </c:pt>
                <c:pt idx="405">
                  <c:v>159.34</c:v>
                </c:pt>
                <c:pt idx="406">
                  <c:v>158.99</c:v>
                </c:pt>
                <c:pt idx="407">
                  <c:v>158.47999999999999</c:v>
                </c:pt>
                <c:pt idx="408">
                  <c:v>158.91</c:v>
                </c:pt>
                <c:pt idx="409">
                  <c:v>156.87</c:v>
                </c:pt>
                <c:pt idx="410">
                  <c:v>156.81</c:v>
                </c:pt>
                <c:pt idx="411">
                  <c:v>156.66</c:v>
                </c:pt>
                <c:pt idx="412">
                  <c:v>154.41</c:v>
                </c:pt>
                <c:pt idx="413">
                  <c:v>154.35</c:v>
                </c:pt>
                <c:pt idx="414">
                  <c:v>154.37</c:v>
                </c:pt>
                <c:pt idx="415">
                  <c:v>155.06</c:v>
                </c:pt>
                <c:pt idx="416">
                  <c:v>154.54</c:v>
                </c:pt>
                <c:pt idx="417">
                  <c:v>156.97</c:v>
                </c:pt>
                <c:pt idx="418">
                  <c:v>158.32</c:v>
                </c:pt>
                <c:pt idx="419">
                  <c:v>158.18</c:v>
                </c:pt>
                <c:pt idx="420">
                  <c:v>158.52000000000001</c:v>
                </c:pt>
                <c:pt idx="421">
                  <c:v>160.26</c:v>
                </c:pt>
                <c:pt idx="422">
                  <c:v>160.01</c:v>
                </c:pt>
                <c:pt idx="423">
                  <c:v>159.9</c:v>
                </c:pt>
                <c:pt idx="424">
                  <c:v>160.74</c:v>
                </c:pt>
                <c:pt idx="425">
                  <c:v>161.56</c:v>
                </c:pt>
                <c:pt idx="426">
                  <c:v>163.72999999999999</c:v>
                </c:pt>
                <c:pt idx="427">
                  <c:v>164.23</c:v>
                </c:pt>
                <c:pt idx="428">
                  <c:v>164.13</c:v>
                </c:pt>
                <c:pt idx="429">
                  <c:v>163.88</c:v>
                </c:pt>
                <c:pt idx="430">
                  <c:v>165.62</c:v>
                </c:pt>
                <c:pt idx="431">
                  <c:v>165.48</c:v>
                </c:pt>
                <c:pt idx="432">
                  <c:v>163.63</c:v>
                </c:pt>
                <c:pt idx="433">
                  <c:v>163.29</c:v>
                </c:pt>
                <c:pt idx="434">
                  <c:v>162.96</c:v>
                </c:pt>
                <c:pt idx="435">
                  <c:v>164.1</c:v>
                </c:pt>
                <c:pt idx="436">
                  <c:v>165.52</c:v>
                </c:pt>
                <c:pt idx="437">
                  <c:v>163.35</c:v>
                </c:pt>
                <c:pt idx="438">
                  <c:v>162.81</c:v>
                </c:pt>
                <c:pt idx="439">
                  <c:v>161.6</c:v>
                </c:pt>
                <c:pt idx="440">
                  <c:v>159.25</c:v>
                </c:pt>
                <c:pt idx="441">
                  <c:v>159.51</c:v>
                </c:pt>
                <c:pt idx="442">
                  <c:v>158.63</c:v>
                </c:pt>
                <c:pt idx="443">
                  <c:v>158.08000000000001</c:v>
                </c:pt>
                <c:pt idx="444">
                  <c:v>158.81</c:v>
                </c:pt>
                <c:pt idx="445">
                  <c:v>159.87</c:v>
                </c:pt>
                <c:pt idx="446">
                  <c:v>159.07</c:v>
                </c:pt>
                <c:pt idx="447">
                  <c:v>159.06</c:v>
                </c:pt>
                <c:pt idx="448">
                  <c:v>158.74</c:v>
                </c:pt>
                <c:pt idx="449">
                  <c:v>168.38</c:v>
                </c:pt>
                <c:pt idx="450">
                  <c:v>170.19</c:v>
                </c:pt>
                <c:pt idx="451">
                  <c:v>171.08</c:v>
                </c:pt>
                <c:pt idx="452">
                  <c:v>172.39</c:v>
                </c:pt>
                <c:pt idx="453">
                  <c:v>172.72</c:v>
                </c:pt>
                <c:pt idx="454">
                  <c:v>173.69</c:v>
                </c:pt>
                <c:pt idx="455">
                  <c:v>174.48</c:v>
                </c:pt>
                <c:pt idx="456">
                  <c:v>167.53</c:v>
                </c:pt>
                <c:pt idx="457">
                  <c:v>168.89</c:v>
                </c:pt>
                <c:pt idx="458">
                  <c:v>169.91</c:v>
                </c:pt>
                <c:pt idx="459">
                  <c:v>170.64</c:v>
                </c:pt>
                <c:pt idx="460">
                  <c:v>169.04</c:v>
                </c:pt>
                <c:pt idx="461">
                  <c:v>173.1</c:v>
                </c:pt>
                <c:pt idx="462">
                  <c:v>173.18</c:v>
                </c:pt>
                <c:pt idx="463">
                  <c:v>173.07</c:v>
                </c:pt>
                <c:pt idx="464">
                  <c:v>172.17</c:v>
                </c:pt>
                <c:pt idx="465">
                  <c:v>173.85</c:v>
                </c:pt>
                <c:pt idx="466">
                  <c:v>173.44</c:v>
                </c:pt>
                <c:pt idx="467">
                  <c:v>172.94</c:v>
                </c:pt>
                <c:pt idx="468">
                  <c:v>172.39</c:v>
                </c:pt>
                <c:pt idx="469">
                  <c:v>174.01</c:v>
                </c:pt>
                <c:pt idx="470">
                  <c:v>172.49</c:v>
                </c:pt>
                <c:pt idx="471">
                  <c:v>167.35</c:v>
                </c:pt>
                <c:pt idx="472">
                  <c:v>166.02</c:v>
                </c:pt>
                <c:pt idx="473">
                  <c:v>163.19999999999999</c:v>
                </c:pt>
                <c:pt idx="474">
                  <c:v>165.09</c:v>
                </c:pt>
                <c:pt idx="475">
                  <c:v>166.25</c:v>
                </c:pt>
                <c:pt idx="476">
                  <c:v>164.29</c:v>
                </c:pt>
                <c:pt idx="477">
                  <c:v>164.31</c:v>
                </c:pt>
                <c:pt idx="478">
                  <c:v>163.72999999999999</c:v>
                </c:pt>
                <c:pt idx="479">
                  <c:v>161.68</c:v>
                </c:pt>
                <c:pt idx="480">
                  <c:v>160.47999999999999</c:v>
                </c:pt>
                <c:pt idx="481">
                  <c:v>160.68</c:v>
                </c:pt>
                <c:pt idx="482">
                  <c:v>158.01</c:v>
                </c:pt>
                <c:pt idx="483">
                  <c:v>160.03</c:v>
                </c:pt>
                <c:pt idx="484">
                  <c:v>160.56</c:v>
                </c:pt>
                <c:pt idx="485">
                  <c:v>162.66</c:v>
                </c:pt>
                <c:pt idx="486">
                  <c:v>163.58000000000001</c:v>
                </c:pt>
                <c:pt idx="487">
                  <c:v>163.99</c:v>
                </c:pt>
                <c:pt idx="488">
                  <c:v>163.74</c:v>
                </c:pt>
                <c:pt idx="489">
                  <c:v>161.44999999999999</c:v>
                </c:pt>
                <c:pt idx="490">
                  <c:v>162.47</c:v>
                </c:pt>
                <c:pt idx="491">
                  <c:v>162.19999999999999</c:v>
                </c:pt>
                <c:pt idx="492">
                  <c:v>162.91</c:v>
                </c:pt>
                <c:pt idx="493">
                  <c:v>161.66</c:v>
                </c:pt>
                <c:pt idx="494">
                  <c:v>160.5</c:v>
                </c:pt>
                <c:pt idx="495">
                  <c:v>160.26</c:v>
                </c:pt>
                <c:pt idx="496">
                  <c:v>159.02000000000001</c:v>
                </c:pt>
                <c:pt idx="497">
                  <c:v>157.11000000000001</c:v>
                </c:pt>
                <c:pt idx="498">
                  <c:v>156.88</c:v>
                </c:pt>
                <c:pt idx="499">
                  <c:v>155.75</c:v>
                </c:pt>
                <c:pt idx="500">
                  <c:v>155.15</c:v>
                </c:pt>
                <c:pt idx="501">
                  <c:v>155.34</c:v>
                </c:pt>
                <c:pt idx="502">
                  <c:v>155.52000000000001</c:v>
                </c:pt>
                <c:pt idx="503">
                  <c:v>157.13999999999999</c:v>
                </c:pt>
                <c:pt idx="504">
                  <c:v>157.63999999999999</c:v>
                </c:pt>
                <c:pt idx="505">
                  <c:v>158.54</c:v>
                </c:pt>
                <c:pt idx="506">
                  <c:v>158.36000000000001</c:v>
                </c:pt>
                <c:pt idx="507">
                  <c:v>156.18</c:v>
                </c:pt>
                <c:pt idx="508">
                  <c:v>156.33000000000001</c:v>
                </c:pt>
                <c:pt idx="509">
                  <c:v>156.85</c:v>
                </c:pt>
                <c:pt idx="510">
                  <c:v>157.53</c:v>
                </c:pt>
                <c:pt idx="511">
                  <c:v>156.09</c:v>
                </c:pt>
                <c:pt idx="512">
                  <c:v>152.72999999999999</c:v>
                </c:pt>
                <c:pt idx="513">
                  <c:v>152.32</c:v>
                </c:pt>
                <c:pt idx="514">
                  <c:v>153</c:v>
                </c:pt>
                <c:pt idx="515">
                  <c:v>151.38999999999999</c:v>
                </c:pt>
                <c:pt idx="516">
                  <c:v>151.22999999999999</c:v>
                </c:pt>
                <c:pt idx="517">
                  <c:v>151.57</c:v>
                </c:pt>
                <c:pt idx="518">
                  <c:v>149</c:v>
                </c:pt>
                <c:pt idx="519">
                  <c:v>145.6</c:v>
                </c:pt>
                <c:pt idx="520">
                  <c:v>147.03</c:v>
                </c:pt>
                <c:pt idx="521">
                  <c:v>148.34</c:v>
                </c:pt>
                <c:pt idx="522">
                  <c:v>148.69</c:v>
                </c:pt>
                <c:pt idx="523">
                  <c:v>150.24</c:v>
                </c:pt>
                <c:pt idx="524">
                  <c:v>151.34</c:v>
                </c:pt>
                <c:pt idx="525">
                  <c:v>151.69999999999999</c:v>
                </c:pt>
                <c:pt idx="526">
                  <c:v>150.9</c:v>
                </c:pt>
                <c:pt idx="527">
                  <c:v>150.35</c:v>
                </c:pt>
                <c:pt idx="528">
                  <c:v>147.41999999999999</c:v>
                </c:pt>
                <c:pt idx="529">
                  <c:v>147.25</c:v>
                </c:pt>
                <c:pt idx="530">
                  <c:v>147.63</c:v>
                </c:pt>
                <c:pt idx="531">
                  <c:v>147.66</c:v>
                </c:pt>
                <c:pt idx="532">
                  <c:v>148.80000000000001</c:v>
                </c:pt>
                <c:pt idx="533">
                  <c:v>150.1</c:v>
                </c:pt>
                <c:pt idx="534">
                  <c:v>149.79</c:v>
                </c:pt>
                <c:pt idx="535">
                  <c:v>149.91</c:v>
                </c:pt>
                <c:pt idx="536">
                  <c:v>151.12</c:v>
                </c:pt>
                <c:pt idx="537">
                  <c:v>150.82</c:v>
                </c:pt>
                <c:pt idx="538">
                  <c:v>152.5</c:v>
                </c:pt>
                <c:pt idx="539">
                  <c:v>151.28</c:v>
                </c:pt>
                <c:pt idx="540">
                  <c:v>151.63</c:v>
                </c:pt>
                <c:pt idx="541">
                  <c:v>152.11000000000001</c:v>
                </c:pt>
                <c:pt idx="542">
                  <c:v>154.66</c:v>
                </c:pt>
                <c:pt idx="543">
                  <c:v>158.38</c:v>
                </c:pt>
                <c:pt idx="544">
                  <c:v>158.88</c:v>
                </c:pt>
                <c:pt idx="545">
                  <c:v>158.55000000000001</c:v>
                </c:pt>
                <c:pt idx="546">
                  <c:v>156.62</c:v>
                </c:pt>
                <c:pt idx="547">
                  <c:v>155.4</c:v>
                </c:pt>
                <c:pt idx="548">
                  <c:v>154.41999999999999</c:v>
                </c:pt>
                <c:pt idx="549">
                  <c:v>155.06</c:v>
                </c:pt>
                <c:pt idx="550">
                  <c:v>155.07</c:v>
                </c:pt>
                <c:pt idx="551">
                  <c:v>155.79</c:v>
                </c:pt>
                <c:pt idx="552">
                  <c:v>156.87</c:v>
                </c:pt>
                <c:pt idx="553">
                  <c:v>155.16</c:v>
                </c:pt>
                <c:pt idx="554">
                  <c:v>155.44</c:v>
                </c:pt>
                <c:pt idx="555">
                  <c:v>156.46</c:v>
                </c:pt>
                <c:pt idx="556">
                  <c:v>153.27000000000001</c:v>
                </c:pt>
                <c:pt idx="557">
                  <c:v>154.84</c:v>
                </c:pt>
                <c:pt idx="558">
                  <c:v>155.46</c:v>
                </c:pt>
                <c:pt idx="559">
                  <c:v>156.13999999999999</c:v>
                </c:pt>
                <c:pt idx="560">
                  <c:v>156.35</c:v>
                </c:pt>
                <c:pt idx="561">
                  <c:v>156.58000000000001</c:v>
                </c:pt>
                <c:pt idx="562">
                  <c:v>156.74</c:v>
                </c:pt>
                <c:pt idx="563">
                  <c:v>159.97</c:v>
                </c:pt>
                <c:pt idx="564">
                  <c:v>160.97</c:v>
                </c:pt>
                <c:pt idx="565">
                  <c:v>160.63</c:v>
                </c:pt>
                <c:pt idx="566">
                  <c:v>161.13</c:v>
                </c:pt>
                <c:pt idx="567">
                  <c:v>161.53</c:v>
                </c:pt>
                <c:pt idx="568">
                  <c:v>161.63</c:v>
                </c:pt>
                <c:pt idx="569">
                  <c:v>161.87</c:v>
                </c:pt>
                <c:pt idx="570">
                  <c:v>161.15</c:v>
                </c:pt>
                <c:pt idx="571">
                  <c:v>162.38999999999999</c:v>
                </c:pt>
                <c:pt idx="572">
                  <c:v>160.52000000000001</c:v>
                </c:pt>
                <c:pt idx="573">
                  <c:v>160.43</c:v>
                </c:pt>
                <c:pt idx="574">
                  <c:v>161.21</c:v>
                </c:pt>
                <c:pt idx="575">
                  <c:v>161.68</c:v>
                </c:pt>
                <c:pt idx="576">
                  <c:v>162.47</c:v>
                </c:pt>
                <c:pt idx="577">
                  <c:v>159.81</c:v>
                </c:pt>
                <c:pt idx="578">
                  <c:v>158.96</c:v>
                </c:pt>
                <c:pt idx="579">
                  <c:v>159.56</c:v>
                </c:pt>
                <c:pt idx="580">
                  <c:v>159.5</c:v>
                </c:pt>
                <c:pt idx="581">
                  <c:v>159.36000000000001</c:v>
                </c:pt>
                <c:pt idx="582">
                  <c:v>158.77000000000001</c:v>
                </c:pt>
                <c:pt idx="583">
                  <c:v>158.9</c:v>
                </c:pt>
                <c:pt idx="584">
                  <c:v>158.36000000000001</c:v>
                </c:pt>
                <c:pt idx="585">
                  <c:v>156.61000000000001</c:v>
                </c:pt>
                <c:pt idx="586">
                  <c:v>155.80000000000001</c:v>
                </c:pt>
                <c:pt idx="587">
                  <c:v>158.06</c:v>
                </c:pt>
                <c:pt idx="588">
                  <c:v>157.97999999999999</c:v>
                </c:pt>
                <c:pt idx="589">
                  <c:v>156.4</c:v>
                </c:pt>
                <c:pt idx="590">
                  <c:v>156.76</c:v>
                </c:pt>
                <c:pt idx="591">
                  <c:v>157.85</c:v>
                </c:pt>
                <c:pt idx="592">
                  <c:v>156.47</c:v>
                </c:pt>
                <c:pt idx="593">
                  <c:v>155.74</c:v>
                </c:pt>
                <c:pt idx="594">
                  <c:v>157.91999999999999</c:v>
                </c:pt>
                <c:pt idx="595">
                  <c:v>156.55000000000001</c:v>
                </c:pt>
                <c:pt idx="596">
                  <c:v>157.86000000000001</c:v>
                </c:pt>
                <c:pt idx="597">
                  <c:v>158.68</c:v>
                </c:pt>
                <c:pt idx="598">
                  <c:v>160.44999999999999</c:v>
                </c:pt>
                <c:pt idx="599">
                  <c:v>161.84</c:v>
                </c:pt>
                <c:pt idx="600">
                  <c:v>160.79</c:v>
                </c:pt>
                <c:pt idx="601">
                  <c:v>160.97999999999999</c:v>
                </c:pt>
                <c:pt idx="602">
                  <c:v>161.55000000000001</c:v>
                </c:pt>
                <c:pt idx="603">
                  <c:v>161.38</c:v>
                </c:pt>
                <c:pt idx="604">
                  <c:v>162.12</c:v>
                </c:pt>
                <c:pt idx="605">
                  <c:v>159.84</c:v>
                </c:pt>
                <c:pt idx="606">
                  <c:v>159.97</c:v>
                </c:pt>
                <c:pt idx="607">
                  <c:v>159.34</c:v>
                </c:pt>
                <c:pt idx="608">
                  <c:v>158.87</c:v>
                </c:pt>
                <c:pt idx="609">
                  <c:v>159.52000000000001</c:v>
                </c:pt>
                <c:pt idx="610">
                  <c:v>161.22999999999999</c:v>
                </c:pt>
                <c:pt idx="611">
                  <c:v>162.74</c:v>
                </c:pt>
                <c:pt idx="612">
                  <c:v>161.1</c:v>
                </c:pt>
                <c:pt idx="613">
                  <c:v>159.21</c:v>
                </c:pt>
                <c:pt idx="614">
                  <c:v>158.18</c:v>
                </c:pt>
                <c:pt idx="615">
                  <c:v>156.76</c:v>
                </c:pt>
                <c:pt idx="616">
                  <c:v>156.21</c:v>
                </c:pt>
                <c:pt idx="617">
                  <c:v>155.76</c:v>
                </c:pt>
                <c:pt idx="618">
                  <c:v>155.75</c:v>
                </c:pt>
                <c:pt idx="619">
                  <c:v>155.22999999999999</c:v>
                </c:pt>
                <c:pt idx="620">
                  <c:v>155.22</c:v>
                </c:pt>
                <c:pt idx="621">
                  <c:v>155.77000000000001</c:v>
                </c:pt>
                <c:pt idx="622">
                  <c:v>157.96</c:v>
                </c:pt>
                <c:pt idx="623">
                  <c:v>158.19</c:v>
                </c:pt>
                <c:pt idx="624">
                  <c:v>157.78</c:v>
                </c:pt>
                <c:pt idx="625">
                  <c:v>157.72999999999999</c:v>
                </c:pt>
                <c:pt idx="626">
                  <c:v>154.26</c:v>
                </c:pt>
                <c:pt idx="627">
                  <c:v>152.5</c:v>
                </c:pt>
                <c:pt idx="628">
                  <c:v>152.38999999999999</c:v>
                </c:pt>
                <c:pt idx="629">
                  <c:v>151.59</c:v>
                </c:pt>
                <c:pt idx="630">
                  <c:v>152.29</c:v>
                </c:pt>
                <c:pt idx="631">
                  <c:v>150.19999999999999</c:v>
                </c:pt>
                <c:pt idx="632">
                  <c:v>148.79</c:v>
                </c:pt>
                <c:pt idx="633">
                  <c:v>147.52000000000001</c:v>
                </c:pt>
                <c:pt idx="634">
                  <c:v>147.59</c:v>
                </c:pt>
                <c:pt idx="635">
                  <c:v>144.44999999999999</c:v>
                </c:pt>
                <c:pt idx="636">
                  <c:v>144.77000000000001</c:v>
                </c:pt>
                <c:pt idx="637">
                  <c:v>145.74</c:v>
                </c:pt>
                <c:pt idx="638">
                  <c:v>147.91</c:v>
                </c:pt>
                <c:pt idx="639">
                  <c:v>149.12</c:v>
                </c:pt>
                <c:pt idx="640">
                  <c:v>149.56</c:v>
                </c:pt>
                <c:pt idx="641">
                  <c:v>148.53</c:v>
                </c:pt>
                <c:pt idx="642">
                  <c:v>146.82</c:v>
                </c:pt>
                <c:pt idx="643">
                  <c:v>146.13999999999999</c:v>
                </c:pt>
                <c:pt idx="644">
                  <c:v>146.82</c:v>
                </c:pt>
                <c:pt idx="645">
                  <c:v>144.59</c:v>
                </c:pt>
                <c:pt idx="646">
                  <c:v>151.18</c:v>
                </c:pt>
                <c:pt idx="647">
                  <c:v>149.91999999999999</c:v>
                </c:pt>
                <c:pt idx="648">
                  <c:v>149.27000000000001</c:v>
                </c:pt>
                <c:pt idx="649">
                  <c:v>148.58000000000001</c:v>
                </c:pt>
                <c:pt idx="650">
                  <c:v>148.72</c:v>
                </c:pt>
                <c:pt idx="651">
                  <c:v>148.94999999999999</c:v>
                </c:pt>
                <c:pt idx="652">
                  <c:v>149.85</c:v>
                </c:pt>
                <c:pt idx="653">
                  <c:v>149.91</c:v>
                </c:pt>
                <c:pt idx="654">
                  <c:v>151.22</c:v>
                </c:pt>
                <c:pt idx="655">
                  <c:v>151.38</c:v>
                </c:pt>
                <c:pt idx="656">
                  <c:v>152.66999999999999</c:v>
                </c:pt>
                <c:pt idx="657">
                  <c:v>154.28</c:v>
                </c:pt>
                <c:pt idx="658">
                  <c:v>154.63999999999999</c:v>
                </c:pt>
                <c:pt idx="659">
                  <c:v>151.27000000000001</c:v>
                </c:pt>
                <c:pt idx="660">
                  <c:v>151.24</c:v>
                </c:pt>
                <c:pt idx="661">
                  <c:v>153.5</c:v>
                </c:pt>
                <c:pt idx="662">
                  <c:v>149.69999999999999</c:v>
                </c:pt>
                <c:pt idx="663">
                  <c:v>146.97</c:v>
                </c:pt>
                <c:pt idx="664">
                  <c:v>144.38</c:v>
                </c:pt>
                <c:pt idx="665">
                  <c:v>144.44</c:v>
                </c:pt>
                <c:pt idx="666">
                  <c:v>145.28</c:v>
                </c:pt>
                <c:pt idx="667">
                  <c:v>146.66999999999999</c:v>
                </c:pt>
                <c:pt idx="668">
                  <c:v>147.74</c:v>
                </c:pt>
                <c:pt idx="669">
                  <c:v>147.80000000000001</c:v>
                </c:pt>
                <c:pt idx="670">
                  <c:v>145.97</c:v>
                </c:pt>
                <c:pt idx="671">
                  <c:v>146.41999999999999</c:v>
                </c:pt>
                <c:pt idx="672">
                  <c:v>147.08000000000001</c:v>
                </c:pt>
                <c:pt idx="673">
                  <c:v>147.13</c:v>
                </c:pt>
                <c:pt idx="674">
                  <c:v>146.76</c:v>
                </c:pt>
                <c:pt idx="675">
                  <c:v>145.41</c:v>
                </c:pt>
                <c:pt idx="676">
                  <c:v>145.44999999999999</c:v>
                </c:pt>
                <c:pt idx="677">
                  <c:v>145.54</c:v>
                </c:pt>
                <c:pt idx="678">
                  <c:v>145.94999999999999</c:v>
                </c:pt>
                <c:pt idx="679">
                  <c:v>145.65</c:v>
                </c:pt>
                <c:pt idx="680">
                  <c:v>147.78</c:v>
                </c:pt>
                <c:pt idx="681">
                  <c:v>148.75</c:v>
                </c:pt>
                <c:pt idx="682">
                  <c:v>149.12</c:v>
                </c:pt>
                <c:pt idx="683">
                  <c:v>147.19</c:v>
                </c:pt>
                <c:pt idx="684">
                  <c:v>146.82</c:v>
                </c:pt>
                <c:pt idx="685">
                  <c:v>145.80000000000001</c:v>
                </c:pt>
                <c:pt idx="686">
                  <c:v>146.16</c:v>
                </c:pt>
                <c:pt idx="687">
                  <c:v>146.44</c:v>
                </c:pt>
                <c:pt idx="688">
                  <c:v>146.03</c:v>
                </c:pt>
                <c:pt idx="689">
                  <c:v>145.69</c:v>
                </c:pt>
                <c:pt idx="690">
                  <c:v>146.47999999999999</c:v>
                </c:pt>
                <c:pt idx="691">
                  <c:v>145.47999999999999</c:v>
                </c:pt>
                <c:pt idx="692">
                  <c:v>147.05000000000001</c:v>
                </c:pt>
                <c:pt idx="693">
                  <c:v>149.43</c:v>
                </c:pt>
                <c:pt idx="694">
                  <c:v>149.69999999999999</c:v>
                </c:pt>
                <c:pt idx="695">
                  <c:v>149.88</c:v>
                </c:pt>
                <c:pt idx="696">
                  <c:v>149.24</c:v>
                </c:pt>
                <c:pt idx="697">
                  <c:v>151.01</c:v>
                </c:pt>
                <c:pt idx="698">
                  <c:v>156.58000000000001</c:v>
                </c:pt>
                <c:pt idx="699">
                  <c:v>155.41999999999999</c:v>
                </c:pt>
                <c:pt idx="700">
                  <c:v>154.69</c:v>
                </c:pt>
                <c:pt idx="701">
                  <c:v>154.24</c:v>
                </c:pt>
                <c:pt idx="702">
                  <c:v>152.35</c:v>
                </c:pt>
                <c:pt idx="703">
                  <c:v>156.28</c:v>
                </c:pt>
                <c:pt idx="704">
                  <c:v>159.63999999999999</c:v>
                </c:pt>
                <c:pt idx="705">
                  <c:v>160.63999999999999</c:v>
                </c:pt>
                <c:pt idx="706">
                  <c:v>158.56</c:v>
                </c:pt>
                <c:pt idx="707">
                  <c:v>161.33000000000001</c:v>
                </c:pt>
                <c:pt idx="708">
                  <c:v>157.85</c:v>
                </c:pt>
                <c:pt idx="709">
                  <c:v>160.76</c:v>
                </c:pt>
                <c:pt idx="710">
                  <c:v>164.14</c:v>
                </c:pt>
                <c:pt idx="711">
                  <c:v>161.25</c:v>
                </c:pt>
                <c:pt idx="712">
                  <c:v>158.97</c:v>
                </c:pt>
                <c:pt idx="713">
                  <c:v>158.9</c:v>
                </c:pt>
                <c:pt idx="714">
                  <c:v>160.22</c:v>
                </c:pt>
                <c:pt idx="715">
                  <c:v>160.62</c:v>
                </c:pt>
                <c:pt idx="716">
                  <c:v>159.88</c:v>
                </c:pt>
                <c:pt idx="717">
                  <c:v>158.38999999999999</c:v>
                </c:pt>
                <c:pt idx="718">
                  <c:v>158.47999999999999</c:v>
                </c:pt>
                <c:pt idx="719">
                  <c:v>159.09</c:v>
                </c:pt>
                <c:pt idx="720">
                  <c:v>159.38999999999999</c:v>
                </c:pt>
                <c:pt idx="721">
                  <c:v>159.63</c:v>
                </c:pt>
                <c:pt idx="722">
                  <c:v>160.16</c:v>
                </c:pt>
                <c:pt idx="723">
                  <c:v>161.43</c:v>
                </c:pt>
                <c:pt idx="724">
                  <c:v>162.35</c:v>
                </c:pt>
                <c:pt idx="725">
                  <c:v>164.13</c:v>
                </c:pt>
                <c:pt idx="726">
                  <c:v>164.61</c:v>
                </c:pt>
                <c:pt idx="727">
                  <c:v>162.94999999999999</c:v>
                </c:pt>
                <c:pt idx="728">
                  <c:v>163.92</c:v>
                </c:pt>
                <c:pt idx="729">
                  <c:v>164.23</c:v>
                </c:pt>
                <c:pt idx="730">
                  <c:v>165.86</c:v>
                </c:pt>
                <c:pt idx="731">
                  <c:v>167.16</c:v>
                </c:pt>
                <c:pt idx="732">
                  <c:v>167.36</c:v>
                </c:pt>
                <c:pt idx="733">
                  <c:v>164.99</c:v>
                </c:pt>
                <c:pt idx="734">
                  <c:v>164.38</c:v>
                </c:pt>
                <c:pt idx="735">
                  <c:v>166.61</c:v>
                </c:pt>
                <c:pt idx="736">
                  <c:v>167.38</c:v>
                </c:pt>
                <c:pt idx="737">
                  <c:v>164.82</c:v>
                </c:pt>
                <c:pt idx="738">
                  <c:v>164.64</c:v>
                </c:pt>
                <c:pt idx="739">
                  <c:v>165.52</c:v>
                </c:pt>
                <c:pt idx="740">
                  <c:v>166.99</c:v>
                </c:pt>
                <c:pt idx="741">
                  <c:v>167.07</c:v>
                </c:pt>
                <c:pt idx="742">
                  <c:v>166.15</c:v>
                </c:pt>
                <c:pt idx="743">
                  <c:v>164.82</c:v>
                </c:pt>
                <c:pt idx="744">
                  <c:v>164.16</c:v>
                </c:pt>
                <c:pt idx="745">
                  <c:v>163.22</c:v>
                </c:pt>
                <c:pt idx="746">
                  <c:v>162.78</c:v>
                </c:pt>
                <c:pt idx="747">
                  <c:v>160.6</c:v>
                </c:pt>
                <c:pt idx="748">
                  <c:v>161.38999999999999</c:v>
                </c:pt>
                <c:pt idx="749">
                  <c:v>161.4</c:v>
                </c:pt>
                <c:pt idx="750">
                  <c:v>162.06</c:v>
                </c:pt>
                <c:pt idx="751">
                  <c:v>161.99</c:v>
                </c:pt>
                <c:pt idx="752">
                  <c:v>161.16999999999999</c:v>
                </c:pt>
                <c:pt idx="753">
                  <c:v>160.5</c:v>
                </c:pt>
                <c:pt idx="754">
                  <c:v>160.29</c:v>
                </c:pt>
                <c:pt idx="755">
                  <c:v>159.53</c:v>
                </c:pt>
                <c:pt idx="756">
                  <c:v>159.69</c:v>
                </c:pt>
                <c:pt idx="757">
                  <c:v>160.65</c:v>
                </c:pt>
                <c:pt idx="758">
                  <c:v>160.51</c:v>
                </c:pt>
                <c:pt idx="759">
                  <c:v>161.46</c:v>
                </c:pt>
                <c:pt idx="760">
                  <c:v>161.6</c:v>
                </c:pt>
                <c:pt idx="761">
                  <c:v>164.1</c:v>
                </c:pt>
                <c:pt idx="762">
                  <c:v>164.28</c:v>
                </c:pt>
                <c:pt idx="763">
                  <c:v>164.47</c:v>
                </c:pt>
                <c:pt idx="764">
                  <c:v>165.12</c:v>
                </c:pt>
                <c:pt idx="765">
                  <c:v>162.83000000000001</c:v>
                </c:pt>
                <c:pt idx="766">
                  <c:v>163.44999999999999</c:v>
                </c:pt>
                <c:pt idx="767">
                  <c:v>165.86</c:v>
                </c:pt>
                <c:pt idx="768">
                  <c:v>163.66999999999999</c:v>
                </c:pt>
                <c:pt idx="769">
                  <c:v>160.88</c:v>
                </c:pt>
                <c:pt idx="770">
                  <c:v>161.6</c:v>
                </c:pt>
                <c:pt idx="771">
                  <c:v>160.09</c:v>
                </c:pt>
                <c:pt idx="772">
                  <c:v>160.61000000000001</c:v>
                </c:pt>
                <c:pt idx="773">
                  <c:v>159.86000000000001</c:v>
                </c:pt>
                <c:pt idx="774">
                  <c:v>160.13</c:v>
                </c:pt>
                <c:pt idx="775">
                  <c:v>158.24</c:v>
                </c:pt>
                <c:pt idx="776">
                  <c:v>158.35</c:v>
                </c:pt>
                <c:pt idx="777">
                  <c:v>157.88</c:v>
                </c:pt>
                <c:pt idx="778">
                  <c:v>156.72999999999999</c:v>
                </c:pt>
                <c:pt idx="779">
                  <c:v>155.47</c:v>
                </c:pt>
                <c:pt idx="780">
                  <c:v>155.04</c:v>
                </c:pt>
                <c:pt idx="781">
                  <c:v>152.63999999999999</c:v>
                </c:pt>
                <c:pt idx="782">
                  <c:v>153.24</c:v>
                </c:pt>
                <c:pt idx="783">
                  <c:v>151.87</c:v>
                </c:pt>
                <c:pt idx="784">
                  <c:v>154</c:v>
                </c:pt>
                <c:pt idx="785">
                  <c:v>154.77000000000001</c:v>
                </c:pt>
                <c:pt idx="786">
                  <c:v>153</c:v>
                </c:pt>
                <c:pt idx="787">
                  <c:v>153.11000000000001</c:v>
                </c:pt>
                <c:pt idx="788">
                  <c:v>155.5</c:v>
                </c:pt>
                <c:pt idx="789">
                  <c:v>155.16999999999999</c:v>
                </c:pt>
                <c:pt idx="790">
                  <c:v>155.78</c:v>
                </c:pt>
                <c:pt idx="791">
                  <c:v>154.52000000000001</c:v>
                </c:pt>
                <c:pt idx="792">
                  <c:v>155.4</c:v>
                </c:pt>
                <c:pt idx="793">
                  <c:v>155.01</c:v>
                </c:pt>
                <c:pt idx="794">
                  <c:v>154.80000000000001</c:v>
                </c:pt>
                <c:pt idx="795">
                  <c:v>152.36000000000001</c:v>
                </c:pt>
                <c:pt idx="796">
                  <c:v>150.47</c:v>
                </c:pt>
                <c:pt idx="797">
                  <c:v>149.52000000000001</c:v>
                </c:pt>
                <c:pt idx="798">
                  <c:v>149.31</c:v>
                </c:pt>
                <c:pt idx="799">
                  <c:v>149.6</c:v>
                </c:pt>
                <c:pt idx="800">
                  <c:v>149.22999999999999</c:v>
                </c:pt>
                <c:pt idx="801">
                  <c:v>146.63999999999999</c:v>
                </c:pt>
                <c:pt idx="802">
                  <c:v>146.24</c:v>
                </c:pt>
                <c:pt idx="803">
                  <c:v>146.62</c:v>
                </c:pt>
                <c:pt idx="804">
                  <c:v>143.85</c:v>
                </c:pt>
                <c:pt idx="805">
                  <c:v>146.41</c:v>
                </c:pt>
                <c:pt idx="806">
                  <c:v>144.75</c:v>
                </c:pt>
                <c:pt idx="807">
                  <c:v>143.58000000000001</c:v>
                </c:pt>
                <c:pt idx="808">
                  <c:v>144.47</c:v>
                </c:pt>
                <c:pt idx="809">
                  <c:v>145.27000000000001</c:v>
                </c:pt>
                <c:pt idx="810">
                  <c:v>145.85</c:v>
                </c:pt>
                <c:pt idx="811">
                  <c:v>145.58000000000001</c:v>
                </c:pt>
                <c:pt idx="812">
                  <c:v>145.05000000000001</c:v>
                </c:pt>
                <c:pt idx="813">
                  <c:v>143.34</c:v>
                </c:pt>
                <c:pt idx="814">
                  <c:v>144.62</c:v>
                </c:pt>
                <c:pt idx="815">
                  <c:v>144.02000000000001</c:v>
                </c:pt>
                <c:pt idx="816">
                  <c:v>144.19</c:v>
                </c:pt>
                <c:pt idx="817">
                  <c:v>143.66</c:v>
                </c:pt>
                <c:pt idx="818">
                  <c:v>146.22999999999999</c:v>
                </c:pt>
                <c:pt idx="819">
                  <c:v>142.27000000000001</c:v>
                </c:pt>
                <c:pt idx="820">
                  <c:v>142.06</c:v>
                </c:pt>
                <c:pt idx="821">
                  <c:v>144.47</c:v>
                </c:pt>
                <c:pt idx="822">
                  <c:v>144.75</c:v>
                </c:pt>
                <c:pt idx="823">
                  <c:v>144.97</c:v>
                </c:pt>
                <c:pt idx="824">
                  <c:v>147.77000000000001</c:v>
                </c:pt>
                <c:pt idx="825">
                  <c:v>147.03</c:v>
                </c:pt>
                <c:pt idx="826">
                  <c:v>148.15</c:v>
                </c:pt>
                <c:pt idx="827">
                  <c:v>145.27000000000001</c:v>
                </c:pt>
                <c:pt idx="828">
                  <c:v>146.63999999999999</c:v>
                </c:pt>
                <c:pt idx="829">
                  <c:v>146.82</c:v>
                </c:pt>
                <c:pt idx="830">
                  <c:v>152.88999999999999</c:v>
                </c:pt>
                <c:pt idx="831">
                  <c:v>150.38</c:v>
                </c:pt>
                <c:pt idx="832">
                  <c:v>151.15</c:v>
                </c:pt>
                <c:pt idx="833">
                  <c:v>152.87</c:v>
                </c:pt>
                <c:pt idx="834">
                  <c:v>152.15</c:v>
                </c:pt>
                <c:pt idx="835">
                  <c:v>151.87</c:v>
                </c:pt>
                <c:pt idx="836">
                  <c:v>153.49</c:v>
                </c:pt>
                <c:pt idx="837">
                  <c:v>154.69</c:v>
                </c:pt>
                <c:pt idx="838">
                  <c:v>153.51</c:v>
                </c:pt>
                <c:pt idx="839">
                  <c:v>153.12</c:v>
                </c:pt>
                <c:pt idx="840">
                  <c:v>154.24</c:v>
                </c:pt>
                <c:pt idx="841">
                  <c:v>156.13</c:v>
                </c:pt>
                <c:pt idx="842">
                  <c:v>155.26</c:v>
                </c:pt>
                <c:pt idx="843">
                  <c:v>157.25</c:v>
                </c:pt>
                <c:pt idx="844">
                  <c:v>156.15</c:v>
                </c:pt>
                <c:pt idx="845">
                  <c:v>154.99</c:v>
                </c:pt>
                <c:pt idx="846">
                  <c:v>157.88999999999999</c:v>
                </c:pt>
                <c:pt idx="847">
                  <c:v>159.68</c:v>
                </c:pt>
                <c:pt idx="848">
                  <c:v>162.30000000000001</c:v>
                </c:pt>
                <c:pt idx="849">
                  <c:v>163.74</c:v>
                </c:pt>
                <c:pt idx="850">
                  <c:v>166.09</c:v>
                </c:pt>
                <c:pt idx="851">
                  <c:v>163.08000000000001</c:v>
                </c:pt>
                <c:pt idx="852">
                  <c:v>163.72999999999999</c:v>
                </c:pt>
                <c:pt idx="853">
                  <c:v>165.02</c:v>
                </c:pt>
                <c:pt idx="854">
                  <c:v>167.28</c:v>
                </c:pt>
                <c:pt idx="855">
                  <c:v>165.42</c:v>
                </c:pt>
                <c:pt idx="856">
                  <c:v>165.12</c:v>
                </c:pt>
                <c:pt idx="857">
                  <c:v>165.83</c:v>
                </c:pt>
                <c:pt idx="858">
                  <c:v>166.69</c:v>
                </c:pt>
                <c:pt idx="859">
                  <c:v>167.7</c:v>
                </c:pt>
                <c:pt idx="860">
                  <c:v>165.86</c:v>
                </c:pt>
                <c:pt idx="861">
                  <c:v>162.85</c:v>
                </c:pt>
                <c:pt idx="862">
                  <c:v>162.99</c:v>
                </c:pt>
                <c:pt idx="863">
                  <c:v>162.81</c:v>
                </c:pt>
                <c:pt idx="864">
                  <c:v>162.84</c:v>
                </c:pt>
                <c:pt idx="865">
                  <c:v>164.25</c:v>
                </c:pt>
                <c:pt idx="866">
                  <c:v>162.99</c:v>
                </c:pt>
                <c:pt idx="867">
                  <c:v>163.02000000000001</c:v>
                </c:pt>
                <c:pt idx="868">
                  <c:v>163.63</c:v>
                </c:pt>
                <c:pt idx="869">
                  <c:v>163.29</c:v>
                </c:pt>
                <c:pt idx="870">
                  <c:v>161.02000000000001</c:v>
                </c:pt>
                <c:pt idx="871">
                  <c:v>161.72</c:v>
                </c:pt>
                <c:pt idx="872">
                  <c:v>163.13</c:v>
                </c:pt>
                <c:pt idx="873">
                  <c:v>163.71</c:v>
                </c:pt>
                <c:pt idx="874">
                  <c:v>165.84</c:v>
                </c:pt>
                <c:pt idx="875">
                  <c:v>153.25</c:v>
                </c:pt>
                <c:pt idx="876">
                  <c:v>155.36000000000001</c:v>
                </c:pt>
                <c:pt idx="877">
                  <c:v>159.82</c:v>
                </c:pt>
                <c:pt idx="878">
                  <c:v>153.24</c:v>
                </c:pt>
                <c:pt idx="879">
                  <c:v>150.62</c:v>
                </c:pt>
                <c:pt idx="880">
                  <c:v>150</c:v>
                </c:pt>
                <c:pt idx="881">
                  <c:v>150.97</c:v>
                </c:pt>
                <c:pt idx="882">
                  <c:v>148.69</c:v>
                </c:pt>
                <c:pt idx="883">
                  <c:v>151.72999999999999</c:v>
                </c:pt>
                <c:pt idx="884">
                  <c:v>154.36000000000001</c:v>
                </c:pt>
                <c:pt idx="885">
                  <c:v>153.62</c:v>
                </c:pt>
                <c:pt idx="886">
                  <c:v>153.91</c:v>
                </c:pt>
                <c:pt idx="887">
                  <c:v>157.47</c:v>
                </c:pt>
                <c:pt idx="888">
                  <c:v>156.91999999999999</c:v>
                </c:pt>
                <c:pt idx="889">
                  <c:v>157.75</c:v>
                </c:pt>
                <c:pt idx="890">
                  <c:v>155.38</c:v>
                </c:pt>
                <c:pt idx="891">
                  <c:v>154.93</c:v>
                </c:pt>
                <c:pt idx="892">
                  <c:v>154.58000000000001</c:v>
                </c:pt>
                <c:pt idx="893">
                  <c:v>155.35</c:v>
                </c:pt>
                <c:pt idx="894">
                  <c:v>155.91</c:v>
                </c:pt>
                <c:pt idx="895">
                  <c:v>156.31</c:v>
                </c:pt>
                <c:pt idx="896">
                  <c:v>154.46</c:v>
                </c:pt>
                <c:pt idx="897">
                  <c:v>156.12</c:v>
                </c:pt>
                <c:pt idx="898">
                  <c:v>155</c:v>
                </c:pt>
                <c:pt idx="899">
                  <c:v>154.47</c:v>
                </c:pt>
                <c:pt idx="900">
                  <c:v>157.30000000000001</c:v>
                </c:pt>
                <c:pt idx="901">
                  <c:v>155.66</c:v>
                </c:pt>
                <c:pt idx="902">
                  <c:v>154.22</c:v>
                </c:pt>
                <c:pt idx="903">
                  <c:v>154.13999999999999</c:v>
                </c:pt>
                <c:pt idx="904">
                  <c:v>148.44</c:v>
                </c:pt>
                <c:pt idx="905">
                  <c:v>146.36000000000001</c:v>
                </c:pt>
                <c:pt idx="906">
                  <c:v>149.61000000000001</c:v>
                </c:pt>
                <c:pt idx="907">
                  <c:v>151.33000000000001</c:v>
                </c:pt>
                <c:pt idx="908">
                  <c:v>152.49</c:v>
                </c:pt>
                <c:pt idx="909">
                  <c:v>153.66</c:v>
                </c:pt>
                <c:pt idx="910">
                  <c:v>153.18</c:v>
                </c:pt>
                <c:pt idx="911">
                  <c:v>152.61000000000001</c:v>
                </c:pt>
                <c:pt idx="912">
                  <c:v>152.94</c:v>
                </c:pt>
                <c:pt idx="913">
                  <c:v>153.25</c:v>
                </c:pt>
                <c:pt idx="914">
                  <c:v>152.43</c:v>
                </c:pt>
                <c:pt idx="915">
                  <c:v>153.58000000000001</c:v>
                </c:pt>
                <c:pt idx="916">
                  <c:v>155.21</c:v>
                </c:pt>
                <c:pt idx="917">
                  <c:v>155.4</c:v>
                </c:pt>
                <c:pt idx="918">
                  <c:v>154.41999999999999</c:v>
                </c:pt>
                <c:pt idx="919">
                  <c:v>153.22</c:v>
                </c:pt>
                <c:pt idx="920">
                  <c:v>153.66</c:v>
                </c:pt>
                <c:pt idx="921">
                  <c:v>155.03</c:v>
                </c:pt>
                <c:pt idx="922">
                  <c:v>155.22999999999999</c:v>
                </c:pt>
                <c:pt idx="923">
                  <c:v>156.44999999999999</c:v>
                </c:pt>
                <c:pt idx="924">
                  <c:v>155.26</c:v>
                </c:pt>
                <c:pt idx="925">
                  <c:v>156.66</c:v>
                </c:pt>
                <c:pt idx="926">
                  <c:v>157.1</c:v>
                </c:pt>
                <c:pt idx="927">
                  <c:v>155.22</c:v>
                </c:pt>
                <c:pt idx="928">
                  <c:v>152.38</c:v>
                </c:pt>
                <c:pt idx="929">
                  <c:v>150.72999999999999</c:v>
                </c:pt>
                <c:pt idx="930">
                  <c:v>149.79</c:v>
                </c:pt>
                <c:pt idx="931">
                  <c:v>151.32</c:v>
                </c:pt>
                <c:pt idx="932">
                  <c:v>152.19</c:v>
                </c:pt>
                <c:pt idx="933">
                  <c:v>152.28</c:v>
                </c:pt>
                <c:pt idx="934">
                  <c:v>152.01</c:v>
                </c:pt>
                <c:pt idx="935">
                  <c:v>152.41</c:v>
                </c:pt>
                <c:pt idx="936">
                  <c:v>152.75</c:v>
                </c:pt>
                <c:pt idx="937">
                  <c:v>155.91999999999999</c:v>
                </c:pt>
                <c:pt idx="938">
                  <c:v>155.56</c:v>
                </c:pt>
                <c:pt idx="939">
                  <c:v>156.01</c:v>
                </c:pt>
                <c:pt idx="940">
                  <c:v>155.27000000000001</c:v>
                </c:pt>
                <c:pt idx="941">
                  <c:v>155.79</c:v>
                </c:pt>
                <c:pt idx="942">
                  <c:v>156.28</c:v>
                </c:pt>
                <c:pt idx="943">
                  <c:v>157.69</c:v>
                </c:pt>
                <c:pt idx="944">
                  <c:v>156.9</c:v>
                </c:pt>
                <c:pt idx="945">
                  <c:v>156.82</c:v>
                </c:pt>
                <c:pt idx="946">
                  <c:v>155.16999999999999</c:v>
                </c:pt>
                <c:pt idx="947">
                  <c:v>164.78</c:v>
                </c:pt>
                <c:pt idx="948">
                  <c:v>162.97999999999999</c:v>
                </c:pt>
                <c:pt idx="949">
                  <c:v>163.69999999999999</c:v>
                </c:pt>
                <c:pt idx="950">
                  <c:v>164.36</c:v>
                </c:pt>
                <c:pt idx="951">
                  <c:v>167.93</c:v>
                </c:pt>
                <c:pt idx="952">
                  <c:v>169.1</c:v>
                </c:pt>
                <c:pt idx="953">
                  <c:v>169.56</c:v>
                </c:pt>
                <c:pt idx="954">
                  <c:v>168.3</c:v>
                </c:pt>
                <c:pt idx="955">
                  <c:v>166.22</c:v>
                </c:pt>
                <c:pt idx="956">
                  <c:v>168.11</c:v>
                </c:pt>
                <c:pt idx="957">
                  <c:v>167.26</c:v>
                </c:pt>
                <c:pt idx="958">
                  <c:v>164.74</c:v>
                </c:pt>
                <c:pt idx="959">
                  <c:v>167.33</c:v>
                </c:pt>
                <c:pt idx="960">
                  <c:v>171.04</c:v>
                </c:pt>
                <c:pt idx="961">
                  <c:v>170.74</c:v>
                </c:pt>
                <c:pt idx="962">
                  <c:v>170.59</c:v>
                </c:pt>
                <c:pt idx="963">
                  <c:v>171.53</c:v>
                </c:pt>
                <c:pt idx="964">
                  <c:v>173.33</c:v>
                </c:pt>
                <c:pt idx="965">
                  <c:v>173.82</c:v>
                </c:pt>
                <c:pt idx="966">
                  <c:v>172.78</c:v>
                </c:pt>
                <c:pt idx="967">
                  <c:v>174.42</c:v>
                </c:pt>
                <c:pt idx="968">
                  <c:v>174.72</c:v>
                </c:pt>
                <c:pt idx="969">
                  <c:v>176.64</c:v>
                </c:pt>
                <c:pt idx="970">
                  <c:v>176.25</c:v>
                </c:pt>
                <c:pt idx="971">
                  <c:v>177.8</c:v>
                </c:pt>
                <c:pt idx="972">
                  <c:v>178.84</c:v>
                </c:pt>
                <c:pt idx="973">
                  <c:v>178.93</c:v>
                </c:pt>
                <c:pt idx="974">
                  <c:v>179.29</c:v>
                </c:pt>
                <c:pt idx="975">
                  <c:v>178.41</c:v>
                </c:pt>
                <c:pt idx="976">
                  <c:v>176.49</c:v>
                </c:pt>
                <c:pt idx="977">
                  <c:v>176.79</c:v>
                </c:pt>
                <c:pt idx="978">
                  <c:v>175.45</c:v>
                </c:pt>
                <c:pt idx="979">
                  <c:v>177.17</c:v>
                </c:pt>
                <c:pt idx="980">
                  <c:v>178.06</c:v>
                </c:pt>
                <c:pt idx="981">
                  <c:v>178</c:v>
                </c:pt>
                <c:pt idx="982">
                  <c:v>178.76</c:v>
                </c:pt>
                <c:pt idx="983">
                  <c:v>178.43</c:v>
                </c:pt>
                <c:pt idx="984">
                  <c:v>178.13</c:v>
                </c:pt>
                <c:pt idx="985">
                  <c:v>176.96</c:v>
                </c:pt>
                <c:pt idx="986">
                  <c:v>175.79</c:v>
                </c:pt>
                <c:pt idx="987">
                  <c:v>178.5</c:v>
                </c:pt>
                <c:pt idx="988">
                  <c:v>178.06</c:v>
                </c:pt>
                <c:pt idx="989">
                  <c:v>177.4</c:v>
                </c:pt>
                <c:pt idx="990">
                  <c:v>176.46</c:v>
                </c:pt>
                <c:pt idx="991">
                  <c:v>177.2</c:v>
                </c:pt>
                <c:pt idx="992">
                  <c:v>174.16</c:v>
                </c:pt>
                <c:pt idx="993">
                  <c:v>176.19</c:v>
                </c:pt>
                <c:pt idx="994">
                  <c:v>174.21</c:v>
                </c:pt>
                <c:pt idx="995">
                  <c:v>176.58</c:v>
                </c:pt>
                <c:pt idx="996">
                  <c:v>176.69</c:v>
                </c:pt>
                <c:pt idx="997">
                  <c:v>177.73</c:v>
                </c:pt>
                <c:pt idx="998">
                  <c:v>179.71</c:v>
                </c:pt>
                <c:pt idx="999">
                  <c:v>181.62</c:v>
                </c:pt>
                <c:pt idx="1000">
                  <c:v>185.42</c:v>
                </c:pt>
                <c:pt idx="1001">
                  <c:v>186.05</c:v>
                </c:pt>
                <c:pt idx="1002">
                  <c:v>185.98</c:v>
                </c:pt>
                <c:pt idx="1003">
                  <c:v>188.64</c:v>
                </c:pt>
                <c:pt idx="1004">
                  <c:v>188.16</c:v>
                </c:pt>
                <c:pt idx="1005">
                  <c:v>188.89</c:v>
                </c:pt>
                <c:pt idx="1006">
                  <c:v>189.69</c:v>
                </c:pt>
                <c:pt idx="1007">
                  <c:v>191.08</c:v>
                </c:pt>
                <c:pt idx="1008">
                  <c:v>190.72</c:v>
                </c:pt>
                <c:pt idx="1009">
                  <c:v>190.9</c:v>
                </c:pt>
                <c:pt idx="1010">
                  <c:v>190.85</c:v>
                </c:pt>
                <c:pt idx="1011">
                  <c:v>191.17</c:v>
                </c:pt>
                <c:pt idx="1012">
                  <c:v>192.12</c:v>
                </c:pt>
                <c:pt idx="1013">
                  <c:v>193.22</c:v>
                </c:pt>
                <c:pt idx="1014">
                  <c:v>193.72</c:v>
                </c:pt>
                <c:pt idx="1015">
                  <c:v>191.88</c:v>
                </c:pt>
                <c:pt idx="1016">
                  <c:v>192.94</c:v>
                </c:pt>
                <c:pt idx="1017">
                  <c:v>192.47</c:v>
                </c:pt>
                <c:pt idx="1018">
                  <c:v>190.4</c:v>
                </c:pt>
                <c:pt idx="1019">
                  <c:v>190.3</c:v>
                </c:pt>
                <c:pt idx="1020">
                  <c:v>186.93</c:v>
                </c:pt>
                <c:pt idx="1021">
                  <c:v>186.6</c:v>
                </c:pt>
                <c:pt idx="1022">
                  <c:v>189.05</c:v>
                </c:pt>
                <c:pt idx="1023">
                  <c:v>188.87</c:v>
                </c:pt>
                <c:pt idx="1024">
                  <c:v>186.26</c:v>
                </c:pt>
                <c:pt idx="1025">
                  <c:v>186.86</c:v>
                </c:pt>
                <c:pt idx="1026">
                  <c:v>186</c:v>
                </c:pt>
                <c:pt idx="1027">
                  <c:v>186.97</c:v>
                </c:pt>
                <c:pt idx="1028">
                  <c:v>186.57</c:v>
                </c:pt>
                <c:pt idx="1029">
                  <c:v>188.41</c:v>
                </c:pt>
                <c:pt idx="1030">
                  <c:v>193.83</c:v>
                </c:pt>
                <c:pt idx="1031">
                  <c:v>194.39</c:v>
                </c:pt>
                <c:pt idx="1032">
                  <c:v>195.25</c:v>
                </c:pt>
                <c:pt idx="1033">
                  <c:v>195.93</c:v>
                </c:pt>
                <c:pt idx="1034">
                  <c:v>199.58</c:v>
                </c:pt>
                <c:pt idx="1035">
                  <c:v>200</c:v>
                </c:pt>
                <c:pt idx="1036">
                  <c:v>202.51</c:v>
                </c:pt>
                <c:pt idx="1037">
                  <c:v>203.07</c:v>
                </c:pt>
                <c:pt idx="1038">
                  <c:v>203.9</c:v>
                </c:pt>
                <c:pt idx="1039">
                  <c:v>206.05</c:v>
                </c:pt>
                <c:pt idx="1040">
                  <c:v>206.67</c:v>
                </c:pt>
                <c:pt idx="1041">
                  <c:v>207.56</c:v>
                </c:pt>
                <c:pt idx="1042">
                  <c:v>206.92</c:v>
                </c:pt>
                <c:pt idx="1043">
                  <c:v>205.34</c:v>
                </c:pt>
                <c:pt idx="1044">
                  <c:v>205.42</c:v>
                </c:pt>
                <c:pt idx="1045">
                  <c:v>205.33</c:v>
                </c:pt>
                <c:pt idx="1046">
                  <c:v>202.48</c:v>
                </c:pt>
                <c:pt idx="1047">
                  <c:v>201.93</c:v>
                </c:pt>
                <c:pt idx="1048">
                  <c:v>201.62</c:v>
                </c:pt>
                <c:pt idx="1049">
                  <c:v>199.96</c:v>
                </c:pt>
                <c:pt idx="1050">
                  <c:v>206.54</c:v>
                </c:pt>
                <c:pt idx="1051">
                  <c:v>210.01</c:v>
                </c:pt>
                <c:pt idx="1052">
                  <c:v>211.58</c:v>
                </c:pt>
                <c:pt idx="1053">
                  <c:v>214.17</c:v>
                </c:pt>
                <c:pt idx="1054">
                  <c:v>209.3</c:v>
                </c:pt>
                <c:pt idx="1055">
                  <c:v>210.33</c:v>
                </c:pt>
                <c:pt idx="1056">
                  <c:v>208.31</c:v>
                </c:pt>
                <c:pt idx="1057">
                  <c:v>206.37</c:v>
                </c:pt>
                <c:pt idx="1058">
                  <c:v>207.32</c:v>
                </c:pt>
                <c:pt idx="1059">
                  <c:v>205.78</c:v>
                </c:pt>
                <c:pt idx="1060">
                  <c:v>207.78</c:v>
                </c:pt>
                <c:pt idx="1061">
                  <c:v>207.63</c:v>
                </c:pt>
                <c:pt idx="1062">
                  <c:v>207.56</c:v>
                </c:pt>
                <c:pt idx="1063">
                  <c:v>206.91</c:v>
                </c:pt>
                <c:pt idx="1064">
                  <c:v>206.95</c:v>
                </c:pt>
                <c:pt idx="1065">
                  <c:v>207.35</c:v>
                </c:pt>
                <c:pt idx="1066">
                  <c:v>204.31</c:v>
                </c:pt>
                <c:pt idx="1067">
                  <c:v>204.79</c:v>
                </c:pt>
                <c:pt idx="1068">
                  <c:v>207.49</c:v>
                </c:pt>
                <c:pt idx="1069">
                  <c:v>205.75</c:v>
                </c:pt>
                <c:pt idx="1070">
                  <c:v>204.39</c:v>
                </c:pt>
                <c:pt idx="1071">
                  <c:v>209.72</c:v>
                </c:pt>
                <c:pt idx="1072">
                  <c:v>213.65</c:v>
                </c:pt>
                <c:pt idx="1073">
                  <c:v>218.55</c:v>
                </c:pt>
                <c:pt idx="1074">
                  <c:v>219.57</c:v>
                </c:pt>
                <c:pt idx="1075">
                  <c:v>218.66</c:v>
                </c:pt>
                <c:pt idx="1076">
                  <c:v>218.21</c:v>
                </c:pt>
                <c:pt idx="1077">
                  <c:v>218.01</c:v>
                </c:pt>
                <c:pt idx="1078">
                  <c:v>218.49</c:v>
                </c:pt>
                <c:pt idx="1079">
                  <c:v>220.14</c:v>
                </c:pt>
                <c:pt idx="1080">
                  <c:v>221.49</c:v>
                </c:pt>
                <c:pt idx="1081">
                  <c:v>224.44</c:v>
                </c:pt>
                <c:pt idx="1082">
                  <c:v>227.72</c:v>
                </c:pt>
                <c:pt idx="1083">
                  <c:v>227.29</c:v>
                </c:pt>
                <c:pt idx="1084">
                  <c:v>227.25</c:v>
                </c:pt>
                <c:pt idx="1085">
                  <c:v>230.75</c:v>
                </c:pt>
                <c:pt idx="1086">
                  <c:v>233.1</c:v>
                </c:pt>
                <c:pt idx="1087">
                  <c:v>234.47</c:v>
                </c:pt>
                <c:pt idx="1088">
                  <c:v>237.79</c:v>
                </c:pt>
                <c:pt idx="1089">
                  <c:v>239.99</c:v>
                </c:pt>
                <c:pt idx="1090">
                  <c:v>238.64</c:v>
                </c:pt>
                <c:pt idx="1091">
                  <c:v>238.35</c:v>
                </c:pt>
                <c:pt idx="1092">
                  <c:v>240.86</c:v>
                </c:pt>
                <c:pt idx="1093">
                  <c:v>244.55</c:v>
                </c:pt>
                <c:pt idx="1094">
                  <c:v>243.45</c:v>
                </c:pt>
                <c:pt idx="1095">
                  <c:v>243.33</c:v>
                </c:pt>
                <c:pt idx="1096">
                  <c:v>244.99</c:v>
                </c:pt>
                <c:pt idx="1097">
                  <c:v>246.91</c:v>
                </c:pt>
                <c:pt idx="1098">
                  <c:v>242.49</c:v>
                </c:pt>
                <c:pt idx="1099">
                  <c:v>245.84</c:v>
                </c:pt>
                <c:pt idx="1100">
                  <c:v>246.28</c:v>
                </c:pt>
                <c:pt idx="1101">
                  <c:v>245.17</c:v>
                </c:pt>
                <c:pt idx="1102">
                  <c:v>243.47</c:v>
                </c:pt>
                <c:pt idx="1103">
                  <c:v>248.43</c:v>
                </c:pt>
                <c:pt idx="1104">
                  <c:v>248.56</c:v>
                </c:pt>
                <c:pt idx="1105">
                  <c:v>246.75</c:v>
                </c:pt>
                <c:pt idx="1106">
                  <c:v>245.3</c:v>
                </c:pt>
                <c:pt idx="1107">
                  <c:v>239.63</c:v>
                </c:pt>
                <c:pt idx="1108">
                  <c:v>240.4</c:v>
                </c:pt>
                <c:pt idx="1109">
                  <c:v>242.59</c:v>
                </c:pt>
                <c:pt idx="1110">
                  <c:v>243.71</c:v>
                </c:pt>
                <c:pt idx="1111">
                  <c:v>242.99</c:v>
                </c:pt>
                <c:pt idx="1112">
                  <c:v>242.04</c:v>
                </c:pt>
                <c:pt idx="1113">
                  <c:v>241.52</c:v>
                </c:pt>
                <c:pt idx="1114">
                  <c:v>243.19</c:v>
                </c:pt>
                <c:pt idx="1115">
                  <c:v>238.11</c:v>
                </c:pt>
                <c:pt idx="1116">
                  <c:v>237.28</c:v>
                </c:pt>
                <c:pt idx="1117">
                  <c:v>237.6</c:v>
                </c:pt>
                <c:pt idx="1118">
                  <c:v>235.37</c:v>
                </c:pt>
                <c:pt idx="1119">
                  <c:v>235.42</c:v>
                </c:pt>
                <c:pt idx="1120">
                  <c:v>235.27</c:v>
                </c:pt>
                <c:pt idx="1121">
                  <c:v>239.93</c:v>
                </c:pt>
                <c:pt idx="1122">
                  <c:v>239.24</c:v>
                </c:pt>
                <c:pt idx="1123">
                  <c:v>240.45</c:v>
                </c:pt>
                <c:pt idx="1124">
                  <c:v>242.49</c:v>
                </c:pt>
                <c:pt idx="1125">
                  <c:v>244.44</c:v>
                </c:pt>
                <c:pt idx="1126">
                  <c:v>244.12</c:v>
                </c:pt>
                <c:pt idx="1127">
                  <c:v>243.04</c:v>
                </c:pt>
                <c:pt idx="1128">
                  <c:v>240.97</c:v>
                </c:pt>
                <c:pt idx="1129">
                  <c:v>238.41</c:v>
                </c:pt>
                <c:pt idx="1130">
                  <c:v>241.3</c:v>
                </c:pt>
                <c:pt idx="1131">
                  <c:v>241.31</c:v>
                </c:pt>
                <c:pt idx="1132">
                  <c:v>238.46</c:v>
                </c:pt>
                <c:pt idx="1133">
                  <c:v>237.96</c:v>
                </c:pt>
                <c:pt idx="1134">
                  <c:v>240.1</c:v>
                </c:pt>
                <c:pt idx="1135">
                  <c:v>238.67</c:v>
                </c:pt>
                <c:pt idx="1136">
                  <c:v>234.54</c:v>
                </c:pt>
                <c:pt idx="1137">
                  <c:v>234.18</c:v>
                </c:pt>
                <c:pt idx="1138">
                  <c:v>230.69</c:v>
                </c:pt>
                <c:pt idx="1139">
                  <c:v>226.16</c:v>
                </c:pt>
                <c:pt idx="1140">
                  <c:v>226.1</c:v>
                </c:pt>
                <c:pt idx="1141">
                  <c:v>230.65</c:v>
                </c:pt>
                <c:pt idx="1142">
                  <c:v>227.5</c:v>
                </c:pt>
                <c:pt idx="1143">
                  <c:v>225.34</c:v>
                </c:pt>
                <c:pt idx="1144">
                  <c:v>227.79</c:v>
                </c:pt>
                <c:pt idx="1145">
                  <c:v>227.35</c:v>
                </c:pt>
                <c:pt idx="1146">
                  <c:v>229.85</c:v>
                </c:pt>
                <c:pt idx="1147">
                  <c:v>227.19</c:v>
                </c:pt>
                <c:pt idx="1148">
                  <c:v>224.2</c:v>
                </c:pt>
                <c:pt idx="1149">
                  <c:v>225.55</c:v>
                </c:pt>
                <c:pt idx="1150">
                  <c:v>224.62</c:v>
                </c:pt>
                <c:pt idx="1151">
                  <c:v>222.51</c:v>
                </c:pt>
                <c:pt idx="1152">
                  <c:v>221.32</c:v>
                </c:pt>
                <c:pt idx="1153">
                  <c:v>221.43</c:v>
                </c:pt>
                <c:pt idx="1154">
                  <c:v>224.26</c:v>
                </c:pt>
                <c:pt idx="1155">
                  <c:v>230.42</c:v>
                </c:pt>
                <c:pt idx="1156">
                  <c:v>230.8</c:v>
                </c:pt>
                <c:pt idx="1157">
                  <c:v>226.71</c:v>
                </c:pt>
                <c:pt idx="1158">
                  <c:v>228.92</c:v>
                </c:pt>
                <c:pt idx="1159">
                  <c:v>230</c:v>
                </c:pt>
                <c:pt idx="1160">
                  <c:v>229.32</c:v>
                </c:pt>
                <c:pt idx="1161">
                  <c:v>231.73</c:v>
                </c:pt>
                <c:pt idx="1162">
                  <c:v>234.34</c:v>
                </c:pt>
                <c:pt idx="1163">
                  <c:v>230.18</c:v>
                </c:pt>
                <c:pt idx="1164">
                  <c:v>231.29</c:v>
                </c:pt>
                <c:pt idx="1165">
                  <c:v>230.8</c:v>
                </c:pt>
                <c:pt idx="1166">
                  <c:v>225.33</c:v>
                </c:pt>
                <c:pt idx="1167">
                  <c:v>223.51</c:v>
                </c:pt>
                <c:pt idx="1168">
                  <c:v>222.89</c:v>
                </c:pt>
                <c:pt idx="1169">
                  <c:v>223.24</c:v>
                </c:pt>
                <c:pt idx="1170">
                  <c:v>228.17</c:v>
                </c:pt>
                <c:pt idx="1171">
                  <c:v>232.77</c:v>
                </c:pt>
                <c:pt idx="1172">
                  <c:v>232.16</c:v>
                </c:pt>
                <c:pt idx="1173">
                  <c:v>237</c:v>
                </c:pt>
                <c:pt idx="1174">
                  <c:v>238.49</c:v>
                </c:pt>
                <c:pt idx="1175">
                  <c:v>238.33</c:v>
                </c:pt>
                <c:pt idx="1176">
                  <c:v>240.87</c:v>
                </c:pt>
                <c:pt idx="1177">
                  <c:v>235.66</c:v>
                </c:pt>
                <c:pt idx="1178">
                  <c:v>235.18</c:v>
                </c:pt>
                <c:pt idx="1179">
                  <c:v>234.2</c:v>
                </c:pt>
                <c:pt idx="1180">
                  <c:v>228.39</c:v>
                </c:pt>
                <c:pt idx="1181">
                  <c:v>231.29</c:v>
                </c:pt>
                <c:pt idx="1182">
                  <c:v>239.08</c:v>
                </c:pt>
                <c:pt idx="1183">
                  <c:v>241</c:v>
                </c:pt>
                <c:pt idx="1184">
                  <c:v>244.88</c:v>
                </c:pt>
                <c:pt idx="1185">
                  <c:v>254.66</c:v>
                </c:pt>
                <c:pt idx="1186">
                  <c:v>258.51</c:v>
                </c:pt>
                <c:pt idx="1187">
                  <c:v>253.97</c:v>
                </c:pt>
                <c:pt idx="1188">
                  <c:v>253.98</c:v>
                </c:pt>
                <c:pt idx="1189">
                  <c:v>263.04000000000002</c:v>
                </c:pt>
                <c:pt idx="1190">
                  <c:v>259.33</c:v>
                </c:pt>
                <c:pt idx="1191">
                  <c:v>267.24</c:v>
                </c:pt>
                <c:pt idx="1192">
                  <c:v>263.39999999999998</c:v>
                </c:pt>
                <c:pt idx="1193">
                  <c:v>259.10000000000002</c:v>
                </c:pt>
                <c:pt idx="1194">
                  <c:v>256.98</c:v>
                </c:pt>
                <c:pt idx="1195">
                  <c:v>257.77</c:v>
                </c:pt>
                <c:pt idx="1196">
                  <c:v>253.85</c:v>
                </c:pt>
                <c:pt idx="1197">
                  <c:v>247.02</c:v>
                </c:pt>
                <c:pt idx="1198">
                  <c:v>249.97</c:v>
                </c:pt>
                <c:pt idx="1199">
                  <c:v>253.04</c:v>
                </c:pt>
                <c:pt idx="1200">
                  <c:v>248.82</c:v>
                </c:pt>
                <c:pt idx="1201">
                  <c:v>250.61</c:v>
                </c:pt>
                <c:pt idx="1202">
                  <c:v>255.63</c:v>
                </c:pt>
                <c:pt idx="1203">
                  <c:v>259.27</c:v>
                </c:pt>
                <c:pt idx="1204">
                  <c:v>263.39999999999998</c:v>
                </c:pt>
                <c:pt idx="1205">
                  <c:v>265.95</c:v>
                </c:pt>
                <c:pt idx="1206">
                  <c:v>266.73</c:v>
                </c:pt>
                <c:pt idx="1207">
                  <c:v>265.52999999999997</c:v>
                </c:pt>
                <c:pt idx="1208">
                  <c:v>255.82</c:v>
                </c:pt>
                <c:pt idx="1209">
                  <c:v>256.35000000000002</c:v>
                </c:pt>
                <c:pt idx="1210">
                  <c:v>254.41</c:v>
                </c:pt>
                <c:pt idx="1211">
                  <c:v>254.93</c:v>
                </c:pt>
                <c:pt idx="1212">
                  <c:v>257.58999999999997</c:v>
                </c:pt>
                <c:pt idx="1213">
                  <c:v>256.98</c:v>
                </c:pt>
                <c:pt idx="1214">
                  <c:v>259.24</c:v>
                </c:pt>
                <c:pt idx="1215">
                  <c:v>261.81</c:v>
                </c:pt>
                <c:pt idx="1216">
                  <c:v>259.8</c:v>
                </c:pt>
                <c:pt idx="1217">
                  <c:v>260.86</c:v>
                </c:pt>
                <c:pt idx="1218">
                  <c:v>262.08</c:v>
                </c:pt>
                <c:pt idx="1219">
                  <c:v>260.35000000000002</c:v>
                </c:pt>
                <c:pt idx="1220">
                  <c:v>262.37</c:v>
                </c:pt>
                <c:pt idx="1221">
                  <c:v>271.11</c:v>
                </c:pt>
                <c:pt idx="1222">
                  <c:v>273.41000000000003</c:v>
                </c:pt>
                <c:pt idx="1223">
                  <c:v>267.37</c:v>
                </c:pt>
                <c:pt idx="1224">
                  <c:v>270.24</c:v>
                </c:pt>
                <c:pt idx="1225">
                  <c:v>273.04000000000002</c:v>
                </c:pt>
                <c:pt idx="1226">
                  <c:v>273.14</c:v>
                </c:pt>
                <c:pt idx="1227">
                  <c:v>270</c:v>
                </c:pt>
                <c:pt idx="1228">
                  <c:v>265.77</c:v>
                </c:pt>
                <c:pt idx="1229">
                  <c:v>268.04000000000002</c:v>
                </c:pt>
                <c:pt idx="1230">
                  <c:v>265.85000000000002</c:v>
                </c:pt>
                <c:pt idx="1231">
                  <c:v>271.19</c:v>
                </c:pt>
                <c:pt idx="1232">
                  <c:v>275.20999999999998</c:v>
                </c:pt>
                <c:pt idx="1233">
                  <c:v>278.43</c:v>
                </c:pt>
                <c:pt idx="1234">
                  <c:v>275.23</c:v>
                </c:pt>
                <c:pt idx="1235">
                  <c:v>269.12</c:v>
                </c:pt>
                <c:pt idx="1236">
                  <c:v>267.08</c:v>
                </c:pt>
                <c:pt idx="1237">
                  <c:v>266.35000000000002</c:v>
                </c:pt>
                <c:pt idx="1238">
                  <c:v>265.58</c:v>
                </c:pt>
                <c:pt idx="1239">
                  <c:v>266.32</c:v>
                </c:pt>
                <c:pt idx="1240">
                  <c:v>267.2</c:v>
                </c:pt>
                <c:pt idx="1241">
                  <c:v>267.27999999999997</c:v>
                </c:pt>
                <c:pt idx="1242">
                  <c:v>270.22000000000003</c:v>
                </c:pt>
                <c:pt idx="1243">
                  <c:v>269.99</c:v>
                </c:pt>
                <c:pt idx="1244">
                  <c:v>269.47000000000003</c:v>
                </c:pt>
                <c:pt idx="1245">
                  <c:v>269.19</c:v>
                </c:pt>
                <c:pt idx="1246">
                  <c:v>269.17</c:v>
                </c:pt>
                <c:pt idx="1247">
                  <c:v>270.68</c:v>
                </c:pt>
                <c:pt idx="1248">
                  <c:v>271.22000000000003</c:v>
                </c:pt>
                <c:pt idx="1249">
                  <c:v>271.95</c:v>
                </c:pt>
                <c:pt idx="1250">
                  <c:v>267.57</c:v>
                </c:pt>
                <c:pt idx="1251">
                  <c:v>264.74</c:v>
                </c:pt>
                <c:pt idx="1252">
                  <c:v>258.66000000000003</c:v>
                </c:pt>
                <c:pt idx="1253">
                  <c:v>256.02999999999997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A4-42D1-92BB-4F3E11108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031407"/>
        <c:axId val="242640687"/>
      </c:lineChart>
      <c:dateAx>
        <c:axId val="1447031407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640687"/>
        <c:crosses val="autoZero"/>
        <c:auto val="0"/>
        <c:lblOffset val="100"/>
        <c:baseTimeUnit val="days"/>
      </c:dateAx>
      <c:valAx>
        <c:axId val="242640687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4470314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D-406E-92EF-A4FCEB97DE8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5D-406E-92EF-A4FCEB97DE8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5D-406E-92EF-A4FCEB97DE8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5D-406E-92EF-A4FCEB97DE8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5D-406E-92EF-A4FCEB97DE8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5D-406E-92EF-A4FCEB97DE83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95D-406E-92EF-A4FCEB97DE83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95D-406E-92EF-A4FCEB97DE83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95D-406E-92EF-A4FCEB97DE83}"/>
            </c:ext>
          </c:extLst>
        </c:ser>
        <c:ser>
          <c:idx val="9"/>
          <c:order val="9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95D-406E-92EF-A4FCEB97DE8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95D-406E-92EF-A4FCEB97DE83}"/>
            </c:ext>
          </c:extLst>
        </c:ser>
        <c:ser>
          <c:idx val="11"/>
          <c:order val="11"/>
          <c:tx>
            <c:v>JnJ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5D-406E-92EF-A4FCEB97D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434863"/>
        <c:axId val="1652736655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C95D-406E-92EF-A4FCEB97DE8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95D-406E-92EF-A4FCEB97DE8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95D-406E-92EF-A4FCEB97DE8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95D-406E-92EF-A4FCEB97DE8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C95D-406E-92EF-A4FCEB97DE8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95D-406E-92EF-A4FCEB97DE8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95D-406E-92EF-A4FCEB97DE8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95D-406E-92EF-A4FCEB97DE8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C95D-406E-92EF-A4FCEB97DE8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C95D-406E-92EF-A4FCEB97DE8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C95D-406E-92EF-A4FCEB97DE8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C95D-406E-92EF-A4FCEB97DE83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C95D-406E-92EF-A4FCEB97DE8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C95D-406E-92EF-A4FCEB97DE83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C95D-406E-92EF-A4FCEB97DE8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C95D-406E-92EF-A4FCEB97DE83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C95D-406E-92EF-A4FCEB97DE8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C95D-406E-92EF-A4FCEB97DE83}"/>
            </c:ext>
          </c:extLst>
        </c:ser>
        <c:ser>
          <c:idx val="30"/>
          <c:order val="30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C95D-406E-92EF-A4FCEB97DE8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C95D-406E-92EF-A4FCEB97DE8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C95D-406E-92EF-A4FCEB97DE8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C95D-406E-92EF-A4FCEB97DE83}"/>
            </c:ext>
          </c:extLst>
        </c:ser>
        <c:ser>
          <c:idx val="34"/>
          <c:order val="34"/>
          <c:tx>
            <c:v>JnJ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C95D-406E-92EF-A4FCEB97DE8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C95D-406E-92EF-A4FCEB97DE8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C95D-406E-92EF-A4FCEB97D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434863"/>
        <c:axId val="1652736655"/>
      </c:scatterChart>
      <c:dateAx>
        <c:axId val="1758434863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652736655"/>
        <c:crosses val="autoZero"/>
        <c:auto val="0"/>
        <c:lblOffset val="100"/>
        <c:baseTimeUnit val="days"/>
      </c:dateAx>
      <c:valAx>
        <c:axId val="1652736655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758434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JNJ Price Chart">
          <a:extLst>
            <a:ext uri="{FF2B5EF4-FFF2-40B4-BE49-F238E27FC236}">
              <a16:creationId xmlns:a16="http://schemas.microsoft.com/office/drawing/2014/main" id="{CC216C79-E6F4-2077-117B-2DE624041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0308FB36-3018-F898-E6FE-EFA6A1CD4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043-4F08-48C6-85D7-B2B2E59D81E1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159.86000000000001</v>
      </c>
      <c r="C5" s="5">
        <v>161.11000000000001</v>
      </c>
      <c r="D5" s="5">
        <v>159.15</v>
      </c>
      <c r="E5" s="5">
        <v>159.58000000000001</v>
      </c>
      <c r="F5" s="6">
        <v>5129033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159.87</v>
      </c>
      <c r="C6" s="5">
        <v>159.94999999999999</v>
      </c>
      <c r="D6" s="5">
        <v>157.84</v>
      </c>
      <c r="E6" s="5">
        <v>159.91</v>
      </c>
      <c r="F6" s="6">
        <v>7312649</v>
      </c>
    </row>
    <row r="7" spans="1:10" ht="15" x14ac:dyDescent="0.25">
      <c r="A7" s="4">
        <v>44476</v>
      </c>
      <c r="B7" s="5">
        <v>160.02000000000001</v>
      </c>
      <c r="C7" s="5">
        <v>162.61000000000001</v>
      </c>
      <c r="D7" s="5">
        <v>160.02000000000001</v>
      </c>
      <c r="E7" s="5">
        <v>161.34</v>
      </c>
      <c r="F7" s="6">
        <v>5309181</v>
      </c>
      <c r="H7" s="8" t="s">
        <v>13</v>
      </c>
    </row>
    <row r="8" spans="1:10" x14ac:dyDescent="0.2">
      <c r="A8" s="4">
        <v>44477</v>
      </c>
      <c r="B8" s="5">
        <v>161.32</v>
      </c>
      <c r="C8" s="5">
        <v>161.61000000000001</v>
      </c>
      <c r="D8" s="5">
        <v>160.25</v>
      </c>
      <c r="E8" s="5">
        <v>160.93</v>
      </c>
      <c r="F8" s="6">
        <v>4343438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160.86000000000001</v>
      </c>
      <c r="C9" s="5">
        <v>161.85499999999999</v>
      </c>
      <c r="D9" s="5">
        <v>159.94</v>
      </c>
      <c r="E9" s="5">
        <v>160.25</v>
      </c>
      <c r="F9" s="6">
        <v>4101646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160</v>
      </c>
      <c r="C10" s="5">
        <v>160.18</v>
      </c>
      <c r="D10" s="5">
        <v>157.34</v>
      </c>
      <c r="E10" s="5">
        <v>157.69</v>
      </c>
      <c r="F10" s="6">
        <v>6686443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157.82</v>
      </c>
      <c r="C11" s="5">
        <v>160.08000000000001</v>
      </c>
      <c r="D11" s="5">
        <v>157.75</v>
      </c>
      <c r="E11" s="5">
        <v>159.19999999999999</v>
      </c>
      <c r="F11" s="6">
        <v>6901589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159.71</v>
      </c>
      <c r="C12" s="5">
        <v>161.13999999999999</v>
      </c>
      <c r="D12" s="5">
        <v>159.6</v>
      </c>
      <c r="E12" s="5">
        <v>160.11000000000001</v>
      </c>
      <c r="F12" s="6">
        <v>4580894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161.03</v>
      </c>
      <c r="C13" s="5">
        <v>161.81</v>
      </c>
      <c r="D13" s="5">
        <v>160.41</v>
      </c>
      <c r="E13" s="5">
        <v>161.30000000000001</v>
      </c>
      <c r="F13" s="6">
        <v>6918407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160.25</v>
      </c>
      <c r="C14" s="5">
        <v>160.88999999999999</v>
      </c>
      <c r="D14" s="5">
        <v>159.19999999999999</v>
      </c>
      <c r="E14" s="5">
        <v>160.12</v>
      </c>
      <c r="F14" s="6">
        <v>7465461</v>
      </c>
      <c r="H14" s="10" t="s">
        <v>20</v>
      </c>
      <c r="I14" s="13">
        <f ca="1">IF($I$11="OK",INDEX(PxClose,I9),"")</f>
        <v>159.58000000000001</v>
      </c>
    </row>
    <row r="15" spans="1:10" x14ac:dyDescent="0.2">
      <c r="A15" s="4">
        <v>44488</v>
      </c>
      <c r="B15" s="5">
        <v>160.9</v>
      </c>
      <c r="C15" s="5">
        <v>165.15</v>
      </c>
      <c r="D15" s="5">
        <v>160.72499999999999</v>
      </c>
      <c r="E15" s="5">
        <v>163.87</v>
      </c>
      <c r="F15" s="6">
        <v>10081290</v>
      </c>
      <c r="H15" s="10" t="s">
        <v>21</v>
      </c>
      <c r="I15" s="13">
        <f ca="1">IF($I$11="OK",INDEX(PxClose,I10),"")</f>
        <v>256.02999999999997</v>
      </c>
    </row>
    <row r="16" spans="1:10" x14ac:dyDescent="0.2">
      <c r="A16" s="4">
        <v>44489</v>
      </c>
      <c r="B16" s="5">
        <v>163.98</v>
      </c>
      <c r="C16" s="5">
        <v>164.75</v>
      </c>
      <c r="D16" s="5">
        <v>163.26</v>
      </c>
      <c r="E16" s="5">
        <v>163.78</v>
      </c>
      <c r="F16" s="6">
        <v>6003177</v>
      </c>
      <c r="H16" s="14" t="s">
        <v>22</v>
      </c>
      <c r="I16" s="15">
        <f ca="1">IF($I$11="OK",I15/I14-1,"")</f>
        <v>0.60439904749968631</v>
      </c>
    </row>
    <row r="17" spans="1:8" x14ac:dyDescent="0.2">
      <c r="A17" s="4">
        <v>44490</v>
      </c>
      <c r="B17" s="5">
        <v>164.3</v>
      </c>
      <c r="C17" s="5">
        <v>164.39</v>
      </c>
      <c r="D17" s="5">
        <v>162.28</v>
      </c>
      <c r="E17" s="5">
        <v>163.4</v>
      </c>
      <c r="F17" s="6">
        <v>4524127</v>
      </c>
    </row>
    <row r="18" spans="1:8" ht="15.75" x14ac:dyDescent="0.25">
      <c r="A18" s="4">
        <v>44491</v>
      </c>
      <c r="B18" s="5">
        <v>163.06</v>
      </c>
      <c r="C18" s="5">
        <v>164.06</v>
      </c>
      <c r="D18" s="5">
        <v>162.96</v>
      </c>
      <c r="E18" s="5">
        <v>163.72</v>
      </c>
      <c r="F18" s="6">
        <v>4304467</v>
      </c>
      <c r="H18" s="1" t="str">
        <f ca="1">IF($I$11&lt;&gt;"OK",$I$11,"JNJ "&amp;IF(I16&gt;=0,"rose ","fell ")&amp;TEXT(ABS(I16),"0.0%")&amp;" from "&amp;TEXT(I14,"$#,##0.00")&amp;" on "&amp;TEXT(I12,"mmm d, yyyy")&amp;" to "&amp;TEXT(I15,"$#,##0.00")&amp;" on "&amp;TEXT(I13,"mmm d, yyyy")&amp;".")</f>
        <v>JNJ rose 60.4% from $159.58 on Oct 5, 2021 to $256.03 on Oct 2, 2026.</v>
      </c>
    </row>
    <row r="19" spans="1:8" x14ac:dyDescent="0.2">
      <c r="A19" s="4">
        <v>44494</v>
      </c>
      <c r="B19" s="5">
        <v>163.72</v>
      </c>
      <c r="C19" s="5">
        <v>164.31</v>
      </c>
      <c r="D19" s="5">
        <v>161.71</v>
      </c>
      <c r="E19" s="5">
        <v>164.08</v>
      </c>
      <c r="F19" s="6">
        <v>6715399</v>
      </c>
    </row>
    <row r="20" spans="1:8" x14ac:dyDescent="0.2">
      <c r="A20" s="4">
        <v>44495</v>
      </c>
      <c r="B20" s="5">
        <v>164.56</v>
      </c>
      <c r="C20" s="5">
        <v>166.03</v>
      </c>
      <c r="D20" s="5">
        <v>164.05</v>
      </c>
      <c r="E20" s="5">
        <v>165.75</v>
      </c>
      <c r="F20" s="6">
        <v>6939057</v>
      </c>
    </row>
    <row r="21" spans="1:8" x14ac:dyDescent="0.2">
      <c r="A21" s="4">
        <v>44496</v>
      </c>
      <c r="B21" s="5">
        <v>165.68</v>
      </c>
      <c r="C21" s="5">
        <v>165.76</v>
      </c>
      <c r="D21" s="5">
        <v>163.30500000000001</v>
      </c>
      <c r="E21" s="5">
        <v>163.74</v>
      </c>
      <c r="F21" s="6">
        <v>7018787</v>
      </c>
    </row>
    <row r="22" spans="1:8" x14ac:dyDescent="0.2">
      <c r="A22" s="4">
        <v>44497</v>
      </c>
      <c r="B22" s="5">
        <v>163.77000000000001</v>
      </c>
      <c r="C22" s="5">
        <v>165.2</v>
      </c>
      <c r="D22" s="5">
        <v>162.32</v>
      </c>
      <c r="E22" s="5">
        <v>162.85</v>
      </c>
      <c r="F22" s="6">
        <v>6278844</v>
      </c>
    </row>
    <row r="23" spans="1:8" x14ac:dyDescent="0.2">
      <c r="A23" s="4">
        <v>44498</v>
      </c>
      <c r="B23" s="5">
        <v>162.35</v>
      </c>
      <c r="C23" s="5">
        <v>163.25</v>
      </c>
      <c r="D23" s="5">
        <v>160.61000000000001</v>
      </c>
      <c r="E23" s="5">
        <v>162.88</v>
      </c>
      <c r="F23" s="6">
        <v>8526806</v>
      </c>
    </row>
    <row r="24" spans="1:8" x14ac:dyDescent="0.2">
      <c r="A24" s="4">
        <v>44501</v>
      </c>
      <c r="B24" s="5">
        <v>163.16</v>
      </c>
      <c r="C24" s="5">
        <v>163.98</v>
      </c>
      <c r="D24" s="5">
        <v>159.4</v>
      </c>
      <c r="E24" s="5">
        <v>163.02000000000001</v>
      </c>
      <c r="F24" s="6">
        <v>5846426</v>
      </c>
    </row>
    <row r="25" spans="1:8" x14ac:dyDescent="0.2">
      <c r="A25" s="4">
        <v>44502</v>
      </c>
      <c r="B25" s="5">
        <v>163.69999999999999</v>
      </c>
      <c r="C25" s="5">
        <v>166.98179999999999</v>
      </c>
      <c r="D25" s="5">
        <v>162.97999999999999</v>
      </c>
      <c r="E25" s="5">
        <v>165.59</v>
      </c>
      <c r="F25" s="6">
        <v>8450626</v>
      </c>
    </row>
    <row r="26" spans="1:8" x14ac:dyDescent="0.2">
      <c r="A26" s="4">
        <v>44503</v>
      </c>
      <c r="B26" s="5">
        <v>165.04</v>
      </c>
      <c r="C26" s="5">
        <v>165.77</v>
      </c>
      <c r="D26" s="5">
        <v>163.43</v>
      </c>
      <c r="E26" s="5">
        <v>165.06</v>
      </c>
      <c r="F26" s="6">
        <v>6717787</v>
      </c>
    </row>
    <row r="27" spans="1:8" x14ac:dyDescent="0.2">
      <c r="A27" s="4">
        <v>44504</v>
      </c>
      <c r="B27" s="5">
        <v>164.935</v>
      </c>
      <c r="C27" s="5">
        <v>164.99</v>
      </c>
      <c r="D27" s="5">
        <v>162.66999999999999</v>
      </c>
      <c r="E27" s="5">
        <v>164.6</v>
      </c>
      <c r="F27" s="6">
        <v>8224377</v>
      </c>
    </row>
    <row r="28" spans="1:8" x14ac:dyDescent="0.2">
      <c r="A28" s="4">
        <v>44505</v>
      </c>
      <c r="B28" s="5">
        <v>162.47999999999999</v>
      </c>
      <c r="C28" s="5">
        <v>164.6</v>
      </c>
      <c r="D28" s="5">
        <v>162.19999999999999</v>
      </c>
      <c r="E28" s="5">
        <v>163.43</v>
      </c>
      <c r="F28" s="6">
        <v>6215911</v>
      </c>
    </row>
    <row r="29" spans="1:8" x14ac:dyDescent="0.2">
      <c r="A29" s="4">
        <v>44508</v>
      </c>
      <c r="B29" s="5">
        <v>163.68</v>
      </c>
      <c r="C29" s="5">
        <v>164.17</v>
      </c>
      <c r="D29" s="5">
        <v>162.01</v>
      </c>
      <c r="E29" s="5">
        <v>162.87</v>
      </c>
      <c r="F29" s="6">
        <v>5579037</v>
      </c>
    </row>
    <row r="30" spans="1:8" x14ac:dyDescent="0.2">
      <c r="A30" s="4">
        <v>44509</v>
      </c>
      <c r="B30" s="5">
        <v>162.61000000000001</v>
      </c>
      <c r="C30" s="5">
        <v>163.59</v>
      </c>
      <c r="D30" s="5">
        <v>162.02000000000001</v>
      </c>
      <c r="E30" s="5">
        <v>162.51</v>
      </c>
      <c r="F30" s="6">
        <v>6112777</v>
      </c>
    </row>
    <row r="31" spans="1:8" x14ac:dyDescent="0.2">
      <c r="A31" s="4">
        <v>44510</v>
      </c>
      <c r="B31" s="5">
        <v>162.53</v>
      </c>
      <c r="C31" s="5">
        <v>164.84</v>
      </c>
      <c r="D31" s="5">
        <v>162.35</v>
      </c>
      <c r="E31" s="5">
        <v>164.27</v>
      </c>
      <c r="F31" s="6">
        <v>6225098</v>
      </c>
    </row>
    <row r="32" spans="1:8" x14ac:dyDescent="0.2">
      <c r="A32" s="4">
        <v>44511</v>
      </c>
      <c r="B32" s="5">
        <v>163.49</v>
      </c>
      <c r="C32" s="5">
        <v>163.81</v>
      </c>
      <c r="D32" s="5">
        <v>162.49209999999999</v>
      </c>
      <c r="E32" s="5">
        <v>163.06</v>
      </c>
      <c r="F32" s="6">
        <v>4118791</v>
      </c>
    </row>
    <row r="33" spans="1:23" x14ac:dyDescent="0.2">
      <c r="A33" s="4">
        <v>44512</v>
      </c>
      <c r="B33" s="5">
        <v>167.43</v>
      </c>
      <c r="C33" s="5">
        <v>167.62</v>
      </c>
      <c r="D33" s="5">
        <v>164.61</v>
      </c>
      <c r="E33" s="5">
        <v>165.01</v>
      </c>
      <c r="F33" s="6">
        <v>18995210</v>
      </c>
    </row>
    <row r="34" spans="1:23" x14ac:dyDescent="0.2">
      <c r="A34" s="4">
        <v>44515</v>
      </c>
      <c r="B34" s="5">
        <v>165</v>
      </c>
      <c r="C34" s="5">
        <v>165.46</v>
      </c>
      <c r="D34" s="5">
        <v>163.21639999999999</v>
      </c>
      <c r="E34" s="5">
        <v>163.52000000000001</v>
      </c>
      <c r="F34" s="6">
        <v>7496205</v>
      </c>
    </row>
    <row r="35" spans="1:23" x14ac:dyDescent="0.2">
      <c r="A35" s="4">
        <v>44516</v>
      </c>
      <c r="B35" s="5">
        <v>163.18</v>
      </c>
      <c r="C35" s="5">
        <v>164.35</v>
      </c>
      <c r="D35" s="5">
        <v>162.62</v>
      </c>
      <c r="E35" s="5">
        <v>162.66999999999999</v>
      </c>
      <c r="F35" s="6">
        <v>7594717</v>
      </c>
    </row>
    <row r="36" spans="1:23" x14ac:dyDescent="0.2">
      <c r="A36" s="4">
        <v>44517</v>
      </c>
      <c r="B36" s="5">
        <v>162.87</v>
      </c>
      <c r="C36" s="5">
        <v>163.86</v>
      </c>
      <c r="D36" s="5">
        <v>161.79</v>
      </c>
      <c r="E36" s="5">
        <v>163.28</v>
      </c>
      <c r="F36" s="6">
        <v>5414474</v>
      </c>
    </row>
    <row r="37" spans="1:23" x14ac:dyDescent="0.2">
      <c r="A37" s="4">
        <v>44518</v>
      </c>
      <c r="B37" s="5">
        <v>163.44999999999999</v>
      </c>
      <c r="C37" s="5">
        <v>164.47</v>
      </c>
      <c r="D37" s="5">
        <v>162.13</v>
      </c>
      <c r="E37" s="5">
        <v>162.4</v>
      </c>
      <c r="F37" s="6">
        <v>6359664</v>
      </c>
    </row>
    <row r="38" spans="1:23" x14ac:dyDescent="0.2">
      <c r="A38" s="4">
        <v>44519</v>
      </c>
      <c r="B38" s="5">
        <v>163.04</v>
      </c>
      <c r="C38" s="5">
        <v>163.19</v>
      </c>
      <c r="D38" s="5">
        <v>161.78</v>
      </c>
      <c r="E38" s="5">
        <v>162.88999999999999</v>
      </c>
      <c r="F38" s="6">
        <v>7628928</v>
      </c>
    </row>
    <row r="39" spans="1:23" x14ac:dyDescent="0.2">
      <c r="A39" s="4">
        <v>44522</v>
      </c>
      <c r="B39" s="5">
        <v>161.03</v>
      </c>
      <c r="C39" s="5">
        <v>162.63999999999999</v>
      </c>
      <c r="D39" s="5">
        <v>159.65</v>
      </c>
      <c r="E39" s="5">
        <v>159.69999999999999</v>
      </c>
      <c r="F39" s="6">
        <v>7642322</v>
      </c>
    </row>
    <row r="40" spans="1:23" x14ac:dyDescent="0.2">
      <c r="A40" s="4">
        <v>44523</v>
      </c>
      <c r="B40" s="5">
        <v>159.52000000000001</v>
      </c>
      <c r="C40" s="5">
        <v>161</v>
      </c>
      <c r="D40" s="5">
        <v>158.78</v>
      </c>
      <c r="E40" s="5">
        <v>160.69</v>
      </c>
      <c r="F40" s="6">
        <v>7735770</v>
      </c>
    </row>
    <row r="41" spans="1:23" x14ac:dyDescent="0.2">
      <c r="A41" s="4">
        <v>44524</v>
      </c>
      <c r="B41" s="5">
        <v>160.13999999999999</v>
      </c>
      <c r="C41" s="5">
        <v>160.62</v>
      </c>
      <c r="D41" s="5">
        <v>159.38</v>
      </c>
      <c r="E41" s="5">
        <v>160.24</v>
      </c>
      <c r="F41" s="6">
        <v>5230887</v>
      </c>
    </row>
    <row r="42" spans="1:23" x14ac:dyDescent="0.2">
      <c r="A42" s="4">
        <v>44526</v>
      </c>
      <c r="B42" s="5">
        <v>160.6</v>
      </c>
      <c r="C42" s="5">
        <v>161.16</v>
      </c>
      <c r="D42" s="5">
        <v>158.66</v>
      </c>
      <c r="E42" s="5">
        <v>159.19999999999999</v>
      </c>
      <c r="F42" s="6">
        <v>8523072</v>
      </c>
    </row>
    <row r="43" spans="1:23" x14ac:dyDescent="0.2">
      <c r="A43" s="4">
        <v>44529</v>
      </c>
      <c r="B43" s="5">
        <v>159.5</v>
      </c>
      <c r="C43" s="5">
        <v>160.41999999999999</v>
      </c>
      <c r="D43" s="5">
        <v>158.41999999999999</v>
      </c>
      <c r="E43" s="5">
        <v>159.75</v>
      </c>
      <c r="F43" s="6">
        <v>9188537</v>
      </c>
    </row>
    <row r="44" spans="1:23" x14ac:dyDescent="0.2">
      <c r="A44" s="4">
        <v>44530</v>
      </c>
      <c r="B44" s="5">
        <v>158.51</v>
      </c>
      <c r="C44" s="5">
        <v>159</v>
      </c>
      <c r="D44" s="5">
        <v>155.85</v>
      </c>
      <c r="E44" s="5">
        <v>155.93</v>
      </c>
      <c r="F44" s="6">
        <v>14981660</v>
      </c>
    </row>
    <row r="45" spans="1:23" x14ac:dyDescent="0.2">
      <c r="A45" s="4">
        <v>44531</v>
      </c>
      <c r="B45" s="5">
        <v>156.88</v>
      </c>
      <c r="C45" s="5">
        <v>160.0813</v>
      </c>
      <c r="D45" s="5">
        <v>156.25</v>
      </c>
      <c r="E45" s="5">
        <v>158.08000000000001</v>
      </c>
      <c r="F45" s="6">
        <v>9836412</v>
      </c>
    </row>
    <row r="46" spans="1:23" ht="15.75" x14ac:dyDescent="0.25">
      <c r="A46" s="4">
        <v>44532</v>
      </c>
      <c r="B46" s="5">
        <v>157.26</v>
      </c>
      <c r="C46" s="5">
        <v>159.29</v>
      </c>
      <c r="D46" s="5">
        <v>156.75</v>
      </c>
      <c r="E46" s="5">
        <v>157.09</v>
      </c>
      <c r="F46" s="6">
        <v>11334740</v>
      </c>
      <c r="U46" s="1" t="s">
        <v>49</v>
      </c>
    </row>
    <row r="47" spans="1:23" x14ac:dyDescent="0.2">
      <c r="A47" s="4">
        <v>44533</v>
      </c>
      <c r="B47" s="5">
        <v>157.91</v>
      </c>
      <c r="C47" s="5">
        <v>159.66999999999999</v>
      </c>
      <c r="D47" s="5">
        <v>157.59</v>
      </c>
      <c r="E47" s="5">
        <v>159.38</v>
      </c>
      <c r="F47" s="6">
        <v>8750521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160.19</v>
      </c>
      <c r="C48" s="5">
        <v>163.52000000000001</v>
      </c>
      <c r="D48" s="5">
        <v>159.83000000000001</v>
      </c>
      <c r="E48" s="5">
        <v>162.94</v>
      </c>
      <c r="F48" s="6">
        <v>9692041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164</v>
      </c>
      <c r="C49" s="5">
        <v>164.27</v>
      </c>
      <c r="D49" s="5">
        <v>162.41</v>
      </c>
      <c r="E49" s="5">
        <v>163.36000000000001</v>
      </c>
      <c r="F49" s="6">
        <v>8311254</v>
      </c>
      <c r="U49" s="23" t="s">
        <v>52</v>
      </c>
      <c r="V49" s="24">
        <f ca="1">IF($I$11="OK",INDEX('Peer Data'!$O$5:$O$1258,$I$10),"")</f>
        <v>0.60439904749968631</v>
      </c>
      <c r="W49" s="25">
        <f ca="1">IF($I$11="OK",RANK(V49,$V$49:$V$60),"")</f>
        <v>5</v>
      </c>
    </row>
    <row r="50" spans="1:23" x14ac:dyDescent="0.2">
      <c r="A50" s="4">
        <v>44538</v>
      </c>
      <c r="B50" s="5">
        <v>163.47</v>
      </c>
      <c r="C50" s="5">
        <v>164.57</v>
      </c>
      <c r="D50" s="5">
        <v>162.63999999999999</v>
      </c>
      <c r="E50" s="5">
        <v>164.34</v>
      </c>
      <c r="F50" s="6">
        <v>6216391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164.18</v>
      </c>
      <c r="C51" s="5">
        <v>165.98</v>
      </c>
      <c r="D51" s="5">
        <v>163.49</v>
      </c>
      <c r="E51" s="5">
        <v>165.9</v>
      </c>
      <c r="F51" s="6">
        <v>8574177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165.57</v>
      </c>
      <c r="C52" s="5">
        <v>166.69</v>
      </c>
      <c r="D52" s="5">
        <v>164.65</v>
      </c>
      <c r="E52" s="5">
        <v>165.49</v>
      </c>
      <c r="F52" s="6">
        <v>6572247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164.75</v>
      </c>
      <c r="C53" s="5">
        <v>169.19499999999999</v>
      </c>
      <c r="D53" s="5">
        <v>163.80000000000001</v>
      </c>
      <c r="E53" s="5">
        <v>168.45</v>
      </c>
      <c r="F53" s="6">
        <v>11142280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168.33</v>
      </c>
      <c r="C54" s="5">
        <v>170.97</v>
      </c>
      <c r="D54" s="5">
        <v>167.16</v>
      </c>
      <c r="E54" s="5">
        <v>170.29</v>
      </c>
      <c r="F54" s="6">
        <v>10482430</v>
      </c>
      <c r="U54" s="26" t="s">
        <v>57</v>
      </c>
      <c r="V54" s="27">
        <f ca="1">IF($I$11="OK",INDEX('Peer Data'!$T$5:$T$1258,$I$10),"")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44545</v>
      </c>
      <c r="B55" s="5">
        <v>169.85</v>
      </c>
      <c r="C55" s="5">
        <v>171.29499999999999</v>
      </c>
      <c r="D55" s="5">
        <v>169.42</v>
      </c>
      <c r="E55" s="5">
        <v>171.14</v>
      </c>
      <c r="F55" s="6">
        <v>8552246</v>
      </c>
      <c r="U55" s="26" t="s">
        <v>58</v>
      </c>
      <c r="V55" s="27">
        <f ca="1">IF($I$11="OK",INDEX('Peer Data'!$U$5:$U$1258,$I$10),"")</f>
        <v>-2.6535253980288109E-2</v>
      </c>
      <c r="W55" s="28">
        <f ca="1">IF($I$11="OK",RANK(V55,$V$49:$V$60),"")</f>
        <v>10</v>
      </c>
    </row>
    <row r="56" spans="1:23" x14ac:dyDescent="0.2">
      <c r="A56" s="4">
        <v>44546</v>
      </c>
      <c r="B56" s="5">
        <v>171.26</v>
      </c>
      <c r="C56" s="5">
        <v>173.51</v>
      </c>
      <c r="D56" s="5">
        <v>170.84</v>
      </c>
      <c r="E56" s="5">
        <v>173.01</v>
      </c>
      <c r="F56" s="6">
        <v>8998582</v>
      </c>
      <c r="U56" s="26" t="s">
        <v>59</v>
      </c>
      <c r="V56" s="27">
        <f ca="1">IF($I$11="OK",INDEX('Peer Data'!$V$5:$V$1258,$I$10),"")</f>
        <v>0.76838235294117663</v>
      </c>
      <c r="W56" s="28">
        <f ca="1">IF($I$11="OK",RANK(V56,$V$49:$V$60),"")</f>
        <v>4</v>
      </c>
    </row>
    <row r="57" spans="1:23" x14ac:dyDescent="0.2">
      <c r="A57" s="4">
        <v>44547</v>
      </c>
      <c r="B57" s="5">
        <v>169.64</v>
      </c>
      <c r="C57" s="5">
        <v>170.78</v>
      </c>
      <c r="D57" s="5">
        <v>167.66</v>
      </c>
      <c r="E57" s="5">
        <v>168.23</v>
      </c>
      <c r="F57" s="6">
        <v>16732020</v>
      </c>
      <c r="U57" s="26" t="s">
        <v>60</v>
      </c>
      <c r="V57" s="27">
        <f ca="1">IF($I$11="OK",INDEX('Peer Data'!$W$5:$W$1258,$I$10),"")</f>
        <v>-0.34310018903591677</v>
      </c>
      <c r="W57" s="28">
        <f ca="1">IF($I$11="OK",RANK(V57,$V$49:$V$60),"")</f>
        <v>12</v>
      </c>
    </row>
    <row r="58" spans="1:23" x14ac:dyDescent="0.2">
      <c r="A58" s="4">
        <v>44550</v>
      </c>
      <c r="B58" s="5">
        <v>167.81</v>
      </c>
      <c r="C58" s="5">
        <v>168.51</v>
      </c>
      <c r="D58" s="5">
        <v>166.55</v>
      </c>
      <c r="E58" s="5">
        <v>167.75</v>
      </c>
      <c r="F58" s="6">
        <v>7954532</v>
      </c>
      <c r="U58" s="26" t="s">
        <v>61</v>
      </c>
      <c r="V58" s="27">
        <f ca="1">IF($I$11="OK",INDEX('Peer Data'!$X$5:$X$1258,$I$10),"")</f>
        <v>3.9489022647555529</v>
      </c>
      <c r="W58" s="28">
        <f ca="1">IF($I$11="OK",RANK(V58,$V$49:$V$60),"")</f>
        <v>1</v>
      </c>
    </row>
    <row r="59" spans="1:23" x14ac:dyDescent="0.2">
      <c r="A59" s="4">
        <v>44551</v>
      </c>
      <c r="B59" s="5">
        <v>168.06</v>
      </c>
      <c r="C59" s="5">
        <v>168.1</v>
      </c>
      <c r="D59" s="5">
        <v>165.98</v>
      </c>
      <c r="E59" s="5">
        <v>167.21</v>
      </c>
      <c r="F59" s="6">
        <v>7954249</v>
      </c>
      <c r="U59" s="26" t="s">
        <v>62</v>
      </c>
      <c r="V59" s="27">
        <f ca="1">IF($I$11="OK",INDEX('Peer Data'!$Y$5:$Y$1258,$I$10),"")</f>
        <v>3.3812341504649179E-2</v>
      </c>
      <c r="W59" s="28">
        <f ca="1">IF($I$11="OK",RANK(V59,$V$49:$V$60),"")</f>
        <v>8</v>
      </c>
    </row>
    <row r="60" spans="1:23" x14ac:dyDescent="0.2">
      <c r="A60" s="4">
        <v>44552</v>
      </c>
      <c r="B60" s="5">
        <v>167.06</v>
      </c>
      <c r="C60" s="5">
        <v>168.17</v>
      </c>
      <c r="D60" s="5">
        <v>166.12</v>
      </c>
      <c r="E60" s="5">
        <v>167.93</v>
      </c>
      <c r="F60" s="6">
        <v>4178361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167.88</v>
      </c>
      <c r="C61" s="5">
        <v>168.95</v>
      </c>
      <c r="D61" s="5">
        <v>167.36</v>
      </c>
      <c r="E61" s="5">
        <v>168.25</v>
      </c>
      <c r="F61" s="6">
        <v>3501450</v>
      </c>
    </row>
    <row r="62" spans="1:23" x14ac:dyDescent="0.2">
      <c r="A62" s="4">
        <v>44557</v>
      </c>
      <c r="B62" s="5">
        <v>169.14</v>
      </c>
      <c r="C62" s="5">
        <v>169.85</v>
      </c>
      <c r="D62" s="5">
        <v>168.7</v>
      </c>
      <c r="E62" s="5">
        <v>169.67</v>
      </c>
      <c r="F62" s="6">
        <v>3705063</v>
      </c>
    </row>
    <row r="63" spans="1:23" x14ac:dyDescent="0.2">
      <c r="A63" s="4">
        <v>44558</v>
      </c>
      <c r="B63" s="5">
        <v>169.79</v>
      </c>
      <c r="C63" s="5">
        <v>170.64</v>
      </c>
      <c r="D63" s="5">
        <v>169.59</v>
      </c>
      <c r="E63" s="5">
        <v>170.35</v>
      </c>
      <c r="F63" s="6">
        <v>3187062</v>
      </c>
    </row>
    <row r="64" spans="1:23" x14ac:dyDescent="0.2">
      <c r="A64" s="4">
        <v>44559</v>
      </c>
      <c r="B64" s="5">
        <v>170</v>
      </c>
      <c r="C64" s="5">
        <v>171.99</v>
      </c>
      <c r="D64" s="5">
        <v>169.91</v>
      </c>
      <c r="E64" s="5">
        <v>171.55</v>
      </c>
      <c r="F64" s="6">
        <v>3661968</v>
      </c>
    </row>
    <row r="65" spans="1:6" x14ac:dyDescent="0.2">
      <c r="A65" s="4">
        <v>44560</v>
      </c>
      <c r="B65" s="5">
        <v>172.12</v>
      </c>
      <c r="C65" s="5">
        <v>172.875</v>
      </c>
      <c r="D65" s="5">
        <v>171.75</v>
      </c>
      <c r="E65" s="5">
        <v>172.31</v>
      </c>
      <c r="F65" s="6">
        <v>4231812</v>
      </c>
    </row>
    <row r="66" spans="1:6" x14ac:dyDescent="0.2">
      <c r="A66" s="4">
        <v>44561</v>
      </c>
      <c r="B66" s="5">
        <v>172.53</v>
      </c>
      <c r="C66" s="5">
        <v>172.67850000000001</v>
      </c>
      <c r="D66" s="5">
        <v>171.03</v>
      </c>
      <c r="E66" s="5">
        <v>171.07</v>
      </c>
      <c r="F66" s="6">
        <v>4409475</v>
      </c>
    </row>
    <row r="67" spans="1:6" x14ac:dyDescent="0.2">
      <c r="A67" s="4">
        <v>44564</v>
      </c>
      <c r="B67" s="5">
        <v>170.21</v>
      </c>
      <c r="C67" s="5">
        <v>171.6</v>
      </c>
      <c r="D67" s="5">
        <v>169.1</v>
      </c>
      <c r="E67" s="5">
        <v>171.54</v>
      </c>
      <c r="F67" s="6">
        <v>6012777</v>
      </c>
    </row>
    <row r="68" spans="1:6" x14ac:dyDescent="0.2">
      <c r="A68" s="4">
        <v>44565</v>
      </c>
      <c r="B68" s="5">
        <v>171.06</v>
      </c>
      <c r="C68" s="5">
        <v>172.29</v>
      </c>
      <c r="D68" s="5">
        <v>170.595</v>
      </c>
      <c r="E68" s="5">
        <v>171.08</v>
      </c>
      <c r="F68" s="6">
        <v>6748363</v>
      </c>
    </row>
    <row r="69" spans="1:6" x14ac:dyDescent="0.2">
      <c r="A69" s="4">
        <v>44566</v>
      </c>
      <c r="B69" s="5">
        <v>172</v>
      </c>
      <c r="C69" s="5">
        <v>173.47</v>
      </c>
      <c r="D69" s="5">
        <v>171.62</v>
      </c>
      <c r="E69" s="5">
        <v>172.22</v>
      </c>
      <c r="F69" s="6">
        <v>7016099</v>
      </c>
    </row>
    <row r="70" spans="1:6" x14ac:dyDescent="0.2">
      <c r="A70" s="4">
        <v>44567</v>
      </c>
      <c r="B70" s="5">
        <v>172.15</v>
      </c>
      <c r="C70" s="5">
        <v>172.5</v>
      </c>
      <c r="D70" s="5">
        <v>170.8</v>
      </c>
      <c r="E70" s="5">
        <v>171.63</v>
      </c>
      <c r="F70" s="6">
        <v>7301633</v>
      </c>
    </row>
    <row r="71" spans="1:6" x14ac:dyDescent="0.2">
      <c r="A71" s="4">
        <v>44568</v>
      </c>
      <c r="B71" s="5">
        <v>171.46</v>
      </c>
      <c r="C71" s="5">
        <v>174.3</v>
      </c>
      <c r="D71" s="5">
        <v>171.13</v>
      </c>
      <c r="E71" s="5">
        <v>173.95</v>
      </c>
      <c r="F71" s="6">
        <v>6986006</v>
      </c>
    </row>
    <row r="72" spans="1:6" x14ac:dyDescent="0.2">
      <c r="A72" s="4">
        <v>44571</v>
      </c>
      <c r="B72" s="5">
        <v>173.69</v>
      </c>
      <c r="C72" s="5">
        <v>173.69</v>
      </c>
      <c r="D72" s="5">
        <v>172.155</v>
      </c>
      <c r="E72" s="5">
        <v>173.09</v>
      </c>
      <c r="F72" s="6">
        <v>7698444</v>
      </c>
    </row>
    <row r="73" spans="1:6" x14ac:dyDescent="0.2">
      <c r="A73" s="4">
        <v>44572</v>
      </c>
      <c r="B73" s="5">
        <v>172.99</v>
      </c>
      <c r="C73" s="5">
        <v>173.39</v>
      </c>
      <c r="D73" s="5">
        <v>170.11</v>
      </c>
      <c r="E73" s="5">
        <v>171.25</v>
      </c>
      <c r="F73" s="6">
        <v>8341067</v>
      </c>
    </row>
    <row r="74" spans="1:6" x14ac:dyDescent="0.2">
      <c r="A74" s="4">
        <v>44573</v>
      </c>
      <c r="B74" s="5">
        <v>169.61</v>
      </c>
      <c r="C74" s="5">
        <v>170.08</v>
      </c>
      <c r="D74" s="5">
        <v>168.34</v>
      </c>
      <c r="E74" s="5">
        <v>169.79</v>
      </c>
      <c r="F74" s="6">
        <v>8116205</v>
      </c>
    </row>
    <row r="75" spans="1:6" x14ac:dyDescent="0.2">
      <c r="A75" s="4">
        <v>44574</v>
      </c>
      <c r="B75" s="5">
        <v>169</v>
      </c>
      <c r="C75" s="5">
        <v>170.42</v>
      </c>
      <c r="D75" s="5">
        <v>168.46</v>
      </c>
      <c r="E75" s="5">
        <v>168.76</v>
      </c>
      <c r="F75" s="6">
        <v>6159444</v>
      </c>
    </row>
    <row r="76" spans="1:6" x14ac:dyDescent="0.2">
      <c r="A76" s="4">
        <v>44575</v>
      </c>
      <c r="B76" s="5">
        <v>168.625</v>
      </c>
      <c r="C76" s="5">
        <v>168.65</v>
      </c>
      <c r="D76" s="5">
        <v>167.15</v>
      </c>
      <c r="E76" s="5">
        <v>167.84</v>
      </c>
      <c r="F76" s="6">
        <v>5847839</v>
      </c>
    </row>
    <row r="77" spans="1:6" x14ac:dyDescent="0.2">
      <c r="A77" s="4">
        <v>44579</v>
      </c>
      <c r="B77" s="5">
        <v>167.1</v>
      </c>
      <c r="C77" s="5">
        <v>167.715</v>
      </c>
      <c r="D77" s="5">
        <v>166.01</v>
      </c>
      <c r="E77" s="5">
        <v>167.1</v>
      </c>
      <c r="F77" s="6">
        <v>7815939</v>
      </c>
    </row>
    <row r="78" spans="1:6" x14ac:dyDescent="0.2">
      <c r="A78" s="4">
        <v>44580</v>
      </c>
      <c r="B78" s="5">
        <v>167.2</v>
      </c>
      <c r="C78" s="5">
        <v>168.72</v>
      </c>
      <c r="D78" s="5">
        <v>166.31649999999999</v>
      </c>
      <c r="E78" s="5">
        <v>166.58</v>
      </c>
      <c r="F78" s="6">
        <v>5926454</v>
      </c>
    </row>
    <row r="79" spans="1:6" x14ac:dyDescent="0.2">
      <c r="A79" s="4">
        <v>44581</v>
      </c>
      <c r="B79" s="5">
        <v>167.29</v>
      </c>
      <c r="C79" s="5">
        <v>167.85900000000001</v>
      </c>
      <c r="D79" s="5">
        <v>164.93</v>
      </c>
      <c r="E79" s="5">
        <v>165.25</v>
      </c>
      <c r="F79" s="6">
        <v>6011300</v>
      </c>
    </row>
    <row r="80" spans="1:6" x14ac:dyDescent="0.2">
      <c r="A80" s="4">
        <v>44582</v>
      </c>
      <c r="B80" s="5">
        <v>166.19</v>
      </c>
      <c r="C80" s="5">
        <v>167.99</v>
      </c>
      <c r="D80" s="5">
        <v>164.47</v>
      </c>
      <c r="E80" s="5">
        <v>164.87</v>
      </c>
      <c r="F80" s="6">
        <v>10550300</v>
      </c>
    </row>
    <row r="81" spans="1:6" x14ac:dyDescent="0.2">
      <c r="A81" s="4">
        <v>44585</v>
      </c>
      <c r="B81" s="5">
        <v>164</v>
      </c>
      <c r="C81" s="5">
        <v>164.17</v>
      </c>
      <c r="D81" s="5">
        <v>158.26</v>
      </c>
      <c r="E81" s="5">
        <v>162.97</v>
      </c>
      <c r="F81" s="6">
        <v>14087600</v>
      </c>
    </row>
    <row r="82" spans="1:6" x14ac:dyDescent="0.2">
      <c r="A82" s="4">
        <v>44586</v>
      </c>
      <c r="B82" s="5">
        <v>162.36000000000001</v>
      </c>
      <c r="C82" s="5">
        <v>168.41</v>
      </c>
      <c r="D82" s="5">
        <v>161.58000000000001</v>
      </c>
      <c r="E82" s="5">
        <v>167.63</v>
      </c>
      <c r="F82" s="6">
        <v>14081250</v>
      </c>
    </row>
    <row r="83" spans="1:6" x14ac:dyDescent="0.2">
      <c r="A83" s="4">
        <v>44587</v>
      </c>
      <c r="B83" s="5">
        <v>167.54</v>
      </c>
      <c r="C83" s="5">
        <v>169.22</v>
      </c>
      <c r="D83" s="5">
        <v>166.23</v>
      </c>
      <c r="E83" s="5">
        <v>168.38</v>
      </c>
      <c r="F83" s="6">
        <v>9963229</v>
      </c>
    </row>
    <row r="84" spans="1:6" x14ac:dyDescent="0.2">
      <c r="A84" s="4">
        <v>44588</v>
      </c>
      <c r="B84" s="5">
        <v>169.39</v>
      </c>
      <c r="C84" s="5">
        <v>171.91</v>
      </c>
      <c r="D84" s="5">
        <v>169</v>
      </c>
      <c r="E84" s="5">
        <v>170.59</v>
      </c>
      <c r="F84" s="6">
        <v>9068738</v>
      </c>
    </row>
    <row r="85" spans="1:6" x14ac:dyDescent="0.2">
      <c r="A85" s="4">
        <v>44589</v>
      </c>
      <c r="B85" s="5">
        <v>170.86</v>
      </c>
      <c r="C85" s="5">
        <v>171.84</v>
      </c>
      <c r="D85" s="5">
        <v>169.3</v>
      </c>
      <c r="E85" s="5">
        <v>171.79</v>
      </c>
      <c r="F85" s="6">
        <v>9783217</v>
      </c>
    </row>
    <row r="86" spans="1:6" x14ac:dyDescent="0.2">
      <c r="A86" s="4">
        <v>44592</v>
      </c>
      <c r="B86" s="5">
        <v>171.5</v>
      </c>
      <c r="C86" s="5">
        <v>172.62</v>
      </c>
      <c r="D86" s="5">
        <v>170.82</v>
      </c>
      <c r="E86" s="5">
        <v>172.29</v>
      </c>
      <c r="F86" s="6">
        <v>8054895</v>
      </c>
    </row>
    <row r="87" spans="1:6" x14ac:dyDescent="0.2">
      <c r="A87" s="4">
        <v>44593</v>
      </c>
      <c r="B87" s="5">
        <v>171.74</v>
      </c>
      <c r="C87" s="5">
        <v>171.98</v>
      </c>
      <c r="D87" s="5">
        <v>169.43</v>
      </c>
      <c r="E87" s="5">
        <v>170.88</v>
      </c>
      <c r="F87" s="6">
        <v>8154721</v>
      </c>
    </row>
    <row r="88" spans="1:6" x14ac:dyDescent="0.2">
      <c r="A88" s="4">
        <v>44594</v>
      </c>
      <c r="B88" s="5">
        <v>169.65</v>
      </c>
      <c r="C88" s="5">
        <v>172.99</v>
      </c>
      <c r="D88" s="5">
        <v>169.65</v>
      </c>
      <c r="E88" s="5">
        <v>172.77</v>
      </c>
      <c r="F88" s="6">
        <v>7382821</v>
      </c>
    </row>
    <row r="89" spans="1:6" x14ac:dyDescent="0.2">
      <c r="A89" s="4">
        <v>44595</v>
      </c>
      <c r="B89" s="5">
        <v>172.26</v>
      </c>
      <c r="C89" s="5">
        <v>173.62</v>
      </c>
      <c r="D89" s="5">
        <v>171.04</v>
      </c>
      <c r="E89" s="5">
        <v>172.76</v>
      </c>
      <c r="F89" s="6">
        <v>6240613</v>
      </c>
    </row>
    <row r="90" spans="1:6" x14ac:dyDescent="0.2">
      <c r="A90" s="4">
        <v>44596</v>
      </c>
      <c r="B90" s="5">
        <v>171</v>
      </c>
      <c r="C90" s="5">
        <v>172.98</v>
      </c>
      <c r="D90" s="5">
        <v>170.11850000000001</v>
      </c>
      <c r="E90" s="5">
        <v>171.63</v>
      </c>
      <c r="F90" s="6">
        <v>6392155</v>
      </c>
    </row>
    <row r="91" spans="1:6" x14ac:dyDescent="0.2">
      <c r="A91" s="4">
        <v>44599</v>
      </c>
      <c r="B91" s="5">
        <v>171.41</v>
      </c>
      <c r="C91" s="5">
        <v>171.74</v>
      </c>
      <c r="D91" s="5">
        <v>170.01</v>
      </c>
      <c r="E91" s="5">
        <v>171.06</v>
      </c>
      <c r="F91" s="6">
        <v>6065670</v>
      </c>
    </row>
    <row r="92" spans="1:6" x14ac:dyDescent="0.2">
      <c r="A92" s="4">
        <v>44600</v>
      </c>
      <c r="B92" s="5">
        <v>171.02</v>
      </c>
      <c r="C92" s="5">
        <v>172.05</v>
      </c>
      <c r="D92" s="5">
        <v>170.48</v>
      </c>
      <c r="E92" s="5">
        <v>171.51</v>
      </c>
      <c r="F92" s="6">
        <v>6296300</v>
      </c>
    </row>
    <row r="93" spans="1:6" x14ac:dyDescent="0.2">
      <c r="A93" s="4">
        <v>44601</v>
      </c>
      <c r="B93" s="5">
        <v>172.07</v>
      </c>
      <c r="C93" s="5">
        <v>172.24</v>
      </c>
      <c r="D93" s="5">
        <v>171.25</v>
      </c>
      <c r="E93" s="5">
        <v>171.49</v>
      </c>
      <c r="F93" s="6">
        <v>5387540</v>
      </c>
    </row>
    <row r="94" spans="1:6" x14ac:dyDescent="0.2">
      <c r="A94" s="4">
        <v>44602</v>
      </c>
      <c r="B94" s="5">
        <v>171.21</v>
      </c>
      <c r="C94" s="5">
        <v>171.22</v>
      </c>
      <c r="D94" s="5">
        <v>169.3</v>
      </c>
      <c r="E94" s="5">
        <v>169.42</v>
      </c>
      <c r="F94" s="6">
        <v>10355350</v>
      </c>
    </row>
    <row r="95" spans="1:6" x14ac:dyDescent="0.2">
      <c r="A95" s="4">
        <v>44603</v>
      </c>
      <c r="B95" s="5">
        <v>169.12</v>
      </c>
      <c r="C95" s="5">
        <v>170.15</v>
      </c>
      <c r="D95" s="5">
        <v>167.54</v>
      </c>
      <c r="E95" s="5">
        <v>167.71</v>
      </c>
      <c r="F95" s="6">
        <v>13125330</v>
      </c>
    </row>
    <row r="96" spans="1:6" x14ac:dyDescent="0.2">
      <c r="A96" s="4">
        <v>44606</v>
      </c>
      <c r="B96" s="5">
        <v>167.71</v>
      </c>
      <c r="C96" s="5">
        <v>167.97</v>
      </c>
      <c r="D96" s="5">
        <v>163.81</v>
      </c>
      <c r="E96" s="5">
        <v>165.6</v>
      </c>
      <c r="F96" s="6">
        <v>8967638</v>
      </c>
    </row>
    <row r="97" spans="1:6" x14ac:dyDescent="0.2">
      <c r="A97" s="4">
        <v>44607</v>
      </c>
      <c r="B97" s="5">
        <v>166.13</v>
      </c>
      <c r="C97" s="5">
        <v>168.1</v>
      </c>
      <c r="D97" s="5">
        <v>166.01</v>
      </c>
      <c r="E97" s="5">
        <v>167.31</v>
      </c>
      <c r="F97" s="6">
        <v>6632823</v>
      </c>
    </row>
    <row r="98" spans="1:6" x14ac:dyDescent="0.2">
      <c r="A98" s="4">
        <v>44608</v>
      </c>
      <c r="B98" s="5">
        <v>166.49</v>
      </c>
      <c r="C98" s="5">
        <v>167.84</v>
      </c>
      <c r="D98" s="5">
        <v>165.7114</v>
      </c>
      <c r="E98" s="5">
        <v>167.21</v>
      </c>
      <c r="F98" s="6">
        <v>8482618</v>
      </c>
    </row>
    <row r="99" spans="1:6" x14ac:dyDescent="0.2">
      <c r="A99" s="4">
        <v>44609</v>
      </c>
      <c r="B99" s="5">
        <v>167.21</v>
      </c>
      <c r="C99" s="5">
        <v>167.45</v>
      </c>
      <c r="D99" s="5">
        <v>164.92</v>
      </c>
      <c r="E99" s="5">
        <v>166.19</v>
      </c>
      <c r="F99" s="6">
        <v>6227569</v>
      </c>
    </row>
    <row r="100" spans="1:6" x14ac:dyDescent="0.2">
      <c r="A100" s="4">
        <v>44610</v>
      </c>
      <c r="B100" s="5">
        <v>164.98</v>
      </c>
      <c r="C100" s="5">
        <v>165.36</v>
      </c>
      <c r="D100" s="5">
        <v>162.94</v>
      </c>
      <c r="E100" s="5">
        <v>163.36000000000001</v>
      </c>
      <c r="F100" s="6">
        <v>6423165</v>
      </c>
    </row>
    <row r="101" spans="1:6" x14ac:dyDescent="0.2">
      <c r="A101" s="4">
        <v>44614</v>
      </c>
      <c r="B101" s="5">
        <v>163.57499999999999</v>
      </c>
      <c r="C101" s="5">
        <v>163.74</v>
      </c>
      <c r="D101" s="5">
        <v>160.44</v>
      </c>
      <c r="E101" s="5">
        <v>161.13999999999999</v>
      </c>
      <c r="F101" s="6">
        <v>6868893</v>
      </c>
    </row>
    <row r="102" spans="1:6" x14ac:dyDescent="0.2">
      <c r="A102" s="4">
        <v>44615</v>
      </c>
      <c r="B102" s="5">
        <v>161.51</v>
      </c>
      <c r="C102" s="5">
        <v>162.63900000000001</v>
      </c>
      <c r="D102" s="5">
        <v>160.85</v>
      </c>
      <c r="E102" s="5">
        <v>161.22</v>
      </c>
      <c r="F102" s="6">
        <v>8016903</v>
      </c>
    </row>
    <row r="103" spans="1:6" x14ac:dyDescent="0.2">
      <c r="A103" s="4">
        <v>44616</v>
      </c>
      <c r="B103" s="5">
        <v>159.78</v>
      </c>
      <c r="C103" s="5">
        <v>160.13</v>
      </c>
      <c r="D103" s="5">
        <v>155.72</v>
      </c>
      <c r="E103" s="5">
        <v>158.13999999999999</v>
      </c>
      <c r="F103" s="6">
        <v>12883440</v>
      </c>
    </row>
    <row r="104" spans="1:6" x14ac:dyDescent="0.2">
      <c r="A104" s="4">
        <v>44617</v>
      </c>
      <c r="B104" s="5">
        <v>160</v>
      </c>
      <c r="C104" s="5">
        <v>166.98500000000001</v>
      </c>
      <c r="D104" s="5">
        <v>159.69999999999999</v>
      </c>
      <c r="E104" s="5">
        <v>166</v>
      </c>
      <c r="F104" s="6">
        <v>11340350</v>
      </c>
    </row>
    <row r="105" spans="1:6" x14ac:dyDescent="0.2">
      <c r="A105" s="4">
        <v>44620</v>
      </c>
      <c r="B105" s="5">
        <v>162.87</v>
      </c>
      <c r="C105" s="5">
        <v>165.18</v>
      </c>
      <c r="D105" s="5">
        <v>162.3802</v>
      </c>
      <c r="E105" s="5">
        <v>164.57</v>
      </c>
      <c r="F105" s="6">
        <v>9373511</v>
      </c>
    </row>
    <row r="106" spans="1:6" x14ac:dyDescent="0.2">
      <c r="A106" s="4">
        <v>44621</v>
      </c>
      <c r="B106" s="5">
        <v>163.04</v>
      </c>
      <c r="C106" s="5">
        <v>164.75</v>
      </c>
      <c r="D106" s="5">
        <v>162.40790000000001</v>
      </c>
      <c r="E106" s="5">
        <v>164</v>
      </c>
      <c r="F106" s="6">
        <v>8737846</v>
      </c>
    </row>
    <row r="107" spans="1:6" x14ac:dyDescent="0.2">
      <c r="A107" s="4">
        <v>44622</v>
      </c>
      <c r="B107" s="5">
        <v>164.41</v>
      </c>
      <c r="C107" s="5">
        <v>167.63</v>
      </c>
      <c r="D107" s="5">
        <v>164.04</v>
      </c>
      <c r="E107" s="5">
        <v>166.04</v>
      </c>
      <c r="F107" s="6">
        <v>6793377</v>
      </c>
    </row>
    <row r="108" spans="1:6" x14ac:dyDescent="0.2">
      <c r="A108" s="4">
        <v>44623</v>
      </c>
      <c r="B108" s="5">
        <v>166.7</v>
      </c>
      <c r="C108" s="5">
        <v>169.33500000000001</v>
      </c>
      <c r="D108" s="5">
        <v>166.32</v>
      </c>
      <c r="E108" s="5">
        <v>168.48</v>
      </c>
      <c r="F108" s="6">
        <v>7333736</v>
      </c>
    </row>
    <row r="109" spans="1:6" x14ac:dyDescent="0.2">
      <c r="A109" s="4">
        <v>44624</v>
      </c>
      <c r="B109" s="5">
        <v>167.64</v>
      </c>
      <c r="C109" s="5">
        <v>169.86</v>
      </c>
      <c r="D109" s="5">
        <v>166.85</v>
      </c>
      <c r="E109" s="5">
        <v>169.48</v>
      </c>
      <c r="F109" s="6">
        <v>6302672</v>
      </c>
    </row>
    <row r="110" spans="1:6" x14ac:dyDescent="0.2">
      <c r="A110" s="4">
        <v>44627</v>
      </c>
      <c r="B110" s="5">
        <v>168.3</v>
      </c>
      <c r="C110" s="5">
        <v>173.12</v>
      </c>
      <c r="D110" s="5">
        <v>167.36</v>
      </c>
      <c r="E110" s="5">
        <v>172.21</v>
      </c>
      <c r="F110" s="6">
        <v>11663350</v>
      </c>
    </row>
    <row r="111" spans="1:6" x14ac:dyDescent="0.2">
      <c r="A111" s="4">
        <v>44628</v>
      </c>
      <c r="B111" s="5">
        <v>172.04</v>
      </c>
      <c r="C111" s="5">
        <v>173.12</v>
      </c>
      <c r="D111" s="5">
        <v>168.51</v>
      </c>
      <c r="E111" s="5">
        <v>168.72</v>
      </c>
      <c r="F111" s="6">
        <v>11100340</v>
      </c>
    </row>
    <row r="112" spans="1:6" x14ac:dyDescent="0.2">
      <c r="A112" s="4">
        <v>44629</v>
      </c>
      <c r="B112" s="5">
        <v>170.01</v>
      </c>
      <c r="C112" s="5">
        <v>170.23</v>
      </c>
      <c r="D112" s="5">
        <v>167.89</v>
      </c>
      <c r="E112" s="5">
        <v>169.36</v>
      </c>
      <c r="F112" s="6">
        <v>7248218</v>
      </c>
    </row>
    <row r="113" spans="1:6" x14ac:dyDescent="0.2">
      <c r="A113" s="4">
        <v>44630</v>
      </c>
      <c r="B113" s="5">
        <v>168.56</v>
      </c>
      <c r="C113" s="5">
        <v>170.15</v>
      </c>
      <c r="D113" s="5">
        <v>168.07499999999999</v>
      </c>
      <c r="E113" s="5">
        <v>169.66</v>
      </c>
      <c r="F113" s="6">
        <v>6171649</v>
      </c>
    </row>
    <row r="114" spans="1:6" x14ac:dyDescent="0.2">
      <c r="A114" s="4">
        <v>44631</v>
      </c>
      <c r="B114" s="5">
        <v>169.13</v>
      </c>
      <c r="C114" s="5">
        <v>171.46</v>
      </c>
      <c r="D114" s="5">
        <v>169.02</v>
      </c>
      <c r="E114" s="5">
        <v>169.35</v>
      </c>
      <c r="F114" s="6">
        <v>5188196</v>
      </c>
    </row>
    <row r="115" spans="1:6" x14ac:dyDescent="0.2">
      <c r="A115" s="4">
        <v>44634</v>
      </c>
      <c r="B115" s="5">
        <v>170.68</v>
      </c>
      <c r="C115" s="5">
        <v>174.12</v>
      </c>
      <c r="D115" s="5">
        <v>170.35</v>
      </c>
      <c r="E115" s="5">
        <v>171.69</v>
      </c>
      <c r="F115" s="6">
        <v>7729453</v>
      </c>
    </row>
    <row r="116" spans="1:6" x14ac:dyDescent="0.2">
      <c r="A116" s="4">
        <v>44635</v>
      </c>
      <c r="B116" s="5">
        <v>173.33</v>
      </c>
      <c r="C116" s="5">
        <v>176.52</v>
      </c>
      <c r="D116" s="5">
        <v>172.55</v>
      </c>
      <c r="E116" s="5">
        <v>176.14</v>
      </c>
      <c r="F116" s="6">
        <v>10554600</v>
      </c>
    </row>
    <row r="117" spans="1:6" x14ac:dyDescent="0.2">
      <c r="A117" s="4">
        <v>44636</v>
      </c>
      <c r="B117" s="5">
        <v>175.46</v>
      </c>
      <c r="C117" s="5">
        <v>176.95</v>
      </c>
      <c r="D117" s="5">
        <v>172.56</v>
      </c>
      <c r="E117" s="5">
        <v>174.52</v>
      </c>
      <c r="F117" s="6">
        <v>9603324</v>
      </c>
    </row>
    <row r="118" spans="1:6" x14ac:dyDescent="0.2">
      <c r="A118" s="4">
        <v>44637</v>
      </c>
      <c r="B118" s="5">
        <v>175.21</v>
      </c>
      <c r="C118" s="5">
        <v>176.84</v>
      </c>
      <c r="D118" s="5">
        <v>174.2</v>
      </c>
      <c r="E118" s="5">
        <v>176.8</v>
      </c>
      <c r="F118" s="6">
        <v>7472219</v>
      </c>
    </row>
    <row r="119" spans="1:6" x14ac:dyDescent="0.2">
      <c r="A119" s="4">
        <v>44638</v>
      </c>
      <c r="B119" s="5">
        <v>177</v>
      </c>
      <c r="C119" s="5">
        <v>177</v>
      </c>
      <c r="D119" s="5">
        <v>173.66</v>
      </c>
      <c r="E119" s="5">
        <v>174.84</v>
      </c>
      <c r="F119" s="6">
        <v>13809540</v>
      </c>
    </row>
    <row r="120" spans="1:6" x14ac:dyDescent="0.2">
      <c r="A120" s="4">
        <v>44641</v>
      </c>
      <c r="B120" s="5">
        <v>174.66</v>
      </c>
      <c r="C120" s="5">
        <v>177.16</v>
      </c>
      <c r="D120" s="5">
        <v>174.32</v>
      </c>
      <c r="E120" s="5">
        <v>175.83</v>
      </c>
      <c r="F120" s="6">
        <v>7574873</v>
      </c>
    </row>
    <row r="121" spans="1:6" x14ac:dyDescent="0.2">
      <c r="A121" s="4">
        <v>44642</v>
      </c>
      <c r="B121" s="5">
        <v>175.83</v>
      </c>
      <c r="C121" s="5">
        <v>176.37</v>
      </c>
      <c r="D121" s="5">
        <v>173.91</v>
      </c>
      <c r="E121" s="5">
        <v>175</v>
      </c>
      <c r="F121" s="6">
        <v>8442113</v>
      </c>
    </row>
    <row r="122" spans="1:6" x14ac:dyDescent="0.2">
      <c r="A122" s="4">
        <v>44643</v>
      </c>
      <c r="B122" s="5">
        <v>175.23</v>
      </c>
      <c r="C122" s="5">
        <v>175.54</v>
      </c>
      <c r="D122" s="5">
        <v>174.09</v>
      </c>
      <c r="E122" s="5">
        <v>174.34</v>
      </c>
      <c r="F122" s="6">
        <v>5254350</v>
      </c>
    </row>
    <row r="123" spans="1:6" x14ac:dyDescent="0.2">
      <c r="A123" s="4">
        <v>44644</v>
      </c>
      <c r="B123" s="5">
        <v>175</v>
      </c>
      <c r="C123" s="5">
        <v>175.54</v>
      </c>
      <c r="D123" s="5">
        <v>174.07</v>
      </c>
      <c r="E123" s="5">
        <v>175.24</v>
      </c>
      <c r="F123" s="6">
        <v>5012277</v>
      </c>
    </row>
    <row r="124" spans="1:6" x14ac:dyDescent="0.2">
      <c r="A124" s="4">
        <v>44645</v>
      </c>
      <c r="B124" s="5">
        <v>175.69</v>
      </c>
      <c r="C124" s="5">
        <v>177.7</v>
      </c>
      <c r="D124" s="5">
        <v>175.22</v>
      </c>
      <c r="E124" s="5">
        <v>176.92</v>
      </c>
      <c r="F124" s="6">
        <v>4809977</v>
      </c>
    </row>
    <row r="125" spans="1:6" x14ac:dyDescent="0.2">
      <c r="A125" s="4">
        <v>44648</v>
      </c>
      <c r="B125" s="5">
        <v>176.65</v>
      </c>
      <c r="C125" s="5">
        <v>178.179</v>
      </c>
      <c r="D125" s="5">
        <v>176.35</v>
      </c>
      <c r="E125" s="5">
        <v>177.83</v>
      </c>
      <c r="F125" s="6">
        <v>5604162</v>
      </c>
    </row>
    <row r="126" spans="1:6" x14ac:dyDescent="0.2">
      <c r="A126" s="4">
        <v>44649</v>
      </c>
      <c r="B126" s="5">
        <v>178.62</v>
      </c>
      <c r="C126" s="5">
        <v>179.4</v>
      </c>
      <c r="D126" s="5">
        <v>176.8</v>
      </c>
      <c r="E126" s="5">
        <v>177.74</v>
      </c>
      <c r="F126" s="6">
        <v>5933444</v>
      </c>
    </row>
    <row r="127" spans="1:6" x14ac:dyDescent="0.2">
      <c r="A127" s="4">
        <v>44650</v>
      </c>
      <c r="B127" s="5">
        <v>178.44</v>
      </c>
      <c r="C127" s="5">
        <v>179.86</v>
      </c>
      <c r="D127" s="5">
        <v>177.68</v>
      </c>
      <c r="E127" s="5">
        <v>179.59</v>
      </c>
      <c r="F127" s="6">
        <v>6277556</v>
      </c>
    </row>
    <row r="128" spans="1:6" x14ac:dyDescent="0.2">
      <c r="A128" s="4">
        <v>44651</v>
      </c>
      <c r="B128" s="5">
        <v>179.59</v>
      </c>
      <c r="C128" s="5">
        <v>180.21</v>
      </c>
      <c r="D128" s="5">
        <v>176.98</v>
      </c>
      <c r="E128" s="5">
        <v>177.23</v>
      </c>
      <c r="F128" s="6">
        <v>11490400</v>
      </c>
    </row>
    <row r="129" spans="1:6" x14ac:dyDescent="0.2">
      <c r="A129" s="4">
        <v>44652</v>
      </c>
      <c r="B129" s="5">
        <v>177.05</v>
      </c>
      <c r="C129" s="5">
        <v>178.43</v>
      </c>
      <c r="D129" s="5">
        <v>175.6</v>
      </c>
      <c r="E129" s="5">
        <v>178.19</v>
      </c>
      <c r="F129" s="6">
        <v>6525643</v>
      </c>
    </row>
    <row r="130" spans="1:6" x14ac:dyDescent="0.2">
      <c r="A130" s="4">
        <v>44655</v>
      </c>
      <c r="B130" s="5">
        <v>178.19</v>
      </c>
      <c r="C130" s="5">
        <v>178.19</v>
      </c>
      <c r="D130" s="5">
        <v>175.52</v>
      </c>
      <c r="E130" s="5">
        <v>176.47</v>
      </c>
      <c r="F130" s="6">
        <v>6860771</v>
      </c>
    </row>
    <row r="131" spans="1:6" x14ac:dyDescent="0.2">
      <c r="A131" s="4">
        <v>44656</v>
      </c>
      <c r="B131" s="5">
        <v>176.47</v>
      </c>
      <c r="C131" s="5">
        <v>179.65</v>
      </c>
      <c r="D131" s="5">
        <v>176.29</v>
      </c>
      <c r="E131" s="5">
        <v>177.61</v>
      </c>
      <c r="F131" s="6">
        <v>7446074</v>
      </c>
    </row>
    <row r="132" spans="1:6" x14ac:dyDescent="0.2">
      <c r="A132" s="4">
        <v>44657</v>
      </c>
      <c r="B132" s="5">
        <v>179.39</v>
      </c>
      <c r="C132" s="5">
        <v>182.6</v>
      </c>
      <c r="D132" s="5">
        <v>178.62</v>
      </c>
      <c r="E132" s="5">
        <v>182.23</v>
      </c>
      <c r="F132" s="6">
        <v>10330890</v>
      </c>
    </row>
    <row r="133" spans="1:6" x14ac:dyDescent="0.2">
      <c r="A133" s="4">
        <v>44658</v>
      </c>
      <c r="B133" s="5">
        <v>181.67</v>
      </c>
      <c r="C133" s="5">
        <v>182.95</v>
      </c>
      <c r="D133" s="5">
        <v>180.23</v>
      </c>
      <c r="E133" s="5">
        <v>181.76</v>
      </c>
      <c r="F133" s="6">
        <v>7385179</v>
      </c>
    </row>
    <row r="134" spans="1:6" x14ac:dyDescent="0.2">
      <c r="A134" s="4">
        <v>44659</v>
      </c>
      <c r="B134" s="5">
        <v>181.33</v>
      </c>
      <c r="C134" s="5">
        <v>183.18700000000001</v>
      </c>
      <c r="D134" s="5">
        <v>180.43</v>
      </c>
      <c r="E134" s="5">
        <v>182.12</v>
      </c>
      <c r="F134" s="6">
        <v>7144608</v>
      </c>
    </row>
    <row r="135" spans="1:6" x14ac:dyDescent="0.2">
      <c r="A135" s="4">
        <v>44662</v>
      </c>
      <c r="B135" s="5">
        <v>183</v>
      </c>
      <c r="C135" s="5">
        <v>184.2</v>
      </c>
      <c r="D135" s="5">
        <v>179.6</v>
      </c>
      <c r="E135" s="5">
        <v>179.84</v>
      </c>
      <c r="F135" s="6">
        <v>5932040</v>
      </c>
    </row>
    <row r="136" spans="1:6" x14ac:dyDescent="0.2">
      <c r="A136" s="4">
        <v>44663</v>
      </c>
      <c r="B136" s="5">
        <v>179.2</v>
      </c>
      <c r="C136" s="5">
        <v>180.81</v>
      </c>
      <c r="D136" s="5">
        <v>178.2</v>
      </c>
      <c r="E136" s="5">
        <v>179.9</v>
      </c>
      <c r="F136" s="6">
        <v>5957536</v>
      </c>
    </row>
    <row r="137" spans="1:6" x14ac:dyDescent="0.2">
      <c r="A137" s="4">
        <v>44664</v>
      </c>
      <c r="B137" s="5">
        <v>179.9</v>
      </c>
      <c r="C137" s="5">
        <v>180.84</v>
      </c>
      <c r="D137" s="5">
        <v>179.24</v>
      </c>
      <c r="E137" s="5">
        <v>180.66</v>
      </c>
      <c r="F137" s="6">
        <v>5643118</v>
      </c>
    </row>
    <row r="138" spans="1:6" x14ac:dyDescent="0.2">
      <c r="A138" s="4">
        <v>44665</v>
      </c>
      <c r="B138" s="5">
        <v>180</v>
      </c>
      <c r="C138" s="5">
        <v>181.4</v>
      </c>
      <c r="D138" s="5">
        <v>179.73</v>
      </c>
      <c r="E138" s="5">
        <v>179.9</v>
      </c>
      <c r="F138" s="6">
        <v>6188193</v>
      </c>
    </row>
    <row r="139" spans="1:6" x14ac:dyDescent="0.2">
      <c r="A139" s="4">
        <v>44669</v>
      </c>
      <c r="B139" s="5">
        <v>179.73</v>
      </c>
      <c r="C139" s="5">
        <v>180.39</v>
      </c>
      <c r="D139" s="5">
        <v>176.74</v>
      </c>
      <c r="E139" s="5">
        <v>177.66</v>
      </c>
      <c r="F139" s="6">
        <v>6318656</v>
      </c>
    </row>
    <row r="140" spans="1:6" x14ac:dyDescent="0.2">
      <c r="A140" s="4">
        <v>44670</v>
      </c>
      <c r="B140" s="5">
        <v>180.72</v>
      </c>
      <c r="C140" s="5">
        <v>185.94</v>
      </c>
      <c r="D140" s="5">
        <v>179.95</v>
      </c>
      <c r="E140" s="5">
        <v>183.08</v>
      </c>
      <c r="F140" s="6">
        <v>14380840</v>
      </c>
    </row>
    <row r="141" spans="1:6" x14ac:dyDescent="0.2">
      <c r="A141" s="4">
        <v>44671</v>
      </c>
      <c r="B141" s="5">
        <v>182.24</v>
      </c>
      <c r="C141" s="5">
        <v>184.32</v>
      </c>
      <c r="D141" s="5">
        <v>181.9</v>
      </c>
      <c r="E141" s="5">
        <v>183.89</v>
      </c>
      <c r="F141" s="6">
        <v>8044908</v>
      </c>
    </row>
    <row r="142" spans="1:6" x14ac:dyDescent="0.2">
      <c r="A142" s="4">
        <v>44672</v>
      </c>
      <c r="B142" s="5">
        <v>183.93</v>
      </c>
      <c r="C142" s="5">
        <v>184.87</v>
      </c>
      <c r="D142" s="5">
        <v>182.56</v>
      </c>
      <c r="E142" s="5">
        <v>183.36</v>
      </c>
      <c r="F142" s="6">
        <v>6969405</v>
      </c>
    </row>
    <row r="143" spans="1:6" x14ac:dyDescent="0.2">
      <c r="A143" s="4">
        <v>44673</v>
      </c>
      <c r="B143" s="5">
        <v>182.47</v>
      </c>
      <c r="C143" s="5">
        <v>183.15</v>
      </c>
      <c r="D143" s="5">
        <v>181.38</v>
      </c>
      <c r="E143" s="5">
        <v>181.54</v>
      </c>
      <c r="F143" s="6">
        <v>8003593</v>
      </c>
    </row>
    <row r="144" spans="1:6" x14ac:dyDescent="0.2">
      <c r="A144" s="4">
        <v>44676</v>
      </c>
      <c r="B144" s="5">
        <v>182.34</v>
      </c>
      <c r="C144" s="5">
        <v>186.69</v>
      </c>
      <c r="D144" s="5">
        <v>182.1</v>
      </c>
      <c r="E144" s="5">
        <v>186.01</v>
      </c>
      <c r="F144" s="6">
        <v>11176500</v>
      </c>
    </row>
    <row r="145" spans="1:6" x14ac:dyDescent="0.2">
      <c r="A145" s="4">
        <v>44677</v>
      </c>
      <c r="B145" s="5">
        <v>185.1</v>
      </c>
      <c r="C145" s="5">
        <v>186.57</v>
      </c>
      <c r="D145" s="5">
        <v>184.1808</v>
      </c>
      <c r="E145" s="5">
        <v>184.68</v>
      </c>
      <c r="F145" s="6">
        <v>10190020</v>
      </c>
    </row>
    <row r="146" spans="1:6" x14ac:dyDescent="0.2">
      <c r="A146" s="4">
        <v>44678</v>
      </c>
      <c r="B146" s="5">
        <v>184.24</v>
      </c>
      <c r="C146" s="5">
        <v>184.82</v>
      </c>
      <c r="D146" s="5">
        <v>181.74</v>
      </c>
      <c r="E146" s="5">
        <v>182.1</v>
      </c>
      <c r="F146" s="6">
        <v>11090330</v>
      </c>
    </row>
    <row r="147" spans="1:6" x14ac:dyDescent="0.2">
      <c r="A147" s="4">
        <v>44679</v>
      </c>
      <c r="B147" s="5">
        <v>182.25</v>
      </c>
      <c r="C147" s="5">
        <v>184.5</v>
      </c>
      <c r="D147" s="5">
        <v>181.92</v>
      </c>
      <c r="E147" s="5">
        <v>183.46</v>
      </c>
      <c r="F147" s="6">
        <v>9405147</v>
      </c>
    </row>
    <row r="148" spans="1:6" x14ac:dyDescent="0.2">
      <c r="A148" s="4">
        <v>44680</v>
      </c>
      <c r="B148" s="5">
        <v>182.5</v>
      </c>
      <c r="C148" s="5">
        <v>182.54499999999999</v>
      </c>
      <c r="D148" s="5">
        <v>180.2</v>
      </c>
      <c r="E148" s="5">
        <v>180.46</v>
      </c>
      <c r="F148" s="6">
        <v>8464103</v>
      </c>
    </row>
    <row r="149" spans="1:6" x14ac:dyDescent="0.2">
      <c r="A149" s="4">
        <v>44683</v>
      </c>
      <c r="B149" s="5">
        <v>180.47</v>
      </c>
      <c r="C149" s="5">
        <v>181.41</v>
      </c>
      <c r="D149" s="5">
        <v>177.03</v>
      </c>
      <c r="E149" s="5">
        <v>178.64</v>
      </c>
      <c r="F149" s="6">
        <v>7145420</v>
      </c>
    </row>
    <row r="150" spans="1:6" x14ac:dyDescent="0.2">
      <c r="A150" s="4">
        <v>44684</v>
      </c>
      <c r="B150" s="5">
        <v>178.8</v>
      </c>
      <c r="C150" s="5">
        <v>180.63</v>
      </c>
      <c r="D150" s="5">
        <v>177.68</v>
      </c>
      <c r="E150" s="5">
        <v>178.29</v>
      </c>
      <c r="F150" s="6">
        <v>5898660</v>
      </c>
    </row>
    <row r="151" spans="1:6" x14ac:dyDescent="0.2">
      <c r="A151" s="4">
        <v>44685</v>
      </c>
      <c r="B151" s="5">
        <v>178.15</v>
      </c>
      <c r="C151" s="5">
        <v>180.5</v>
      </c>
      <c r="D151" s="5">
        <v>177.15</v>
      </c>
      <c r="E151" s="5">
        <v>180.2</v>
      </c>
      <c r="F151" s="6">
        <v>5923144</v>
      </c>
    </row>
    <row r="152" spans="1:6" x14ac:dyDescent="0.2">
      <c r="A152" s="4">
        <v>44686</v>
      </c>
      <c r="B152" s="5">
        <v>179.42</v>
      </c>
      <c r="C152" s="5">
        <v>179.71</v>
      </c>
      <c r="D152" s="5">
        <v>175.27</v>
      </c>
      <c r="E152" s="5">
        <v>176.76</v>
      </c>
      <c r="F152" s="6">
        <v>7089184</v>
      </c>
    </row>
    <row r="153" spans="1:6" x14ac:dyDescent="0.2">
      <c r="A153" s="4">
        <v>44687</v>
      </c>
      <c r="B153" s="5">
        <v>175.14</v>
      </c>
      <c r="C153" s="5">
        <v>176.87</v>
      </c>
      <c r="D153" s="5">
        <v>174.69</v>
      </c>
      <c r="E153" s="5">
        <v>176.37</v>
      </c>
      <c r="F153" s="6">
        <v>6434011</v>
      </c>
    </row>
    <row r="154" spans="1:6" x14ac:dyDescent="0.2">
      <c r="A154" s="4">
        <v>44690</v>
      </c>
      <c r="B154" s="5">
        <v>175.45</v>
      </c>
      <c r="C154" s="5">
        <v>178.56</v>
      </c>
      <c r="D154" s="5">
        <v>174.59</v>
      </c>
      <c r="E154" s="5">
        <v>177.33</v>
      </c>
      <c r="F154" s="6">
        <v>7855212</v>
      </c>
    </row>
    <row r="155" spans="1:6" x14ac:dyDescent="0.2">
      <c r="A155" s="4">
        <v>44691</v>
      </c>
      <c r="B155" s="5">
        <v>178.23</v>
      </c>
      <c r="C155" s="5">
        <v>179.18</v>
      </c>
      <c r="D155" s="5">
        <v>176.5</v>
      </c>
      <c r="E155" s="5">
        <v>177.09</v>
      </c>
      <c r="F155" s="6">
        <v>8186717</v>
      </c>
    </row>
    <row r="156" spans="1:6" x14ac:dyDescent="0.2">
      <c r="A156" s="4">
        <v>44692</v>
      </c>
      <c r="B156" s="5">
        <v>175.96</v>
      </c>
      <c r="C156" s="5">
        <v>178.32</v>
      </c>
      <c r="D156" s="5">
        <v>175.88</v>
      </c>
      <c r="E156" s="5">
        <v>176.13</v>
      </c>
      <c r="F156" s="6">
        <v>6138896</v>
      </c>
    </row>
    <row r="157" spans="1:6" x14ac:dyDescent="0.2">
      <c r="A157" s="4">
        <v>44693</v>
      </c>
      <c r="B157" s="5">
        <v>176.47</v>
      </c>
      <c r="C157" s="5">
        <v>177.95</v>
      </c>
      <c r="D157" s="5">
        <v>174.71</v>
      </c>
      <c r="E157" s="5">
        <v>177.87</v>
      </c>
      <c r="F157" s="6">
        <v>6898565</v>
      </c>
    </row>
    <row r="158" spans="1:6" x14ac:dyDescent="0.2">
      <c r="A158" s="4">
        <v>44694</v>
      </c>
      <c r="B158" s="5">
        <v>178.7</v>
      </c>
      <c r="C158" s="5">
        <v>178.89</v>
      </c>
      <c r="D158" s="5">
        <v>175.80279999999999</v>
      </c>
      <c r="E158" s="5">
        <v>176.85</v>
      </c>
      <c r="F158" s="6">
        <v>7732163</v>
      </c>
    </row>
    <row r="159" spans="1:6" x14ac:dyDescent="0.2">
      <c r="A159" s="4">
        <v>44697</v>
      </c>
      <c r="B159" s="5">
        <v>176.85</v>
      </c>
      <c r="C159" s="5">
        <v>179.13</v>
      </c>
      <c r="D159" s="5">
        <v>176.17</v>
      </c>
      <c r="E159" s="5">
        <v>178.08</v>
      </c>
      <c r="F159" s="6">
        <v>5516706</v>
      </c>
    </row>
    <row r="160" spans="1:6" x14ac:dyDescent="0.2">
      <c r="A160" s="4">
        <v>44698</v>
      </c>
      <c r="B160" s="5">
        <v>178.72</v>
      </c>
      <c r="C160" s="5">
        <v>179.7</v>
      </c>
      <c r="D160" s="5">
        <v>176.59</v>
      </c>
      <c r="E160" s="5">
        <v>178.82</v>
      </c>
      <c r="F160" s="6">
        <v>5751129</v>
      </c>
    </row>
    <row r="161" spans="1:6" x14ac:dyDescent="0.2">
      <c r="A161" s="4">
        <v>44699</v>
      </c>
      <c r="B161" s="5">
        <v>178.84</v>
      </c>
      <c r="C161" s="5">
        <v>179.37</v>
      </c>
      <c r="D161" s="5">
        <v>175.17</v>
      </c>
      <c r="E161" s="5">
        <v>175.5</v>
      </c>
      <c r="F161" s="6">
        <v>8608771</v>
      </c>
    </row>
    <row r="162" spans="1:6" x14ac:dyDescent="0.2">
      <c r="A162" s="4">
        <v>44700</v>
      </c>
      <c r="B162" s="5">
        <v>174.72</v>
      </c>
      <c r="C162" s="5">
        <v>174.8</v>
      </c>
      <c r="D162" s="5">
        <v>172.69</v>
      </c>
      <c r="E162" s="5">
        <v>173.94</v>
      </c>
      <c r="F162" s="6">
        <v>6874509</v>
      </c>
    </row>
    <row r="163" spans="1:6" x14ac:dyDescent="0.2">
      <c r="A163" s="4">
        <v>44701</v>
      </c>
      <c r="B163" s="5">
        <v>174.85</v>
      </c>
      <c r="C163" s="5">
        <v>177.16</v>
      </c>
      <c r="D163" s="5">
        <v>174.05</v>
      </c>
      <c r="E163" s="5">
        <v>176.98</v>
      </c>
      <c r="F163" s="6">
        <v>7522122</v>
      </c>
    </row>
    <row r="164" spans="1:6" x14ac:dyDescent="0.2">
      <c r="A164" s="4">
        <v>44704</v>
      </c>
      <c r="B164" s="5">
        <v>177.6</v>
      </c>
      <c r="C164" s="5">
        <v>179.93</v>
      </c>
      <c r="D164" s="5">
        <v>177.46</v>
      </c>
      <c r="E164" s="5">
        <v>179.44</v>
      </c>
      <c r="F164" s="6">
        <v>7040831</v>
      </c>
    </row>
    <row r="165" spans="1:6" x14ac:dyDescent="0.2">
      <c r="A165" s="4">
        <v>44705</v>
      </c>
      <c r="B165" s="5">
        <v>179.25</v>
      </c>
      <c r="C165" s="5">
        <v>181.74</v>
      </c>
      <c r="D165" s="5">
        <v>179.1</v>
      </c>
      <c r="E165" s="5">
        <v>181.4</v>
      </c>
      <c r="F165" s="6">
        <v>6419836</v>
      </c>
    </row>
    <row r="166" spans="1:6" x14ac:dyDescent="0.2">
      <c r="A166" s="4">
        <v>44706</v>
      </c>
      <c r="B166" s="5">
        <v>180.53</v>
      </c>
      <c r="C166" s="5">
        <v>181.55</v>
      </c>
      <c r="D166" s="5">
        <v>179.06</v>
      </c>
      <c r="E166" s="5">
        <v>179.62</v>
      </c>
      <c r="F166" s="6">
        <v>6558994</v>
      </c>
    </row>
    <row r="167" spans="1:6" x14ac:dyDescent="0.2">
      <c r="A167" s="4">
        <v>44707</v>
      </c>
      <c r="B167" s="5">
        <v>181</v>
      </c>
      <c r="C167" s="5">
        <v>181</v>
      </c>
      <c r="D167" s="5">
        <v>178.60380000000001</v>
      </c>
      <c r="E167" s="5">
        <v>179.46</v>
      </c>
      <c r="F167" s="6">
        <v>6897747</v>
      </c>
    </row>
    <row r="168" spans="1:6" x14ac:dyDescent="0.2">
      <c r="A168" s="4">
        <v>44708</v>
      </c>
      <c r="B168" s="5">
        <v>179.76</v>
      </c>
      <c r="C168" s="5">
        <v>181.16</v>
      </c>
      <c r="D168" s="5">
        <v>178.23</v>
      </c>
      <c r="E168" s="5">
        <v>181.09</v>
      </c>
      <c r="F168" s="6">
        <v>5853621</v>
      </c>
    </row>
    <row r="169" spans="1:6" x14ac:dyDescent="0.2">
      <c r="A169" s="4">
        <v>44712</v>
      </c>
      <c r="B169" s="5">
        <v>178</v>
      </c>
      <c r="C169" s="5">
        <v>180.17</v>
      </c>
      <c r="D169" s="5">
        <v>175.01</v>
      </c>
      <c r="E169" s="5">
        <v>179.53</v>
      </c>
      <c r="F169" s="6">
        <v>16391450</v>
      </c>
    </row>
    <row r="170" spans="1:6" x14ac:dyDescent="0.2">
      <c r="A170" s="4">
        <v>44713</v>
      </c>
      <c r="B170" s="5">
        <v>179.15</v>
      </c>
      <c r="C170" s="5">
        <v>179.83</v>
      </c>
      <c r="D170" s="5">
        <v>175.9</v>
      </c>
      <c r="E170" s="5">
        <v>177.71</v>
      </c>
      <c r="F170" s="6">
        <v>5175435</v>
      </c>
    </row>
    <row r="171" spans="1:6" x14ac:dyDescent="0.2">
      <c r="A171" s="4">
        <v>44714</v>
      </c>
      <c r="B171" s="5">
        <v>177.74</v>
      </c>
      <c r="C171" s="5">
        <v>177.81</v>
      </c>
      <c r="D171" s="5">
        <v>174.58840000000001</v>
      </c>
      <c r="E171" s="5">
        <v>177.15</v>
      </c>
      <c r="F171" s="6">
        <v>8666511</v>
      </c>
    </row>
    <row r="172" spans="1:6" x14ac:dyDescent="0.2">
      <c r="A172" s="4">
        <v>44715</v>
      </c>
      <c r="B172" s="5">
        <v>177.07</v>
      </c>
      <c r="C172" s="5">
        <v>178.67070000000001</v>
      </c>
      <c r="D172" s="5">
        <v>176.15</v>
      </c>
      <c r="E172" s="5">
        <v>176.42</v>
      </c>
      <c r="F172" s="6">
        <v>4234186</v>
      </c>
    </row>
    <row r="173" spans="1:6" x14ac:dyDescent="0.2">
      <c r="A173" s="4">
        <v>44718</v>
      </c>
      <c r="B173" s="5">
        <v>177.21</v>
      </c>
      <c r="C173" s="5">
        <v>178.5</v>
      </c>
      <c r="D173" s="5">
        <v>175.995</v>
      </c>
      <c r="E173" s="5">
        <v>176.4</v>
      </c>
      <c r="F173" s="6">
        <v>5386517</v>
      </c>
    </row>
    <row r="174" spans="1:6" x14ac:dyDescent="0.2">
      <c r="A174" s="4">
        <v>44719</v>
      </c>
      <c r="B174" s="5">
        <v>176.98</v>
      </c>
      <c r="C174" s="5">
        <v>179.3</v>
      </c>
      <c r="D174" s="5">
        <v>176.4</v>
      </c>
      <c r="E174" s="5">
        <v>178.34</v>
      </c>
      <c r="F174" s="6">
        <v>5447818</v>
      </c>
    </row>
    <row r="175" spans="1:6" x14ac:dyDescent="0.2">
      <c r="A175" s="4">
        <v>44720</v>
      </c>
      <c r="B175" s="5">
        <v>178.1</v>
      </c>
      <c r="C175" s="5">
        <v>179.45</v>
      </c>
      <c r="D175" s="5">
        <v>176.8</v>
      </c>
      <c r="E175" s="5">
        <v>177.28</v>
      </c>
      <c r="F175" s="6">
        <v>4333091</v>
      </c>
    </row>
    <row r="176" spans="1:6" x14ac:dyDescent="0.2">
      <c r="A176" s="4">
        <v>44721</v>
      </c>
      <c r="B176" s="5">
        <v>177.21</v>
      </c>
      <c r="C176" s="5">
        <v>178.65</v>
      </c>
      <c r="D176" s="5">
        <v>173.64</v>
      </c>
      <c r="E176" s="5">
        <v>173.71</v>
      </c>
      <c r="F176" s="6">
        <v>5510417</v>
      </c>
    </row>
    <row r="177" spans="1:6" x14ac:dyDescent="0.2">
      <c r="A177" s="4">
        <v>44722</v>
      </c>
      <c r="B177" s="5">
        <v>172.17</v>
      </c>
      <c r="C177" s="5">
        <v>173.97</v>
      </c>
      <c r="D177" s="5">
        <v>170.62119999999999</v>
      </c>
      <c r="E177" s="5">
        <v>172.55</v>
      </c>
      <c r="F177" s="6">
        <v>6647865</v>
      </c>
    </row>
    <row r="178" spans="1:6" x14ac:dyDescent="0.2">
      <c r="A178" s="4">
        <v>44725</v>
      </c>
      <c r="B178" s="5">
        <v>170.08</v>
      </c>
      <c r="C178" s="5">
        <v>172.25</v>
      </c>
      <c r="D178" s="5">
        <v>170.0788</v>
      </c>
      <c r="E178" s="5">
        <v>170.81</v>
      </c>
      <c r="F178" s="6">
        <v>7997023</v>
      </c>
    </row>
    <row r="179" spans="1:6" x14ac:dyDescent="0.2">
      <c r="A179" s="4">
        <v>44726</v>
      </c>
      <c r="B179" s="5">
        <v>171.06</v>
      </c>
      <c r="C179" s="5">
        <v>171.11</v>
      </c>
      <c r="D179" s="5">
        <v>167.26</v>
      </c>
      <c r="E179" s="5">
        <v>168.19</v>
      </c>
      <c r="F179" s="6">
        <v>7116777</v>
      </c>
    </row>
    <row r="180" spans="1:6" x14ac:dyDescent="0.2">
      <c r="A180" s="4">
        <v>44727</v>
      </c>
      <c r="B180" s="5">
        <v>169.64</v>
      </c>
      <c r="C180" s="5">
        <v>171.44</v>
      </c>
      <c r="D180" s="5">
        <v>168.64</v>
      </c>
      <c r="E180" s="5">
        <v>169.99</v>
      </c>
      <c r="F180" s="6">
        <v>7796330</v>
      </c>
    </row>
    <row r="181" spans="1:6" x14ac:dyDescent="0.2">
      <c r="A181" s="4">
        <v>44728</v>
      </c>
      <c r="B181" s="5">
        <v>168.4</v>
      </c>
      <c r="C181" s="5">
        <v>170.21</v>
      </c>
      <c r="D181" s="5">
        <v>167.41</v>
      </c>
      <c r="E181" s="5">
        <v>170.08</v>
      </c>
      <c r="F181" s="6">
        <v>7056743</v>
      </c>
    </row>
    <row r="182" spans="1:6" x14ac:dyDescent="0.2">
      <c r="A182" s="4">
        <v>44729</v>
      </c>
      <c r="B182" s="5">
        <v>170.63</v>
      </c>
      <c r="C182" s="5">
        <v>172.2</v>
      </c>
      <c r="D182" s="5">
        <v>169.24</v>
      </c>
      <c r="E182" s="5">
        <v>169.46</v>
      </c>
      <c r="F182" s="6">
        <v>12486570</v>
      </c>
    </row>
    <row r="183" spans="1:6" x14ac:dyDescent="0.2">
      <c r="A183" s="4">
        <v>44733</v>
      </c>
      <c r="B183" s="5">
        <v>170.75</v>
      </c>
      <c r="C183" s="5">
        <v>173.86</v>
      </c>
      <c r="D183" s="5">
        <v>169.56</v>
      </c>
      <c r="E183" s="5">
        <v>173.01</v>
      </c>
      <c r="F183" s="6">
        <v>8219662</v>
      </c>
    </row>
    <row r="184" spans="1:6" x14ac:dyDescent="0.2">
      <c r="A184" s="4">
        <v>44734</v>
      </c>
      <c r="B184" s="5">
        <v>172</v>
      </c>
      <c r="C184" s="5">
        <v>177.92</v>
      </c>
      <c r="D184" s="5">
        <v>171.69</v>
      </c>
      <c r="E184" s="5">
        <v>175.74</v>
      </c>
      <c r="F184" s="6">
        <v>10593450</v>
      </c>
    </row>
    <row r="185" spans="1:6" x14ac:dyDescent="0.2">
      <c r="A185" s="4">
        <v>44735</v>
      </c>
      <c r="B185" s="5">
        <v>177</v>
      </c>
      <c r="C185" s="5">
        <v>179.815</v>
      </c>
      <c r="D185" s="5">
        <v>176.52</v>
      </c>
      <c r="E185" s="5">
        <v>179.66</v>
      </c>
      <c r="F185" s="6">
        <v>10223460</v>
      </c>
    </row>
    <row r="186" spans="1:6" x14ac:dyDescent="0.2">
      <c r="A186" s="4">
        <v>44736</v>
      </c>
      <c r="B186" s="5">
        <v>180.78</v>
      </c>
      <c r="C186" s="5">
        <v>182.53</v>
      </c>
      <c r="D186" s="5">
        <v>179.97749999999999</v>
      </c>
      <c r="E186" s="5">
        <v>182.29</v>
      </c>
      <c r="F186" s="6">
        <v>9374446</v>
      </c>
    </row>
    <row r="187" spans="1:6" x14ac:dyDescent="0.2">
      <c r="A187" s="4">
        <v>44739</v>
      </c>
      <c r="B187" s="5">
        <v>181.64</v>
      </c>
      <c r="C187" s="5">
        <v>183.35059999999999</v>
      </c>
      <c r="D187" s="5">
        <v>181.5</v>
      </c>
      <c r="E187" s="5">
        <v>182.12</v>
      </c>
      <c r="F187" s="6">
        <v>5908839</v>
      </c>
    </row>
    <row r="188" spans="1:6" x14ac:dyDescent="0.2">
      <c r="A188" s="4">
        <v>44740</v>
      </c>
      <c r="B188" s="5">
        <v>182.17</v>
      </c>
      <c r="C188" s="5">
        <v>182.97</v>
      </c>
      <c r="D188" s="5">
        <v>176.31</v>
      </c>
      <c r="E188" s="5">
        <v>176.94</v>
      </c>
      <c r="F188" s="6">
        <v>9277210</v>
      </c>
    </row>
    <row r="189" spans="1:6" x14ac:dyDescent="0.2">
      <c r="A189" s="4">
        <v>44741</v>
      </c>
      <c r="B189" s="5">
        <v>177.22</v>
      </c>
      <c r="C189" s="5">
        <v>178.3</v>
      </c>
      <c r="D189" s="5">
        <v>176.43</v>
      </c>
      <c r="E189" s="5">
        <v>176.99</v>
      </c>
      <c r="F189" s="6">
        <v>7097873</v>
      </c>
    </row>
    <row r="190" spans="1:6" x14ac:dyDescent="0.2">
      <c r="A190" s="4">
        <v>44742</v>
      </c>
      <c r="B190" s="5">
        <v>176.86</v>
      </c>
      <c r="C190" s="5">
        <v>178.29</v>
      </c>
      <c r="D190" s="5">
        <v>175.03</v>
      </c>
      <c r="E190" s="5">
        <v>177.51</v>
      </c>
      <c r="F190" s="6">
        <v>10777250</v>
      </c>
    </row>
    <row r="191" spans="1:6" x14ac:dyDescent="0.2">
      <c r="A191" s="4">
        <v>44743</v>
      </c>
      <c r="B191" s="5">
        <v>177.45</v>
      </c>
      <c r="C191" s="5">
        <v>179.72</v>
      </c>
      <c r="D191" s="5">
        <v>176.69</v>
      </c>
      <c r="E191" s="5">
        <v>179.52</v>
      </c>
      <c r="F191" s="6">
        <v>5498393</v>
      </c>
    </row>
    <row r="192" spans="1:6" x14ac:dyDescent="0.2">
      <c r="A192" s="4">
        <v>44747</v>
      </c>
      <c r="B192" s="5">
        <v>178.83</v>
      </c>
      <c r="C192" s="5">
        <v>179.125</v>
      </c>
      <c r="D192" s="5">
        <v>174.61</v>
      </c>
      <c r="E192" s="5">
        <v>178.14</v>
      </c>
      <c r="F192" s="6">
        <v>5677363</v>
      </c>
    </row>
    <row r="193" spans="1:6" x14ac:dyDescent="0.2">
      <c r="A193" s="4">
        <v>44748</v>
      </c>
      <c r="B193" s="5">
        <v>178.07</v>
      </c>
      <c r="C193" s="5">
        <v>179.44</v>
      </c>
      <c r="D193" s="5">
        <v>177.41</v>
      </c>
      <c r="E193" s="5">
        <v>178.3</v>
      </c>
      <c r="F193" s="6">
        <v>5335631</v>
      </c>
    </row>
    <row r="194" spans="1:6" x14ac:dyDescent="0.2">
      <c r="A194" s="4">
        <v>44749</v>
      </c>
      <c r="B194" s="5">
        <v>177.86</v>
      </c>
      <c r="C194" s="5">
        <v>179.12</v>
      </c>
      <c r="D194" s="5">
        <v>177.51</v>
      </c>
      <c r="E194" s="5">
        <v>178.5</v>
      </c>
      <c r="F194" s="6">
        <v>5725839</v>
      </c>
    </row>
    <row r="195" spans="1:6" x14ac:dyDescent="0.2">
      <c r="A195" s="4">
        <v>44750</v>
      </c>
      <c r="B195" s="5">
        <v>178.33</v>
      </c>
      <c r="C195" s="5">
        <v>179.99</v>
      </c>
      <c r="D195" s="5">
        <v>177.77</v>
      </c>
      <c r="E195" s="5">
        <v>178.28</v>
      </c>
      <c r="F195" s="6">
        <v>3828375</v>
      </c>
    </row>
    <row r="196" spans="1:6" x14ac:dyDescent="0.2">
      <c r="A196" s="4">
        <v>44753</v>
      </c>
      <c r="B196" s="5">
        <v>177.7</v>
      </c>
      <c r="C196" s="5">
        <v>179.02</v>
      </c>
      <c r="D196" s="5">
        <v>177.52</v>
      </c>
      <c r="E196" s="5">
        <v>178.35</v>
      </c>
      <c r="F196" s="6">
        <v>3645448</v>
      </c>
    </row>
    <row r="197" spans="1:6" x14ac:dyDescent="0.2">
      <c r="A197" s="4">
        <v>44754</v>
      </c>
      <c r="B197" s="5">
        <v>177.98</v>
      </c>
      <c r="C197" s="5">
        <v>178.45</v>
      </c>
      <c r="D197" s="5">
        <v>175.1951</v>
      </c>
      <c r="E197" s="5">
        <v>175.85</v>
      </c>
      <c r="F197" s="6">
        <v>4708892</v>
      </c>
    </row>
    <row r="198" spans="1:6" x14ac:dyDescent="0.2">
      <c r="A198" s="4">
        <v>44755</v>
      </c>
      <c r="B198" s="5">
        <v>175.66</v>
      </c>
      <c r="C198" s="5">
        <v>176.33</v>
      </c>
      <c r="D198" s="5">
        <v>174.5</v>
      </c>
      <c r="E198" s="5">
        <v>175.44</v>
      </c>
      <c r="F198" s="6">
        <v>5291697</v>
      </c>
    </row>
    <row r="199" spans="1:6" x14ac:dyDescent="0.2">
      <c r="A199" s="4">
        <v>44756</v>
      </c>
      <c r="B199" s="5">
        <v>172.53</v>
      </c>
      <c r="C199" s="5">
        <v>176.01</v>
      </c>
      <c r="D199" s="5">
        <v>172.29679999999999</v>
      </c>
      <c r="E199" s="5">
        <v>175.68</v>
      </c>
      <c r="F199" s="6">
        <v>5359551</v>
      </c>
    </row>
    <row r="200" spans="1:6" x14ac:dyDescent="0.2">
      <c r="A200" s="4">
        <v>44757</v>
      </c>
      <c r="B200" s="5">
        <v>177.71</v>
      </c>
      <c r="C200" s="5">
        <v>178.51</v>
      </c>
      <c r="D200" s="5">
        <v>176.55</v>
      </c>
      <c r="E200" s="5">
        <v>178.23</v>
      </c>
      <c r="F200" s="6">
        <v>5691095</v>
      </c>
    </row>
    <row r="201" spans="1:6" x14ac:dyDescent="0.2">
      <c r="A201" s="4">
        <v>44760</v>
      </c>
      <c r="B201" s="5">
        <v>177.74</v>
      </c>
      <c r="C201" s="5">
        <v>178.19</v>
      </c>
      <c r="D201" s="5">
        <v>173.91</v>
      </c>
      <c r="E201" s="5">
        <v>174.23</v>
      </c>
      <c r="F201" s="6">
        <v>7605677</v>
      </c>
    </row>
    <row r="202" spans="1:6" x14ac:dyDescent="0.2">
      <c r="A202" s="4">
        <v>44761</v>
      </c>
      <c r="B202" s="5">
        <v>176.33</v>
      </c>
      <c r="C202" s="5">
        <v>176.75</v>
      </c>
      <c r="D202" s="5">
        <v>169.88</v>
      </c>
      <c r="E202" s="5">
        <v>171.69</v>
      </c>
      <c r="F202" s="6">
        <v>13256440</v>
      </c>
    </row>
    <row r="203" spans="1:6" x14ac:dyDescent="0.2">
      <c r="A203" s="4">
        <v>44762</v>
      </c>
      <c r="B203" s="5">
        <v>172.2</v>
      </c>
      <c r="C203" s="5">
        <v>172.55</v>
      </c>
      <c r="D203" s="5">
        <v>169.76</v>
      </c>
      <c r="E203" s="5">
        <v>170.71</v>
      </c>
      <c r="F203" s="6">
        <v>7455775</v>
      </c>
    </row>
    <row r="204" spans="1:6" x14ac:dyDescent="0.2">
      <c r="A204" s="4">
        <v>44763</v>
      </c>
      <c r="B204" s="5">
        <v>170.05</v>
      </c>
      <c r="C204" s="5">
        <v>171.39</v>
      </c>
      <c r="D204" s="5">
        <v>169.77</v>
      </c>
      <c r="E204" s="5">
        <v>171.31</v>
      </c>
      <c r="F204" s="6">
        <v>5729215</v>
      </c>
    </row>
    <row r="205" spans="1:6" x14ac:dyDescent="0.2">
      <c r="A205" s="4">
        <v>44764</v>
      </c>
      <c r="B205" s="5">
        <v>171.595</v>
      </c>
      <c r="C205" s="5">
        <v>172.49</v>
      </c>
      <c r="D205" s="5">
        <v>171.06</v>
      </c>
      <c r="E205" s="5">
        <v>172.12</v>
      </c>
      <c r="F205" s="6">
        <v>4257032</v>
      </c>
    </row>
    <row r="206" spans="1:6" x14ac:dyDescent="0.2">
      <c r="A206" s="4">
        <v>44767</v>
      </c>
      <c r="B206" s="5">
        <v>172.12</v>
      </c>
      <c r="C206" s="5">
        <v>172.97499999999999</v>
      </c>
      <c r="D206" s="5">
        <v>171.72</v>
      </c>
      <c r="E206" s="5">
        <v>172.46</v>
      </c>
      <c r="F206" s="6">
        <v>4437270</v>
      </c>
    </row>
    <row r="207" spans="1:6" x14ac:dyDescent="0.2">
      <c r="A207" s="4">
        <v>44768</v>
      </c>
      <c r="B207" s="5">
        <v>172.56</v>
      </c>
      <c r="C207" s="5">
        <v>174.98</v>
      </c>
      <c r="D207" s="5">
        <v>172.49</v>
      </c>
      <c r="E207" s="5">
        <v>173.68</v>
      </c>
      <c r="F207" s="6">
        <v>4525545</v>
      </c>
    </row>
    <row r="208" spans="1:6" x14ac:dyDescent="0.2">
      <c r="A208" s="4">
        <v>44769</v>
      </c>
      <c r="B208" s="5">
        <v>172.63</v>
      </c>
      <c r="C208" s="5">
        <v>174.1</v>
      </c>
      <c r="D208" s="5">
        <v>171.13</v>
      </c>
      <c r="E208" s="5">
        <v>173.2</v>
      </c>
      <c r="F208" s="6">
        <v>4648499</v>
      </c>
    </row>
    <row r="209" spans="1:6" x14ac:dyDescent="0.2">
      <c r="A209" s="4">
        <v>44770</v>
      </c>
      <c r="B209" s="5">
        <v>173.4</v>
      </c>
      <c r="C209" s="5">
        <v>176.09</v>
      </c>
      <c r="D209" s="5">
        <v>171.44</v>
      </c>
      <c r="E209" s="5">
        <v>174.2</v>
      </c>
      <c r="F209" s="6">
        <v>5513018</v>
      </c>
    </row>
    <row r="210" spans="1:6" x14ac:dyDescent="0.2">
      <c r="A210" s="4">
        <v>44771</v>
      </c>
      <c r="B210" s="5">
        <v>173.79</v>
      </c>
      <c r="C210" s="5">
        <v>174.85</v>
      </c>
      <c r="D210" s="5">
        <v>172.91</v>
      </c>
      <c r="E210" s="5">
        <v>174.52</v>
      </c>
      <c r="F210" s="6">
        <v>6451431</v>
      </c>
    </row>
    <row r="211" spans="1:6" x14ac:dyDescent="0.2">
      <c r="A211" s="4">
        <v>44774</v>
      </c>
      <c r="B211" s="5">
        <v>174.17</v>
      </c>
      <c r="C211" s="5">
        <v>175.155</v>
      </c>
      <c r="D211" s="5">
        <v>173.54249999999999</v>
      </c>
      <c r="E211" s="5">
        <v>173.91</v>
      </c>
      <c r="F211" s="6">
        <v>5461387</v>
      </c>
    </row>
    <row r="212" spans="1:6" x14ac:dyDescent="0.2">
      <c r="A212" s="4">
        <v>44775</v>
      </c>
      <c r="B212" s="5">
        <v>175.01</v>
      </c>
      <c r="C212" s="5">
        <v>175.49</v>
      </c>
      <c r="D212" s="5">
        <v>172.7</v>
      </c>
      <c r="E212" s="5">
        <v>172.92</v>
      </c>
      <c r="F212" s="6">
        <v>5794225</v>
      </c>
    </row>
    <row r="213" spans="1:6" x14ac:dyDescent="0.2">
      <c r="A213" s="4">
        <v>44776</v>
      </c>
      <c r="B213" s="5">
        <v>172.55</v>
      </c>
      <c r="C213" s="5">
        <v>175.26</v>
      </c>
      <c r="D213" s="5">
        <v>171.77</v>
      </c>
      <c r="E213" s="5">
        <v>174.59</v>
      </c>
      <c r="F213" s="6">
        <v>5009952</v>
      </c>
    </row>
    <row r="214" spans="1:6" x14ac:dyDescent="0.2">
      <c r="A214" s="4">
        <v>44777</v>
      </c>
      <c r="B214" s="5">
        <v>174.81</v>
      </c>
      <c r="C214" s="5">
        <v>175.09</v>
      </c>
      <c r="D214" s="5">
        <v>171.6</v>
      </c>
      <c r="E214" s="5">
        <v>171.79</v>
      </c>
      <c r="F214" s="6">
        <v>5651554</v>
      </c>
    </row>
    <row r="215" spans="1:6" x14ac:dyDescent="0.2">
      <c r="A215" s="4">
        <v>44778</v>
      </c>
      <c r="B215" s="5">
        <v>171.3</v>
      </c>
      <c r="C215" s="5">
        <v>171.53</v>
      </c>
      <c r="D215" s="5">
        <v>169.79</v>
      </c>
      <c r="E215" s="5">
        <v>171.11</v>
      </c>
      <c r="F215" s="6">
        <v>5235516</v>
      </c>
    </row>
    <row r="216" spans="1:6" x14ac:dyDescent="0.2">
      <c r="A216" s="4">
        <v>44781</v>
      </c>
      <c r="B216" s="5">
        <v>171.3</v>
      </c>
      <c r="C216" s="5">
        <v>171.48</v>
      </c>
      <c r="D216" s="5">
        <v>169.43539999999999</v>
      </c>
      <c r="E216" s="5">
        <v>170.2</v>
      </c>
      <c r="F216" s="6">
        <v>4630836</v>
      </c>
    </row>
    <row r="217" spans="1:6" x14ac:dyDescent="0.2">
      <c r="A217" s="4">
        <v>44782</v>
      </c>
      <c r="B217" s="5">
        <v>170.54</v>
      </c>
      <c r="C217" s="5">
        <v>171.12</v>
      </c>
      <c r="D217" s="5">
        <v>169.73</v>
      </c>
      <c r="E217" s="5">
        <v>170.18</v>
      </c>
      <c r="F217" s="6">
        <v>5532526</v>
      </c>
    </row>
    <row r="218" spans="1:6" x14ac:dyDescent="0.2">
      <c r="A218" s="4">
        <v>44783</v>
      </c>
      <c r="B218" s="5">
        <v>171.02</v>
      </c>
      <c r="C218" s="5">
        <v>171.24</v>
      </c>
      <c r="D218" s="5">
        <v>169.53</v>
      </c>
      <c r="E218" s="5">
        <v>170.67</v>
      </c>
      <c r="F218" s="6">
        <v>5603444</v>
      </c>
    </row>
    <row r="219" spans="1:6" x14ac:dyDescent="0.2">
      <c r="A219" s="4">
        <v>44784</v>
      </c>
      <c r="B219" s="5">
        <v>168.52</v>
      </c>
      <c r="C219" s="5">
        <v>169.95</v>
      </c>
      <c r="D219" s="5">
        <v>166.98</v>
      </c>
      <c r="E219" s="5">
        <v>167.14</v>
      </c>
      <c r="F219" s="6">
        <v>9328688</v>
      </c>
    </row>
    <row r="220" spans="1:6" x14ac:dyDescent="0.2">
      <c r="A220" s="4">
        <v>44785</v>
      </c>
      <c r="B220" s="5">
        <v>167.54</v>
      </c>
      <c r="C220" s="5">
        <v>167.94</v>
      </c>
      <c r="D220" s="5">
        <v>165.15</v>
      </c>
      <c r="E220" s="5">
        <v>165.3</v>
      </c>
      <c r="F220" s="6">
        <v>14606900</v>
      </c>
    </row>
    <row r="221" spans="1:6" x14ac:dyDescent="0.2">
      <c r="A221" s="4">
        <v>44788</v>
      </c>
      <c r="B221" s="5">
        <v>166</v>
      </c>
      <c r="C221" s="5">
        <v>166.75</v>
      </c>
      <c r="D221" s="5">
        <v>165.125</v>
      </c>
      <c r="E221" s="5">
        <v>166.09</v>
      </c>
      <c r="F221" s="6">
        <v>10072040</v>
      </c>
    </row>
    <row r="222" spans="1:6" x14ac:dyDescent="0.2">
      <c r="A222" s="4">
        <v>44789</v>
      </c>
      <c r="B222" s="5">
        <v>165.86</v>
      </c>
      <c r="C222" s="5">
        <v>168.25389999999999</v>
      </c>
      <c r="D222" s="5">
        <v>165.6</v>
      </c>
      <c r="E222" s="5">
        <v>167.57</v>
      </c>
      <c r="F222" s="6">
        <v>7453595</v>
      </c>
    </row>
    <row r="223" spans="1:6" x14ac:dyDescent="0.2">
      <c r="A223" s="4">
        <v>44790</v>
      </c>
      <c r="B223" s="5">
        <v>166.41</v>
      </c>
      <c r="C223" s="5">
        <v>168.56</v>
      </c>
      <c r="D223" s="5">
        <v>166.41</v>
      </c>
      <c r="E223" s="5">
        <v>167.58</v>
      </c>
      <c r="F223" s="6">
        <v>7406590</v>
      </c>
    </row>
    <row r="224" spans="1:6" x14ac:dyDescent="0.2">
      <c r="A224" s="4">
        <v>44791</v>
      </c>
      <c r="B224" s="5">
        <v>167.68</v>
      </c>
      <c r="C224" s="5">
        <v>168.3</v>
      </c>
      <c r="D224" s="5">
        <v>165.93</v>
      </c>
      <c r="E224" s="5">
        <v>166.77</v>
      </c>
      <c r="F224" s="6">
        <v>8312105</v>
      </c>
    </row>
    <row r="225" spans="1:6" x14ac:dyDescent="0.2">
      <c r="A225" s="4">
        <v>44792</v>
      </c>
      <c r="B225" s="5">
        <v>167.1</v>
      </c>
      <c r="C225" s="5">
        <v>170.12</v>
      </c>
      <c r="D225" s="5">
        <v>167</v>
      </c>
      <c r="E225" s="5">
        <v>169.31</v>
      </c>
      <c r="F225" s="6">
        <v>8128543</v>
      </c>
    </row>
    <row r="226" spans="1:6" x14ac:dyDescent="0.2">
      <c r="A226" s="4">
        <v>44795</v>
      </c>
      <c r="B226" s="5">
        <v>168.9</v>
      </c>
      <c r="C226" s="5">
        <v>168.92</v>
      </c>
      <c r="D226" s="5">
        <v>167.17</v>
      </c>
      <c r="E226" s="5">
        <v>167.59</v>
      </c>
      <c r="F226" s="6">
        <v>5462550</v>
      </c>
    </row>
    <row r="227" spans="1:6" x14ac:dyDescent="0.2">
      <c r="A227" s="4">
        <v>44796</v>
      </c>
      <c r="B227" s="5">
        <v>167</v>
      </c>
      <c r="C227" s="5">
        <v>167.77</v>
      </c>
      <c r="D227" s="5">
        <v>165.8</v>
      </c>
      <c r="E227" s="5">
        <v>166.13</v>
      </c>
      <c r="F227" s="6">
        <v>5566296</v>
      </c>
    </row>
    <row r="228" spans="1:6" x14ac:dyDescent="0.2">
      <c r="A228" s="4">
        <v>44797</v>
      </c>
      <c r="B228" s="5">
        <v>166.56</v>
      </c>
      <c r="C228" s="5">
        <v>166.59</v>
      </c>
      <c r="D228" s="5">
        <v>165.07</v>
      </c>
      <c r="E228" s="5">
        <v>165.58</v>
      </c>
      <c r="F228" s="6">
        <v>5684329</v>
      </c>
    </row>
    <row r="229" spans="1:6" x14ac:dyDescent="0.2">
      <c r="A229" s="4">
        <v>44798</v>
      </c>
      <c r="B229" s="5">
        <v>165.95</v>
      </c>
      <c r="C229" s="5">
        <v>167.24</v>
      </c>
      <c r="D229" s="5">
        <v>164.7</v>
      </c>
      <c r="E229" s="5">
        <v>167.13</v>
      </c>
      <c r="F229" s="6">
        <v>5678662</v>
      </c>
    </row>
    <row r="230" spans="1:6" x14ac:dyDescent="0.2">
      <c r="A230" s="4">
        <v>44799</v>
      </c>
      <c r="B230" s="5">
        <v>167.46</v>
      </c>
      <c r="C230" s="5">
        <v>167.5</v>
      </c>
      <c r="D230" s="5">
        <v>164.19499999999999</v>
      </c>
      <c r="E230" s="5">
        <v>164.27</v>
      </c>
      <c r="F230" s="6">
        <v>5667136</v>
      </c>
    </row>
    <row r="231" spans="1:6" x14ac:dyDescent="0.2">
      <c r="A231" s="4">
        <v>44802</v>
      </c>
      <c r="B231" s="5">
        <v>163.47</v>
      </c>
      <c r="C231" s="5">
        <v>163.84</v>
      </c>
      <c r="D231" s="5">
        <v>162.02000000000001</v>
      </c>
      <c r="E231" s="5">
        <v>163</v>
      </c>
      <c r="F231" s="6">
        <v>5259249</v>
      </c>
    </row>
    <row r="232" spans="1:6" x14ac:dyDescent="0.2">
      <c r="A232" s="4">
        <v>44803</v>
      </c>
      <c r="B232" s="5">
        <v>163.30000000000001</v>
      </c>
      <c r="C232" s="5">
        <v>163.54</v>
      </c>
      <c r="D232" s="5">
        <v>162.03</v>
      </c>
      <c r="E232" s="5">
        <v>162.43</v>
      </c>
      <c r="F232" s="6">
        <v>6973254</v>
      </c>
    </row>
    <row r="233" spans="1:6" x14ac:dyDescent="0.2">
      <c r="A233" s="4">
        <v>44804</v>
      </c>
      <c r="B233" s="5">
        <v>163.22999999999999</v>
      </c>
      <c r="C233" s="5">
        <v>163.55000000000001</v>
      </c>
      <c r="D233" s="5">
        <v>161.27000000000001</v>
      </c>
      <c r="E233" s="5">
        <v>161.34</v>
      </c>
      <c r="F233" s="6">
        <v>8741708</v>
      </c>
    </row>
    <row r="234" spans="1:6" x14ac:dyDescent="0.2">
      <c r="A234" s="4">
        <v>44805</v>
      </c>
      <c r="B234" s="5">
        <v>161.49</v>
      </c>
      <c r="C234" s="5">
        <v>165.5</v>
      </c>
      <c r="D234" s="5">
        <v>161.47999999999999</v>
      </c>
      <c r="E234" s="5">
        <v>165.34</v>
      </c>
      <c r="F234" s="6">
        <v>7509594</v>
      </c>
    </row>
    <row r="235" spans="1:6" x14ac:dyDescent="0.2">
      <c r="A235" s="4">
        <v>44806</v>
      </c>
      <c r="B235" s="5">
        <v>165.86</v>
      </c>
      <c r="C235" s="5">
        <v>166.2</v>
      </c>
      <c r="D235" s="5">
        <v>162.01</v>
      </c>
      <c r="E235" s="5">
        <v>162.74</v>
      </c>
      <c r="F235" s="6">
        <v>5803704</v>
      </c>
    </row>
    <row r="236" spans="1:6" x14ac:dyDescent="0.2">
      <c r="A236" s="4">
        <v>44810</v>
      </c>
      <c r="B236" s="5">
        <v>163.94</v>
      </c>
      <c r="C236" s="5">
        <v>166.215</v>
      </c>
      <c r="D236" s="5">
        <v>162.82</v>
      </c>
      <c r="E236" s="5">
        <v>163.18</v>
      </c>
      <c r="F236" s="6">
        <v>7394550</v>
      </c>
    </row>
    <row r="237" spans="1:6" x14ac:dyDescent="0.2">
      <c r="A237" s="4">
        <v>44811</v>
      </c>
      <c r="B237" s="5">
        <v>162.91</v>
      </c>
      <c r="C237" s="5">
        <v>164.42</v>
      </c>
      <c r="D237" s="5">
        <v>162.16</v>
      </c>
      <c r="E237" s="5">
        <v>164.07</v>
      </c>
      <c r="F237" s="6">
        <v>4546700</v>
      </c>
    </row>
    <row r="238" spans="1:6" x14ac:dyDescent="0.2">
      <c r="A238" s="4">
        <v>44812</v>
      </c>
      <c r="B238" s="5">
        <v>163.88</v>
      </c>
      <c r="C238" s="5">
        <v>165.42</v>
      </c>
      <c r="D238" s="5">
        <v>163.08000000000001</v>
      </c>
      <c r="E238" s="5">
        <v>165.39</v>
      </c>
      <c r="F238" s="6">
        <v>5838401</v>
      </c>
    </row>
    <row r="239" spans="1:6" x14ac:dyDescent="0.2">
      <c r="A239" s="4">
        <v>44813</v>
      </c>
      <c r="B239" s="5">
        <v>164.99</v>
      </c>
      <c r="C239" s="5">
        <v>166.2</v>
      </c>
      <c r="D239" s="5">
        <v>164.38839999999999</v>
      </c>
      <c r="E239" s="5">
        <v>165.71</v>
      </c>
      <c r="F239" s="6">
        <v>5501863</v>
      </c>
    </row>
    <row r="240" spans="1:6" x14ac:dyDescent="0.2">
      <c r="A240" s="4">
        <v>44816</v>
      </c>
      <c r="B240" s="5">
        <v>166.11</v>
      </c>
      <c r="C240" s="5">
        <v>166.57</v>
      </c>
      <c r="D240" s="5">
        <v>165.22</v>
      </c>
      <c r="E240" s="5">
        <v>165.64</v>
      </c>
      <c r="F240" s="6">
        <v>6365306</v>
      </c>
    </row>
    <row r="241" spans="1:6" x14ac:dyDescent="0.2">
      <c r="A241" s="4">
        <v>44817</v>
      </c>
      <c r="B241" s="5">
        <v>163.57</v>
      </c>
      <c r="C241" s="5">
        <v>164.44</v>
      </c>
      <c r="D241" s="5">
        <v>160.81</v>
      </c>
      <c r="E241" s="5">
        <v>161.33000000000001</v>
      </c>
      <c r="F241" s="6">
        <v>6726360</v>
      </c>
    </row>
    <row r="242" spans="1:6" x14ac:dyDescent="0.2">
      <c r="A242" s="4">
        <v>44818</v>
      </c>
      <c r="B242" s="5">
        <v>162.38</v>
      </c>
      <c r="C242" s="5">
        <v>165.36</v>
      </c>
      <c r="D242" s="5">
        <v>162.38</v>
      </c>
      <c r="E242" s="5">
        <v>164.66</v>
      </c>
      <c r="F242" s="6">
        <v>9555693</v>
      </c>
    </row>
    <row r="243" spans="1:6" x14ac:dyDescent="0.2">
      <c r="A243" s="4">
        <v>44819</v>
      </c>
      <c r="B243" s="5">
        <v>164.45</v>
      </c>
      <c r="C243" s="5">
        <v>166.07</v>
      </c>
      <c r="D243" s="5">
        <v>164.1</v>
      </c>
      <c r="E243" s="5">
        <v>165.08</v>
      </c>
      <c r="F243" s="6">
        <v>7174495</v>
      </c>
    </row>
    <row r="244" spans="1:6" x14ac:dyDescent="0.2">
      <c r="A244" s="4">
        <v>44820</v>
      </c>
      <c r="B244" s="5">
        <v>165.32</v>
      </c>
      <c r="C244" s="5">
        <v>167.63</v>
      </c>
      <c r="D244" s="5">
        <v>164.75</v>
      </c>
      <c r="E244" s="5">
        <v>167.6</v>
      </c>
      <c r="F244" s="6">
        <v>20201540</v>
      </c>
    </row>
    <row r="245" spans="1:6" x14ac:dyDescent="0.2">
      <c r="A245" s="4">
        <v>44823</v>
      </c>
      <c r="B245" s="5">
        <v>166.3</v>
      </c>
      <c r="C245" s="5">
        <v>166.43</v>
      </c>
      <c r="D245" s="5">
        <v>164.08</v>
      </c>
      <c r="E245" s="5">
        <v>166.28</v>
      </c>
      <c r="F245" s="6">
        <v>7380906</v>
      </c>
    </row>
    <row r="246" spans="1:6" x14ac:dyDescent="0.2">
      <c r="A246" s="4">
        <v>44824</v>
      </c>
      <c r="B246" s="5">
        <v>165.22</v>
      </c>
      <c r="C246" s="5">
        <v>165.9</v>
      </c>
      <c r="D246" s="5">
        <v>164.32</v>
      </c>
      <c r="E246" s="5">
        <v>164.97</v>
      </c>
      <c r="F246" s="6">
        <v>7143441</v>
      </c>
    </row>
    <row r="247" spans="1:6" x14ac:dyDescent="0.2">
      <c r="A247" s="4">
        <v>44825</v>
      </c>
      <c r="B247" s="5">
        <v>165.02</v>
      </c>
      <c r="C247" s="5">
        <v>166.79499999999999</v>
      </c>
      <c r="D247" s="5">
        <v>163.24</v>
      </c>
      <c r="E247" s="5">
        <v>163.28</v>
      </c>
      <c r="F247" s="6">
        <v>8071195</v>
      </c>
    </row>
    <row r="248" spans="1:6" x14ac:dyDescent="0.2">
      <c r="A248" s="4">
        <v>44826</v>
      </c>
      <c r="B248" s="5">
        <v>163.15</v>
      </c>
      <c r="C248" s="5">
        <v>167.16</v>
      </c>
      <c r="D248" s="5">
        <v>162.83000000000001</v>
      </c>
      <c r="E248" s="5">
        <v>166.18</v>
      </c>
      <c r="F248" s="6">
        <v>7401060</v>
      </c>
    </row>
    <row r="249" spans="1:6" x14ac:dyDescent="0.2">
      <c r="A249" s="4">
        <v>44827</v>
      </c>
      <c r="B249" s="5">
        <v>165.74</v>
      </c>
      <c r="C249" s="5">
        <v>167.48</v>
      </c>
      <c r="D249" s="5">
        <v>164.66</v>
      </c>
      <c r="E249" s="5">
        <v>166.72</v>
      </c>
      <c r="F249" s="6">
        <v>9598555</v>
      </c>
    </row>
    <row r="250" spans="1:6" x14ac:dyDescent="0.2">
      <c r="A250" s="4">
        <v>44830</v>
      </c>
      <c r="B250" s="5">
        <v>165.8</v>
      </c>
      <c r="C250" s="5">
        <v>166.84</v>
      </c>
      <c r="D250" s="5">
        <v>164.38</v>
      </c>
      <c r="E250" s="5">
        <v>165.7</v>
      </c>
      <c r="F250" s="6">
        <v>8735455</v>
      </c>
    </row>
    <row r="251" spans="1:6" x14ac:dyDescent="0.2">
      <c r="A251" s="4">
        <v>44831</v>
      </c>
      <c r="B251" s="5">
        <v>166.36</v>
      </c>
      <c r="C251" s="5">
        <v>167.67</v>
      </c>
      <c r="D251" s="5">
        <v>164.4</v>
      </c>
      <c r="E251" s="5">
        <v>164.94</v>
      </c>
      <c r="F251" s="6">
        <v>8686684</v>
      </c>
    </row>
    <row r="252" spans="1:6" x14ac:dyDescent="0.2">
      <c r="A252" s="4">
        <v>44832</v>
      </c>
      <c r="B252" s="5">
        <v>166.245</v>
      </c>
      <c r="C252" s="5">
        <v>167.38</v>
      </c>
      <c r="D252" s="5">
        <v>165.1</v>
      </c>
      <c r="E252" s="5">
        <v>166.36</v>
      </c>
      <c r="F252" s="6">
        <v>8661065</v>
      </c>
    </row>
    <row r="253" spans="1:6" x14ac:dyDescent="0.2">
      <c r="A253" s="4">
        <v>44833</v>
      </c>
      <c r="B253" s="5">
        <v>166.48</v>
      </c>
      <c r="C253" s="5">
        <v>167.17</v>
      </c>
      <c r="D253" s="5">
        <v>163.89</v>
      </c>
      <c r="E253" s="5">
        <v>164.53</v>
      </c>
      <c r="F253" s="6">
        <v>7008279</v>
      </c>
    </row>
    <row r="254" spans="1:6" x14ac:dyDescent="0.2">
      <c r="A254" s="4">
        <v>44834</v>
      </c>
      <c r="B254" s="5">
        <v>165</v>
      </c>
      <c r="C254" s="5">
        <v>165.74</v>
      </c>
      <c r="D254" s="5">
        <v>163.32</v>
      </c>
      <c r="E254" s="5">
        <v>163.36000000000001</v>
      </c>
      <c r="F254" s="6">
        <v>8985190</v>
      </c>
    </row>
    <row r="255" spans="1:6" x14ac:dyDescent="0.2">
      <c r="A255" s="4">
        <v>44837</v>
      </c>
      <c r="B255" s="5">
        <v>164.29</v>
      </c>
      <c r="C255" s="5">
        <v>164.38</v>
      </c>
      <c r="D255" s="5">
        <v>161.69999999999999</v>
      </c>
      <c r="E255" s="5">
        <v>163.19999999999999</v>
      </c>
      <c r="F255" s="6">
        <v>8656972</v>
      </c>
    </row>
    <row r="256" spans="1:6" x14ac:dyDescent="0.2">
      <c r="A256" s="4">
        <v>44838</v>
      </c>
      <c r="B256" s="5">
        <v>163.85</v>
      </c>
      <c r="C256" s="5">
        <v>166</v>
      </c>
      <c r="D256" s="5">
        <v>162.91999999999999</v>
      </c>
      <c r="E256" s="5">
        <v>165.62</v>
      </c>
      <c r="F256" s="6">
        <v>6236107</v>
      </c>
    </row>
    <row r="257" spans="1:6" x14ac:dyDescent="0.2">
      <c r="A257" s="4">
        <v>44839</v>
      </c>
      <c r="B257" s="5">
        <v>165.02</v>
      </c>
      <c r="C257" s="5">
        <v>166.04</v>
      </c>
      <c r="D257" s="5">
        <v>164.21</v>
      </c>
      <c r="E257" s="5">
        <v>165.11</v>
      </c>
      <c r="F257" s="6">
        <v>4539577</v>
      </c>
    </row>
    <row r="258" spans="1:6" x14ac:dyDescent="0.2">
      <c r="A258" s="4">
        <v>44840</v>
      </c>
      <c r="B258" s="5">
        <v>164.79</v>
      </c>
      <c r="C258" s="5">
        <v>165</v>
      </c>
      <c r="D258" s="5">
        <v>161.69</v>
      </c>
      <c r="E258" s="5">
        <v>161.91</v>
      </c>
      <c r="F258" s="6">
        <v>5890654</v>
      </c>
    </row>
    <row r="259" spans="1:6" x14ac:dyDescent="0.2">
      <c r="A259" s="4">
        <v>44841</v>
      </c>
      <c r="B259" s="5">
        <v>161.77000000000001</v>
      </c>
      <c r="C259" s="5">
        <v>162.22</v>
      </c>
      <c r="D259" s="5">
        <v>159.16999999999999</v>
      </c>
      <c r="E259" s="5">
        <v>160.19999999999999</v>
      </c>
      <c r="F259" s="6">
        <v>6363549</v>
      </c>
    </row>
    <row r="260" spans="1:6" x14ac:dyDescent="0.2">
      <c r="A260" s="4">
        <v>44844</v>
      </c>
      <c r="B260" s="5">
        <v>160.63</v>
      </c>
      <c r="C260" s="5">
        <v>161.28</v>
      </c>
      <c r="D260" s="5">
        <v>159.18</v>
      </c>
      <c r="E260" s="5">
        <v>160.41</v>
      </c>
      <c r="F260" s="6">
        <v>5315589</v>
      </c>
    </row>
    <row r="261" spans="1:6" x14ac:dyDescent="0.2">
      <c r="A261" s="4">
        <v>44845</v>
      </c>
      <c r="B261" s="5">
        <v>160.37</v>
      </c>
      <c r="C261" s="5">
        <v>164.11</v>
      </c>
      <c r="D261" s="5">
        <v>160.37</v>
      </c>
      <c r="E261" s="5">
        <v>162.72999999999999</v>
      </c>
      <c r="F261" s="6">
        <v>6212362</v>
      </c>
    </row>
    <row r="262" spans="1:6" x14ac:dyDescent="0.2">
      <c r="A262" s="4">
        <v>44846</v>
      </c>
      <c r="B262" s="5">
        <v>162.94</v>
      </c>
      <c r="C262" s="5">
        <v>164.88</v>
      </c>
      <c r="D262" s="5">
        <v>162.495</v>
      </c>
      <c r="E262" s="5">
        <v>162.69</v>
      </c>
      <c r="F262" s="6">
        <v>4341741</v>
      </c>
    </row>
    <row r="263" spans="1:6" x14ac:dyDescent="0.2">
      <c r="A263" s="4">
        <v>44847</v>
      </c>
      <c r="B263" s="5">
        <v>160.88999999999999</v>
      </c>
      <c r="C263" s="5">
        <v>165.99</v>
      </c>
      <c r="D263" s="5">
        <v>160.74809999999999</v>
      </c>
      <c r="E263" s="5">
        <v>165.15</v>
      </c>
      <c r="F263" s="6">
        <v>6465108</v>
      </c>
    </row>
    <row r="264" spans="1:6" x14ac:dyDescent="0.2">
      <c r="A264" s="4">
        <v>44848</v>
      </c>
      <c r="B264" s="5">
        <v>164.44</v>
      </c>
      <c r="C264" s="5">
        <v>165.68</v>
      </c>
      <c r="D264" s="5">
        <v>163.6</v>
      </c>
      <c r="E264" s="5">
        <v>164.46</v>
      </c>
      <c r="F264" s="6">
        <v>5684946</v>
      </c>
    </row>
    <row r="265" spans="1:6" x14ac:dyDescent="0.2">
      <c r="A265" s="4">
        <v>44851</v>
      </c>
      <c r="B265" s="5">
        <v>165.4</v>
      </c>
      <c r="C265" s="5">
        <v>167.21</v>
      </c>
      <c r="D265" s="5">
        <v>165.01</v>
      </c>
      <c r="E265" s="5">
        <v>166.59</v>
      </c>
      <c r="F265" s="6">
        <v>6710843</v>
      </c>
    </row>
    <row r="266" spans="1:6" x14ac:dyDescent="0.2">
      <c r="A266" s="4">
        <v>44852</v>
      </c>
      <c r="B266" s="5">
        <v>165</v>
      </c>
      <c r="C266" s="5">
        <v>167.17</v>
      </c>
      <c r="D266" s="5">
        <v>163.05000000000001</v>
      </c>
      <c r="E266" s="5">
        <v>166.01</v>
      </c>
      <c r="F266" s="6">
        <v>10883580</v>
      </c>
    </row>
    <row r="267" spans="1:6" x14ac:dyDescent="0.2">
      <c r="A267" s="4">
        <v>44853</v>
      </c>
      <c r="B267" s="5">
        <v>166</v>
      </c>
      <c r="C267" s="5">
        <v>166.25</v>
      </c>
      <c r="D267" s="5">
        <v>163.89</v>
      </c>
      <c r="E267" s="5">
        <v>164.69</v>
      </c>
      <c r="F267" s="6">
        <v>10044640</v>
      </c>
    </row>
    <row r="268" spans="1:6" x14ac:dyDescent="0.2">
      <c r="A268" s="4">
        <v>44854</v>
      </c>
      <c r="B268" s="5">
        <v>165</v>
      </c>
      <c r="C268" s="5">
        <v>165.74</v>
      </c>
      <c r="D268" s="5">
        <v>164.33</v>
      </c>
      <c r="E268" s="5">
        <v>165.11</v>
      </c>
      <c r="F268" s="6">
        <v>5659884</v>
      </c>
    </row>
    <row r="269" spans="1:6" x14ac:dyDescent="0.2">
      <c r="A269" s="4">
        <v>44855</v>
      </c>
      <c r="B269" s="5">
        <v>164.71</v>
      </c>
      <c r="C269" s="5">
        <v>169.37</v>
      </c>
      <c r="D269" s="5">
        <v>164.43</v>
      </c>
      <c r="E269" s="5">
        <v>168.71</v>
      </c>
      <c r="F269" s="6">
        <v>8487565</v>
      </c>
    </row>
    <row r="270" spans="1:6" x14ac:dyDescent="0.2">
      <c r="A270" s="4">
        <v>44858</v>
      </c>
      <c r="B270" s="5">
        <v>169.81</v>
      </c>
      <c r="C270" s="5">
        <v>172.08</v>
      </c>
      <c r="D270" s="5">
        <v>169.25</v>
      </c>
      <c r="E270" s="5">
        <v>170.98</v>
      </c>
      <c r="F270" s="6">
        <v>6855502</v>
      </c>
    </row>
    <row r="271" spans="1:6" x14ac:dyDescent="0.2">
      <c r="A271" s="4">
        <v>44859</v>
      </c>
      <c r="B271" s="5">
        <v>170.17</v>
      </c>
      <c r="C271" s="5">
        <v>171.11</v>
      </c>
      <c r="D271" s="5">
        <v>168.52</v>
      </c>
      <c r="E271" s="5">
        <v>170.71</v>
      </c>
      <c r="F271" s="6">
        <v>5661948</v>
      </c>
    </row>
    <row r="272" spans="1:6" x14ac:dyDescent="0.2">
      <c r="A272" s="4">
        <v>44860</v>
      </c>
      <c r="B272" s="5">
        <v>171.32</v>
      </c>
      <c r="C272" s="5">
        <v>172.57</v>
      </c>
      <c r="D272" s="5">
        <v>170.52</v>
      </c>
      <c r="E272" s="5">
        <v>172.21</v>
      </c>
      <c r="F272" s="6">
        <v>6124314</v>
      </c>
    </row>
    <row r="273" spans="1:6" x14ac:dyDescent="0.2">
      <c r="A273" s="4">
        <v>44861</v>
      </c>
      <c r="B273" s="5">
        <v>172.35</v>
      </c>
      <c r="C273" s="5">
        <v>173.43</v>
      </c>
      <c r="D273" s="5">
        <v>171.72</v>
      </c>
      <c r="E273" s="5">
        <v>172.31</v>
      </c>
      <c r="F273" s="6">
        <v>5390871</v>
      </c>
    </row>
    <row r="274" spans="1:6" x14ac:dyDescent="0.2">
      <c r="A274" s="4">
        <v>44862</v>
      </c>
      <c r="B274" s="5">
        <v>173</v>
      </c>
      <c r="C274" s="5">
        <v>175.39</v>
      </c>
      <c r="D274" s="5">
        <v>172.59399999999999</v>
      </c>
      <c r="E274" s="5">
        <v>174.87</v>
      </c>
      <c r="F274" s="6">
        <v>6073933</v>
      </c>
    </row>
    <row r="275" spans="1:6" x14ac:dyDescent="0.2">
      <c r="A275" s="4">
        <v>44865</v>
      </c>
      <c r="B275" s="5">
        <v>174.52</v>
      </c>
      <c r="C275" s="5">
        <v>175.16</v>
      </c>
      <c r="D275" s="5">
        <v>173.42</v>
      </c>
      <c r="E275" s="5">
        <v>173.97</v>
      </c>
      <c r="F275" s="6">
        <v>7809972</v>
      </c>
    </row>
    <row r="276" spans="1:6" x14ac:dyDescent="0.2">
      <c r="A276" s="4">
        <v>44866</v>
      </c>
      <c r="B276" s="5">
        <v>174.06</v>
      </c>
      <c r="C276" s="5">
        <v>174.63</v>
      </c>
      <c r="D276" s="5">
        <v>170.42</v>
      </c>
      <c r="E276" s="5">
        <v>173.09</v>
      </c>
      <c r="F276" s="6">
        <v>6985027</v>
      </c>
    </row>
    <row r="277" spans="1:6" x14ac:dyDescent="0.2">
      <c r="A277" s="4">
        <v>44867</v>
      </c>
      <c r="B277" s="5">
        <v>172.89</v>
      </c>
      <c r="C277" s="5">
        <v>173.94</v>
      </c>
      <c r="D277" s="5">
        <v>170.29</v>
      </c>
      <c r="E277" s="5">
        <v>170.43</v>
      </c>
      <c r="F277" s="6">
        <v>6878410</v>
      </c>
    </row>
    <row r="278" spans="1:6" x14ac:dyDescent="0.2">
      <c r="A278" s="4">
        <v>44868</v>
      </c>
      <c r="B278" s="5">
        <v>169.81</v>
      </c>
      <c r="C278" s="5">
        <v>171.47</v>
      </c>
      <c r="D278" s="5">
        <v>168.94</v>
      </c>
      <c r="E278" s="5">
        <v>170.72</v>
      </c>
      <c r="F278" s="6">
        <v>4819890</v>
      </c>
    </row>
    <row r="279" spans="1:6" x14ac:dyDescent="0.2">
      <c r="A279" s="4">
        <v>44869</v>
      </c>
      <c r="B279" s="5">
        <v>171.56</v>
      </c>
      <c r="C279" s="5">
        <v>172.5</v>
      </c>
      <c r="D279" s="5">
        <v>169.24</v>
      </c>
      <c r="E279" s="5">
        <v>171.48</v>
      </c>
      <c r="F279" s="6">
        <v>5300904</v>
      </c>
    </row>
    <row r="280" spans="1:6" x14ac:dyDescent="0.2">
      <c r="A280" s="4">
        <v>44872</v>
      </c>
      <c r="B280" s="5">
        <v>171.67</v>
      </c>
      <c r="C280" s="5">
        <v>173.85</v>
      </c>
      <c r="D280" s="5">
        <v>171.44</v>
      </c>
      <c r="E280" s="5">
        <v>172.98</v>
      </c>
      <c r="F280" s="6">
        <v>6621046</v>
      </c>
    </row>
    <row r="281" spans="1:6" x14ac:dyDescent="0.2">
      <c r="A281" s="4">
        <v>44873</v>
      </c>
      <c r="B281" s="5">
        <v>173.13</v>
      </c>
      <c r="C281" s="5">
        <v>174.6908</v>
      </c>
      <c r="D281" s="5">
        <v>172.18</v>
      </c>
      <c r="E281" s="5">
        <v>173.84</v>
      </c>
      <c r="F281" s="6">
        <v>5148386</v>
      </c>
    </row>
    <row r="282" spans="1:6" x14ac:dyDescent="0.2">
      <c r="A282" s="4">
        <v>44874</v>
      </c>
      <c r="B282" s="5">
        <v>174.27</v>
      </c>
      <c r="C282" s="5">
        <v>175</v>
      </c>
      <c r="D282" s="5">
        <v>172.34</v>
      </c>
      <c r="E282" s="5">
        <v>172.45</v>
      </c>
      <c r="F282" s="6">
        <v>6150217</v>
      </c>
    </row>
    <row r="283" spans="1:6" x14ac:dyDescent="0.2">
      <c r="A283" s="4">
        <v>44875</v>
      </c>
      <c r="B283" s="5">
        <v>174.35</v>
      </c>
      <c r="C283" s="5">
        <v>174.77</v>
      </c>
      <c r="D283" s="5">
        <v>172.04</v>
      </c>
      <c r="E283" s="5">
        <v>174.47</v>
      </c>
      <c r="F283" s="6">
        <v>7877515</v>
      </c>
    </row>
    <row r="284" spans="1:6" x14ac:dyDescent="0.2">
      <c r="A284" s="4">
        <v>44876</v>
      </c>
      <c r="B284" s="5">
        <v>172.73</v>
      </c>
      <c r="C284" s="5">
        <v>173.11</v>
      </c>
      <c r="D284" s="5">
        <v>166.82</v>
      </c>
      <c r="E284" s="5">
        <v>169.25</v>
      </c>
      <c r="F284" s="6">
        <v>11074660</v>
      </c>
    </row>
    <row r="285" spans="1:6" x14ac:dyDescent="0.2">
      <c r="A285" s="4">
        <v>44879</v>
      </c>
      <c r="B285" s="5">
        <v>170.25</v>
      </c>
      <c r="C285" s="5">
        <v>173.26</v>
      </c>
      <c r="D285" s="5">
        <v>170.25</v>
      </c>
      <c r="E285" s="5">
        <v>171.91</v>
      </c>
      <c r="F285" s="6">
        <v>6581488</v>
      </c>
    </row>
    <row r="286" spans="1:6" x14ac:dyDescent="0.2">
      <c r="A286" s="4">
        <v>44880</v>
      </c>
      <c r="B286" s="5">
        <v>172.19</v>
      </c>
      <c r="C286" s="5">
        <v>173</v>
      </c>
      <c r="D286" s="5">
        <v>170.52099999999999</v>
      </c>
      <c r="E286" s="5">
        <v>172.39</v>
      </c>
      <c r="F286" s="6">
        <v>9350954</v>
      </c>
    </row>
    <row r="287" spans="1:6" x14ac:dyDescent="0.2">
      <c r="A287" s="4">
        <v>44881</v>
      </c>
      <c r="B287" s="5">
        <v>173.64</v>
      </c>
      <c r="C287" s="5">
        <v>174.99</v>
      </c>
      <c r="D287" s="5">
        <v>173.13</v>
      </c>
      <c r="E287" s="5">
        <v>173.46</v>
      </c>
      <c r="F287" s="6">
        <v>5501017</v>
      </c>
    </row>
    <row r="288" spans="1:6" x14ac:dyDescent="0.2">
      <c r="A288" s="4">
        <v>44882</v>
      </c>
      <c r="B288" s="5">
        <v>173</v>
      </c>
      <c r="C288" s="5">
        <v>174.99</v>
      </c>
      <c r="D288" s="5">
        <v>172.98</v>
      </c>
      <c r="E288" s="5">
        <v>174.86</v>
      </c>
      <c r="F288" s="6">
        <v>4465845</v>
      </c>
    </row>
    <row r="289" spans="1:6" x14ac:dyDescent="0.2">
      <c r="A289" s="4">
        <v>44883</v>
      </c>
      <c r="B289" s="5">
        <v>175</v>
      </c>
      <c r="C289" s="5">
        <v>176.64</v>
      </c>
      <c r="D289" s="5">
        <v>174.62299999999999</v>
      </c>
      <c r="E289" s="5">
        <v>176.2</v>
      </c>
      <c r="F289" s="6">
        <v>6555709</v>
      </c>
    </row>
    <row r="290" spans="1:6" x14ac:dyDescent="0.2">
      <c r="A290" s="4">
        <v>44886</v>
      </c>
      <c r="B290" s="5">
        <v>175.89</v>
      </c>
      <c r="C290" s="5">
        <v>176.55</v>
      </c>
      <c r="D290" s="5">
        <v>174.83</v>
      </c>
      <c r="E290" s="5">
        <v>175.97</v>
      </c>
      <c r="F290" s="6">
        <v>5706552</v>
      </c>
    </row>
    <row r="291" spans="1:6" x14ac:dyDescent="0.2">
      <c r="A291" s="4">
        <v>44887</v>
      </c>
      <c r="B291" s="5">
        <v>176.4</v>
      </c>
      <c r="C291" s="5">
        <v>177.19</v>
      </c>
      <c r="D291" s="5">
        <v>176.33</v>
      </c>
      <c r="E291" s="5">
        <v>176.82</v>
      </c>
      <c r="F291" s="6">
        <v>4708028</v>
      </c>
    </row>
    <row r="292" spans="1:6" x14ac:dyDescent="0.2">
      <c r="A292" s="4">
        <v>44888</v>
      </c>
      <c r="B292" s="5">
        <v>176.44</v>
      </c>
      <c r="C292" s="5">
        <v>177.4</v>
      </c>
      <c r="D292" s="5">
        <v>176.01</v>
      </c>
      <c r="E292" s="5">
        <v>177.01</v>
      </c>
      <c r="F292" s="6">
        <v>5389488</v>
      </c>
    </row>
    <row r="293" spans="1:6" x14ac:dyDescent="0.2">
      <c r="A293" s="4">
        <v>44890</v>
      </c>
      <c r="B293" s="5">
        <v>177.38</v>
      </c>
      <c r="C293" s="5">
        <v>178.12</v>
      </c>
      <c r="D293" s="5">
        <v>176.86</v>
      </c>
      <c r="E293" s="5">
        <v>177.24</v>
      </c>
      <c r="F293" s="6">
        <v>3058608</v>
      </c>
    </row>
    <row r="294" spans="1:6" x14ac:dyDescent="0.2">
      <c r="A294" s="4">
        <v>44893</v>
      </c>
      <c r="B294" s="5">
        <v>176.75</v>
      </c>
      <c r="C294" s="5">
        <v>177.77</v>
      </c>
      <c r="D294" s="5">
        <v>176.56</v>
      </c>
      <c r="E294" s="5">
        <v>177.33</v>
      </c>
      <c r="F294" s="6">
        <v>6183178</v>
      </c>
    </row>
    <row r="295" spans="1:6" x14ac:dyDescent="0.2">
      <c r="A295" s="4">
        <v>44894</v>
      </c>
      <c r="B295" s="5">
        <v>177.01</v>
      </c>
      <c r="C295" s="5">
        <v>177.26</v>
      </c>
      <c r="D295" s="5">
        <v>174.66</v>
      </c>
      <c r="E295" s="5">
        <v>176.09</v>
      </c>
      <c r="F295" s="6">
        <v>6700469</v>
      </c>
    </row>
    <row r="296" spans="1:6" x14ac:dyDescent="0.2">
      <c r="A296" s="4">
        <v>44895</v>
      </c>
      <c r="B296" s="5">
        <v>176.37</v>
      </c>
      <c r="C296" s="5">
        <v>178.01</v>
      </c>
      <c r="D296" s="5">
        <v>174.78</v>
      </c>
      <c r="E296" s="5">
        <v>178</v>
      </c>
      <c r="F296" s="6">
        <v>13288010</v>
      </c>
    </row>
    <row r="297" spans="1:6" x14ac:dyDescent="0.2">
      <c r="A297" s="4">
        <v>44896</v>
      </c>
      <c r="B297" s="5">
        <v>179</v>
      </c>
      <c r="C297" s="5">
        <v>179.96</v>
      </c>
      <c r="D297" s="5">
        <v>177.77</v>
      </c>
      <c r="E297" s="5">
        <v>178.74</v>
      </c>
      <c r="F297" s="6">
        <v>6282567</v>
      </c>
    </row>
    <row r="298" spans="1:6" x14ac:dyDescent="0.2">
      <c r="A298" s="4">
        <v>44897</v>
      </c>
      <c r="B298" s="5">
        <v>177.5</v>
      </c>
      <c r="C298" s="5">
        <v>178.96</v>
      </c>
      <c r="D298" s="5">
        <v>176.96</v>
      </c>
      <c r="E298" s="5">
        <v>178.88</v>
      </c>
      <c r="F298" s="6">
        <v>5824048</v>
      </c>
    </row>
    <row r="299" spans="1:6" x14ac:dyDescent="0.2">
      <c r="A299" s="4">
        <v>44900</v>
      </c>
      <c r="B299" s="5">
        <v>178.36</v>
      </c>
      <c r="C299" s="5">
        <v>179.36</v>
      </c>
      <c r="D299" s="5">
        <v>178</v>
      </c>
      <c r="E299" s="5">
        <v>178.78</v>
      </c>
      <c r="F299" s="6">
        <v>5120648</v>
      </c>
    </row>
    <row r="300" spans="1:6" x14ac:dyDescent="0.2">
      <c r="A300" s="4">
        <v>44901</v>
      </c>
      <c r="B300" s="5">
        <v>179.92</v>
      </c>
      <c r="C300" s="5">
        <v>180</v>
      </c>
      <c r="D300" s="5">
        <v>175.93</v>
      </c>
      <c r="E300" s="5">
        <v>176.1</v>
      </c>
      <c r="F300" s="6">
        <v>7943506</v>
      </c>
    </row>
    <row r="301" spans="1:6" x14ac:dyDescent="0.2">
      <c r="A301" s="4">
        <v>44902</v>
      </c>
      <c r="B301" s="5">
        <v>176.57</v>
      </c>
      <c r="C301" s="5">
        <v>177.88</v>
      </c>
      <c r="D301" s="5">
        <v>176.23</v>
      </c>
      <c r="E301" s="5">
        <v>177.17</v>
      </c>
      <c r="F301" s="6">
        <v>5702579</v>
      </c>
    </row>
    <row r="302" spans="1:6" x14ac:dyDescent="0.2">
      <c r="A302" s="4">
        <v>44903</v>
      </c>
      <c r="B302" s="5">
        <v>176.82</v>
      </c>
      <c r="C302" s="5">
        <v>177.47</v>
      </c>
      <c r="D302" s="5">
        <v>176.34</v>
      </c>
      <c r="E302" s="5">
        <v>177.2</v>
      </c>
      <c r="F302" s="6">
        <v>4798463</v>
      </c>
    </row>
    <row r="303" spans="1:6" x14ac:dyDescent="0.2">
      <c r="A303" s="4">
        <v>44904</v>
      </c>
      <c r="B303" s="5">
        <v>177.12</v>
      </c>
      <c r="C303" s="5">
        <v>177.89</v>
      </c>
      <c r="D303" s="5">
        <v>175.66</v>
      </c>
      <c r="E303" s="5">
        <v>175.74</v>
      </c>
      <c r="F303" s="6">
        <v>4560968</v>
      </c>
    </row>
    <row r="304" spans="1:6" x14ac:dyDescent="0.2">
      <c r="A304" s="4">
        <v>44907</v>
      </c>
      <c r="B304" s="5">
        <v>175.95</v>
      </c>
      <c r="C304" s="5">
        <v>177.87</v>
      </c>
      <c r="D304" s="5">
        <v>175.6</v>
      </c>
      <c r="E304" s="5">
        <v>177.84</v>
      </c>
      <c r="F304" s="6">
        <v>4882385</v>
      </c>
    </row>
    <row r="305" spans="1:6" x14ac:dyDescent="0.2">
      <c r="A305" s="4">
        <v>44908</v>
      </c>
      <c r="B305" s="5">
        <v>179.1</v>
      </c>
      <c r="C305" s="5">
        <v>180.2</v>
      </c>
      <c r="D305" s="5">
        <v>178.3083</v>
      </c>
      <c r="E305" s="5">
        <v>179.21</v>
      </c>
      <c r="F305" s="6">
        <v>9177603</v>
      </c>
    </row>
    <row r="306" spans="1:6" x14ac:dyDescent="0.2">
      <c r="A306" s="4">
        <v>44909</v>
      </c>
      <c r="B306" s="5">
        <v>178.58</v>
      </c>
      <c r="C306" s="5">
        <v>181.03899999999999</v>
      </c>
      <c r="D306" s="5">
        <v>178.58</v>
      </c>
      <c r="E306" s="5">
        <v>179.76</v>
      </c>
      <c r="F306" s="6">
        <v>9533583</v>
      </c>
    </row>
    <row r="307" spans="1:6" x14ac:dyDescent="0.2">
      <c r="A307" s="4">
        <v>44910</v>
      </c>
      <c r="B307" s="5">
        <v>179.2</v>
      </c>
      <c r="C307" s="5">
        <v>179.84</v>
      </c>
      <c r="D307" s="5">
        <v>176.4</v>
      </c>
      <c r="E307" s="5">
        <v>177.49</v>
      </c>
      <c r="F307" s="6">
        <v>7602616</v>
      </c>
    </row>
    <row r="308" spans="1:6" x14ac:dyDescent="0.2">
      <c r="A308" s="4">
        <v>44911</v>
      </c>
      <c r="B308" s="5">
        <v>177</v>
      </c>
      <c r="C308" s="5">
        <v>177</v>
      </c>
      <c r="D308" s="5">
        <v>174.86</v>
      </c>
      <c r="E308" s="5">
        <v>175.67</v>
      </c>
      <c r="F308" s="6">
        <v>18841800</v>
      </c>
    </row>
    <row r="309" spans="1:6" x14ac:dyDescent="0.2">
      <c r="A309" s="4">
        <v>44914</v>
      </c>
      <c r="B309" s="5">
        <v>175.35</v>
      </c>
      <c r="C309" s="5">
        <v>176.16499999999999</v>
      </c>
      <c r="D309" s="5">
        <v>174.07</v>
      </c>
      <c r="E309" s="5">
        <v>175.48</v>
      </c>
      <c r="F309" s="6">
        <v>5736042</v>
      </c>
    </row>
    <row r="310" spans="1:6" x14ac:dyDescent="0.2">
      <c r="A310" s="4">
        <v>44915</v>
      </c>
      <c r="B310" s="5">
        <v>176</v>
      </c>
      <c r="C310" s="5">
        <v>176.44</v>
      </c>
      <c r="D310" s="5">
        <v>175.17</v>
      </c>
      <c r="E310" s="5">
        <v>175.67</v>
      </c>
      <c r="F310" s="6">
        <v>6174730</v>
      </c>
    </row>
    <row r="311" spans="1:6" x14ac:dyDescent="0.2">
      <c r="A311" s="4">
        <v>44916</v>
      </c>
      <c r="B311" s="5">
        <v>176.27</v>
      </c>
      <c r="C311" s="5">
        <v>178.18</v>
      </c>
      <c r="D311" s="5">
        <v>175.65</v>
      </c>
      <c r="E311" s="5">
        <v>177.68</v>
      </c>
      <c r="F311" s="6">
        <v>5471973</v>
      </c>
    </row>
    <row r="312" spans="1:6" x14ac:dyDescent="0.2">
      <c r="A312" s="4">
        <v>44917</v>
      </c>
      <c r="B312" s="5">
        <v>176.77</v>
      </c>
      <c r="C312" s="5">
        <v>177.51</v>
      </c>
      <c r="D312" s="5">
        <v>175.34</v>
      </c>
      <c r="E312" s="5">
        <v>177.03</v>
      </c>
      <c r="F312" s="6">
        <v>5709312</v>
      </c>
    </row>
    <row r="313" spans="1:6" x14ac:dyDescent="0.2">
      <c r="A313" s="4">
        <v>44918</v>
      </c>
      <c r="B313" s="5">
        <v>176.67</v>
      </c>
      <c r="C313" s="5">
        <v>177.52</v>
      </c>
      <c r="D313" s="5">
        <v>175.81</v>
      </c>
      <c r="E313" s="5">
        <v>177.48</v>
      </c>
      <c r="F313" s="6">
        <v>3683420</v>
      </c>
    </row>
    <row r="314" spans="1:6" x14ac:dyDescent="0.2">
      <c r="A314" s="4">
        <v>44922</v>
      </c>
      <c r="B314" s="5">
        <v>178.11</v>
      </c>
      <c r="C314" s="5">
        <v>178.35</v>
      </c>
      <c r="D314" s="5">
        <v>176.99</v>
      </c>
      <c r="E314" s="5">
        <v>177.43</v>
      </c>
      <c r="F314" s="6">
        <v>3067292</v>
      </c>
    </row>
    <row r="315" spans="1:6" x14ac:dyDescent="0.2">
      <c r="A315" s="4">
        <v>44923</v>
      </c>
      <c r="B315" s="5">
        <v>177.76</v>
      </c>
      <c r="C315" s="5">
        <v>178.45</v>
      </c>
      <c r="D315" s="5">
        <v>176.65</v>
      </c>
      <c r="E315" s="5">
        <v>176.66</v>
      </c>
      <c r="F315" s="6">
        <v>2645619</v>
      </c>
    </row>
    <row r="316" spans="1:6" x14ac:dyDescent="0.2">
      <c r="A316" s="4">
        <v>44924</v>
      </c>
      <c r="B316" s="5">
        <v>177.55</v>
      </c>
      <c r="C316" s="5">
        <v>178.3</v>
      </c>
      <c r="D316" s="5">
        <v>177.07</v>
      </c>
      <c r="E316" s="5">
        <v>177.56</v>
      </c>
      <c r="F316" s="6">
        <v>2828780</v>
      </c>
    </row>
    <row r="317" spans="1:6" x14ac:dyDescent="0.2">
      <c r="A317" s="4">
        <v>44925</v>
      </c>
      <c r="B317" s="5">
        <v>177.49</v>
      </c>
      <c r="C317" s="5">
        <v>177.77</v>
      </c>
      <c r="D317" s="5">
        <v>175.4</v>
      </c>
      <c r="E317" s="5">
        <v>176.65</v>
      </c>
      <c r="F317" s="6">
        <v>4216656</v>
      </c>
    </row>
    <row r="318" spans="1:6" x14ac:dyDescent="0.2">
      <c r="A318" s="4">
        <v>44929</v>
      </c>
      <c r="B318" s="5">
        <v>176.16</v>
      </c>
      <c r="C318" s="5">
        <v>178.38</v>
      </c>
      <c r="D318" s="5">
        <v>176.01</v>
      </c>
      <c r="E318" s="5">
        <v>178.19</v>
      </c>
      <c r="F318" s="6">
        <v>6344864</v>
      </c>
    </row>
    <row r="319" spans="1:6" x14ac:dyDescent="0.2">
      <c r="A319" s="4">
        <v>44930</v>
      </c>
      <c r="B319" s="5">
        <v>178.89</v>
      </c>
      <c r="C319" s="5">
        <v>180.19</v>
      </c>
      <c r="D319" s="5">
        <v>178.48</v>
      </c>
      <c r="E319" s="5">
        <v>180.13</v>
      </c>
      <c r="F319" s="6">
        <v>9788784</v>
      </c>
    </row>
    <row r="320" spans="1:6" x14ac:dyDescent="0.2">
      <c r="A320" s="4">
        <v>44931</v>
      </c>
      <c r="B320" s="5">
        <v>179.02</v>
      </c>
      <c r="C320" s="5">
        <v>179.99</v>
      </c>
      <c r="D320" s="5">
        <v>178.41</v>
      </c>
      <c r="E320" s="5">
        <v>178.8</v>
      </c>
      <c r="F320" s="6">
        <v>6255308</v>
      </c>
    </row>
    <row r="321" spans="1:6" x14ac:dyDescent="0.2">
      <c r="A321" s="4">
        <v>44932</v>
      </c>
      <c r="B321" s="5">
        <v>180.13</v>
      </c>
      <c r="C321" s="5">
        <v>180.93</v>
      </c>
      <c r="D321" s="5">
        <v>179.39</v>
      </c>
      <c r="E321" s="5">
        <v>180.25</v>
      </c>
      <c r="F321" s="6">
        <v>5705960</v>
      </c>
    </row>
    <row r="322" spans="1:6" x14ac:dyDescent="0.2">
      <c r="A322" s="4">
        <v>44935</v>
      </c>
      <c r="B322" s="5">
        <v>179.3</v>
      </c>
      <c r="C322" s="5">
        <v>179.76</v>
      </c>
      <c r="D322" s="5">
        <v>175.17500000000001</v>
      </c>
      <c r="E322" s="5">
        <v>175.58</v>
      </c>
      <c r="F322" s="6">
        <v>7925277</v>
      </c>
    </row>
    <row r="323" spans="1:6" x14ac:dyDescent="0.2">
      <c r="A323" s="4">
        <v>44936</v>
      </c>
      <c r="B323" s="5">
        <v>175.7</v>
      </c>
      <c r="C323" s="5">
        <v>176.14</v>
      </c>
      <c r="D323" s="5">
        <v>174.32</v>
      </c>
      <c r="E323" s="5">
        <v>175.16</v>
      </c>
      <c r="F323" s="6">
        <v>5047467</v>
      </c>
    </row>
    <row r="324" spans="1:6" x14ac:dyDescent="0.2">
      <c r="A324" s="4">
        <v>44937</v>
      </c>
      <c r="B324" s="5">
        <v>175.57</v>
      </c>
      <c r="C324" s="5">
        <v>175.72</v>
      </c>
      <c r="D324" s="5">
        <v>172.11</v>
      </c>
      <c r="E324" s="5">
        <v>174.88</v>
      </c>
      <c r="F324" s="6">
        <v>6494755</v>
      </c>
    </row>
    <row r="325" spans="1:6" x14ac:dyDescent="0.2">
      <c r="A325" s="4">
        <v>44938</v>
      </c>
      <c r="B325" s="5">
        <v>174.26</v>
      </c>
      <c r="C325" s="5">
        <v>174.70599999999999</v>
      </c>
      <c r="D325" s="5">
        <v>172.8</v>
      </c>
      <c r="E325" s="5">
        <v>174</v>
      </c>
      <c r="F325" s="6">
        <v>4269394</v>
      </c>
    </row>
    <row r="326" spans="1:6" x14ac:dyDescent="0.2">
      <c r="A326" s="4">
        <v>44939</v>
      </c>
      <c r="B326" s="5">
        <v>173.19</v>
      </c>
      <c r="C326" s="5">
        <v>174.01</v>
      </c>
      <c r="D326" s="5">
        <v>172.38</v>
      </c>
      <c r="E326" s="5">
        <v>173.43</v>
      </c>
      <c r="F326" s="6">
        <v>6088155</v>
      </c>
    </row>
    <row r="327" spans="1:6" x14ac:dyDescent="0.2">
      <c r="A327" s="4">
        <v>44943</v>
      </c>
      <c r="B327" s="5">
        <v>174</v>
      </c>
      <c r="C327" s="5">
        <v>174.58</v>
      </c>
      <c r="D327" s="5">
        <v>172.09</v>
      </c>
      <c r="E327" s="5">
        <v>172.36</v>
      </c>
      <c r="F327" s="6">
        <v>6053302</v>
      </c>
    </row>
    <row r="328" spans="1:6" x14ac:dyDescent="0.2">
      <c r="A328" s="4">
        <v>44944</v>
      </c>
      <c r="B328" s="5">
        <v>171.65</v>
      </c>
      <c r="C328" s="5">
        <v>172</v>
      </c>
      <c r="D328" s="5">
        <v>169.71</v>
      </c>
      <c r="E328" s="5">
        <v>169.76</v>
      </c>
      <c r="F328" s="6">
        <v>7047759</v>
      </c>
    </row>
    <row r="329" spans="1:6" x14ac:dyDescent="0.2">
      <c r="A329" s="4">
        <v>44945</v>
      </c>
      <c r="B329" s="5">
        <v>169.03</v>
      </c>
      <c r="C329" s="5">
        <v>171.28</v>
      </c>
      <c r="D329" s="5">
        <v>168.71</v>
      </c>
      <c r="E329" s="5">
        <v>169.53</v>
      </c>
      <c r="F329" s="6">
        <v>6939514</v>
      </c>
    </row>
    <row r="330" spans="1:6" x14ac:dyDescent="0.2">
      <c r="A330" s="4">
        <v>44946</v>
      </c>
      <c r="B330" s="5">
        <v>170.1</v>
      </c>
      <c r="C330" s="5">
        <v>170.11</v>
      </c>
      <c r="D330" s="5">
        <v>167.48</v>
      </c>
      <c r="E330" s="5">
        <v>168.74</v>
      </c>
      <c r="F330" s="6">
        <v>8620553</v>
      </c>
    </row>
    <row r="331" spans="1:6" x14ac:dyDescent="0.2">
      <c r="A331" s="4">
        <v>44949</v>
      </c>
      <c r="B331" s="5">
        <v>169.1</v>
      </c>
      <c r="C331" s="5">
        <v>169.63</v>
      </c>
      <c r="D331" s="5">
        <v>167.94739999999999</v>
      </c>
      <c r="E331" s="5">
        <v>168.31</v>
      </c>
      <c r="F331" s="6">
        <v>8425412</v>
      </c>
    </row>
    <row r="332" spans="1:6" x14ac:dyDescent="0.2">
      <c r="A332" s="4">
        <v>44950</v>
      </c>
      <c r="B332" s="5">
        <v>175</v>
      </c>
      <c r="C332" s="5">
        <v>175</v>
      </c>
      <c r="D332" s="5">
        <v>166.01</v>
      </c>
      <c r="E332" s="5">
        <v>168.31</v>
      </c>
      <c r="F332" s="6">
        <v>10541840</v>
      </c>
    </row>
    <row r="333" spans="1:6" x14ac:dyDescent="0.2">
      <c r="A333" s="4">
        <v>44951</v>
      </c>
      <c r="B333" s="5">
        <v>167.17</v>
      </c>
      <c r="C333" s="5">
        <v>169.51</v>
      </c>
      <c r="D333" s="5">
        <v>167.08</v>
      </c>
      <c r="E333" s="5">
        <v>169.51</v>
      </c>
      <c r="F333" s="6">
        <v>7099816</v>
      </c>
    </row>
    <row r="334" spans="1:6" x14ac:dyDescent="0.2">
      <c r="A334" s="4">
        <v>44952</v>
      </c>
      <c r="B334" s="5">
        <v>169.55</v>
      </c>
      <c r="C334" s="5">
        <v>169.91</v>
      </c>
      <c r="D334" s="5">
        <v>168.65</v>
      </c>
      <c r="E334" s="5">
        <v>168.89</v>
      </c>
      <c r="F334" s="6">
        <v>6946106</v>
      </c>
    </row>
    <row r="335" spans="1:6" x14ac:dyDescent="0.2">
      <c r="A335" s="4">
        <v>44953</v>
      </c>
      <c r="B335" s="5">
        <v>168.54</v>
      </c>
      <c r="C335" s="5">
        <v>168.86600000000001</v>
      </c>
      <c r="D335" s="5">
        <v>167.77</v>
      </c>
      <c r="E335" s="5">
        <v>168.23</v>
      </c>
      <c r="F335" s="6">
        <v>6058104</v>
      </c>
    </row>
    <row r="336" spans="1:6" x14ac:dyDescent="0.2">
      <c r="A336" s="4">
        <v>44956</v>
      </c>
      <c r="B336" s="5">
        <v>167.93</v>
      </c>
      <c r="C336" s="5">
        <v>168.54</v>
      </c>
      <c r="D336" s="5">
        <v>161.08000000000001</v>
      </c>
      <c r="E336" s="5">
        <v>162</v>
      </c>
      <c r="F336" s="6">
        <v>23259080</v>
      </c>
    </row>
    <row r="337" spans="1:6" x14ac:dyDescent="0.2">
      <c r="A337" s="4">
        <v>44957</v>
      </c>
      <c r="B337" s="5">
        <v>161.69999999999999</v>
      </c>
      <c r="C337" s="5">
        <v>163.43</v>
      </c>
      <c r="D337" s="5">
        <v>161.05000000000001</v>
      </c>
      <c r="E337" s="5">
        <v>163.41999999999999</v>
      </c>
      <c r="F337" s="6">
        <v>11612530</v>
      </c>
    </row>
    <row r="338" spans="1:6" x14ac:dyDescent="0.2">
      <c r="A338" s="4">
        <v>44958</v>
      </c>
      <c r="B338" s="5">
        <v>162.99</v>
      </c>
      <c r="C338" s="5">
        <v>165.98</v>
      </c>
      <c r="D338" s="5">
        <v>162.4</v>
      </c>
      <c r="E338" s="5">
        <v>164.92</v>
      </c>
      <c r="F338" s="6">
        <v>9865296</v>
      </c>
    </row>
    <row r="339" spans="1:6" x14ac:dyDescent="0.2">
      <c r="A339" s="4">
        <v>44959</v>
      </c>
      <c r="B339" s="5">
        <v>163</v>
      </c>
      <c r="C339" s="5">
        <v>166.22</v>
      </c>
      <c r="D339" s="5">
        <v>162.82239999999999</v>
      </c>
      <c r="E339" s="5">
        <v>165.54</v>
      </c>
      <c r="F339" s="6">
        <v>10098970</v>
      </c>
    </row>
    <row r="340" spans="1:6" x14ac:dyDescent="0.2">
      <c r="A340" s="4">
        <v>44960</v>
      </c>
      <c r="B340" s="5">
        <v>166.03</v>
      </c>
      <c r="C340" s="5">
        <v>166.34</v>
      </c>
      <c r="D340" s="5">
        <v>163.89</v>
      </c>
      <c r="E340" s="5">
        <v>164.61</v>
      </c>
      <c r="F340" s="6">
        <v>6868540</v>
      </c>
    </row>
    <row r="341" spans="1:6" x14ac:dyDescent="0.2">
      <c r="A341" s="4">
        <v>44963</v>
      </c>
      <c r="B341" s="5">
        <v>164.55</v>
      </c>
      <c r="C341" s="5">
        <v>164.85249999999999</v>
      </c>
      <c r="D341" s="5">
        <v>163.1</v>
      </c>
      <c r="E341" s="5">
        <v>163.36000000000001</v>
      </c>
      <c r="F341" s="6">
        <v>7020989</v>
      </c>
    </row>
    <row r="342" spans="1:6" x14ac:dyDescent="0.2">
      <c r="A342" s="4">
        <v>44964</v>
      </c>
      <c r="B342" s="5">
        <v>161.6</v>
      </c>
      <c r="C342" s="5">
        <v>163.88</v>
      </c>
      <c r="D342" s="5">
        <v>161.41999999999999</v>
      </c>
      <c r="E342" s="5">
        <v>163.4</v>
      </c>
      <c r="F342" s="6">
        <v>7310756</v>
      </c>
    </row>
    <row r="343" spans="1:6" x14ac:dyDescent="0.2">
      <c r="A343" s="4">
        <v>44965</v>
      </c>
      <c r="B343" s="5">
        <v>163.30000000000001</v>
      </c>
      <c r="C343" s="5">
        <v>164.56</v>
      </c>
      <c r="D343" s="5">
        <v>162.89949999999999</v>
      </c>
      <c r="E343" s="5">
        <v>163.61000000000001</v>
      </c>
      <c r="F343" s="6">
        <v>6054697</v>
      </c>
    </row>
    <row r="344" spans="1:6" x14ac:dyDescent="0.2">
      <c r="A344" s="4">
        <v>44966</v>
      </c>
      <c r="B344" s="5">
        <v>163.63</v>
      </c>
      <c r="C344" s="5">
        <v>164.79499999999999</v>
      </c>
      <c r="D344" s="5">
        <v>161.07</v>
      </c>
      <c r="E344" s="5">
        <v>161.4</v>
      </c>
      <c r="F344" s="6">
        <v>7949544</v>
      </c>
    </row>
    <row r="345" spans="1:6" x14ac:dyDescent="0.2">
      <c r="A345" s="4">
        <v>44967</v>
      </c>
      <c r="B345" s="5">
        <v>161.77000000000001</v>
      </c>
      <c r="C345" s="5">
        <v>162.79</v>
      </c>
      <c r="D345" s="5">
        <v>161.35</v>
      </c>
      <c r="E345" s="5">
        <v>162.15</v>
      </c>
      <c r="F345" s="6">
        <v>7028039</v>
      </c>
    </row>
    <row r="346" spans="1:6" x14ac:dyDescent="0.2">
      <c r="A346" s="4">
        <v>44970</v>
      </c>
      <c r="B346" s="5">
        <v>161.33000000000001</v>
      </c>
      <c r="C346" s="5">
        <v>162.82</v>
      </c>
      <c r="D346" s="5">
        <v>161.15</v>
      </c>
      <c r="E346" s="5">
        <v>162.75</v>
      </c>
      <c r="F346" s="6">
        <v>6414709</v>
      </c>
    </row>
    <row r="347" spans="1:6" x14ac:dyDescent="0.2">
      <c r="A347" s="4">
        <v>44971</v>
      </c>
      <c r="B347" s="5">
        <v>162.74</v>
      </c>
      <c r="C347" s="5">
        <v>162.9699</v>
      </c>
      <c r="D347" s="5">
        <v>161.76</v>
      </c>
      <c r="E347" s="5">
        <v>162.04</v>
      </c>
      <c r="F347" s="6">
        <v>6316011</v>
      </c>
    </row>
    <row r="348" spans="1:6" x14ac:dyDescent="0.2">
      <c r="A348" s="4">
        <v>44972</v>
      </c>
      <c r="B348" s="5">
        <v>161.94999999999999</v>
      </c>
      <c r="C348" s="5">
        <v>161.97999999999999</v>
      </c>
      <c r="D348" s="5">
        <v>159.29</v>
      </c>
      <c r="E348" s="5">
        <v>159.37</v>
      </c>
      <c r="F348" s="6">
        <v>12633300</v>
      </c>
    </row>
    <row r="349" spans="1:6" x14ac:dyDescent="0.2">
      <c r="A349" s="4">
        <v>44973</v>
      </c>
      <c r="B349" s="5">
        <v>159.07499999999999</v>
      </c>
      <c r="C349" s="5">
        <v>159.65</v>
      </c>
      <c r="D349" s="5">
        <v>157.91999999999999</v>
      </c>
      <c r="E349" s="5">
        <v>158.24</v>
      </c>
      <c r="F349" s="6">
        <v>11176960</v>
      </c>
    </row>
    <row r="350" spans="1:6" x14ac:dyDescent="0.2">
      <c r="A350" s="4">
        <v>44974</v>
      </c>
      <c r="B350" s="5">
        <v>157.02000000000001</v>
      </c>
      <c r="C350" s="5">
        <v>161.11000000000001</v>
      </c>
      <c r="D350" s="5">
        <v>156.62</v>
      </c>
      <c r="E350" s="5">
        <v>160.38999999999999</v>
      </c>
      <c r="F350" s="6">
        <v>12401930</v>
      </c>
    </row>
    <row r="351" spans="1:6" x14ac:dyDescent="0.2">
      <c r="A351" s="4">
        <v>44978</v>
      </c>
      <c r="B351" s="5">
        <v>159.65</v>
      </c>
      <c r="C351" s="5">
        <v>160.35</v>
      </c>
      <c r="D351" s="5">
        <v>157.88999999999999</v>
      </c>
      <c r="E351" s="5">
        <v>158</v>
      </c>
      <c r="F351" s="6">
        <v>9423860</v>
      </c>
    </row>
    <row r="352" spans="1:6" x14ac:dyDescent="0.2">
      <c r="A352" s="4">
        <v>44979</v>
      </c>
      <c r="B352" s="5">
        <v>158.5</v>
      </c>
      <c r="C352" s="5">
        <v>158.85</v>
      </c>
      <c r="D352" s="5">
        <v>157.37</v>
      </c>
      <c r="E352" s="5">
        <v>157.78</v>
      </c>
      <c r="F352" s="6">
        <v>9820240</v>
      </c>
    </row>
    <row r="353" spans="1:6" x14ac:dyDescent="0.2">
      <c r="A353" s="4">
        <v>44980</v>
      </c>
      <c r="B353" s="5">
        <v>157.71</v>
      </c>
      <c r="C353" s="5">
        <v>158.58500000000001</v>
      </c>
      <c r="D353" s="5">
        <v>156.66999999999999</v>
      </c>
      <c r="E353" s="5">
        <v>157.72999999999999</v>
      </c>
      <c r="F353" s="6">
        <v>9385092</v>
      </c>
    </row>
    <row r="354" spans="1:6" x14ac:dyDescent="0.2">
      <c r="A354" s="4">
        <v>44981</v>
      </c>
      <c r="B354" s="5">
        <v>156.65</v>
      </c>
      <c r="C354" s="5">
        <v>156.85</v>
      </c>
      <c r="D354" s="5">
        <v>155.21</v>
      </c>
      <c r="E354" s="5">
        <v>155.97</v>
      </c>
      <c r="F354" s="6">
        <v>8689726</v>
      </c>
    </row>
    <row r="355" spans="1:6" x14ac:dyDescent="0.2">
      <c r="A355" s="4">
        <v>44984</v>
      </c>
      <c r="B355" s="5">
        <v>156.44999999999999</v>
      </c>
      <c r="C355" s="5">
        <v>156.9</v>
      </c>
      <c r="D355" s="5">
        <v>155.08000000000001</v>
      </c>
      <c r="E355" s="5">
        <v>155.63</v>
      </c>
      <c r="F355" s="6">
        <v>7267122</v>
      </c>
    </row>
    <row r="356" spans="1:6" x14ac:dyDescent="0.2">
      <c r="A356" s="4">
        <v>44985</v>
      </c>
      <c r="B356" s="5">
        <v>154.97999999999999</v>
      </c>
      <c r="C356" s="5">
        <v>155.27000000000001</v>
      </c>
      <c r="D356" s="5">
        <v>153.04</v>
      </c>
      <c r="E356" s="5">
        <v>153.26</v>
      </c>
      <c r="F356" s="6">
        <v>9062342</v>
      </c>
    </row>
    <row r="357" spans="1:6" x14ac:dyDescent="0.2">
      <c r="A357" s="4">
        <v>44986</v>
      </c>
      <c r="B357" s="5">
        <v>153.01</v>
      </c>
      <c r="C357" s="5">
        <v>153.24</v>
      </c>
      <c r="D357" s="5">
        <v>151.91</v>
      </c>
      <c r="E357" s="5">
        <v>152.57</v>
      </c>
      <c r="F357" s="6">
        <v>6766972</v>
      </c>
    </row>
    <row r="358" spans="1:6" x14ac:dyDescent="0.2">
      <c r="A358" s="4">
        <v>44987</v>
      </c>
      <c r="B358" s="5">
        <v>151.75</v>
      </c>
      <c r="C358" s="5">
        <v>152.76</v>
      </c>
      <c r="D358" s="5">
        <v>151.23099999999999</v>
      </c>
      <c r="E358" s="5">
        <v>152.44999999999999</v>
      </c>
      <c r="F358" s="6">
        <v>8765070</v>
      </c>
    </row>
    <row r="359" spans="1:6" x14ac:dyDescent="0.2">
      <c r="A359" s="4">
        <v>44988</v>
      </c>
      <c r="B359" s="5">
        <v>153.37</v>
      </c>
      <c r="C359" s="5">
        <v>154.12</v>
      </c>
      <c r="D359" s="5">
        <v>152.84</v>
      </c>
      <c r="E359" s="5">
        <v>154.02000000000001</v>
      </c>
      <c r="F359" s="6">
        <v>5747158</v>
      </c>
    </row>
    <row r="360" spans="1:6" x14ac:dyDescent="0.2">
      <c r="A360" s="4">
        <v>44991</v>
      </c>
      <c r="B360" s="5">
        <v>154.66</v>
      </c>
      <c r="C360" s="5">
        <v>155.72999999999999</v>
      </c>
      <c r="D360" s="5">
        <v>154.565</v>
      </c>
      <c r="E360" s="5">
        <v>155.56</v>
      </c>
      <c r="F360" s="6">
        <v>8148207</v>
      </c>
    </row>
    <row r="361" spans="1:6" x14ac:dyDescent="0.2">
      <c r="A361" s="4">
        <v>44992</v>
      </c>
      <c r="B361" s="5">
        <v>156.09</v>
      </c>
      <c r="C361" s="5">
        <v>156.25</v>
      </c>
      <c r="D361" s="5">
        <v>153.35</v>
      </c>
      <c r="E361" s="5">
        <v>154.09</v>
      </c>
      <c r="F361" s="6">
        <v>7457731</v>
      </c>
    </row>
    <row r="362" spans="1:6" x14ac:dyDescent="0.2">
      <c r="A362" s="4">
        <v>44993</v>
      </c>
      <c r="B362" s="5">
        <v>153.97999999999999</v>
      </c>
      <c r="C362" s="5">
        <v>154.19550000000001</v>
      </c>
      <c r="D362" s="5">
        <v>152.47999999999999</v>
      </c>
      <c r="E362" s="5">
        <v>152.96</v>
      </c>
      <c r="F362" s="6">
        <v>6230522</v>
      </c>
    </row>
    <row r="363" spans="1:6" x14ac:dyDescent="0.2">
      <c r="A363" s="4">
        <v>44994</v>
      </c>
      <c r="B363" s="5">
        <v>153.46</v>
      </c>
      <c r="C363" s="5">
        <v>153.6</v>
      </c>
      <c r="D363" s="5">
        <v>150.71</v>
      </c>
      <c r="E363" s="5">
        <v>151.24</v>
      </c>
      <c r="F363" s="6">
        <v>7439367</v>
      </c>
    </row>
    <row r="364" spans="1:6" x14ac:dyDescent="0.2">
      <c r="A364" s="4">
        <v>44995</v>
      </c>
      <c r="B364" s="5">
        <v>151.86000000000001</v>
      </c>
      <c r="C364" s="5">
        <v>153.49</v>
      </c>
      <c r="D364" s="5">
        <v>151.1</v>
      </c>
      <c r="E364" s="5">
        <v>151.61000000000001</v>
      </c>
      <c r="F364" s="6">
        <v>8504316</v>
      </c>
    </row>
    <row r="365" spans="1:6" x14ac:dyDescent="0.2">
      <c r="A365" s="4">
        <v>44998</v>
      </c>
      <c r="B365" s="5">
        <v>152.09</v>
      </c>
      <c r="C365" s="5">
        <v>155.91</v>
      </c>
      <c r="D365" s="5">
        <v>151.57</v>
      </c>
      <c r="E365" s="5">
        <v>153.06</v>
      </c>
      <c r="F365" s="6">
        <v>10799580</v>
      </c>
    </row>
    <row r="366" spans="1:6" x14ac:dyDescent="0.2">
      <c r="A366" s="4">
        <v>44999</v>
      </c>
      <c r="B366" s="5">
        <v>153.28</v>
      </c>
      <c r="C366" s="5">
        <v>154.03</v>
      </c>
      <c r="D366" s="5">
        <v>151.9</v>
      </c>
      <c r="E366" s="5">
        <v>153.91999999999999</v>
      </c>
      <c r="F366" s="6">
        <v>8421189</v>
      </c>
    </row>
    <row r="367" spans="1:6" x14ac:dyDescent="0.2">
      <c r="A367" s="4">
        <v>45000</v>
      </c>
      <c r="B367" s="5">
        <v>152.84</v>
      </c>
      <c r="C367" s="5">
        <v>154.88999999999999</v>
      </c>
      <c r="D367" s="5">
        <v>152.52590000000001</v>
      </c>
      <c r="E367" s="5">
        <v>154.35</v>
      </c>
      <c r="F367" s="6">
        <v>7757686</v>
      </c>
    </row>
    <row r="368" spans="1:6" x14ac:dyDescent="0.2">
      <c r="A368" s="4">
        <v>45001</v>
      </c>
      <c r="B368" s="5">
        <v>153.44999999999999</v>
      </c>
      <c r="C368" s="5">
        <v>154.36500000000001</v>
      </c>
      <c r="D368" s="5">
        <v>152.60499999999999</v>
      </c>
      <c r="E368" s="5">
        <v>154.03</v>
      </c>
      <c r="F368" s="6">
        <v>7606079</v>
      </c>
    </row>
    <row r="369" spans="1:6" x14ac:dyDescent="0.2">
      <c r="A369" s="4">
        <v>45002</v>
      </c>
      <c r="B369" s="5">
        <v>154.47999999999999</v>
      </c>
      <c r="C369" s="5">
        <v>154.94990000000001</v>
      </c>
      <c r="D369" s="5">
        <v>152.30000000000001</v>
      </c>
      <c r="E369" s="5">
        <v>152.38</v>
      </c>
      <c r="F369" s="6">
        <v>20540670</v>
      </c>
    </row>
    <row r="370" spans="1:6" x14ac:dyDescent="0.2">
      <c r="A370" s="4">
        <v>45005</v>
      </c>
      <c r="B370" s="5">
        <v>152.47</v>
      </c>
      <c r="C370" s="5">
        <v>154.07499999999999</v>
      </c>
      <c r="D370" s="5">
        <v>152.38</v>
      </c>
      <c r="E370" s="5">
        <v>153.88999999999999</v>
      </c>
      <c r="F370" s="6">
        <v>7128958</v>
      </c>
    </row>
    <row r="371" spans="1:6" x14ac:dyDescent="0.2">
      <c r="A371" s="4">
        <v>45006</v>
      </c>
      <c r="B371" s="5">
        <v>154</v>
      </c>
      <c r="C371" s="5">
        <v>154.13</v>
      </c>
      <c r="D371" s="5">
        <v>152.16999999999999</v>
      </c>
      <c r="E371" s="5">
        <v>153.88999999999999</v>
      </c>
      <c r="F371" s="6">
        <v>8376843</v>
      </c>
    </row>
    <row r="372" spans="1:6" x14ac:dyDescent="0.2">
      <c r="A372" s="4">
        <v>45007</v>
      </c>
      <c r="B372" s="5">
        <v>153.85</v>
      </c>
      <c r="C372" s="5">
        <v>154.06</v>
      </c>
      <c r="D372" s="5">
        <v>151.03</v>
      </c>
      <c r="E372" s="5">
        <v>151.05000000000001</v>
      </c>
      <c r="F372" s="6">
        <v>7943526</v>
      </c>
    </row>
    <row r="373" spans="1:6" x14ac:dyDescent="0.2">
      <c r="A373" s="4">
        <v>45008</v>
      </c>
      <c r="B373" s="5">
        <v>151.17500000000001</v>
      </c>
      <c r="C373" s="5">
        <v>151.69</v>
      </c>
      <c r="D373" s="5">
        <v>150.11000000000001</v>
      </c>
      <c r="E373" s="5">
        <v>151.13</v>
      </c>
      <c r="F373" s="6">
        <v>9051510</v>
      </c>
    </row>
    <row r="374" spans="1:6" x14ac:dyDescent="0.2">
      <c r="A374" s="4">
        <v>45009</v>
      </c>
      <c r="B374" s="5">
        <v>151.47999999999999</v>
      </c>
      <c r="C374" s="5">
        <v>152.76</v>
      </c>
      <c r="D374" s="5">
        <v>150.83000000000001</v>
      </c>
      <c r="E374" s="5">
        <v>152.65</v>
      </c>
      <c r="F374" s="6">
        <v>5696845</v>
      </c>
    </row>
    <row r="375" spans="1:6" x14ac:dyDescent="0.2">
      <c r="A375" s="4">
        <v>45012</v>
      </c>
      <c r="B375" s="5">
        <v>154.19999999999999</v>
      </c>
      <c r="C375" s="5">
        <v>154.54</v>
      </c>
      <c r="D375" s="5">
        <v>153.11000000000001</v>
      </c>
      <c r="E375" s="5">
        <v>153.30000000000001</v>
      </c>
      <c r="F375" s="6">
        <v>6772282</v>
      </c>
    </row>
    <row r="376" spans="1:6" x14ac:dyDescent="0.2">
      <c r="A376" s="4">
        <v>45013</v>
      </c>
      <c r="B376" s="5">
        <v>152.38999999999999</v>
      </c>
      <c r="C376" s="5">
        <v>153.44999999999999</v>
      </c>
      <c r="D376" s="5">
        <v>151.72499999999999</v>
      </c>
      <c r="E376" s="5">
        <v>151.82</v>
      </c>
      <c r="F376" s="6">
        <v>6115293</v>
      </c>
    </row>
    <row r="377" spans="1:6" x14ac:dyDescent="0.2">
      <c r="A377" s="4">
        <v>45014</v>
      </c>
      <c r="B377" s="5">
        <v>152.24</v>
      </c>
      <c r="C377" s="5">
        <v>153.38</v>
      </c>
      <c r="D377" s="5">
        <v>152.07</v>
      </c>
      <c r="E377" s="5">
        <v>153.31</v>
      </c>
      <c r="F377" s="6">
        <v>6012030</v>
      </c>
    </row>
    <row r="378" spans="1:6" x14ac:dyDescent="0.2">
      <c r="A378" s="4">
        <v>45015</v>
      </c>
      <c r="B378" s="5">
        <v>153.58000000000001</v>
      </c>
      <c r="C378" s="5">
        <v>153.80000000000001</v>
      </c>
      <c r="D378" s="5">
        <v>152.81</v>
      </c>
      <c r="E378" s="5">
        <v>153.43</v>
      </c>
      <c r="F378" s="6">
        <v>4555905</v>
      </c>
    </row>
    <row r="379" spans="1:6" x14ac:dyDescent="0.2">
      <c r="A379" s="4">
        <v>45016</v>
      </c>
      <c r="B379" s="5">
        <v>153.79</v>
      </c>
      <c r="C379" s="5">
        <v>155.19</v>
      </c>
      <c r="D379" s="5">
        <v>153.24</v>
      </c>
      <c r="E379" s="5">
        <v>155</v>
      </c>
      <c r="F379" s="6">
        <v>9890047</v>
      </c>
    </row>
    <row r="380" spans="1:6" x14ac:dyDescent="0.2">
      <c r="A380" s="4">
        <v>45019</v>
      </c>
      <c r="B380" s="5">
        <v>154.94999999999999</v>
      </c>
      <c r="C380" s="5">
        <v>157.01</v>
      </c>
      <c r="D380" s="5">
        <v>153.94</v>
      </c>
      <c r="E380" s="5">
        <v>156.85</v>
      </c>
      <c r="F380" s="6">
        <v>6841888</v>
      </c>
    </row>
    <row r="381" spans="1:6" x14ac:dyDescent="0.2">
      <c r="A381" s="4">
        <v>45020</v>
      </c>
      <c r="B381" s="5">
        <v>156.97</v>
      </c>
      <c r="C381" s="5">
        <v>158.97</v>
      </c>
      <c r="D381" s="5">
        <v>156.59</v>
      </c>
      <c r="E381" s="5">
        <v>158.49</v>
      </c>
      <c r="F381" s="6">
        <v>8314527</v>
      </c>
    </row>
    <row r="382" spans="1:6" x14ac:dyDescent="0.2">
      <c r="A382" s="4">
        <v>45021</v>
      </c>
      <c r="B382" s="5">
        <v>164.37</v>
      </c>
      <c r="C382" s="5">
        <v>165.66</v>
      </c>
      <c r="D382" s="5">
        <v>162.76</v>
      </c>
      <c r="E382" s="5">
        <v>165.61</v>
      </c>
      <c r="F382" s="6">
        <v>16704180</v>
      </c>
    </row>
    <row r="383" spans="1:6" x14ac:dyDescent="0.2">
      <c r="A383" s="4">
        <v>45022</v>
      </c>
      <c r="B383" s="5">
        <v>165.99</v>
      </c>
      <c r="C383" s="5">
        <v>167.23</v>
      </c>
      <c r="D383" s="5">
        <v>164.8</v>
      </c>
      <c r="E383" s="5">
        <v>165.15</v>
      </c>
      <c r="F383" s="6">
        <v>9615407</v>
      </c>
    </row>
    <row r="384" spans="1:6" x14ac:dyDescent="0.2">
      <c r="A384" s="4">
        <v>45026</v>
      </c>
      <c r="B384" s="5">
        <v>164.63</v>
      </c>
      <c r="C384" s="5">
        <v>164.84</v>
      </c>
      <c r="D384" s="5">
        <v>163.63999999999999</v>
      </c>
      <c r="E384" s="5">
        <v>164.32</v>
      </c>
      <c r="F384" s="6">
        <v>5353951</v>
      </c>
    </row>
    <row r="385" spans="1:6" x14ac:dyDescent="0.2">
      <c r="A385" s="4">
        <v>45027</v>
      </c>
      <c r="B385" s="5">
        <v>164.42</v>
      </c>
      <c r="C385" s="5">
        <v>165.28</v>
      </c>
      <c r="D385" s="5">
        <v>164.0401</v>
      </c>
      <c r="E385" s="5">
        <v>164.27</v>
      </c>
      <c r="F385" s="6">
        <v>5903824</v>
      </c>
    </row>
    <row r="386" spans="1:6" x14ac:dyDescent="0.2">
      <c r="A386" s="4">
        <v>45028</v>
      </c>
      <c r="B386" s="5">
        <v>163.94</v>
      </c>
      <c r="C386" s="5">
        <v>164.84</v>
      </c>
      <c r="D386" s="5">
        <v>163.1</v>
      </c>
      <c r="E386" s="5">
        <v>163.92</v>
      </c>
      <c r="F386" s="6">
        <v>5764240</v>
      </c>
    </row>
    <row r="387" spans="1:6" x14ac:dyDescent="0.2">
      <c r="A387" s="4">
        <v>45029</v>
      </c>
      <c r="B387" s="5">
        <v>164.18</v>
      </c>
      <c r="C387" s="5">
        <v>166.33</v>
      </c>
      <c r="D387" s="5">
        <v>163.80500000000001</v>
      </c>
      <c r="E387" s="5">
        <v>166.11</v>
      </c>
      <c r="F387" s="6">
        <v>5640617</v>
      </c>
    </row>
    <row r="388" spans="1:6" x14ac:dyDescent="0.2">
      <c r="A388" s="4">
        <v>45030</v>
      </c>
      <c r="B388" s="5">
        <v>165.97</v>
      </c>
      <c r="C388" s="5">
        <v>166.11500000000001</v>
      </c>
      <c r="D388" s="5">
        <v>164.06</v>
      </c>
      <c r="E388" s="5">
        <v>165.84</v>
      </c>
      <c r="F388" s="6">
        <v>7225127</v>
      </c>
    </row>
    <row r="389" spans="1:6" x14ac:dyDescent="0.2">
      <c r="A389" s="4">
        <v>45033</v>
      </c>
      <c r="B389" s="5">
        <v>165.73500000000001</v>
      </c>
      <c r="C389" s="5">
        <v>166.24</v>
      </c>
      <c r="D389" s="5">
        <v>164.94</v>
      </c>
      <c r="E389" s="5">
        <v>165.67</v>
      </c>
      <c r="F389" s="6">
        <v>8046428</v>
      </c>
    </row>
    <row r="390" spans="1:6" x14ac:dyDescent="0.2">
      <c r="A390" s="4">
        <v>45034</v>
      </c>
      <c r="B390" s="5">
        <v>164.25</v>
      </c>
      <c r="C390" s="5">
        <v>164.69</v>
      </c>
      <c r="D390" s="5">
        <v>159.65</v>
      </c>
      <c r="E390" s="5">
        <v>161.01</v>
      </c>
      <c r="F390" s="6">
        <v>14571490</v>
      </c>
    </row>
    <row r="391" spans="1:6" x14ac:dyDescent="0.2">
      <c r="A391" s="4">
        <v>45035</v>
      </c>
      <c r="B391" s="5">
        <v>161.99</v>
      </c>
      <c r="C391" s="5">
        <v>162.68</v>
      </c>
      <c r="D391" s="5">
        <v>161.16999999999999</v>
      </c>
      <c r="E391" s="5">
        <v>162.53</v>
      </c>
      <c r="F391" s="6">
        <v>6752006</v>
      </c>
    </row>
    <row r="392" spans="1:6" x14ac:dyDescent="0.2">
      <c r="A392" s="4">
        <v>45036</v>
      </c>
      <c r="B392" s="5">
        <v>162.43</v>
      </c>
      <c r="C392" s="5">
        <v>163.82</v>
      </c>
      <c r="D392" s="5">
        <v>160.96</v>
      </c>
      <c r="E392" s="5">
        <v>163.58000000000001</v>
      </c>
      <c r="F392" s="6">
        <v>9498768</v>
      </c>
    </row>
    <row r="393" spans="1:6" x14ac:dyDescent="0.2">
      <c r="A393" s="4">
        <v>45037</v>
      </c>
      <c r="B393" s="5">
        <v>164.44</v>
      </c>
      <c r="C393" s="5">
        <v>164.97</v>
      </c>
      <c r="D393" s="5">
        <v>161.97</v>
      </c>
      <c r="E393" s="5">
        <v>162.69</v>
      </c>
      <c r="F393" s="6">
        <v>7014214</v>
      </c>
    </row>
    <row r="394" spans="1:6" x14ac:dyDescent="0.2">
      <c r="A394" s="4">
        <v>45040</v>
      </c>
      <c r="B394" s="5">
        <v>162.69</v>
      </c>
      <c r="C394" s="5">
        <v>163.80500000000001</v>
      </c>
      <c r="D394" s="5">
        <v>161.87</v>
      </c>
      <c r="E394" s="5">
        <v>163.68</v>
      </c>
      <c r="F394" s="6">
        <v>5278892</v>
      </c>
    </row>
    <row r="395" spans="1:6" x14ac:dyDescent="0.2">
      <c r="A395" s="4">
        <v>45041</v>
      </c>
      <c r="B395" s="5">
        <v>164.31</v>
      </c>
      <c r="C395" s="5">
        <v>165.35</v>
      </c>
      <c r="D395" s="5">
        <v>164.155</v>
      </c>
      <c r="E395" s="5">
        <v>165.18</v>
      </c>
      <c r="F395" s="6">
        <v>6263103</v>
      </c>
    </row>
    <row r="396" spans="1:6" x14ac:dyDescent="0.2">
      <c r="A396" s="4">
        <v>45042</v>
      </c>
      <c r="B396" s="5">
        <v>164.09</v>
      </c>
      <c r="C396" s="5">
        <v>164.39</v>
      </c>
      <c r="D396" s="5">
        <v>162.24</v>
      </c>
      <c r="E396" s="5">
        <v>162.62</v>
      </c>
      <c r="F396" s="6">
        <v>5518174</v>
      </c>
    </row>
    <row r="397" spans="1:6" x14ac:dyDescent="0.2">
      <c r="A397" s="4">
        <v>45043</v>
      </c>
      <c r="B397" s="5">
        <v>162.9</v>
      </c>
      <c r="C397" s="5">
        <v>163.4067</v>
      </c>
      <c r="D397" s="5">
        <v>162.13</v>
      </c>
      <c r="E397" s="5">
        <v>163</v>
      </c>
      <c r="F397" s="6">
        <v>5739700</v>
      </c>
    </row>
    <row r="398" spans="1:6" x14ac:dyDescent="0.2">
      <c r="A398" s="4">
        <v>45044</v>
      </c>
      <c r="B398" s="5">
        <v>162.81</v>
      </c>
      <c r="C398" s="5">
        <v>163.76</v>
      </c>
      <c r="D398" s="5">
        <v>162.5566</v>
      </c>
      <c r="E398" s="5">
        <v>163.69999999999999</v>
      </c>
      <c r="F398" s="6">
        <v>6024864</v>
      </c>
    </row>
    <row r="399" spans="1:6" x14ac:dyDescent="0.2">
      <c r="A399" s="4">
        <v>45047</v>
      </c>
      <c r="B399" s="5">
        <v>163.6</v>
      </c>
      <c r="C399" s="5">
        <v>164.298</v>
      </c>
      <c r="D399" s="5">
        <v>162.24</v>
      </c>
      <c r="E399" s="5">
        <v>163.6</v>
      </c>
      <c r="F399" s="6">
        <v>4893426</v>
      </c>
    </row>
    <row r="400" spans="1:6" x14ac:dyDescent="0.2">
      <c r="A400" s="4">
        <v>45048</v>
      </c>
      <c r="B400" s="5">
        <v>164.34</v>
      </c>
      <c r="C400" s="5">
        <v>165.48</v>
      </c>
      <c r="D400" s="5">
        <v>163.55500000000001</v>
      </c>
      <c r="E400" s="5">
        <v>165.03</v>
      </c>
      <c r="F400" s="6">
        <v>7541724</v>
      </c>
    </row>
    <row r="401" spans="1:6" x14ac:dyDescent="0.2">
      <c r="A401" s="4">
        <v>45049</v>
      </c>
      <c r="B401" s="5">
        <v>165.55</v>
      </c>
      <c r="C401" s="5">
        <v>166.18</v>
      </c>
      <c r="D401" s="5">
        <v>162.51</v>
      </c>
      <c r="E401" s="5">
        <v>162.87</v>
      </c>
      <c r="F401" s="6">
        <v>5937170</v>
      </c>
    </row>
    <row r="402" spans="1:6" x14ac:dyDescent="0.2">
      <c r="A402" s="4">
        <v>45050</v>
      </c>
      <c r="B402" s="5">
        <v>162.68</v>
      </c>
      <c r="C402" s="5">
        <v>162.9</v>
      </c>
      <c r="D402" s="5">
        <v>161.25</v>
      </c>
      <c r="E402" s="5">
        <v>162.13</v>
      </c>
      <c r="F402" s="6">
        <v>5127992</v>
      </c>
    </row>
    <row r="403" spans="1:6" x14ac:dyDescent="0.2">
      <c r="A403" s="4">
        <v>45051</v>
      </c>
      <c r="B403" s="5">
        <v>162.84</v>
      </c>
      <c r="C403" s="5">
        <v>163.13</v>
      </c>
      <c r="D403" s="5">
        <v>161.69</v>
      </c>
      <c r="E403" s="5">
        <v>162.68</v>
      </c>
      <c r="F403" s="6">
        <v>5194461</v>
      </c>
    </row>
    <row r="404" spans="1:6" x14ac:dyDescent="0.2">
      <c r="A404" s="4">
        <v>45054</v>
      </c>
      <c r="B404" s="5">
        <v>161.99</v>
      </c>
      <c r="C404" s="5">
        <v>162.57</v>
      </c>
      <c r="D404" s="5">
        <v>161.34</v>
      </c>
      <c r="E404" s="5">
        <v>162.31</v>
      </c>
      <c r="F404" s="6">
        <v>4994929</v>
      </c>
    </row>
    <row r="405" spans="1:6" x14ac:dyDescent="0.2">
      <c r="A405" s="4">
        <v>45055</v>
      </c>
      <c r="B405" s="5">
        <v>161.75</v>
      </c>
      <c r="C405" s="5">
        <v>162.13</v>
      </c>
      <c r="D405" s="5">
        <v>160.79</v>
      </c>
      <c r="E405" s="5">
        <v>161.05000000000001</v>
      </c>
      <c r="F405" s="6">
        <v>5520642</v>
      </c>
    </row>
    <row r="406" spans="1:6" x14ac:dyDescent="0.2">
      <c r="A406" s="4">
        <v>45056</v>
      </c>
      <c r="B406" s="5">
        <v>161.19999999999999</v>
      </c>
      <c r="C406" s="5">
        <v>161.97</v>
      </c>
      <c r="D406" s="5">
        <v>160.06</v>
      </c>
      <c r="E406" s="5">
        <v>161.65</v>
      </c>
      <c r="F406" s="6">
        <v>6756629</v>
      </c>
    </row>
    <row r="407" spans="1:6" x14ac:dyDescent="0.2">
      <c r="A407" s="4">
        <v>45057</v>
      </c>
      <c r="B407" s="5">
        <v>161.83000000000001</v>
      </c>
      <c r="C407" s="5">
        <v>162.19</v>
      </c>
      <c r="D407" s="5">
        <v>159.39009999999999</v>
      </c>
      <c r="E407" s="5">
        <v>160.99</v>
      </c>
      <c r="F407" s="6">
        <v>5867620</v>
      </c>
    </row>
    <row r="408" spans="1:6" x14ac:dyDescent="0.2">
      <c r="A408" s="4">
        <v>45058</v>
      </c>
      <c r="B408" s="5">
        <v>161.36000000000001</v>
      </c>
      <c r="C408" s="5">
        <v>161.56</v>
      </c>
      <c r="D408" s="5">
        <v>160.01</v>
      </c>
      <c r="E408" s="5">
        <v>160.78</v>
      </c>
      <c r="F408" s="6">
        <v>3904327</v>
      </c>
    </row>
    <row r="409" spans="1:6" x14ac:dyDescent="0.2">
      <c r="A409" s="4">
        <v>45061</v>
      </c>
      <c r="B409" s="5">
        <v>160.80000000000001</v>
      </c>
      <c r="C409" s="5">
        <v>161.03</v>
      </c>
      <c r="D409" s="5">
        <v>158.94</v>
      </c>
      <c r="E409" s="5">
        <v>159.55000000000001</v>
      </c>
      <c r="F409" s="6">
        <v>5104486</v>
      </c>
    </row>
    <row r="410" spans="1:6" x14ac:dyDescent="0.2">
      <c r="A410" s="4">
        <v>45062</v>
      </c>
      <c r="B410" s="5">
        <v>159.06</v>
      </c>
      <c r="C410" s="5">
        <v>160.25</v>
      </c>
      <c r="D410" s="5">
        <v>158.53</v>
      </c>
      <c r="E410" s="5">
        <v>159.34</v>
      </c>
      <c r="F410" s="6">
        <v>5599505</v>
      </c>
    </row>
    <row r="411" spans="1:6" x14ac:dyDescent="0.2">
      <c r="A411" s="4">
        <v>45063</v>
      </c>
      <c r="B411" s="5">
        <v>159.79</v>
      </c>
      <c r="C411" s="5">
        <v>160.05500000000001</v>
      </c>
      <c r="D411" s="5">
        <v>157.77000000000001</v>
      </c>
      <c r="E411" s="5">
        <v>158.99</v>
      </c>
      <c r="F411" s="6">
        <v>6840687</v>
      </c>
    </row>
    <row r="412" spans="1:6" x14ac:dyDescent="0.2">
      <c r="A412" s="4">
        <v>45064</v>
      </c>
      <c r="B412" s="5">
        <v>158.66</v>
      </c>
      <c r="C412" s="5">
        <v>158.93</v>
      </c>
      <c r="D412" s="5">
        <v>157.56</v>
      </c>
      <c r="E412" s="5">
        <v>158.47999999999999</v>
      </c>
      <c r="F412" s="6">
        <v>5172966</v>
      </c>
    </row>
    <row r="413" spans="1:6" x14ac:dyDescent="0.2">
      <c r="A413" s="4">
        <v>45065</v>
      </c>
      <c r="B413" s="5">
        <v>158.59</v>
      </c>
      <c r="C413" s="5">
        <v>159.93440000000001</v>
      </c>
      <c r="D413" s="5">
        <v>158.13999999999999</v>
      </c>
      <c r="E413" s="5">
        <v>158.91</v>
      </c>
      <c r="F413" s="6">
        <v>6527141</v>
      </c>
    </row>
    <row r="414" spans="1:6" x14ac:dyDescent="0.2">
      <c r="A414" s="4">
        <v>45068</v>
      </c>
      <c r="B414" s="5">
        <v>158</v>
      </c>
      <c r="C414" s="5">
        <v>159.13999999999999</v>
      </c>
      <c r="D414" s="5">
        <v>156.78</v>
      </c>
      <c r="E414" s="5">
        <v>156.87</v>
      </c>
      <c r="F414" s="6">
        <v>5675927</v>
      </c>
    </row>
    <row r="415" spans="1:6" x14ac:dyDescent="0.2">
      <c r="A415" s="4">
        <v>45069</v>
      </c>
      <c r="B415" s="5">
        <v>157.1</v>
      </c>
      <c r="C415" s="5">
        <v>158.27000000000001</v>
      </c>
      <c r="D415" s="5">
        <v>156.37</v>
      </c>
      <c r="E415" s="5">
        <v>156.81</v>
      </c>
      <c r="F415" s="6">
        <v>5793009</v>
      </c>
    </row>
    <row r="416" spans="1:6" x14ac:dyDescent="0.2">
      <c r="A416" s="4">
        <v>45070</v>
      </c>
      <c r="B416" s="5">
        <v>157.08000000000001</v>
      </c>
      <c r="C416" s="5">
        <v>157.13999999999999</v>
      </c>
      <c r="D416" s="5">
        <v>155.91999999999999</v>
      </c>
      <c r="E416" s="5">
        <v>156.66</v>
      </c>
      <c r="F416" s="6">
        <v>5015148</v>
      </c>
    </row>
    <row r="417" spans="1:6" x14ac:dyDescent="0.2">
      <c r="A417" s="4">
        <v>45071</v>
      </c>
      <c r="B417" s="5">
        <v>156.05000000000001</v>
      </c>
      <c r="C417" s="5">
        <v>156.29</v>
      </c>
      <c r="D417" s="5">
        <v>153.72</v>
      </c>
      <c r="E417" s="5">
        <v>154.41</v>
      </c>
      <c r="F417" s="6">
        <v>6886056</v>
      </c>
    </row>
    <row r="418" spans="1:6" x14ac:dyDescent="0.2">
      <c r="A418" s="4">
        <v>45072</v>
      </c>
      <c r="B418" s="5">
        <v>154.69</v>
      </c>
      <c r="C418" s="5">
        <v>155.27500000000001</v>
      </c>
      <c r="D418" s="5">
        <v>154.19999999999999</v>
      </c>
      <c r="E418" s="5">
        <v>154.35</v>
      </c>
      <c r="F418" s="6">
        <v>6845396</v>
      </c>
    </row>
    <row r="419" spans="1:6" x14ac:dyDescent="0.2">
      <c r="A419" s="4">
        <v>45076</v>
      </c>
      <c r="B419" s="5">
        <v>153.97</v>
      </c>
      <c r="C419" s="5">
        <v>155.38</v>
      </c>
      <c r="D419" s="5">
        <v>153.32</v>
      </c>
      <c r="E419" s="5">
        <v>154.37</v>
      </c>
      <c r="F419" s="6">
        <v>5593080</v>
      </c>
    </row>
    <row r="420" spans="1:6" x14ac:dyDescent="0.2">
      <c r="A420" s="4">
        <v>45077</v>
      </c>
      <c r="B420" s="5">
        <v>154.69499999999999</v>
      </c>
      <c r="C420" s="5">
        <v>155.69</v>
      </c>
      <c r="D420" s="5">
        <v>153.85</v>
      </c>
      <c r="E420" s="5">
        <v>155.06</v>
      </c>
      <c r="F420" s="6">
        <v>11324590</v>
      </c>
    </row>
    <row r="421" spans="1:6" x14ac:dyDescent="0.2">
      <c r="A421" s="4">
        <v>45078</v>
      </c>
      <c r="B421" s="5">
        <v>154.54</v>
      </c>
      <c r="C421" s="5">
        <v>155.04</v>
      </c>
      <c r="D421" s="5">
        <v>153.15</v>
      </c>
      <c r="E421" s="5">
        <v>154.54</v>
      </c>
      <c r="F421" s="6">
        <v>7901348</v>
      </c>
    </row>
    <row r="422" spans="1:6" x14ac:dyDescent="0.2">
      <c r="A422" s="4">
        <v>45079</v>
      </c>
      <c r="B422" s="5">
        <v>154.72</v>
      </c>
      <c r="C422" s="5">
        <v>157.31</v>
      </c>
      <c r="D422" s="5">
        <v>154.09</v>
      </c>
      <c r="E422" s="5">
        <v>156.97</v>
      </c>
      <c r="F422" s="6">
        <v>7659721</v>
      </c>
    </row>
    <row r="423" spans="1:6" x14ac:dyDescent="0.2">
      <c r="A423" s="4">
        <v>45082</v>
      </c>
      <c r="B423" s="5">
        <v>156.75</v>
      </c>
      <c r="C423" s="5">
        <v>158.63999999999999</v>
      </c>
      <c r="D423" s="5">
        <v>156.97</v>
      </c>
      <c r="E423" s="5">
        <v>158.32</v>
      </c>
      <c r="F423" s="6">
        <v>6430453</v>
      </c>
    </row>
    <row r="424" spans="1:6" x14ac:dyDescent="0.2">
      <c r="A424" s="4">
        <v>45083</v>
      </c>
      <c r="B424" s="5">
        <v>159.58000000000001</v>
      </c>
      <c r="C424" s="5">
        <v>159.61000000000001</v>
      </c>
      <c r="D424" s="5">
        <v>157.4</v>
      </c>
      <c r="E424" s="5">
        <v>158.18</v>
      </c>
      <c r="F424" s="6">
        <v>5073642</v>
      </c>
    </row>
    <row r="425" spans="1:6" x14ac:dyDescent="0.2">
      <c r="A425" s="4">
        <v>45084</v>
      </c>
      <c r="B425" s="5">
        <v>158.1</v>
      </c>
      <c r="C425" s="5">
        <v>158.80000000000001</v>
      </c>
      <c r="D425" s="5">
        <v>157.44</v>
      </c>
      <c r="E425" s="5">
        <v>158.52000000000001</v>
      </c>
      <c r="F425" s="6">
        <v>6504285</v>
      </c>
    </row>
    <row r="426" spans="1:6" x14ac:dyDescent="0.2">
      <c r="A426" s="4">
        <v>45085</v>
      </c>
      <c r="B426" s="5">
        <v>158.5</v>
      </c>
      <c r="C426" s="5">
        <v>160.41999999999999</v>
      </c>
      <c r="D426" s="5">
        <v>157.82</v>
      </c>
      <c r="E426" s="5">
        <v>160.26</v>
      </c>
      <c r="F426" s="6">
        <v>5818952</v>
      </c>
    </row>
    <row r="427" spans="1:6" x14ac:dyDescent="0.2">
      <c r="A427" s="4">
        <v>45086</v>
      </c>
      <c r="B427" s="5">
        <v>160.41999999999999</v>
      </c>
      <c r="C427" s="5">
        <v>160.72499999999999</v>
      </c>
      <c r="D427" s="5">
        <v>159.465</v>
      </c>
      <c r="E427" s="5">
        <v>160.01</v>
      </c>
      <c r="F427" s="6">
        <v>6264779</v>
      </c>
    </row>
    <row r="428" spans="1:6" x14ac:dyDescent="0.2">
      <c r="A428" s="4">
        <v>45089</v>
      </c>
      <c r="B428" s="5">
        <v>160</v>
      </c>
      <c r="C428" s="5">
        <v>160.25</v>
      </c>
      <c r="D428" s="5">
        <v>158.72999999999999</v>
      </c>
      <c r="E428" s="5">
        <v>159.9</v>
      </c>
      <c r="F428" s="6">
        <v>6511261</v>
      </c>
    </row>
    <row r="429" spans="1:6" x14ac:dyDescent="0.2">
      <c r="A429" s="4">
        <v>45090</v>
      </c>
      <c r="B429" s="5">
        <v>159.72999999999999</v>
      </c>
      <c r="C429" s="5">
        <v>160.84</v>
      </c>
      <c r="D429" s="5">
        <v>159.15</v>
      </c>
      <c r="E429" s="5">
        <v>160.74</v>
      </c>
      <c r="F429" s="6">
        <v>6066788</v>
      </c>
    </row>
    <row r="430" spans="1:6" x14ac:dyDescent="0.2">
      <c r="A430" s="4">
        <v>45091</v>
      </c>
      <c r="B430" s="5">
        <v>161.6</v>
      </c>
      <c r="C430" s="5">
        <v>162.08000000000001</v>
      </c>
      <c r="D430" s="5">
        <v>160.97999999999999</v>
      </c>
      <c r="E430" s="5">
        <v>161.56</v>
      </c>
      <c r="F430" s="6">
        <v>6699139</v>
      </c>
    </row>
    <row r="431" spans="1:6" x14ac:dyDescent="0.2">
      <c r="A431" s="4">
        <v>45092</v>
      </c>
      <c r="B431" s="5">
        <v>162.05000000000001</v>
      </c>
      <c r="C431" s="5">
        <v>163.91</v>
      </c>
      <c r="D431" s="5">
        <v>161.43</v>
      </c>
      <c r="E431" s="5">
        <v>163.72999999999999</v>
      </c>
      <c r="F431" s="6">
        <v>7138314</v>
      </c>
    </row>
    <row r="432" spans="1:6" x14ac:dyDescent="0.2">
      <c r="A432" s="4">
        <v>45093</v>
      </c>
      <c r="B432" s="5">
        <v>164.48</v>
      </c>
      <c r="C432" s="5">
        <v>164.99</v>
      </c>
      <c r="D432" s="5">
        <v>163.87</v>
      </c>
      <c r="E432" s="5">
        <v>164.23</v>
      </c>
      <c r="F432" s="6">
        <v>13426610</v>
      </c>
    </row>
    <row r="433" spans="1:6" x14ac:dyDescent="0.2">
      <c r="A433" s="4">
        <v>45097</v>
      </c>
      <c r="B433" s="5">
        <v>164.26</v>
      </c>
      <c r="C433" s="5">
        <v>165.31</v>
      </c>
      <c r="D433" s="5">
        <v>163.81</v>
      </c>
      <c r="E433" s="5">
        <v>164.13</v>
      </c>
      <c r="F433" s="6">
        <v>7996117</v>
      </c>
    </row>
    <row r="434" spans="1:6" x14ac:dyDescent="0.2">
      <c r="A434" s="4">
        <v>45098</v>
      </c>
      <c r="B434" s="5">
        <v>163.58000000000001</v>
      </c>
      <c r="C434" s="5">
        <v>164.92</v>
      </c>
      <c r="D434" s="5">
        <v>162.69</v>
      </c>
      <c r="E434" s="5">
        <v>163.88</v>
      </c>
      <c r="F434" s="6">
        <v>7177549</v>
      </c>
    </row>
    <row r="435" spans="1:6" x14ac:dyDescent="0.2">
      <c r="A435" s="4">
        <v>45099</v>
      </c>
      <c r="B435" s="5">
        <v>163.9</v>
      </c>
      <c r="C435" s="5">
        <v>165.72</v>
      </c>
      <c r="D435" s="5">
        <v>163.79</v>
      </c>
      <c r="E435" s="5">
        <v>165.62</v>
      </c>
      <c r="F435" s="6">
        <v>5486186</v>
      </c>
    </row>
    <row r="436" spans="1:6" x14ac:dyDescent="0.2">
      <c r="A436" s="4">
        <v>45100</v>
      </c>
      <c r="B436" s="5">
        <v>166.11</v>
      </c>
      <c r="C436" s="5">
        <v>166.27</v>
      </c>
      <c r="D436" s="5">
        <v>165.03</v>
      </c>
      <c r="E436" s="5">
        <v>165.48</v>
      </c>
      <c r="F436" s="6">
        <v>9450724</v>
      </c>
    </row>
    <row r="437" spans="1:6" x14ac:dyDescent="0.2">
      <c r="A437" s="4">
        <v>45103</v>
      </c>
      <c r="B437" s="5">
        <v>164.98</v>
      </c>
      <c r="C437" s="5">
        <v>164.98</v>
      </c>
      <c r="D437" s="5">
        <v>161.33000000000001</v>
      </c>
      <c r="E437" s="5">
        <v>163.63</v>
      </c>
      <c r="F437" s="6">
        <v>6978804</v>
      </c>
    </row>
    <row r="438" spans="1:6" x14ac:dyDescent="0.2">
      <c r="A438" s="4">
        <v>45104</v>
      </c>
      <c r="B438" s="5">
        <v>163.68</v>
      </c>
      <c r="C438" s="5">
        <v>163.88</v>
      </c>
      <c r="D438" s="5">
        <v>162.44</v>
      </c>
      <c r="E438" s="5">
        <v>163.29</v>
      </c>
      <c r="F438" s="6">
        <v>4927711</v>
      </c>
    </row>
    <row r="439" spans="1:6" x14ac:dyDescent="0.2">
      <c r="A439" s="4">
        <v>45105</v>
      </c>
      <c r="B439" s="5">
        <v>163.19999999999999</v>
      </c>
      <c r="C439" s="5">
        <v>163.19999999999999</v>
      </c>
      <c r="D439" s="5">
        <v>161.91</v>
      </c>
      <c r="E439" s="5">
        <v>162.96</v>
      </c>
      <c r="F439" s="6">
        <v>6780435</v>
      </c>
    </row>
    <row r="440" spans="1:6" x14ac:dyDescent="0.2">
      <c r="A440" s="4">
        <v>45106</v>
      </c>
      <c r="B440" s="5">
        <v>162.63999999999999</v>
      </c>
      <c r="C440" s="5">
        <v>164.32</v>
      </c>
      <c r="D440" s="5">
        <v>162.22999999999999</v>
      </c>
      <c r="E440" s="5">
        <v>164.1</v>
      </c>
      <c r="F440" s="6">
        <v>4547514</v>
      </c>
    </row>
    <row r="441" spans="1:6" x14ac:dyDescent="0.2">
      <c r="A441" s="4">
        <v>45107</v>
      </c>
      <c r="B441" s="5">
        <v>164.86</v>
      </c>
      <c r="C441" s="5">
        <v>165.94</v>
      </c>
      <c r="D441" s="5">
        <v>164.35</v>
      </c>
      <c r="E441" s="5">
        <v>165.52</v>
      </c>
      <c r="F441" s="6">
        <v>7580141</v>
      </c>
    </row>
    <row r="442" spans="1:6" x14ac:dyDescent="0.2">
      <c r="A442" s="4">
        <v>45110</v>
      </c>
      <c r="B442" s="5">
        <v>164.34</v>
      </c>
      <c r="C442" s="5">
        <v>164.39</v>
      </c>
      <c r="D442" s="5">
        <v>162.96</v>
      </c>
      <c r="E442" s="5">
        <v>163.35</v>
      </c>
      <c r="F442" s="6">
        <v>4033713</v>
      </c>
    </row>
    <row r="443" spans="1:6" x14ac:dyDescent="0.2">
      <c r="A443" s="4">
        <v>45112</v>
      </c>
      <c r="B443" s="5">
        <v>162.99</v>
      </c>
      <c r="C443" s="5">
        <v>163.92</v>
      </c>
      <c r="D443" s="5">
        <v>162.72999999999999</v>
      </c>
      <c r="E443" s="5">
        <v>162.81</v>
      </c>
      <c r="F443" s="6">
        <v>7225523</v>
      </c>
    </row>
    <row r="444" spans="1:6" x14ac:dyDescent="0.2">
      <c r="A444" s="4">
        <v>45113</v>
      </c>
      <c r="B444" s="5">
        <v>162.25</v>
      </c>
      <c r="C444" s="5">
        <v>162.37</v>
      </c>
      <c r="D444" s="5">
        <v>161</v>
      </c>
      <c r="E444" s="5">
        <v>161.6</v>
      </c>
      <c r="F444" s="6">
        <v>6333687</v>
      </c>
    </row>
    <row r="445" spans="1:6" x14ac:dyDescent="0.2">
      <c r="A445" s="4">
        <v>45114</v>
      </c>
      <c r="B445" s="5">
        <v>160.47</v>
      </c>
      <c r="C445" s="5">
        <v>161.04</v>
      </c>
      <c r="D445" s="5">
        <v>159.19999999999999</v>
      </c>
      <c r="E445" s="5">
        <v>159.25</v>
      </c>
      <c r="F445" s="6">
        <v>7022226</v>
      </c>
    </row>
    <row r="446" spans="1:6" x14ac:dyDescent="0.2">
      <c r="A446" s="4">
        <v>45117</v>
      </c>
      <c r="B446" s="5">
        <v>159.43</v>
      </c>
      <c r="C446" s="5">
        <v>160.30000000000001</v>
      </c>
      <c r="D446" s="5">
        <v>159</v>
      </c>
      <c r="E446" s="5">
        <v>159.51</v>
      </c>
      <c r="F446" s="6">
        <v>5739364</v>
      </c>
    </row>
    <row r="447" spans="1:6" x14ac:dyDescent="0.2">
      <c r="A447" s="4">
        <v>45118</v>
      </c>
      <c r="B447" s="5">
        <v>159.13</v>
      </c>
      <c r="C447" s="5">
        <v>160.30000000000001</v>
      </c>
      <c r="D447" s="5">
        <v>157.6</v>
      </c>
      <c r="E447" s="5">
        <v>158.63</v>
      </c>
      <c r="F447" s="6">
        <v>6606956</v>
      </c>
    </row>
    <row r="448" spans="1:6" x14ac:dyDescent="0.2">
      <c r="A448" s="4">
        <v>45119</v>
      </c>
      <c r="B448" s="5">
        <v>158.94</v>
      </c>
      <c r="C448" s="5">
        <v>158.94</v>
      </c>
      <c r="D448" s="5">
        <v>157.88</v>
      </c>
      <c r="E448" s="5">
        <v>158.08000000000001</v>
      </c>
      <c r="F448" s="6">
        <v>6940442</v>
      </c>
    </row>
    <row r="449" spans="1:6" x14ac:dyDescent="0.2">
      <c r="A449" s="4">
        <v>45120</v>
      </c>
      <c r="B449" s="5">
        <v>158</v>
      </c>
      <c r="C449" s="5">
        <v>159.13</v>
      </c>
      <c r="D449" s="5">
        <v>157.41</v>
      </c>
      <c r="E449" s="5">
        <v>158.81</v>
      </c>
      <c r="F449" s="6">
        <v>6401743</v>
      </c>
    </row>
    <row r="450" spans="1:6" x14ac:dyDescent="0.2">
      <c r="A450" s="4">
        <v>45121</v>
      </c>
      <c r="B450" s="5">
        <v>159.18</v>
      </c>
      <c r="C450" s="5">
        <v>160.22499999999999</v>
      </c>
      <c r="D450" s="5">
        <v>158.97999999999999</v>
      </c>
      <c r="E450" s="5">
        <v>159.87</v>
      </c>
      <c r="F450" s="6">
        <v>5362237</v>
      </c>
    </row>
    <row r="451" spans="1:6" x14ac:dyDescent="0.2">
      <c r="A451" s="4">
        <v>45124</v>
      </c>
      <c r="B451" s="5">
        <v>159.75</v>
      </c>
      <c r="C451" s="5">
        <v>159.87</v>
      </c>
      <c r="D451" s="5">
        <v>158.15</v>
      </c>
      <c r="E451" s="5">
        <v>159.07</v>
      </c>
      <c r="F451" s="6">
        <v>5488030</v>
      </c>
    </row>
    <row r="452" spans="1:6" x14ac:dyDescent="0.2">
      <c r="A452" s="4">
        <v>45125</v>
      </c>
      <c r="B452" s="5">
        <v>159.07</v>
      </c>
      <c r="C452" s="5">
        <v>160.88999999999999</v>
      </c>
      <c r="D452" s="5">
        <v>158.19</v>
      </c>
      <c r="E452" s="5">
        <v>159.06</v>
      </c>
      <c r="F452" s="6">
        <v>6332509</v>
      </c>
    </row>
    <row r="453" spans="1:6" x14ac:dyDescent="0.2">
      <c r="A453" s="4">
        <v>45126</v>
      </c>
      <c r="B453" s="5">
        <v>157.91</v>
      </c>
      <c r="C453" s="5">
        <v>160.41</v>
      </c>
      <c r="D453" s="5">
        <v>157.33000000000001</v>
      </c>
      <c r="E453" s="5">
        <v>158.74</v>
      </c>
      <c r="F453" s="6">
        <v>7522557</v>
      </c>
    </row>
    <row r="454" spans="1:6" x14ac:dyDescent="0.2">
      <c r="A454" s="4">
        <v>45127</v>
      </c>
      <c r="B454" s="5">
        <v>161.94</v>
      </c>
      <c r="C454" s="5">
        <v>169.14</v>
      </c>
      <c r="D454" s="5">
        <v>161.30000000000001</v>
      </c>
      <c r="E454" s="5">
        <v>168.38</v>
      </c>
      <c r="F454" s="6">
        <v>21892880</v>
      </c>
    </row>
    <row r="455" spans="1:6" x14ac:dyDescent="0.2">
      <c r="A455" s="4">
        <v>45128</v>
      </c>
      <c r="B455" s="5">
        <v>168.18</v>
      </c>
      <c r="C455" s="5">
        <v>170.82</v>
      </c>
      <c r="D455" s="5">
        <v>168.18</v>
      </c>
      <c r="E455" s="5">
        <v>170.19</v>
      </c>
      <c r="F455" s="6">
        <v>12080000</v>
      </c>
    </row>
    <row r="456" spans="1:6" x14ac:dyDescent="0.2">
      <c r="A456" s="4">
        <v>45131</v>
      </c>
      <c r="B456" s="5">
        <v>171.5</v>
      </c>
      <c r="C456" s="5">
        <v>173.82</v>
      </c>
      <c r="D456" s="5">
        <v>170.99</v>
      </c>
      <c r="E456" s="5">
        <v>171.08</v>
      </c>
      <c r="F456" s="6">
        <v>15155450</v>
      </c>
    </row>
    <row r="457" spans="1:6" x14ac:dyDescent="0.2">
      <c r="A457" s="4">
        <v>45132</v>
      </c>
      <c r="B457" s="5">
        <v>170.45</v>
      </c>
      <c r="C457" s="5">
        <v>172.68</v>
      </c>
      <c r="D457" s="5">
        <v>169.75</v>
      </c>
      <c r="E457" s="5">
        <v>172.39</v>
      </c>
      <c r="F457" s="6">
        <v>13790050</v>
      </c>
    </row>
    <row r="458" spans="1:6" x14ac:dyDescent="0.2">
      <c r="A458" s="4">
        <v>45133</v>
      </c>
      <c r="B458" s="5">
        <v>172</v>
      </c>
      <c r="C458" s="5">
        <v>173.85</v>
      </c>
      <c r="D458" s="5">
        <v>171.4</v>
      </c>
      <c r="E458" s="5">
        <v>172.72</v>
      </c>
      <c r="F458" s="6">
        <v>14288170</v>
      </c>
    </row>
    <row r="459" spans="1:6" x14ac:dyDescent="0.2">
      <c r="A459" s="4">
        <v>45134</v>
      </c>
      <c r="B459" s="5">
        <v>172.18</v>
      </c>
      <c r="C459" s="5">
        <v>174.29</v>
      </c>
      <c r="D459" s="5">
        <v>172.04</v>
      </c>
      <c r="E459" s="5">
        <v>173.69</v>
      </c>
      <c r="F459" s="6">
        <v>12446390</v>
      </c>
    </row>
    <row r="460" spans="1:6" x14ac:dyDescent="0.2">
      <c r="A460" s="4">
        <v>45135</v>
      </c>
      <c r="B460" s="5">
        <v>174</v>
      </c>
      <c r="C460" s="5">
        <v>175.36</v>
      </c>
      <c r="D460" s="5">
        <v>173.23</v>
      </c>
      <c r="E460" s="5">
        <v>174.48</v>
      </c>
      <c r="F460" s="6">
        <v>14138840</v>
      </c>
    </row>
    <row r="461" spans="1:6" x14ac:dyDescent="0.2">
      <c r="A461" s="4">
        <v>45138</v>
      </c>
      <c r="B461" s="5">
        <v>169.69</v>
      </c>
      <c r="C461" s="5">
        <v>170.22</v>
      </c>
      <c r="D461" s="5">
        <v>166.71</v>
      </c>
      <c r="E461" s="5">
        <v>167.53</v>
      </c>
      <c r="F461" s="6">
        <v>22632720</v>
      </c>
    </row>
    <row r="462" spans="1:6" x14ac:dyDescent="0.2">
      <c r="A462" s="4">
        <v>45139</v>
      </c>
      <c r="B462" s="5">
        <v>166.36500000000001</v>
      </c>
      <c r="C462" s="5">
        <v>169.09</v>
      </c>
      <c r="D462" s="5">
        <v>166.06</v>
      </c>
      <c r="E462" s="5">
        <v>168.89</v>
      </c>
      <c r="F462" s="6">
        <v>15811550</v>
      </c>
    </row>
    <row r="463" spans="1:6" x14ac:dyDescent="0.2">
      <c r="A463" s="4">
        <v>45140</v>
      </c>
      <c r="B463" s="5">
        <v>168.85</v>
      </c>
      <c r="C463" s="5">
        <v>171.24</v>
      </c>
      <c r="D463" s="5">
        <v>168.85</v>
      </c>
      <c r="E463" s="5">
        <v>169.91</v>
      </c>
      <c r="F463" s="6">
        <v>14599260</v>
      </c>
    </row>
    <row r="464" spans="1:6" x14ac:dyDescent="0.2">
      <c r="A464" s="4">
        <v>45141</v>
      </c>
      <c r="B464" s="5">
        <v>169.95</v>
      </c>
      <c r="C464" s="5">
        <v>171.32</v>
      </c>
      <c r="D464" s="5">
        <v>169.67</v>
      </c>
      <c r="E464" s="5">
        <v>170.64</v>
      </c>
      <c r="F464" s="6">
        <v>17425230</v>
      </c>
    </row>
    <row r="465" spans="1:6" x14ac:dyDescent="0.2">
      <c r="A465" s="4">
        <v>45142</v>
      </c>
      <c r="B465" s="5">
        <v>170.34</v>
      </c>
      <c r="C465" s="5">
        <v>172.68</v>
      </c>
      <c r="D465" s="5">
        <v>167.89</v>
      </c>
      <c r="E465" s="5">
        <v>169.04</v>
      </c>
      <c r="F465" s="6">
        <v>23415050</v>
      </c>
    </row>
    <row r="466" spans="1:6" x14ac:dyDescent="0.2">
      <c r="A466" s="4">
        <v>45145</v>
      </c>
      <c r="B466" s="5">
        <v>169.49</v>
      </c>
      <c r="C466" s="5">
        <v>173.34</v>
      </c>
      <c r="D466" s="5">
        <v>169.36</v>
      </c>
      <c r="E466" s="5">
        <v>173.1</v>
      </c>
      <c r="F466" s="6">
        <v>17736440</v>
      </c>
    </row>
    <row r="467" spans="1:6" x14ac:dyDescent="0.2">
      <c r="A467" s="4">
        <v>45146</v>
      </c>
      <c r="B467" s="5">
        <v>172.99</v>
      </c>
      <c r="C467" s="5">
        <v>173.55</v>
      </c>
      <c r="D467" s="5">
        <v>171.39</v>
      </c>
      <c r="E467" s="5">
        <v>173.18</v>
      </c>
      <c r="F467" s="6">
        <v>27378700</v>
      </c>
    </row>
    <row r="468" spans="1:6" x14ac:dyDescent="0.2">
      <c r="A468" s="4">
        <v>45147</v>
      </c>
      <c r="B468" s="5">
        <v>173</v>
      </c>
      <c r="C468" s="5">
        <v>174.25</v>
      </c>
      <c r="D468" s="5">
        <v>172.05</v>
      </c>
      <c r="E468" s="5">
        <v>173.07</v>
      </c>
      <c r="F468" s="6">
        <v>42974370</v>
      </c>
    </row>
    <row r="469" spans="1:6" x14ac:dyDescent="0.2">
      <c r="A469" s="4">
        <v>45148</v>
      </c>
      <c r="B469" s="5">
        <v>174</v>
      </c>
      <c r="C469" s="5">
        <v>175.97</v>
      </c>
      <c r="D469" s="5">
        <v>171.64</v>
      </c>
      <c r="E469" s="5">
        <v>172.17</v>
      </c>
      <c r="F469" s="6">
        <v>48213840</v>
      </c>
    </row>
    <row r="470" spans="1:6" x14ac:dyDescent="0.2">
      <c r="A470" s="4">
        <v>45149</v>
      </c>
      <c r="B470" s="5">
        <v>172.48</v>
      </c>
      <c r="C470" s="5">
        <v>173.95</v>
      </c>
      <c r="D470" s="5">
        <v>171.62</v>
      </c>
      <c r="E470" s="5">
        <v>173.85</v>
      </c>
      <c r="F470" s="6">
        <v>45905610</v>
      </c>
    </row>
    <row r="471" spans="1:6" x14ac:dyDescent="0.2">
      <c r="A471" s="4">
        <v>45152</v>
      </c>
      <c r="B471" s="5">
        <v>173.52</v>
      </c>
      <c r="C471" s="5">
        <v>175.6</v>
      </c>
      <c r="D471" s="5">
        <v>171.75</v>
      </c>
      <c r="E471" s="5">
        <v>173.44</v>
      </c>
      <c r="F471" s="6">
        <v>64036950</v>
      </c>
    </row>
    <row r="472" spans="1:6" x14ac:dyDescent="0.2">
      <c r="A472" s="4">
        <v>45153</v>
      </c>
      <c r="B472" s="5">
        <v>172.8</v>
      </c>
      <c r="C472" s="5">
        <v>174.56</v>
      </c>
      <c r="D472" s="5">
        <v>172.14</v>
      </c>
      <c r="E472" s="5">
        <v>172.94</v>
      </c>
      <c r="F472" s="6">
        <v>88924920</v>
      </c>
    </row>
    <row r="473" spans="1:6" x14ac:dyDescent="0.2">
      <c r="A473" s="4">
        <v>45154</v>
      </c>
      <c r="B473" s="5">
        <v>172.53</v>
      </c>
      <c r="C473" s="5">
        <v>174.73</v>
      </c>
      <c r="D473" s="5">
        <v>172.13</v>
      </c>
      <c r="E473" s="5">
        <v>172.39</v>
      </c>
      <c r="F473" s="6">
        <v>85594290</v>
      </c>
    </row>
    <row r="474" spans="1:6" x14ac:dyDescent="0.2">
      <c r="A474" s="4">
        <v>45155</v>
      </c>
      <c r="B474" s="5">
        <v>172.86</v>
      </c>
      <c r="C474" s="5">
        <v>175.39</v>
      </c>
      <c r="D474" s="5">
        <v>172.76</v>
      </c>
      <c r="E474" s="5">
        <v>174.01</v>
      </c>
      <c r="F474" s="6">
        <v>70904180</v>
      </c>
    </row>
    <row r="475" spans="1:6" x14ac:dyDescent="0.2">
      <c r="A475" s="4">
        <v>45156</v>
      </c>
      <c r="B475" s="5">
        <v>173.17</v>
      </c>
      <c r="C475" s="5">
        <v>173.99</v>
      </c>
      <c r="D475" s="5">
        <v>171.31</v>
      </c>
      <c r="E475" s="5">
        <v>172.49</v>
      </c>
      <c r="F475" s="6">
        <v>49631740</v>
      </c>
    </row>
    <row r="476" spans="1:6" x14ac:dyDescent="0.2">
      <c r="A476" s="4">
        <v>45159</v>
      </c>
      <c r="B476" s="5">
        <v>169.69</v>
      </c>
      <c r="C476" s="5">
        <v>169.85</v>
      </c>
      <c r="D476" s="5">
        <v>165.96</v>
      </c>
      <c r="E476" s="5">
        <v>167.35</v>
      </c>
      <c r="F476" s="6">
        <v>151319500</v>
      </c>
    </row>
    <row r="477" spans="1:6" x14ac:dyDescent="0.2">
      <c r="A477" s="4">
        <v>45160</v>
      </c>
      <c r="B477" s="5">
        <v>166.86</v>
      </c>
      <c r="C477" s="5">
        <v>167.84</v>
      </c>
      <c r="D477" s="5">
        <v>165.41</v>
      </c>
      <c r="E477" s="5">
        <v>166.02</v>
      </c>
      <c r="F477" s="6">
        <v>56835370</v>
      </c>
    </row>
    <row r="478" spans="1:6" x14ac:dyDescent="0.2">
      <c r="A478" s="4">
        <v>45161</v>
      </c>
      <c r="B478" s="5">
        <v>168.93</v>
      </c>
      <c r="C478" s="5">
        <v>170.18</v>
      </c>
      <c r="D478" s="5">
        <v>162.01050000000001</v>
      </c>
      <c r="E478" s="5">
        <v>163.19999999999999</v>
      </c>
      <c r="F478" s="6">
        <v>119011400</v>
      </c>
    </row>
    <row r="479" spans="1:6" x14ac:dyDescent="0.2">
      <c r="A479" s="4">
        <v>45162</v>
      </c>
      <c r="B479" s="5">
        <v>164.03</v>
      </c>
      <c r="C479" s="5">
        <v>166.67</v>
      </c>
      <c r="D479" s="5">
        <v>163.86</v>
      </c>
      <c r="E479" s="5">
        <v>165.09</v>
      </c>
      <c r="F479" s="6">
        <v>70755060</v>
      </c>
    </row>
    <row r="480" spans="1:6" x14ac:dyDescent="0.2">
      <c r="A480" s="4">
        <v>45163</v>
      </c>
      <c r="B480" s="5">
        <v>164.3</v>
      </c>
      <c r="C480" s="5">
        <v>167.78</v>
      </c>
      <c r="D480" s="5">
        <v>164.06</v>
      </c>
      <c r="E480" s="5">
        <v>166.25</v>
      </c>
      <c r="F480" s="6">
        <v>18185520</v>
      </c>
    </row>
    <row r="481" spans="1:6" x14ac:dyDescent="0.2">
      <c r="A481" s="4">
        <v>45166</v>
      </c>
      <c r="B481" s="5">
        <v>165</v>
      </c>
      <c r="C481" s="5">
        <v>166.21</v>
      </c>
      <c r="D481" s="5">
        <v>163.16499999999999</v>
      </c>
      <c r="E481" s="5">
        <v>164.29</v>
      </c>
      <c r="F481" s="6">
        <v>18457990</v>
      </c>
    </row>
    <row r="482" spans="1:6" x14ac:dyDescent="0.2">
      <c r="A482" s="4">
        <v>45167</v>
      </c>
      <c r="B482" s="5">
        <v>164.87</v>
      </c>
      <c r="C482" s="5">
        <v>165.68</v>
      </c>
      <c r="D482" s="5">
        <v>162.77000000000001</v>
      </c>
      <c r="E482" s="5">
        <v>164.31</v>
      </c>
      <c r="F482" s="6">
        <v>12208610</v>
      </c>
    </row>
    <row r="483" spans="1:6" x14ac:dyDescent="0.2">
      <c r="A483" s="4">
        <v>45168</v>
      </c>
      <c r="B483" s="5">
        <v>165.11</v>
      </c>
      <c r="C483" s="5">
        <v>165.83</v>
      </c>
      <c r="D483" s="5">
        <v>163.68</v>
      </c>
      <c r="E483" s="5">
        <v>163.72999999999999</v>
      </c>
      <c r="F483" s="6">
        <v>9939097</v>
      </c>
    </row>
    <row r="484" spans="1:6" x14ac:dyDescent="0.2">
      <c r="A484" s="4">
        <v>45169</v>
      </c>
      <c r="B484" s="5">
        <v>163.37</v>
      </c>
      <c r="C484" s="5">
        <v>163.57</v>
      </c>
      <c r="D484" s="5">
        <v>161.279</v>
      </c>
      <c r="E484" s="5">
        <v>161.68</v>
      </c>
      <c r="F484" s="6">
        <v>15333000</v>
      </c>
    </row>
    <row r="485" spans="1:6" x14ac:dyDescent="0.2">
      <c r="A485" s="4">
        <v>45170</v>
      </c>
      <c r="B485" s="5">
        <v>161.41999999999999</v>
      </c>
      <c r="C485" s="5">
        <v>162.47999999999999</v>
      </c>
      <c r="D485" s="5">
        <v>160.01499999999999</v>
      </c>
      <c r="E485" s="5">
        <v>160.47999999999999</v>
      </c>
      <c r="F485" s="6">
        <v>8610052</v>
      </c>
    </row>
    <row r="486" spans="1:6" x14ac:dyDescent="0.2">
      <c r="A486" s="4">
        <v>45174</v>
      </c>
      <c r="B486" s="5">
        <v>160.56</v>
      </c>
      <c r="C486" s="5">
        <v>161.97</v>
      </c>
      <c r="D486" s="5">
        <v>160.28</v>
      </c>
      <c r="E486" s="5">
        <v>160.68</v>
      </c>
      <c r="F486" s="6">
        <v>9019777</v>
      </c>
    </row>
    <row r="487" spans="1:6" x14ac:dyDescent="0.2">
      <c r="A487" s="4">
        <v>45175</v>
      </c>
      <c r="B487" s="5">
        <v>159.84</v>
      </c>
      <c r="C487" s="5">
        <v>160</v>
      </c>
      <c r="D487" s="5">
        <v>157.35</v>
      </c>
      <c r="E487" s="5">
        <v>158.01</v>
      </c>
      <c r="F487" s="6">
        <v>9753833</v>
      </c>
    </row>
    <row r="488" spans="1:6" x14ac:dyDescent="0.2">
      <c r="A488" s="4">
        <v>45176</v>
      </c>
      <c r="B488" s="5">
        <v>159.13999999999999</v>
      </c>
      <c r="C488" s="5">
        <v>161.06</v>
      </c>
      <c r="D488" s="5">
        <v>158.97999999999999</v>
      </c>
      <c r="E488" s="5">
        <v>160.03</v>
      </c>
      <c r="F488" s="6">
        <v>9931811</v>
      </c>
    </row>
    <row r="489" spans="1:6" x14ac:dyDescent="0.2">
      <c r="A489" s="4">
        <v>45177</v>
      </c>
      <c r="B489" s="5">
        <v>159.59</v>
      </c>
      <c r="C489" s="5">
        <v>160.68</v>
      </c>
      <c r="D489" s="5">
        <v>159.19</v>
      </c>
      <c r="E489" s="5">
        <v>160.56</v>
      </c>
      <c r="F489" s="6">
        <v>6958201</v>
      </c>
    </row>
    <row r="490" spans="1:6" x14ac:dyDescent="0.2">
      <c r="A490" s="4">
        <v>45180</v>
      </c>
      <c r="B490" s="5">
        <v>161.06</v>
      </c>
      <c r="C490" s="5">
        <v>162.69</v>
      </c>
      <c r="D490" s="5">
        <v>160.44999999999999</v>
      </c>
      <c r="E490" s="5">
        <v>162.66</v>
      </c>
      <c r="F490" s="6">
        <v>6309295</v>
      </c>
    </row>
    <row r="491" spans="1:6" x14ac:dyDescent="0.2">
      <c r="A491" s="4">
        <v>45181</v>
      </c>
      <c r="B491" s="5">
        <v>162.22</v>
      </c>
      <c r="C491" s="5">
        <v>163.92500000000001</v>
      </c>
      <c r="D491" s="5">
        <v>161.53</v>
      </c>
      <c r="E491" s="5">
        <v>163.58000000000001</v>
      </c>
      <c r="F491" s="6">
        <v>6045756</v>
      </c>
    </row>
    <row r="492" spans="1:6" x14ac:dyDescent="0.2">
      <c r="A492" s="4">
        <v>45182</v>
      </c>
      <c r="B492" s="5">
        <v>163.76</v>
      </c>
      <c r="C492" s="5">
        <v>164.95</v>
      </c>
      <c r="D492" s="5">
        <v>163</v>
      </c>
      <c r="E492" s="5">
        <v>163.99</v>
      </c>
      <c r="F492" s="6">
        <v>7397520</v>
      </c>
    </row>
    <row r="493" spans="1:6" x14ac:dyDescent="0.2">
      <c r="A493" s="4">
        <v>45183</v>
      </c>
      <c r="B493" s="5">
        <v>164.68</v>
      </c>
      <c r="C493" s="5">
        <v>165.27</v>
      </c>
      <c r="D493" s="5">
        <v>163.44</v>
      </c>
      <c r="E493" s="5">
        <v>163.74</v>
      </c>
      <c r="F493" s="6">
        <v>7758552</v>
      </c>
    </row>
    <row r="494" spans="1:6" x14ac:dyDescent="0.2">
      <c r="A494" s="4">
        <v>45184</v>
      </c>
      <c r="B494" s="5">
        <v>163.98</v>
      </c>
      <c r="C494" s="5">
        <v>164.82</v>
      </c>
      <c r="D494" s="5">
        <v>161.21</v>
      </c>
      <c r="E494" s="5">
        <v>161.44999999999999</v>
      </c>
      <c r="F494" s="6">
        <v>13392070</v>
      </c>
    </row>
    <row r="495" spans="1:6" x14ac:dyDescent="0.2">
      <c r="A495" s="4">
        <v>45187</v>
      </c>
      <c r="B495" s="5">
        <v>162.12</v>
      </c>
      <c r="C495" s="5">
        <v>163.14500000000001</v>
      </c>
      <c r="D495" s="5">
        <v>160.75</v>
      </c>
      <c r="E495" s="5">
        <v>162.47</v>
      </c>
      <c r="F495" s="6">
        <v>5789146</v>
      </c>
    </row>
    <row r="496" spans="1:6" x14ac:dyDescent="0.2">
      <c r="A496" s="4">
        <v>45188</v>
      </c>
      <c r="B496" s="5">
        <v>162.25</v>
      </c>
      <c r="C496" s="5">
        <v>162.85</v>
      </c>
      <c r="D496" s="5">
        <v>161.38</v>
      </c>
      <c r="E496" s="5">
        <v>162.19999999999999</v>
      </c>
      <c r="F496" s="6">
        <v>5550851</v>
      </c>
    </row>
    <row r="497" spans="1:6" x14ac:dyDescent="0.2">
      <c r="A497" s="4">
        <v>45189</v>
      </c>
      <c r="B497" s="5">
        <v>162.19</v>
      </c>
      <c r="C497" s="5">
        <v>163.53540000000001</v>
      </c>
      <c r="D497" s="5">
        <v>161.66</v>
      </c>
      <c r="E497" s="5">
        <v>162.91</v>
      </c>
      <c r="F497" s="6">
        <v>3837595</v>
      </c>
    </row>
    <row r="498" spans="1:6" x14ac:dyDescent="0.2">
      <c r="A498" s="4">
        <v>45190</v>
      </c>
      <c r="B498" s="5">
        <v>162.57</v>
      </c>
      <c r="C498" s="5">
        <v>163.5</v>
      </c>
      <c r="D498" s="5">
        <v>161.59</v>
      </c>
      <c r="E498" s="5">
        <v>161.66</v>
      </c>
      <c r="F498" s="6">
        <v>4526772</v>
      </c>
    </row>
    <row r="499" spans="1:6" x14ac:dyDescent="0.2">
      <c r="A499" s="4">
        <v>45191</v>
      </c>
      <c r="B499" s="5">
        <v>161.30000000000001</v>
      </c>
      <c r="C499" s="5">
        <v>161.4</v>
      </c>
      <c r="D499" s="5">
        <v>160.25</v>
      </c>
      <c r="E499" s="5">
        <v>160.5</v>
      </c>
      <c r="F499" s="6">
        <v>4977354</v>
      </c>
    </row>
    <row r="500" spans="1:6" x14ac:dyDescent="0.2">
      <c r="A500" s="4">
        <v>45194</v>
      </c>
      <c r="B500" s="5">
        <v>160.07</v>
      </c>
      <c r="C500" s="5">
        <v>160.36000000000001</v>
      </c>
      <c r="D500" s="5">
        <v>158.72999999999999</v>
      </c>
      <c r="E500" s="5">
        <v>160.26</v>
      </c>
      <c r="F500" s="6">
        <v>6722584</v>
      </c>
    </row>
    <row r="501" spans="1:6" x14ac:dyDescent="0.2">
      <c r="A501" s="4">
        <v>45195</v>
      </c>
      <c r="B501" s="5">
        <v>159.81</v>
      </c>
      <c r="C501" s="5">
        <v>160.08000000000001</v>
      </c>
      <c r="D501" s="5">
        <v>158.86000000000001</v>
      </c>
      <c r="E501" s="5">
        <v>159.02000000000001</v>
      </c>
      <c r="F501" s="6">
        <v>4904860</v>
      </c>
    </row>
    <row r="502" spans="1:6" x14ac:dyDescent="0.2">
      <c r="A502" s="4">
        <v>45196</v>
      </c>
      <c r="B502" s="5">
        <v>158.58000000000001</v>
      </c>
      <c r="C502" s="5">
        <v>158.76</v>
      </c>
      <c r="D502" s="5">
        <v>155.255</v>
      </c>
      <c r="E502" s="5">
        <v>157.11000000000001</v>
      </c>
      <c r="F502" s="6">
        <v>10210690</v>
      </c>
    </row>
    <row r="503" spans="1:6" x14ac:dyDescent="0.2">
      <c r="A503" s="4">
        <v>45197</v>
      </c>
      <c r="B503" s="5">
        <v>157.5</v>
      </c>
      <c r="C503" s="5">
        <v>157.96</v>
      </c>
      <c r="D503" s="5">
        <v>156.22</v>
      </c>
      <c r="E503" s="5">
        <v>156.88</v>
      </c>
      <c r="F503" s="6">
        <v>7861879</v>
      </c>
    </row>
    <row r="504" spans="1:6" x14ac:dyDescent="0.2">
      <c r="A504" s="4">
        <v>45198</v>
      </c>
      <c r="B504" s="5">
        <v>157.37</v>
      </c>
      <c r="C504" s="5">
        <v>157.6</v>
      </c>
      <c r="D504" s="5">
        <v>155.35</v>
      </c>
      <c r="E504" s="5">
        <v>155.75</v>
      </c>
      <c r="F504" s="6">
        <v>7680711</v>
      </c>
    </row>
    <row r="505" spans="1:6" x14ac:dyDescent="0.2">
      <c r="A505" s="4">
        <v>45201</v>
      </c>
      <c r="B505" s="5">
        <v>155.41999999999999</v>
      </c>
      <c r="C505" s="5">
        <v>155.41999999999999</v>
      </c>
      <c r="D505" s="5">
        <v>153.32</v>
      </c>
      <c r="E505" s="5">
        <v>155.15</v>
      </c>
      <c r="F505" s="6">
        <v>7259935</v>
      </c>
    </row>
    <row r="506" spans="1:6" x14ac:dyDescent="0.2">
      <c r="A506" s="4">
        <v>45202</v>
      </c>
      <c r="B506" s="5">
        <v>154.68</v>
      </c>
      <c r="C506" s="5">
        <v>155.495</v>
      </c>
      <c r="D506" s="5">
        <v>153.88999999999999</v>
      </c>
      <c r="E506" s="5">
        <v>155.34</v>
      </c>
      <c r="F506" s="6">
        <v>5741035</v>
      </c>
    </row>
    <row r="507" spans="1:6" x14ac:dyDescent="0.2">
      <c r="A507" s="4">
        <v>45203</v>
      </c>
      <c r="B507" s="5">
        <v>155.57</v>
      </c>
      <c r="C507" s="5">
        <v>155.93</v>
      </c>
      <c r="D507" s="5">
        <v>154.57</v>
      </c>
      <c r="E507" s="5">
        <v>155.52000000000001</v>
      </c>
      <c r="F507" s="6">
        <v>4955308</v>
      </c>
    </row>
    <row r="508" spans="1:6" x14ac:dyDescent="0.2">
      <c r="A508" s="4">
        <v>45204</v>
      </c>
      <c r="B508" s="5">
        <v>156.27000000000001</v>
      </c>
      <c r="C508" s="5">
        <v>158.03989999999999</v>
      </c>
      <c r="D508" s="5">
        <v>156.07</v>
      </c>
      <c r="E508" s="5">
        <v>157.13999999999999</v>
      </c>
      <c r="F508" s="6">
        <v>5993541</v>
      </c>
    </row>
    <row r="509" spans="1:6" x14ac:dyDescent="0.2">
      <c r="A509" s="4">
        <v>45205</v>
      </c>
      <c r="B509" s="5">
        <v>157.08000000000001</v>
      </c>
      <c r="C509" s="5">
        <v>158.30000000000001</v>
      </c>
      <c r="D509" s="5">
        <v>156.59</v>
      </c>
      <c r="E509" s="5">
        <v>157.63999999999999</v>
      </c>
      <c r="F509" s="6">
        <v>5802226</v>
      </c>
    </row>
    <row r="510" spans="1:6" x14ac:dyDescent="0.2">
      <c r="A510" s="4">
        <v>45208</v>
      </c>
      <c r="B510" s="5">
        <v>157.18</v>
      </c>
      <c r="C510" s="5">
        <v>158.88</v>
      </c>
      <c r="D510" s="5">
        <v>157.09</v>
      </c>
      <c r="E510" s="5">
        <v>158.54</v>
      </c>
      <c r="F510" s="6">
        <v>4414322</v>
      </c>
    </row>
    <row r="511" spans="1:6" x14ac:dyDescent="0.2">
      <c r="A511" s="4">
        <v>45209</v>
      </c>
      <c r="B511" s="5">
        <v>158.38</v>
      </c>
      <c r="C511" s="5">
        <v>159.27000000000001</v>
      </c>
      <c r="D511" s="5">
        <v>157.9</v>
      </c>
      <c r="E511" s="5">
        <v>158.36000000000001</v>
      </c>
      <c r="F511" s="6">
        <v>5273531</v>
      </c>
    </row>
    <row r="512" spans="1:6" x14ac:dyDescent="0.2">
      <c r="A512" s="4">
        <v>45210</v>
      </c>
      <c r="B512" s="5">
        <v>158.46</v>
      </c>
      <c r="C512" s="5">
        <v>159.05000000000001</v>
      </c>
      <c r="D512" s="5">
        <v>156.04</v>
      </c>
      <c r="E512" s="5">
        <v>156.18</v>
      </c>
      <c r="F512" s="6">
        <v>6922907</v>
      </c>
    </row>
    <row r="513" spans="1:6" x14ac:dyDescent="0.2">
      <c r="A513" s="4">
        <v>45211</v>
      </c>
      <c r="B513" s="5">
        <v>155.91999999999999</v>
      </c>
      <c r="C513" s="5">
        <v>156.5599</v>
      </c>
      <c r="D513" s="5">
        <v>155.06630000000001</v>
      </c>
      <c r="E513" s="5">
        <v>156.33000000000001</v>
      </c>
      <c r="F513" s="6">
        <v>5792419</v>
      </c>
    </row>
    <row r="514" spans="1:6" x14ac:dyDescent="0.2">
      <c r="A514" s="4">
        <v>45212</v>
      </c>
      <c r="B514" s="5">
        <v>156.72999999999999</v>
      </c>
      <c r="C514" s="5">
        <v>157.36000000000001</v>
      </c>
      <c r="D514" s="5">
        <v>156.05000000000001</v>
      </c>
      <c r="E514" s="5">
        <v>156.85</v>
      </c>
      <c r="F514" s="6">
        <v>5360347</v>
      </c>
    </row>
    <row r="515" spans="1:6" x14ac:dyDescent="0.2">
      <c r="A515" s="4">
        <v>45215</v>
      </c>
      <c r="B515" s="5">
        <v>157.82</v>
      </c>
      <c r="C515" s="5">
        <v>158.25</v>
      </c>
      <c r="D515" s="5">
        <v>156.84</v>
      </c>
      <c r="E515" s="5">
        <v>157.53</v>
      </c>
      <c r="F515" s="6">
        <v>6408142</v>
      </c>
    </row>
    <row r="516" spans="1:6" x14ac:dyDescent="0.2">
      <c r="A516" s="4">
        <v>45216</v>
      </c>
      <c r="B516" s="5">
        <v>155.97999999999999</v>
      </c>
      <c r="C516" s="5">
        <v>158.94990000000001</v>
      </c>
      <c r="D516" s="5">
        <v>154.60849999999999</v>
      </c>
      <c r="E516" s="5">
        <v>156.09</v>
      </c>
      <c r="F516" s="6">
        <v>12244370</v>
      </c>
    </row>
    <row r="517" spans="1:6" x14ac:dyDescent="0.2">
      <c r="A517" s="4">
        <v>45217</v>
      </c>
      <c r="B517" s="5">
        <v>155.41</v>
      </c>
      <c r="C517" s="5">
        <v>155.94999999999999</v>
      </c>
      <c r="D517" s="5">
        <v>152.05000000000001</v>
      </c>
      <c r="E517" s="5">
        <v>152.72999999999999</v>
      </c>
      <c r="F517" s="6">
        <v>9097348</v>
      </c>
    </row>
    <row r="518" spans="1:6" x14ac:dyDescent="0.2">
      <c r="A518" s="4">
        <v>45218</v>
      </c>
      <c r="B518" s="5">
        <v>151.66999999999999</v>
      </c>
      <c r="C518" s="5">
        <v>153.10929999999999</v>
      </c>
      <c r="D518" s="5">
        <v>150.15</v>
      </c>
      <c r="E518" s="5">
        <v>152.32</v>
      </c>
      <c r="F518" s="6">
        <v>7733790</v>
      </c>
    </row>
    <row r="519" spans="1:6" x14ac:dyDescent="0.2">
      <c r="A519" s="4">
        <v>45219</v>
      </c>
      <c r="B519" s="5">
        <v>152.74</v>
      </c>
      <c r="C519" s="5">
        <v>153.87</v>
      </c>
      <c r="D519" s="5">
        <v>152.33000000000001</v>
      </c>
      <c r="E519" s="5">
        <v>153</v>
      </c>
      <c r="F519" s="6">
        <v>7206976</v>
      </c>
    </row>
    <row r="520" spans="1:6" x14ac:dyDescent="0.2">
      <c r="A520" s="4">
        <v>45222</v>
      </c>
      <c r="B520" s="5">
        <v>152.86000000000001</v>
      </c>
      <c r="C520" s="5">
        <v>153.5</v>
      </c>
      <c r="D520" s="5">
        <v>151.21</v>
      </c>
      <c r="E520" s="5">
        <v>151.38999999999999</v>
      </c>
      <c r="F520" s="6">
        <v>5873981</v>
      </c>
    </row>
    <row r="521" spans="1:6" x14ac:dyDescent="0.2">
      <c r="A521" s="4">
        <v>45223</v>
      </c>
      <c r="B521" s="5">
        <v>150.75</v>
      </c>
      <c r="C521" s="5">
        <v>151.96</v>
      </c>
      <c r="D521" s="5">
        <v>150.13</v>
      </c>
      <c r="E521" s="5">
        <v>151.22999999999999</v>
      </c>
      <c r="F521" s="6">
        <v>6155269</v>
      </c>
    </row>
    <row r="522" spans="1:6" x14ac:dyDescent="0.2">
      <c r="A522" s="4">
        <v>45224</v>
      </c>
      <c r="B522" s="5">
        <v>151.24</v>
      </c>
      <c r="C522" s="5">
        <v>152.16999999999999</v>
      </c>
      <c r="D522" s="5">
        <v>150.22999999999999</v>
      </c>
      <c r="E522" s="5">
        <v>151.57</v>
      </c>
      <c r="F522" s="6">
        <v>5880816</v>
      </c>
    </row>
    <row r="523" spans="1:6" x14ac:dyDescent="0.2">
      <c r="A523" s="4">
        <v>45225</v>
      </c>
      <c r="B523" s="5">
        <v>151.97</v>
      </c>
      <c r="C523" s="5">
        <v>151.97</v>
      </c>
      <c r="D523" s="5">
        <v>148.88</v>
      </c>
      <c r="E523" s="5">
        <v>149</v>
      </c>
      <c r="F523" s="6">
        <v>7612507</v>
      </c>
    </row>
    <row r="524" spans="1:6" x14ac:dyDescent="0.2">
      <c r="A524" s="4">
        <v>45226</v>
      </c>
      <c r="B524" s="5">
        <v>148.49</v>
      </c>
      <c r="C524" s="5">
        <v>148.66</v>
      </c>
      <c r="D524" s="5">
        <v>144.94999999999999</v>
      </c>
      <c r="E524" s="5">
        <v>145.6</v>
      </c>
      <c r="F524" s="6">
        <v>11385750</v>
      </c>
    </row>
    <row r="525" spans="1:6" x14ac:dyDescent="0.2">
      <c r="A525" s="4">
        <v>45229</v>
      </c>
      <c r="B525" s="5">
        <v>146.09</v>
      </c>
      <c r="C525" s="5">
        <v>147.24</v>
      </c>
      <c r="D525" s="5">
        <v>146</v>
      </c>
      <c r="E525" s="5">
        <v>147.03</v>
      </c>
      <c r="F525" s="6">
        <v>8205509</v>
      </c>
    </row>
    <row r="526" spans="1:6" x14ac:dyDescent="0.2">
      <c r="A526" s="4">
        <v>45230</v>
      </c>
      <c r="B526" s="5">
        <v>147.54</v>
      </c>
      <c r="C526" s="5">
        <v>148.54499999999999</v>
      </c>
      <c r="D526" s="5">
        <v>146.64160000000001</v>
      </c>
      <c r="E526" s="5">
        <v>148.34</v>
      </c>
      <c r="F526" s="6">
        <v>7577017</v>
      </c>
    </row>
    <row r="527" spans="1:6" x14ac:dyDescent="0.2">
      <c r="A527" s="4">
        <v>45231</v>
      </c>
      <c r="B527" s="5">
        <v>149.19</v>
      </c>
      <c r="C527" s="5">
        <v>149.76</v>
      </c>
      <c r="D527" s="5">
        <v>148.46</v>
      </c>
      <c r="E527" s="5">
        <v>148.69</v>
      </c>
      <c r="F527" s="6">
        <v>5732973</v>
      </c>
    </row>
    <row r="528" spans="1:6" x14ac:dyDescent="0.2">
      <c r="A528" s="4">
        <v>45232</v>
      </c>
      <c r="B528" s="5">
        <v>147.71</v>
      </c>
      <c r="C528" s="5">
        <v>150.4</v>
      </c>
      <c r="D528" s="5">
        <v>147.54</v>
      </c>
      <c r="E528" s="5">
        <v>150.24</v>
      </c>
      <c r="F528" s="6">
        <v>5349097</v>
      </c>
    </row>
    <row r="529" spans="1:6" x14ac:dyDescent="0.2">
      <c r="A529" s="4">
        <v>45233</v>
      </c>
      <c r="B529" s="5">
        <v>151.21</v>
      </c>
      <c r="C529" s="5">
        <v>152.27000000000001</v>
      </c>
      <c r="D529" s="5">
        <v>150.14500000000001</v>
      </c>
      <c r="E529" s="5">
        <v>151.34</v>
      </c>
      <c r="F529" s="6">
        <v>4926765</v>
      </c>
    </row>
    <row r="530" spans="1:6" x14ac:dyDescent="0.2">
      <c r="A530" s="4">
        <v>45236</v>
      </c>
      <c r="B530" s="5">
        <v>151.78</v>
      </c>
      <c r="C530" s="5">
        <v>152.42500000000001</v>
      </c>
      <c r="D530" s="5">
        <v>151.37</v>
      </c>
      <c r="E530" s="5">
        <v>151.69999999999999</v>
      </c>
      <c r="F530" s="6">
        <v>4851421</v>
      </c>
    </row>
    <row r="531" spans="1:6" x14ac:dyDescent="0.2">
      <c r="A531" s="4">
        <v>45237</v>
      </c>
      <c r="B531" s="5">
        <v>151.93</v>
      </c>
      <c r="C531" s="5">
        <v>152.25</v>
      </c>
      <c r="D531" s="5">
        <v>150.68</v>
      </c>
      <c r="E531" s="5">
        <v>150.9</v>
      </c>
      <c r="F531" s="6">
        <v>4840590</v>
      </c>
    </row>
    <row r="532" spans="1:6" x14ac:dyDescent="0.2">
      <c r="A532" s="4">
        <v>45238</v>
      </c>
      <c r="B532" s="5">
        <v>151.35</v>
      </c>
      <c r="C532" s="5">
        <v>151.83000000000001</v>
      </c>
      <c r="D532" s="5">
        <v>150.34</v>
      </c>
      <c r="E532" s="5">
        <v>150.35</v>
      </c>
      <c r="F532" s="6">
        <v>5460167</v>
      </c>
    </row>
    <row r="533" spans="1:6" x14ac:dyDescent="0.2">
      <c r="A533" s="4">
        <v>45239</v>
      </c>
      <c r="B533" s="5">
        <v>150.5</v>
      </c>
      <c r="C533" s="5">
        <v>150.5</v>
      </c>
      <c r="D533" s="5">
        <v>147.26</v>
      </c>
      <c r="E533" s="5">
        <v>147.41999999999999</v>
      </c>
      <c r="F533" s="6">
        <v>6973598</v>
      </c>
    </row>
    <row r="534" spans="1:6" x14ac:dyDescent="0.2">
      <c r="A534" s="4">
        <v>45240</v>
      </c>
      <c r="B534" s="5">
        <v>148.25</v>
      </c>
      <c r="C534" s="5">
        <v>148.5</v>
      </c>
      <c r="D534" s="5">
        <v>145.63999999999999</v>
      </c>
      <c r="E534" s="5">
        <v>147.25</v>
      </c>
      <c r="F534" s="6">
        <v>6931611</v>
      </c>
    </row>
    <row r="535" spans="1:6" x14ac:dyDescent="0.2">
      <c r="A535" s="4">
        <v>45243</v>
      </c>
      <c r="B535" s="5">
        <v>147.25</v>
      </c>
      <c r="C535" s="5">
        <v>147.9</v>
      </c>
      <c r="D535" s="5">
        <v>146.65</v>
      </c>
      <c r="E535" s="5">
        <v>147.63</v>
      </c>
      <c r="F535" s="6">
        <v>5889367</v>
      </c>
    </row>
    <row r="536" spans="1:6" x14ac:dyDescent="0.2">
      <c r="A536" s="4">
        <v>45244</v>
      </c>
      <c r="B536" s="5">
        <v>147.63999999999999</v>
      </c>
      <c r="C536" s="5">
        <v>148.54</v>
      </c>
      <c r="D536" s="5">
        <v>146.97</v>
      </c>
      <c r="E536" s="5">
        <v>147.66</v>
      </c>
      <c r="F536" s="6">
        <v>6713647</v>
      </c>
    </row>
    <row r="537" spans="1:6" x14ac:dyDescent="0.2">
      <c r="A537" s="4">
        <v>45245</v>
      </c>
      <c r="B537" s="5">
        <v>147.35</v>
      </c>
      <c r="C537" s="5">
        <v>149.41999999999999</v>
      </c>
      <c r="D537" s="5">
        <v>147.27000000000001</v>
      </c>
      <c r="E537" s="5">
        <v>148.80000000000001</v>
      </c>
      <c r="F537" s="6">
        <v>6729120</v>
      </c>
    </row>
    <row r="538" spans="1:6" x14ac:dyDescent="0.2">
      <c r="A538" s="4">
        <v>45246</v>
      </c>
      <c r="B538" s="5">
        <v>149.5</v>
      </c>
      <c r="C538" s="5">
        <v>150.16999999999999</v>
      </c>
      <c r="D538" s="5">
        <v>148.63999999999999</v>
      </c>
      <c r="E538" s="5">
        <v>150.1</v>
      </c>
      <c r="F538" s="6">
        <v>6875566</v>
      </c>
    </row>
    <row r="539" spans="1:6" x14ac:dyDescent="0.2">
      <c r="A539" s="4">
        <v>45247</v>
      </c>
      <c r="B539" s="5">
        <v>150.55000000000001</v>
      </c>
      <c r="C539" s="5">
        <v>150.785</v>
      </c>
      <c r="D539" s="5">
        <v>149.065</v>
      </c>
      <c r="E539" s="5">
        <v>149.79</v>
      </c>
      <c r="F539" s="6">
        <v>7025544</v>
      </c>
    </row>
    <row r="540" spans="1:6" x14ac:dyDescent="0.2">
      <c r="A540" s="4">
        <v>45250</v>
      </c>
      <c r="B540" s="5">
        <v>147.91</v>
      </c>
      <c r="C540" s="5">
        <v>150.4</v>
      </c>
      <c r="D540" s="5">
        <v>147.54</v>
      </c>
      <c r="E540" s="5">
        <v>149.91</v>
      </c>
      <c r="F540" s="6">
        <v>8860472</v>
      </c>
    </row>
    <row r="541" spans="1:6" x14ac:dyDescent="0.2">
      <c r="A541" s="4">
        <v>45251</v>
      </c>
      <c r="B541" s="5">
        <v>150.1</v>
      </c>
      <c r="C541" s="5">
        <v>151.29</v>
      </c>
      <c r="D541" s="5">
        <v>149.61000000000001</v>
      </c>
      <c r="E541" s="5">
        <v>151.12</v>
      </c>
      <c r="F541" s="6">
        <v>5916344</v>
      </c>
    </row>
    <row r="542" spans="1:6" x14ac:dyDescent="0.2">
      <c r="A542" s="4">
        <v>45252</v>
      </c>
      <c r="B542" s="5">
        <v>151.63</v>
      </c>
      <c r="C542" s="5">
        <v>152.04</v>
      </c>
      <c r="D542" s="5">
        <v>150.38999999999999</v>
      </c>
      <c r="E542" s="5">
        <v>150.82</v>
      </c>
      <c r="F542" s="6">
        <v>4635503</v>
      </c>
    </row>
    <row r="543" spans="1:6" x14ac:dyDescent="0.2">
      <c r="A543" s="4">
        <v>45254</v>
      </c>
      <c r="B543" s="5">
        <v>150.86000000000001</v>
      </c>
      <c r="C543" s="5">
        <v>152.67939999999999</v>
      </c>
      <c r="D543" s="5">
        <v>150.86000000000001</v>
      </c>
      <c r="E543" s="5">
        <v>152.5</v>
      </c>
      <c r="F543" s="6">
        <v>3351448</v>
      </c>
    </row>
    <row r="544" spans="1:6" x14ac:dyDescent="0.2">
      <c r="A544" s="4">
        <v>45257</v>
      </c>
      <c r="B544" s="5">
        <v>152.29</v>
      </c>
      <c r="C544" s="5">
        <v>152.32</v>
      </c>
      <c r="D544" s="5">
        <v>150.97</v>
      </c>
      <c r="E544" s="5">
        <v>151.28</v>
      </c>
      <c r="F544" s="6">
        <v>6449740</v>
      </c>
    </row>
    <row r="545" spans="1:6" x14ac:dyDescent="0.2">
      <c r="A545" s="4">
        <v>45258</v>
      </c>
      <c r="B545" s="5">
        <v>151.4</v>
      </c>
      <c r="C545" s="5">
        <v>151.81</v>
      </c>
      <c r="D545" s="5">
        <v>150.84</v>
      </c>
      <c r="E545" s="5">
        <v>151.63</v>
      </c>
      <c r="F545" s="6">
        <v>5909044</v>
      </c>
    </row>
    <row r="546" spans="1:6" x14ac:dyDescent="0.2">
      <c r="A546" s="4">
        <v>45259</v>
      </c>
      <c r="B546" s="5">
        <v>151.33000000000001</v>
      </c>
      <c r="C546" s="5">
        <v>152.19999999999999</v>
      </c>
      <c r="D546" s="5">
        <v>151.07</v>
      </c>
      <c r="E546" s="5">
        <v>152.11000000000001</v>
      </c>
      <c r="F546" s="6">
        <v>5190026</v>
      </c>
    </row>
    <row r="547" spans="1:6" x14ac:dyDescent="0.2">
      <c r="A547" s="4">
        <v>45260</v>
      </c>
      <c r="B547" s="5">
        <v>152.26</v>
      </c>
      <c r="C547" s="5">
        <v>155.13999999999999</v>
      </c>
      <c r="D547" s="5">
        <v>151.91999999999999</v>
      </c>
      <c r="E547" s="5">
        <v>154.66</v>
      </c>
      <c r="F547" s="6">
        <v>12481870</v>
      </c>
    </row>
    <row r="548" spans="1:6" x14ac:dyDescent="0.2">
      <c r="A548" s="4">
        <v>45261</v>
      </c>
      <c r="B548" s="5">
        <v>156.44</v>
      </c>
      <c r="C548" s="5">
        <v>158.46</v>
      </c>
      <c r="D548" s="5">
        <v>155.47</v>
      </c>
      <c r="E548" s="5">
        <v>158.38</v>
      </c>
      <c r="F548" s="6">
        <v>10342900</v>
      </c>
    </row>
    <row r="549" spans="1:6" x14ac:dyDescent="0.2">
      <c r="A549" s="4">
        <v>45264</v>
      </c>
      <c r="B549" s="5">
        <v>158</v>
      </c>
      <c r="C549" s="5">
        <v>160.02000000000001</v>
      </c>
      <c r="D549" s="5">
        <v>158</v>
      </c>
      <c r="E549" s="5">
        <v>158.88</v>
      </c>
      <c r="F549" s="6">
        <v>8920279</v>
      </c>
    </row>
    <row r="550" spans="1:6" x14ac:dyDescent="0.2">
      <c r="A550" s="4">
        <v>45265</v>
      </c>
      <c r="B550" s="5">
        <v>158.80000000000001</v>
      </c>
      <c r="C550" s="5">
        <v>159.63</v>
      </c>
      <c r="D550" s="5">
        <v>158.22</v>
      </c>
      <c r="E550" s="5">
        <v>158.55000000000001</v>
      </c>
      <c r="F550" s="6">
        <v>7268151</v>
      </c>
    </row>
    <row r="551" spans="1:6" x14ac:dyDescent="0.2">
      <c r="A551" s="4">
        <v>45266</v>
      </c>
      <c r="B551" s="5">
        <v>158.52000000000001</v>
      </c>
      <c r="C551" s="5">
        <v>158.6592</v>
      </c>
      <c r="D551" s="5">
        <v>156.16999999999999</v>
      </c>
      <c r="E551" s="5">
        <v>156.62</v>
      </c>
      <c r="F551" s="6">
        <v>6642891</v>
      </c>
    </row>
    <row r="552" spans="1:6" x14ac:dyDescent="0.2">
      <c r="A552" s="4">
        <v>45267</v>
      </c>
      <c r="B552" s="5">
        <v>156.58000000000001</v>
      </c>
      <c r="C552" s="5">
        <v>156.58000000000001</v>
      </c>
      <c r="D552" s="5">
        <v>154.71</v>
      </c>
      <c r="E552" s="5">
        <v>155.4</v>
      </c>
      <c r="F552" s="6">
        <v>6532388</v>
      </c>
    </row>
    <row r="553" spans="1:6" x14ac:dyDescent="0.2">
      <c r="A553" s="4">
        <v>45268</v>
      </c>
      <c r="B553" s="5">
        <v>155.41999999999999</v>
      </c>
      <c r="C553" s="5">
        <v>155.85</v>
      </c>
      <c r="D553" s="5">
        <v>153.84</v>
      </c>
      <c r="E553" s="5">
        <v>154.41999999999999</v>
      </c>
      <c r="F553" s="6">
        <v>6254673</v>
      </c>
    </row>
    <row r="554" spans="1:6" x14ac:dyDescent="0.2">
      <c r="A554" s="4">
        <v>45271</v>
      </c>
      <c r="B554" s="5">
        <v>154.5</v>
      </c>
      <c r="C554" s="5">
        <v>155.47999999999999</v>
      </c>
      <c r="D554" s="5">
        <v>154.35</v>
      </c>
      <c r="E554" s="5">
        <v>155.06</v>
      </c>
      <c r="F554" s="6">
        <v>6090360</v>
      </c>
    </row>
    <row r="555" spans="1:6" x14ac:dyDescent="0.2">
      <c r="A555" s="4">
        <v>45272</v>
      </c>
      <c r="B555" s="5">
        <v>155</v>
      </c>
      <c r="C555" s="5">
        <v>155.32</v>
      </c>
      <c r="D555" s="5">
        <v>153.65</v>
      </c>
      <c r="E555" s="5">
        <v>155.07</v>
      </c>
      <c r="F555" s="6">
        <v>5324406</v>
      </c>
    </row>
    <row r="556" spans="1:6" x14ac:dyDescent="0.2">
      <c r="A556" s="4">
        <v>45273</v>
      </c>
      <c r="B556" s="5">
        <v>153.66</v>
      </c>
      <c r="C556" s="5">
        <v>155.94</v>
      </c>
      <c r="D556" s="5">
        <v>151.77000000000001</v>
      </c>
      <c r="E556" s="5">
        <v>155.79</v>
      </c>
      <c r="F556" s="6">
        <v>10764580</v>
      </c>
    </row>
    <row r="557" spans="1:6" x14ac:dyDescent="0.2">
      <c r="A557" s="4">
        <v>45274</v>
      </c>
      <c r="B557" s="5">
        <v>156.47</v>
      </c>
      <c r="C557" s="5">
        <v>157.16</v>
      </c>
      <c r="D557" s="5">
        <v>155.04740000000001</v>
      </c>
      <c r="E557" s="5">
        <v>156.87</v>
      </c>
      <c r="F557" s="6">
        <v>9240800</v>
      </c>
    </row>
    <row r="558" spans="1:6" x14ac:dyDescent="0.2">
      <c r="A558" s="4">
        <v>45275</v>
      </c>
      <c r="B558" s="5">
        <v>155.49</v>
      </c>
      <c r="C558" s="5">
        <v>156.69</v>
      </c>
      <c r="D558" s="5">
        <v>153.76</v>
      </c>
      <c r="E558" s="5">
        <v>155.16</v>
      </c>
      <c r="F558" s="6">
        <v>21727750</v>
      </c>
    </row>
    <row r="559" spans="1:6" x14ac:dyDescent="0.2">
      <c r="A559" s="4">
        <v>45278</v>
      </c>
      <c r="B559" s="5">
        <v>155.21</v>
      </c>
      <c r="C559" s="5">
        <v>156.44</v>
      </c>
      <c r="D559" s="5">
        <v>154.76</v>
      </c>
      <c r="E559" s="5">
        <v>155.44</v>
      </c>
      <c r="F559" s="6">
        <v>7231383</v>
      </c>
    </row>
    <row r="560" spans="1:6" x14ac:dyDescent="0.2">
      <c r="A560" s="4">
        <v>45279</v>
      </c>
      <c r="B560" s="5">
        <v>155.30000000000001</v>
      </c>
      <c r="C560" s="5">
        <v>156.5</v>
      </c>
      <c r="D560" s="5">
        <v>154.94</v>
      </c>
      <c r="E560" s="5">
        <v>156.46</v>
      </c>
      <c r="F560" s="6">
        <v>6651744</v>
      </c>
    </row>
    <row r="561" spans="1:6" x14ac:dyDescent="0.2">
      <c r="A561" s="4">
        <v>45280</v>
      </c>
      <c r="B561" s="5">
        <v>156.54</v>
      </c>
      <c r="C561" s="5">
        <v>156.66</v>
      </c>
      <c r="D561" s="5">
        <v>153.11000000000001</v>
      </c>
      <c r="E561" s="5">
        <v>153.27000000000001</v>
      </c>
      <c r="F561" s="6">
        <v>7008313</v>
      </c>
    </row>
    <row r="562" spans="1:6" x14ac:dyDescent="0.2">
      <c r="A562" s="4">
        <v>45281</v>
      </c>
      <c r="B562" s="5">
        <v>153.69</v>
      </c>
      <c r="C562" s="5">
        <v>155.13</v>
      </c>
      <c r="D562" s="5">
        <v>153.30000000000001</v>
      </c>
      <c r="E562" s="5">
        <v>154.84</v>
      </c>
      <c r="F562" s="6">
        <v>4598843</v>
      </c>
    </row>
    <row r="563" spans="1:6" x14ac:dyDescent="0.2">
      <c r="A563" s="4">
        <v>45282</v>
      </c>
      <c r="B563" s="5">
        <v>155.25</v>
      </c>
      <c r="C563" s="5">
        <v>156.53</v>
      </c>
      <c r="D563" s="5">
        <v>155.02000000000001</v>
      </c>
      <c r="E563" s="5">
        <v>155.46</v>
      </c>
      <c r="F563" s="6">
        <v>3798865</v>
      </c>
    </row>
    <row r="564" spans="1:6" x14ac:dyDescent="0.2">
      <c r="A564" s="4">
        <v>45286</v>
      </c>
      <c r="B564" s="5">
        <v>155</v>
      </c>
      <c r="C564" s="5">
        <v>156.35</v>
      </c>
      <c r="D564" s="5">
        <v>154.85</v>
      </c>
      <c r="E564" s="5">
        <v>156.13999999999999</v>
      </c>
      <c r="F564" s="6">
        <v>4170190</v>
      </c>
    </row>
    <row r="565" spans="1:6" x14ac:dyDescent="0.2">
      <c r="A565" s="4">
        <v>45287</v>
      </c>
      <c r="B565" s="5">
        <v>155.5</v>
      </c>
      <c r="C565" s="5">
        <v>156.52000000000001</v>
      </c>
      <c r="D565" s="5">
        <v>155.41999999999999</v>
      </c>
      <c r="E565" s="5">
        <v>156.35</v>
      </c>
      <c r="F565" s="6">
        <v>5288101</v>
      </c>
    </row>
    <row r="566" spans="1:6" x14ac:dyDescent="0.2">
      <c r="A566" s="4">
        <v>45288</v>
      </c>
      <c r="B566" s="5">
        <v>156</v>
      </c>
      <c r="C566" s="5">
        <v>157.24</v>
      </c>
      <c r="D566" s="5">
        <v>155.99</v>
      </c>
      <c r="E566" s="5">
        <v>156.58000000000001</v>
      </c>
      <c r="F566" s="6">
        <v>4377535</v>
      </c>
    </row>
    <row r="567" spans="1:6" x14ac:dyDescent="0.2">
      <c r="A567" s="4">
        <v>45289</v>
      </c>
      <c r="B567" s="5">
        <v>156.51</v>
      </c>
      <c r="C567" s="5">
        <v>156.9</v>
      </c>
      <c r="D567" s="5">
        <v>155.97999999999999</v>
      </c>
      <c r="E567" s="5">
        <v>156.74</v>
      </c>
      <c r="F567" s="6">
        <v>4313691</v>
      </c>
    </row>
    <row r="568" spans="1:6" x14ac:dyDescent="0.2">
      <c r="A568" s="4">
        <v>45293</v>
      </c>
      <c r="B568" s="5">
        <v>156.93</v>
      </c>
      <c r="C568" s="5">
        <v>161.63929999999999</v>
      </c>
      <c r="D568" s="5">
        <v>156.79</v>
      </c>
      <c r="E568" s="5">
        <v>159.97</v>
      </c>
      <c r="F568" s="6">
        <v>9622108</v>
      </c>
    </row>
    <row r="569" spans="1:6" x14ac:dyDescent="0.2">
      <c r="A569" s="4">
        <v>45294</v>
      </c>
      <c r="B569" s="5">
        <v>160.63999999999999</v>
      </c>
      <c r="C569" s="5">
        <v>161.44</v>
      </c>
      <c r="D569" s="5">
        <v>159.80000000000001</v>
      </c>
      <c r="E569" s="5">
        <v>160.97</v>
      </c>
      <c r="F569" s="6">
        <v>8231987</v>
      </c>
    </row>
    <row r="570" spans="1:6" x14ac:dyDescent="0.2">
      <c r="A570" s="4">
        <v>45295</v>
      </c>
      <c r="B570" s="5">
        <v>161.59</v>
      </c>
      <c r="C570" s="5">
        <v>161.97999999999999</v>
      </c>
      <c r="D570" s="5">
        <v>160.41999999999999</v>
      </c>
      <c r="E570" s="5">
        <v>160.63</v>
      </c>
      <c r="F570" s="6">
        <v>6766641</v>
      </c>
    </row>
    <row r="571" spans="1:6" x14ac:dyDescent="0.2">
      <c r="A571" s="4">
        <v>45296</v>
      </c>
      <c r="B571" s="5">
        <v>160.5</v>
      </c>
      <c r="C571" s="5">
        <v>161.34</v>
      </c>
      <c r="D571" s="5">
        <v>159.47</v>
      </c>
      <c r="E571" s="5">
        <v>161.13</v>
      </c>
      <c r="F571" s="6">
        <v>5602564</v>
      </c>
    </row>
    <row r="572" spans="1:6" x14ac:dyDescent="0.2">
      <c r="A572" s="4">
        <v>45299</v>
      </c>
      <c r="B572" s="5">
        <v>161.1</v>
      </c>
      <c r="C572" s="5">
        <v>161.66</v>
      </c>
      <c r="D572" s="5">
        <v>159.61000000000001</v>
      </c>
      <c r="E572" s="5">
        <v>161.53</v>
      </c>
      <c r="F572" s="6">
        <v>6569810</v>
      </c>
    </row>
    <row r="573" spans="1:6" x14ac:dyDescent="0.2">
      <c r="A573" s="4">
        <v>45300</v>
      </c>
      <c r="B573" s="5">
        <v>161.63</v>
      </c>
      <c r="C573" s="5">
        <v>163.28</v>
      </c>
      <c r="D573" s="5">
        <v>160.595</v>
      </c>
      <c r="E573" s="5">
        <v>161.63</v>
      </c>
      <c r="F573" s="6">
        <v>6357014</v>
      </c>
    </row>
    <row r="574" spans="1:6" x14ac:dyDescent="0.2">
      <c r="A574" s="4">
        <v>45301</v>
      </c>
      <c r="B574" s="5">
        <v>161.82499999999999</v>
      </c>
      <c r="C574" s="5">
        <v>162.62</v>
      </c>
      <c r="D574" s="5">
        <v>161.19999999999999</v>
      </c>
      <c r="E574" s="5">
        <v>161.87</v>
      </c>
      <c r="F574" s="6">
        <v>4945088</v>
      </c>
    </row>
    <row r="575" spans="1:6" x14ac:dyDescent="0.2">
      <c r="A575" s="4">
        <v>45302</v>
      </c>
      <c r="B575" s="5">
        <v>162.07</v>
      </c>
      <c r="C575" s="5">
        <v>162.19900000000001</v>
      </c>
      <c r="D575" s="5">
        <v>160.78</v>
      </c>
      <c r="E575" s="5">
        <v>161.15</v>
      </c>
      <c r="F575" s="6">
        <v>4946015</v>
      </c>
    </row>
    <row r="576" spans="1:6" x14ac:dyDescent="0.2">
      <c r="A576" s="4">
        <v>45303</v>
      </c>
      <c r="B576" s="5">
        <v>161.84</v>
      </c>
      <c r="C576" s="5">
        <v>162.47</v>
      </c>
      <c r="D576" s="5">
        <v>161.69</v>
      </c>
      <c r="E576" s="5">
        <v>162.38999999999999</v>
      </c>
      <c r="F576" s="6">
        <v>4496942</v>
      </c>
    </row>
    <row r="577" spans="1:6" x14ac:dyDescent="0.2">
      <c r="A577" s="4">
        <v>45307</v>
      </c>
      <c r="B577" s="5">
        <v>161.57</v>
      </c>
      <c r="C577" s="5">
        <v>162.25</v>
      </c>
      <c r="D577" s="5">
        <v>160.18</v>
      </c>
      <c r="E577" s="5">
        <v>160.52000000000001</v>
      </c>
      <c r="F577" s="6">
        <v>6923174</v>
      </c>
    </row>
    <row r="578" spans="1:6" x14ac:dyDescent="0.2">
      <c r="A578" s="4">
        <v>45308</v>
      </c>
      <c r="B578" s="5">
        <v>160.25</v>
      </c>
      <c r="C578" s="5">
        <v>161.30000000000001</v>
      </c>
      <c r="D578" s="5">
        <v>159.87</v>
      </c>
      <c r="E578" s="5">
        <v>160.43</v>
      </c>
      <c r="F578" s="6">
        <v>5072104</v>
      </c>
    </row>
    <row r="579" spans="1:6" x14ac:dyDescent="0.2">
      <c r="A579" s="4">
        <v>45309</v>
      </c>
      <c r="B579" s="5">
        <v>160</v>
      </c>
      <c r="C579" s="5">
        <v>161.37</v>
      </c>
      <c r="D579" s="5">
        <v>159.69</v>
      </c>
      <c r="E579" s="5">
        <v>161.21</v>
      </c>
      <c r="F579" s="6">
        <v>5368502</v>
      </c>
    </row>
    <row r="580" spans="1:6" x14ac:dyDescent="0.2">
      <c r="A580" s="4">
        <v>45310</v>
      </c>
      <c r="B580" s="5">
        <v>161.15</v>
      </c>
      <c r="C580" s="5">
        <v>161.92259999999999</v>
      </c>
      <c r="D580" s="5">
        <v>160.28</v>
      </c>
      <c r="E580" s="5">
        <v>161.68</v>
      </c>
      <c r="F580" s="6">
        <v>7071320</v>
      </c>
    </row>
    <row r="581" spans="1:6" x14ac:dyDescent="0.2">
      <c r="A581" s="4">
        <v>45313</v>
      </c>
      <c r="B581" s="5">
        <v>162</v>
      </c>
      <c r="C581" s="5">
        <v>163.58000000000001</v>
      </c>
      <c r="D581" s="5">
        <v>161.34</v>
      </c>
      <c r="E581" s="5">
        <v>162.47</v>
      </c>
      <c r="F581" s="6">
        <v>6824156</v>
      </c>
    </row>
    <row r="582" spans="1:6" x14ac:dyDescent="0.2">
      <c r="A582" s="4">
        <v>45314</v>
      </c>
      <c r="B582" s="5">
        <v>159.66</v>
      </c>
      <c r="C582" s="5">
        <v>160.50749999999999</v>
      </c>
      <c r="D582" s="5">
        <v>156.91</v>
      </c>
      <c r="E582" s="5">
        <v>159.81</v>
      </c>
      <c r="F582" s="6">
        <v>9149777</v>
      </c>
    </row>
    <row r="583" spans="1:6" x14ac:dyDescent="0.2">
      <c r="A583" s="4">
        <v>45315</v>
      </c>
      <c r="B583" s="5">
        <v>159.75</v>
      </c>
      <c r="C583" s="5">
        <v>160.6</v>
      </c>
      <c r="D583" s="5">
        <v>158.16</v>
      </c>
      <c r="E583" s="5">
        <v>158.96</v>
      </c>
      <c r="F583" s="6">
        <v>7247926</v>
      </c>
    </row>
    <row r="584" spans="1:6" x14ac:dyDescent="0.2">
      <c r="A584" s="4">
        <v>45316</v>
      </c>
      <c r="B584" s="5">
        <v>159</v>
      </c>
      <c r="C584" s="5">
        <v>159.62</v>
      </c>
      <c r="D584" s="5">
        <v>158.47</v>
      </c>
      <c r="E584" s="5">
        <v>159.56</v>
      </c>
      <c r="F584" s="6">
        <v>5478898</v>
      </c>
    </row>
    <row r="585" spans="1:6" x14ac:dyDescent="0.2">
      <c r="A585" s="4">
        <v>45317</v>
      </c>
      <c r="B585" s="5">
        <v>160.43</v>
      </c>
      <c r="C585" s="5">
        <v>160.74</v>
      </c>
      <c r="D585" s="5">
        <v>159.36009999999999</v>
      </c>
      <c r="E585" s="5">
        <v>159.5</v>
      </c>
      <c r="F585" s="6">
        <v>5591930</v>
      </c>
    </row>
    <row r="586" spans="1:6" x14ac:dyDescent="0.2">
      <c r="A586" s="4">
        <v>45320</v>
      </c>
      <c r="B586" s="5">
        <v>159.01</v>
      </c>
      <c r="C586" s="5">
        <v>160.06989999999999</v>
      </c>
      <c r="D586" s="5">
        <v>158.96</v>
      </c>
      <c r="E586" s="5">
        <v>159.36000000000001</v>
      </c>
      <c r="F586" s="6">
        <v>6483190</v>
      </c>
    </row>
    <row r="587" spans="1:6" x14ac:dyDescent="0.2">
      <c r="A587" s="4">
        <v>45321</v>
      </c>
      <c r="B587" s="5">
        <v>159.35</v>
      </c>
      <c r="C587" s="5">
        <v>159.76</v>
      </c>
      <c r="D587" s="5">
        <v>158.13</v>
      </c>
      <c r="E587" s="5">
        <v>158.77000000000001</v>
      </c>
      <c r="F587" s="6">
        <v>7200538</v>
      </c>
    </row>
    <row r="588" spans="1:6" x14ac:dyDescent="0.2">
      <c r="A588" s="4">
        <v>45322</v>
      </c>
      <c r="B588" s="5">
        <v>160.4</v>
      </c>
      <c r="C588" s="5">
        <v>160.62</v>
      </c>
      <c r="D588" s="5">
        <v>158.66999999999999</v>
      </c>
      <c r="E588" s="5">
        <v>158.9</v>
      </c>
      <c r="F588" s="6">
        <v>8257029</v>
      </c>
    </row>
    <row r="589" spans="1:6" x14ac:dyDescent="0.2">
      <c r="A589" s="4">
        <v>45323</v>
      </c>
      <c r="B589" s="5">
        <v>158.16</v>
      </c>
      <c r="C589" s="5">
        <v>158.49</v>
      </c>
      <c r="D589" s="5">
        <v>157.05000000000001</v>
      </c>
      <c r="E589" s="5">
        <v>158.36000000000001</v>
      </c>
      <c r="F589" s="6">
        <v>8012122</v>
      </c>
    </row>
    <row r="590" spans="1:6" x14ac:dyDescent="0.2">
      <c r="A590" s="4">
        <v>45324</v>
      </c>
      <c r="B590" s="5">
        <v>157.97</v>
      </c>
      <c r="C590" s="5">
        <v>158.31</v>
      </c>
      <c r="D590" s="5">
        <v>155.94</v>
      </c>
      <c r="E590" s="5">
        <v>156.61000000000001</v>
      </c>
      <c r="F590" s="6">
        <v>8295916</v>
      </c>
    </row>
    <row r="591" spans="1:6" x14ac:dyDescent="0.2">
      <c r="A591" s="4">
        <v>45327</v>
      </c>
      <c r="B591" s="5">
        <v>156.61000000000001</v>
      </c>
      <c r="C591" s="5">
        <v>156.88999999999999</v>
      </c>
      <c r="D591" s="5">
        <v>155.34</v>
      </c>
      <c r="E591" s="5">
        <v>155.80000000000001</v>
      </c>
      <c r="F591" s="6">
        <v>9121808</v>
      </c>
    </row>
    <row r="592" spans="1:6" x14ac:dyDescent="0.2">
      <c r="A592" s="4">
        <v>45328</v>
      </c>
      <c r="B592" s="5">
        <v>155.83000000000001</v>
      </c>
      <c r="C592" s="5">
        <v>158.72999999999999</v>
      </c>
      <c r="D592" s="5">
        <v>155.6</v>
      </c>
      <c r="E592" s="5">
        <v>158.06</v>
      </c>
      <c r="F592" s="6">
        <v>9230611</v>
      </c>
    </row>
    <row r="593" spans="1:6" x14ac:dyDescent="0.2">
      <c r="A593" s="4">
        <v>45329</v>
      </c>
      <c r="B593" s="5">
        <v>157.80000000000001</v>
      </c>
      <c r="C593" s="5">
        <v>159.37</v>
      </c>
      <c r="D593" s="5">
        <v>157.69</v>
      </c>
      <c r="E593" s="5">
        <v>157.97999999999999</v>
      </c>
      <c r="F593" s="6">
        <v>8690294</v>
      </c>
    </row>
    <row r="594" spans="1:6" x14ac:dyDescent="0.2">
      <c r="A594" s="4">
        <v>45330</v>
      </c>
      <c r="B594" s="5">
        <v>157.34</v>
      </c>
      <c r="C594" s="5">
        <v>157.34</v>
      </c>
      <c r="D594" s="5">
        <v>155.31</v>
      </c>
      <c r="E594" s="5">
        <v>156.4</v>
      </c>
      <c r="F594" s="6">
        <v>9754960</v>
      </c>
    </row>
    <row r="595" spans="1:6" x14ac:dyDescent="0.2">
      <c r="A595" s="4">
        <v>45331</v>
      </c>
      <c r="B595" s="5">
        <v>156.27000000000001</v>
      </c>
      <c r="C595" s="5">
        <v>157.19999999999999</v>
      </c>
      <c r="D595" s="5">
        <v>155.66999999999999</v>
      </c>
      <c r="E595" s="5">
        <v>156.76</v>
      </c>
      <c r="F595" s="6">
        <v>6529202</v>
      </c>
    </row>
    <row r="596" spans="1:6" x14ac:dyDescent="0.2">
      <c r="A596" s="4">
        <v>45334</v>
      </c>
      <c r="B596" s="5">
        <v>156.58000000000001</v>
      </c>
      <c r="C596" s="5">
        <v>158.41</v>
      </c>
      <c r="D596" s="5">
        <v>156.35</v>
      </c>
      <c r="E596" s="5">
        <v>157.85</v>
      </c>
      <c r="F596" s="6">
        <v>6701508</v>
      </c>
    </row>
    <row r="597" spans="1:6" x14ac:dyDescent="0.2">
      <c r="A597" s="4">
        <v>45335</v>
      </c>
      <c r="B597" s="5">
        <v>157.63999999999999</v>
      </c>
      <c r="C597" s="5">
        <v>158.44999999999999</v>
      </c>
      <c r="D597" s="5">
        <v>155.75</v>
      </c>
      <c r="E597" s="5">
        <v>156.47</v>
      </c>
      <c r="F597" s="6">
        <v>8621022</v>
      </c>
    </row>
    <row r="598" spans="1:6" x14ac:dyDescent="0.2">
      <c r="A598" s="4">
        <v>45336</v>
      </c>
      <c r="B598" s="5">
        <v>156.35</v>
      </c>
      <c r="C598" s="5">
        <v>156.46</v>
      </c>
      <c r="D598" s="5">
        <v>154.84</v>
      </c>
      <c r="E598" s="5">
        <v>155.74</v>
      </c>
      <c r="F598" s="6">
        <v>9098805</v>
      </c>
    </row>
    <row r="599" spans="1:6" x14ac:dyDescent="0.2">
      <c r="A599" s="4">
        <v>45337</v>
      </c>
      <c r="B599" s="5">
        <v>155.97999999999999</v>
      </c>
      <c r="C599" s="5">
        <v>158.47499999999999</v>
      </c>
      <c r="D599" s="5">
        <v>155.88999999999999</v>
      </c>
      <c r="E599" s="5">
        <v>157.91999999999999</v>
      </c>
      <c r="F599" s="6">
        <v>7462529</v>
      </c>
    </row>
    <row r="600" spans="1:6" x14ac:dyDescent="0.2">
      <c r="A600" s="4">
        <v>45338</v>
      </c>
      <c r="B600" s="5">
        <v>156.6</v>
      </c>
      <c r="C600" s="5">
        <v>157.255</v>
      </c>
      <c r="D600" s="5">
        <v>155.66999999999999</v>
      </c>
      <c r="E600" s="5">
        <v>156.55000000000001</v>
      </c>
      <c r="F600" s="6">
        <v>8540961</v>
      </c>
    </row>
    <row r="601" spans="1:6" x14ac:dyDescent="0.2">
      <c r="A601" s="4">
        <v>45342</v>
      </c>
      <c r="B601" s="5">
        <v>156.56</v>
      </c>
      <c r="C601" s="5">
        <v>158.61000000000001</v>
      </c>
      <c r="D601" s="5">
        <v>156.44</v>
      </c>
      <c r="E601" s="5">
        <v>157.86000000000001</v>
      </c>
      <c r="F601" s="6">
        <v>9501742</v>
      </c>
    </row>
    <row r="602" spans="1:6" x14ac:dyDescent="0.2">
      <c r="A602" s="4">
        <v>45343</v>
      </c>
      <c r="B602" s="5">
        <v>158.02000000000001</v>
      </c>
      <c r="C602" s="5">
        <v>158.69</v>
      </c>
      <c r="D602" s="5">
        <v>157.13120000000001</v>
      </c>
      <c r="E602" s="5">
        <v>158.68</v>
      </c>
      <c r="F602" s="6">
        <v>7473300</v>
      </c>
    </row>
    <row r="603" spans="1:6" x14ac:dyDescent="0.2">
      <c r="A603" s="4">
        <v>45344</v>
      </c>
      <c r="B603" s="5">
        <v>158.97999999999999</v>
      </c>
      <c r="C603" s="5">
        <v>160.74</v>
      </c>
      <c r="D603" s="5">
        <v>157.77000000000001</v>
      </c>
      <c r="E603" s="5">
        <v>160.44999999999999</v>
      </c>
      <c r="F603" s="6">
        <v>8065010</v>
      </c>
    </row>
    <row r="604" spans="1:6" x14ac:dyDescent="0.2">
      <c r="A604" s="4">
        <v>45345</v>
      </c>
      <c r="B604" s="5">
        <v>160.88</v>
      </c>
      <c r="C604" s="5">
        <v>162.25</v>
      </c>
      <c r="D604" s="5">
        <v>160.16</v>
      </c>
      <c r="E604" s="5">
        <v>161.84</v>
      </c>
      <c r="F604" s="6">
        <v>6725963</v>
      </c>
    </row>
    <row r="605" spans="1:6" x14ac:dyDescent="0.2">
      <c r="A605" s="4">
        <v>45348</v>
      </c>
      <c r="B605" s="5">
        <v>161.80000000000001</v>
      </c>
      <c r="C605" s="5">
        <v>162.01</v>
      </c>
      <c r="D605" s="5">
        <v>160.57</v>
      </c>
      <c r="E605" s="5">
        <v>160.79</v>
      </c>
      <c r="F605" s="6">
        <v>5465417</v>
      </c>
    </row>
    <row r="606" spans="1:6" x14ac:dyDescent="0.2">
      <c r="A606" s="4">
        <v>45349</v>
      </c>
      <c r="B606" s="5">
        <v>160.34</v>
      </c>
      <c r="C606" s="5">
        <v>161.04</v>
      </c>
      <c r="D606" s="5">
        <v>159.63999999999999</v>
      </c>
      <c r="E606" s="5">
        <v>160.97999999999999</v>
      </c>
      <c r="F606" s="6">
        <v>5078650</v>
      </c>
    </row>
    <row r="607" spans="1:6" x14ac:dyDescent="0.2">
      <c r="A607" s="4">
        <v>45350</v>
      </c>
      <c r="B607" s="5">
        <v>161</v>
      </c>
      <c r="C607" s="5">
        <v>161.61000000000001</v>
      </c>
      <c r="D607" s="5">
        <v>160.29</v>
      </c>
      <c r="E607" s="5">
        <v>161.55000000000001</v>
      </c>
      <c r="F607" s="6">
        <v>6071076</v>
      </c>
    </row>
    <row r="608" spans="1:6" x14ac:dyDescent="0.2">
      <c r="A608" s="4">
        <v>45351</v>
      </c>
      <c r="B608" s="5">
        <v>162</v>
      </c>
      <c r="C608" s="5">
        <v>162.19</v>
      </c>
      <c r="D608" s="5">
        <v>160.94</v>
      </c>
      <c r="E608" s="5">
        <v>161.38</v>
      </c>
      <c r="F608" s="6">
        <v>9849270</v>
      </c>
    </row>
    <row r="609" spans="1:6" x14ac:dyDescent="0.2">
      <c r="A609" s="4">
        <v>45352</v>
      </c>
      <c r="B609" s="5">
        <v>161.83000000000001</v>
      </c>
      <c r="C609" s="5">
        <v>162.57</v>
      </c>
      <c r="D609" s="5">
        <v>161.09</v>
      </c>
      <c r="E609" s="5">
        <v>162.12</v>
      </c>
      <c r="F609" s="6">
        <v>5670135</v>
      </c>
    </row>
    <row r="610" spans="1:6" x14ac:dyDescent="0.2">
      <c r="A610" s="4">
        <v>45355</v>
      </c>
      <c r="B610" s="5">
        <v>161.32</v>
      </c>
      <c r="C610" s="5">
        <v>161.61000000000001</v>
      </c>
      <c r="D610" s="5">
        <v>158.27000000000001</v>
      </c>
      <c r="E610" s="5">
        <v>159.84</v>
      </c>
      <c r="F610" s="6">
        <v>8533083</v>
      </c>
    </row>
    <row r="611" spans="1:6" x14ac:dyDescent="0.2">
      <c r="A611" s="4">
        <v>45356</v>
      </c>
      <c r="B611" s="5">
        <v>160.62</v>
      </c>
      <c r="C611" s="5">
        <v>161.24</v>
      </c>
      <c r="D611" s="5">
        <v>159.19999999999999</v>
      </c>
      <c r="E611" s="5">
        <v>159.97</v>
      </c>
      <c r="F611" s="6">
        <v>8298182</v>
      </c>
    </row>
    <row r="612" spans="1:6" x14ac:dyDescent="0.2">
      <c r="A612" s="4">
        <v>45357</v>
      </c>
      <c r="B612" s="5">
        <v>159.46</v>
      </c>
      <c r="C612" s="5">
        <v>160.93</v>
      </c>
      <c r="D612" s="5">
        <v>159.22</v>
      </c>
      <c r="E612" s="5">
        <v>159.34</v>
      </c>
      <c r="F612" s="6">
        <v>5773683</v>
      </c>
    </row>
    <row r="613" spans="1:6" x14ac:dyDescent="0.2">
      <c r="A613" s="4">
        <v>45358</v>
      </c>
      <c r="B613" s="5">
        <v>160</v>
      </c>
      <c r="C613" s="5">
        <v>160.36000000000001</v>
      </c>
      <c r="D613" s="5">
        <v>158.24</v>
      </c>
      <c r="E613" s="5">
        <v>158.87</v>
      </c>
      <c r="F613" s="6">
        <v>5188726</v>
      </c>
    </row>
    <row r="614" spans="1:6" x14ac:dyDescent="0.2">
      <c r="A614" s="4">
        <v>45359</v>
      </c>
      <c r="B614" s="5">
        <v>158.87</v>
      </c>
      <c r="C614" s="5">
        <v>160.38999999999999</v>
      </c>
      <c r="D614" s="5">
        <v>158.42500000000001</v>
      </c>
      <c r="E614" s="5">
        <v>159.52000000000001</v>
      </c>
      <c r="F614" s="6">
        <v>5283951</v>
      </c>
    </row>
    <row r="615" spans="1:6" x14ac:dyDescent="0.2">
      <c r="A615" s="4">
        <v>45362</v>
      </c>
      <c r="B615" s="5">
        <v>159.49</v>
      </c>
      <c r="C615" s="5">
        <v>161.32</v>
      </c>
      <c r="D615" s="5">
        <v>158.88</v>
      </c>
      <c r="E615" s="5">
        <v>161.22999999999999</v>
      </c>
      <c r="F615" s="6">
        <v>4620826</v>
      </c>
    </row>
    <row r="616" spans="1:6" x14ac:dyDescent="0.2">
      <c r="A616" s="4">
        <v>45363</v>
      </c>
      <c r="B616" s="5">
        <v>161.58000000000001</v>
      </c>
      <c r="C616" s="5">
        <v>163.11000000000001</v>
      </c>
      <c r="D616" s="5">
        <v>161.13</v>
      </c>
      <c r="E616" s="5">
        <v>162.74</v>
      </c>
      <c r="F616" s="6">
        <v>8018736</v>
      </c>
    </row>
    <row r="617" spans="1:6" x14ac:dyDescent="0.2">
      <c r="A617" s="4">
        <v>45364</v>
      </c>
      <c r="B617" s="5">
        <v>162.53</v>
      </c>
      <c r="C617" s="5">
        <v>162.68</v>
      </c>
      <c r="D617" s="5">
        <v>159.81</v>
      </c>
      <c r="E617" s="5">
        <v>161.1</v>
      </c>
      <c r="F617" s="6">
        <v>6260000</v>
      </c>
    </row>
    <row r="618" spans="1:6" x14ac:dyDescent="0.2">
      <c r="A618" s="4">
        <v>45365</v>
      </c>
      <c r="B618" s="5">
        <v>160.94</v>
      </c>
      <c r="C618" s="5">
        <v>161.54</v>
      </c>
      <c r="D618" s="5">
        <v>158.69</v>
      </c>
      <c r="E618" s="5">
        <v>159.21</v>
      </c>
      <c r="F618" s="6">
        <v>6988264</v>
      </c>
    </row>
    <row r="619" spans="1:6" x14ac:dyDescent="0.2">
      <c r="A619" s="4">
        <v>45366</v>
      </c>
      <c r="B619" s="5">
        <v>158.06</v>
      </c>
      <c r="C619" s="5">
        <v>159.19</v>
      </c>
      <c r="D619" s="5">
        <v>157.1</v>
      </c>
      <c r="E619" s="5">
        <v>158.18</v>
      </c>
      <c r="F619" s="6">
        <v>13165500</v>
      </c>
    </row>
    <row r="620" spans="1:6" x14ac:dyDescent="0.2">
      <c r="A620" s="4">
        <v>45369</v>
      </c>
      <c r="B620" s="5">
        <v>158.57</v>
      </c>
      <c r="C620" s="5">
        <v>158.69</v>
      </c>
      <c r="D620" s="5">
        <v>156.5</v>
      </c>
      <c r="E620" s="5">
        <v>156.76</v>
      </c>
      <c r="F620" s="6">
        <v>6602255</v>
      </c>
    </row>
    <row r="621" spans="1:6" x14ac:dyDescent="0.2">
      <c r="A621" s="4">
        <v>45370</v>
      </c>
      <c r="B621" s="5">
        <v>156.66999999999999</v>
      </c>
      <c r="C621" s="5">
        <v>156.86000000000001</v>
      </c>
      <c r="D621" s="5">
        <v>155.66</v>
      </c>
      <c r="E621" s="5">
        <v>156.21</v>
      </c>
      <c r="F621" s="6">
        <v>7840624</v>
      </c>
    </row>
    <row r="622" spans="1:6" x14ac:dyDescent="0.2">
      <c r="A622" s="4">
        <v>45371</v>
      </c>
      <c r="B622" s="5">
        <v>155.69999999999999</v>
      </c>
      <c r="C622" s="5">
        <v>156.44</v>
      </c>
      <c r="D622" s="5">
        <v>155.21</v>
      </c>
      <c r="E622" s="5">
        <v>155.76</v>
      </c>
      <c r="F622" s="6">
        <v>5982304</v>
      </c>
    </row>
    <row r="623" spans="1:6" x14ac:dyDescent="0.2">
      <c r="A623" s="4">
        <v>45372</v>
      </c>
      <c r="B623" s="5">
        <v>155.59</v>
      </c>
      <c r="C623" s="5">
        <v>156.94999999999999</v>
      </c>
      <c r="D623" s="5">
        <v>155.1</v>
      </c>
      <c r="E623" s="5">
        <v>155.75</v>
      </c>
      <c r="F623" s="6">
        <v>5915777</v>
      </c>
    </row>
    <row r="624" spans="1:6" x14ac:dyDescent="0.2">
      <c r="A624" s="4">
        <v>45373</v>
      </c>
      <c r="B624" s="5">
        <v>155.69</v>
      </c>
      <c r="C624" s="5">
        <v>156.36000000000001</v>
      </c>
      <c r="D624" s="5">
        <v>155.11000000000001</v>
      </c>
      <c r="E624" s="5">
        <v>155.22999999999999</v>
      </c>
      <c r="F624" s="6">
        <v>7248622</v>
      </c>
    </row>
    <row r="625" spans="1:6" x14ac:dyDescent="0.2">
      <c r="A625" s="4">
        <v>45376</v>
      </c>
      <c r="B625" s="5">
        <v>155.4</v>
      </c>
      <c r="C625" s="5">
        <v>155.9836</v>
      </c>
      <c r="D625" s="5">
        <v>154.9</v>
      </c>
      <c r="E625" s="5">
        <v>155.22</v>
      </c>
      <c r="F625" s="6">
        <v>7498100</v>
      </c>
    </row>
    <row r="626" spans="1:6" x14ac:dyDescent="0.2">
      <c r="A626" s="4">
        <v>45377</v>
      </c>
      <c r="B626" s="5">
        <v>155.61000000000001</v>
      </c>
      <c r="C626" s="5">
        <v>156.22999999999999</v>
      </c>
      <c r="D626" s="5">
        <v>154.76</v>
      </c>
      <c r="E626" s="5">
        <v>155.77000000000001</v>
      </c>
      <c r="F626" s="6">
        <v>6864099</v>
      </c>
    </row>
    <row r="627" spans="1:6" x14ac:dyDescent="0.2">
      <c r="A627" s="4">
        <v>45378</v>
      </c>
      <c r="B627" s="5">
        <v>155.99</v>
      </c>
      <c r="C627" s="5">
        <v>158.22</v>
      </c>
      <c r="D627" s="5">
        <v>155.44</v>
      </c>
      <c r="E627" s="5">
        <v>157.96</v>
      </c>
      <c r="F627" s="6">
        <v>8461600</v>
      </c>
    </row>
    <row r="628" spans="1:6" x14ac:dyDescent="0.2">
      <c r="A628" s="4">
        <v>45379</v>
      </c>
      <c r="B628" s="5">
        <v>158.19999999999999</v>
      </c>
      <c r="C628" s="5">
        <v>159.13999999999999</v>
      </c>
      <c r="D628" s="5">
        <v>158.11000000000001</v>
      </c>
      <c r="E628" s="5">
        <v>158.19</v>
      </c>
      <c r="F628" s="6">
        <v>6181503</v>
      </c>
    </row>
    <row r="629" spans="1:6" x14ac:dyDescent="0.2">
      <c r="A629" s="4">
        <v>45383</v>
      </c>
      <c r="B629" s="5">
        <v>157.72</v>
      </c>
      <c r="C629" s="5">
        <v>158.15</v>
      </c>
      <c r="D629" s="5">
        <v>156.77000000000001</v>
      </c>
      <c r="E629" s="5">
        <v>157.78</v>
      </c>
      <c r="F629" s="6">
        <v>4364699</v>
      </c>
    </row>
    <row r="630" spans="1:6" x14ac:dyDescent="0.2">
      <c r="A630" s="4">
        <v>45384</v>
      </c>
      <c r="B630" s="5">
        <v>156.57</v>
      </c>
      <c r="C630" s="5">
        <v>157.83000000000001</v>
      </c>
      <c r="D630" s="5">
        <v>155.94999999999999</v>
      </c>
      <c r="E630" s="5">
        <v>157.72999999999999</v>
      </c>
      <c r="F630" s="6">
        <v>6102497</v>
      </c>
    </row>
    <row r="631" spans="1:6" x14ac:dyDescent="0.2">
      <c r="A631" s="4">
        <v>45385</v>
      </c>
      <c r="B631" s="5">
        <v>157.79</v>
      </c>
      <c r="C631" s="5">
        <v>158.05000000000001</v>
      </c>
      <c r="D631" s="5">
        <v>154.25</v>
      </c>
      <c r="E631" s="5">
        <v>154.26</v>
      </c>
      <c r="F631" s="6">
        <v>8098242</v>
      </c>
    </row>
    <row r="632" spans="1:6" x14ac:dyDescent="0.2">
      <c r="A632" s="4">
        <v>45386</v>
      </c>
      <c r="B632" s="5">
        <v>155.31</v>
      </c>
      <c r="C632" s="5">
        <v>155.5</v>
      </c>
      <c r="D632" s="5">
        <v>152.41</v>
      </c>
      <c r="E632" s="5">
        <v>152.5</v>
      </c>
      <c r="F632" s="6">
        <v>6947423</v>
      </c>
    </row>
    <row r="633" spans="1:6" x14ac:dyDescent="0.2">
      <c r="A633" s="4">
        <v>45387</v>
      </c>
      <c r="B633" s="5">
        <v>152.03</v>
      </c>
      <c r="C633" s="5">
        <v>153.01</v>
      </c>
      <c r="D633" s="5">
        <v>151.61000000000001</v>
      </c>
      <c r="E633" s="5">
        <v>152.38999999999999</v>
      </c>
      <c r="F633" s="6">
        <v>6783020</v>
      </c>
    </row>
    <row r="634" spans="1:6" x14ac:dyDescent="0.2">
      <c r="A634" s="4">
        <v>45390</v>
      </c>
      <c r="B634" s="5">
        <v>151.99</v>
      </c>
      <c r="C634" s="5">
        <v>153.035</v>
      </c>
      <c r="D634" s="5">
        <v>151.56</v>
      </c>
      <c r="E634" s="5">
        <v>151.59</v>
      </c>
      <c r="F634" s="6">
        <v>5935415</v>
      </c>
    </row>
    <row r="635" spans="1:6" x14ac:dyDescent="0.2">
      <c r="A635" s="4">
        <v>45391</v>
      </c>
      <c r="B635" s="5">
        <v>151.55000000000001</v>
      </c>
      <c r="C635" s="5">
        <v>152.5301</v>
      </c>
      <c r="D635" s="5">
        <v>150.94</v>
      </c>
      <c r="E635" s="5">
        <v>152.29</v>
      </c>
      <c r="F635" s="6">
        <v>6135556</v>
      </c>
    </row>
    <row r="636" spans="1:6" x14ac:dyDescent="0.2">
      <c r="A636" s="4">
        <v>45392</v>
      </c>
      <c r="B636" s="5">
        <v>151.53</v>
      </c>
      <c r="C636" s="5">
        <v>151.82</v>
      </c>
      <c r="D636" s="5">
        <v>149.76</v>
      </c>
      <c r="E636" s="5">
        <v>150.19999999999999</v>
      </c>
      <c r="F636" s="6">
        <v>6809519</v>
      </c>
    </row>
    <row r="637" spans="1:6" x14ac:dyDescent="0.2">
      <c r="A637" s="4">
        <v>45393</v>
      </c>
      <c r="B637" s="5">
        <v>150.80000000000001</v>
      </c>
      <c r="C637" s="5">
        <v>150.87</v>
      </c>
      <c r="D637" s="5">
        <v>148.38999999999999</v>
      </c>
      <c r="E637" s="5">
        <v>148.79</v>
      </c>
      <c r="F637" s="6">
        <v>8374434</v>
      </c>
    </row>
    <row r="638" spans="1:6" x14ac:dyDescent="0.2">
      <c r="A638" s="4">
        <v>45394</v>
      </c>
      <c r="B638" s="5">
        <v>148.06</v>
      </c>
      <c r="C638" s="5">
        <v>149.065</v>
      </c>
      <c r="D638" s="5">
        <v>147.15</v>
      </c>
      <c r="E638" s="5">
        <v>147.52000000000001</v>
      </c>
      <c r="F638" s="6">
        <v>7100178</v>
      </c>
    </row>
    <row r="639" spans="1:6" x14ac:dyDescent="0.2">
      <c r="A639" s="4">
        <v>45397</v>
      </c>
      <c r="B639" s="5">
        <v>148.37</v>
      </c>
      <c r="C639" s="5">
        <v>149.49</v>
      </c>
      <c r="D639" s="5">
        <v>147.37</v>
      </c>
      <c r="E639" s="5">
        <v>147.59</v>
      </c>
      <c r="F639" s="6">
        <v>8502266</v>
      </c>
    </row>
    <row r="640" spans="1:6" x14ac:dyDescent="0.2">
      <c r="A640" s="4">
        <v>45398</v>
      </c>
      <c r="B640" s="5">
        <v>145.01</v>
      </c>
      <c r="C640" s="5">
        <v>146.25</v>
      </c>
      <c r="D640" s="5">
        <v>143.38999999999999</v>
      </c>
      <c r="E640" s="5">
        <v>144.44999999999999</v>
      </c>
      <c r="F640" s="6">
        <v>12774860</v>
      </c>
    </row>
    <row r="641" spans="1:6" x14ac:dyDescent="0.2">
      <c r="A641" s="4">
        <v>45399</v>
      </c>
      <c r="B641" s="5">
        <v>145</v>
      </c>
      <c r="C641" s="5">
        <v>145.41</v>
      </c>
      <c r="D641" s="5">
        <v>143.54</v>
      </c>
      <c r="E641" s="5">
        <v>144.77000000000001</v>
      </c>
      <c r="F641" s="6">
        <v>9378059</v>
      </c>
    </row>
    <row r="642" spans="1:6" x14ac:dyDescent="0.2">
      <c r="A642" s="4">
        <v>45400</v>
      </c>
      <c r="B642" s="5">
        <v>144.97999999999999</v>
      </c>
      <c r="C642" s="5">
        <v>145.80000000000001</v>
      </c>
      <c r="D642" s="5">
        <v>143.13</v>
      </c>
      <c r="E642" s="5">
        <v>145.74</v>
      </c>
      <c r="F642" s="6">
        <v>9887704</v>
      </c>
    </row>
    <row r="643" spans="1:6" x14ac:dyDescent="0.2">
      <c r="A643" s="4">
        <v>45401</v>
      </c>
      <c r="B643" s="5">
        <v>146.15</v>
      </c>
      <c r="C643" s="5">
        <v>148.13</v>
      </c>
      <c r="D643" s="5">
        <v>144.54</v>
      </c>
      <c r="E643" s="5">
        <v>147.91</v>
      </c>
      <c r="F643" s="6">
        <v>9750751</v>
      </c>
    </row>
    <row r="644" spans="1:6" x14ac:dyDescent="0.2">
      <c r="A644" s="4">
        <v>45404</v>
      </c>
      <c r="B644" s="5">
        <v>148.51</v>
      </c>
      <c r="C644" s="5">
        <v>150.27000000000001</v>
      </c>
      <c r="D644" s="5">
        <v>147.30000000000001</v>
      </c>
      <c r="E644" s="5">
        <v>149.12</v>
      </c>
      <c r="F644" s="6">
        <v>10118690</v>
      </c>
    </row>
    <row r="645" spans="1:6" x14ac:dyDescent="0.2">
      <c r="A645" s="4">
        <v>45405</v>
      </c>
      <c r="B645" s="5">
        <v>149.86000000000001</v>
      </c>
      <c r="C645" s="5">
        <v>150.49</v>
      </c>
      <c r="D645" s="5">
        <v>148.19999999999999</v>
      </c>
      <c r="E645" s="5">
        <v>149.56</v>
      </c>
      <c r="F645" s="6">
        <v>10110440</v>
      </c>
    </row>
    <row r="646" spans="1:6" x14ac:dyDescent="0.2">
      <c r="A646" s="4">
        <v>45406</v>
      </c>
      <c r="B646" s="5">
        <v>148.13999999999999</v>
      </c>
      <c r="C646" s="5">
        <v>148.99</v>
      </c>
      <c r="D646" s="5">
        <v>146.86000000000001</v>
      </c>
      <c r="E646" s="5">
        <v>148.53</v>
      </c>
      <c r="F646" s="6">
        <v>9756259</v>
      </c>
    </row>
    <row r="647" spans="1:6" x14ac:dyDescent="0.2">
      <c r="A647" s="4">
        <v>45407</v>
      </c>
      <c r="B647" s="5">
        <v>149.37</v>
      </c>
      <c r="C647" s="5">
        <v>149.58000000000001</v>
      </c>
      <c r="D647" s="5">
        <v>146.33000000000001</v>
      </c>
      <c r="E647" s="5">
        <v>146.82</v>
      </c>
      <c r="F647" s="6">
        <v>7642732</v>
      </c>
    </row>
    <row r="648" spans="1:6" x14ac:dyDescent="0.2">
      <c r="A648" s="4">
        <v>45408</v>
      </c>
      <c r="B648" s="5">
        <v>146.69999999999999</v>
      </c>
      <c r="C648" s="5">
        <v>147.17500000000001</v>
      </c>
      <c r="D648" s="5">
        <v>145.94999999999999</v>
      </c>
      <c r="E648" s="5">
        <v>146.13999999999999</v>
      </c>
      <c r="F648" s="6">
        <v>6182982</v>
      </c>
    </row>
    <row r="649" spans="1:6" x14ac:dyDescent="0.2">
      <c r="A649" s="4">
        <v>45411</v>
      </c>
      <c r="B649" s="5">
        <v>146.13999999999999</v>
      </c>
      <c r="C649" s="5">
        <v>147.22</v>
      </c>
      <c r="D649" s="5">
        <v>145.98500000000001</v>
      </c>
      <c r="E649" s="5">
        <v>146.82</v>
      </c>
      <c r="F649" s="6">
        <v>6461588</v>
      </c>
    </row>
    <row r="650" spans="1:6" x14ac:dyDescent="0.2">
      <c r="A650" s="4">
        <v>45412</v>
      </c>
      <c r="B650" s="5">
        <v>146.88</v>
      </c>
      <c r="C650" s="5">
        <v>146.88</v>
      </c>
      <c r="D650" s="5">
        <v>144.53</v>
      </c>
      <c r="E650" s="5">
        <v>144.59</v>
      </c>
      <c r="F650" s="6">
        <v>8817719</v>
      </c>
    </row>
    <row r="651" spans="1:6" x14ac:dyDescent="0.2">
      <c r="A651" s="4">
        <v>45413</v>
      </c>
      <c r="B651" s="5">
        <v>148.73500000000001</v>
      </c>
      <c r="C651" s="5">
        <v>151.85</v>
      </c>
      <c r="D651" s="5">
        <v>147.62</v>
      </c>
      <c r="E651" s="5">
        <v>151.18</v>
      </c>
      <c r="F651" s="6">
        <v>14473710</v>
      </c>
    </row>
    <row r="652" spans="1:6" x14ac:dyDescent="0.2">
      <c r="A652" s="4">
        <v>45414</v>
      </c>
      <c r="B652" s="5">
        <v>152.04</v>
      </c>
      <c r="C652" s="5">
        <v>152.33000000000001</v>
      </c>
      <c r="D652" s="5">
        <v>149.13999999999999</v>
      </c>
      <c r="E652" s="5">
        <v>149.91999999999999</v>
      </c>
      <c r="F652" s="6">
        <v>8459796</v>
      </c>
    </row>
    <row r="653" spans="1:6" x14ac:dyDescent="0.2">
      <c r="A653" s="4">
        <v>45415</v>
      </c>
      <c r="B653" s="5">
        <v>149.88999999999999</v>
      </c>
      <c r="C653" s="5">
        <v>149.88999999999999</v>
      </c>
      <c r="D653" s="5">
        <v>147.82</v>
      </c>
      <c r="E653" s="5">
        <v>149.27000000000001</v>
      </c>
      <c r="F653" s="6">
        <v>6532718</v>
      </c>
    </row>
    <row r="654" spans="1:6" x14ac:dyDescent="0.2">
      <c r="A654" s="4">
        <v>45418</v>
      </c>
      <c r="B654" s="5">
        <v>149.87</v>
      </c>
      <c r="C654" s="5">
        <v>150.05000000000001</v>
      </c>
      <c r="D654" s="5">
        <v>147.91</v>
      </c>
      <c r="E654" s="5">
        <v>148.58000000000001</v>
      </c>
      <c r="F654" s="6">
        <v>5042757</v>
      </c>
    </row>
    <row r="655" spans="1:6" x14ac:dyDescent="0.2">
      <c r="A655" s="4">
        <v>45419</v>
      </c>
      <c r="B655" s="5">
        <v>149.38</v>
      </c>
      <c r="C655" s="5">
        <v>149.72999999999999</v>
      </c>
      <c r="D655" s="5">
        <v>148.44999999999999</v>
      </c>
      <c r="E655" s="5">
        <v>148.72</v>
      </c>
      <c r="F655" s="6">
        <v>7333730</v>
      </c>
    </row>
    <row r="656" spans="1:6" x14ac:dyDescent="0.2">
      <c r="A656" s="4">
        <v>45420</v>
      </c>
      <c r="B656" s="5">
        <v>149.12</v>
      </c>
      <c r="C656" s="5">
        <v>149.72999999999999</v>
      </c>
      <c r="D656" s="5">
        <v>148.69999999999999</v>
      </c>
      <c r="E656" s="5">
        <v>148.94999999999999</v>
      </c>
      <c r="F656" s="6">
        <v>7735148</v>
      </c>
    </row>
    <row r="657" spans="1:6" x14ac:dyDescent="0.2">
      <c r="A657" s="4">
        <v>45421</v>
      </c>
      <c r="B657" s="5">
        <v>148.97999999999999</v>
      </c>
      <c r="C657" s="5">
        <v>150.1</v>
      </c>
      <c r="D657" s="5">
        <v>148.88999999999999</v>
      </c>
      <c r="E657" s="5">
        <v>149.85</v>
      </c>
      <c r="F657" s="6">
        <v>6546153</v>
      </c>
    </row>
    <row r="658" spans="1:6" x14ac:dyDescent="0.2">
      <c r="A658" s="4">
        <v>45422</v>
      </c>
      <c r="B658" s="5">
        <v>150</v>
      </c>
      <c r="C658" s="5">
        <v>150.09</v>
      </c>
      <c r="D658" s="5">
        <v>149.19</v>
      </c>
      <c r="E658" s="5">
        <v>149.91</v>
      </c>
      <c r="F658" s="6">
        <v>5710566</v>
      </c>
    </row>
    <row r="659" spans="1:6" x14ac:dyDescent="0.2">
      <c r="A659" s="4">
        <v>45425</v>
      </c>
      <c r="B659" s="5">
        <v>150.04</v>
      </c>
      <c r="C659" s="5">
        <v>152</v>
      </c>
      <c r="D659" s="5">
        <v>149.70500000000001</v>
      </c>
      <c r="E659" s="5">
        <v>151.22</v>
      </c>
      <c r="F659" s="6">
        <v>5628467</v>
      </c>
    </row>
    <row r="660" spans="1:6" x14ac:dyDescent="0.2">
      <c r="A660" s="4">
        <v>45426</v>
      </c>
      <c r="B660" s="5">
        <v>151.85</v>
      </c>
      <c r="C660" s="5">
        <v>152.21</v>
      </c>
      <c r="D660" s="5">
        <v>150.69999999999999</v>
      </c>
      <c r="E660" s="5">
        <v>151.38</v>
      </c>
      <c r="F660" s="6">
        <v>8254171</v>
      </c>
    </row>
    <row r="661" spans="1:6" x14ac:dyDescent="0.2">
      <c r="A661" s="4">
        <v>45427</v>
      </c>
      <c r="B661" s="5">
        <v>151.82</v>
      </c>
      <c r="C661" s="5">
        <v>152.94999999999999</v>
      </c>
      <c r="D661" s="5">
        <v>151.30000000000001</v>
      </c>
      <c r="E661" s="5">
        <v>152.66999999999999</v>
      </c>
      <c r="F661" s="6">
        <v>5547955</v>
      </c>
    </row>
    <row r="662" spans="1:6" x14ac:dyDescent="0.2">
      <c r="A662" s="4">
        <v>45428</v>
      </c>
      <c r="B662" s="5">
        <v>153</v>
      </c>
      <c r="C662" s="5">
        <v>154.38</v>
      </c>
      <c r="D662" s="5">
        <v>152.33000000000001</v>
      </c>
      <c r="E662" s="5">
        <v>154.28</v>
      </c>
      <c r="F662" s="6">
        <v>7590959</v>
      </c>
    </row>
    <row r="663" spans="1:6" x14ac:dyDescent="0.2">
      <c r="A663" s="4">
        <v>45429</v>
      </c>
      <c r="B663" s="5">
        <v>154.86000000000001</v>
      </c>
      <c r="C663" s="5">
        <v>154.86000000000001</v>
      </c>
      <c r="D663" s="5">
        <v>153.71289999999999</v>
      </c>
      <c r="E663" s="5">
        <v>154.63999999999999</v>
      </c>
      <c r="F663" s="6">
        <v>6521794</v>
      </c>
    </row>
    <row r="664" spans="1:6" x14ac:dyDescent="0.2">
      <c r="A664" s="4">
        <v>45432</v>
      </c>
      <c r="B664" s="5">
        <v>153.1</v>
      </c>
      <c r="C664" s="5">
        <v>153.38999999999999</v>
      </c>
      <c r="D664" s="5">
        <v>151.26</v>
      </c>
      <c r="E664" s="5">
        <v>151.27000000000001</v>
      </c>
      <c r="F664" s="6">
        <v>7742280</v>
      </c>
    </row>
    <row r="665" spans="1:6" x14ac:dyDescent="0.2">
      <c r="A665" s="4">
        <v>45433</v>
      </c>
      <c r="B665" s="5">
        <v>151.78</v>
      </c>
      <c r="C665" s="5">
        <v>152.58500000000001</v>
      </c>
      <c r="D665" s="5">
        <v>150.785</v>
      </c>
      <c r="E665" s="5">
        <v>151.24</v>
      </c>
      <c r="F665" s="6">
        <v>5492354</v>
      </c>
    </row>
    <row r="666" spans="1:6" x14ac:dyDescent="0.2">
      <c r="A666" s="4">
        <v>45434</v>
      </c>
      <c r="B666" s="5">
        <v>150.84</v>
      </c>
      <c r="C666" s="5">
        <v>154.08000000000001</v>
      </c>
      <c r="D666" s="5">
        <v>150.32</v>
      </c>
      <c r="E666" s="5">
        <v>153.5</v>
      </c>
      <c r="F666" s="6">
        <v>6609788</v>
      </c>
    </row>
    <row r="667" spans="1:6" x14ac:dyDescent="0.2">
      <c r="A667" s="4">
        <v>45435</v>
      </c>
      <c r="B667" s="5">
        <v>152.75</v>
      </c>
      <c r="C667" s="5">
        <v>152.84</v>
      </c>
      <c r="D667" s="5">
        <v>149.375</v>
      </c>
      <c r="E667" s="5">
        <v>149.69999999999999</v>
      </c>
      <c r="F667" s="6">
        <v>8000422</v>
      </c>
    </row>
    <row r="668" spans="1:6" x14ac:dyDescent="0.2">
      <c r="A668" s="4">
        <v>45436</v>
      </c>
      <c r="B668" s="5">
        <v>149.53</v>
      </c>
      <c r="C668" s="5">
        <v>149.81389999999999</v>
      </c>
      <c r="D668" s="5">
        <v>146.76</v>
      </c>
      <c r="E668" s="5">
        <v>146.97</v>
      </c>
      <c r="F668" s="6">
        <v>9520576</v>
      </c>
    </row>
    <row r="669" spans="1:6" x14ac:dyDescent="0.2">
      <c r="A669" s="4">
        <v>45440</v>
      </c>
      <c r="B669" s="5">
        <v>146.79</v>
      </c>
      <c r="C669" s="5">
        <v>146.79</v>
      </c>
      <c r="D669" s="5">
        <v>144.15020000000001</v>
      </c>
      <c r="E669" s="5">
        <v>144.38</v>
      </c>
      <c r="F669" s="6">
        <v>10499830</v>
      </c>
    </row>
    <row r="670" spans="1:6" x14ac:dyDescent="0.2">
      <c r="A670" s="4">
        <v>45441</v>
      </c>
      <c r="B670" s="5">
        <v>143.82</v>
      </c>
      <c r="C670" s="5">
        <v>145.41499999999999</v>
      </c>
      <c r="D670" s="5">
        <v>143.71</v>
      </c>
      <c r="E670" s="5">
        <v>144.44</v>
      </c>
      <c r="F670" s="6">
        <v>8263810</v>
      </c>
    </row>
    <row r="671" spans="1:6" x14ac:dyDescent="0.2">
      <c r="A671" s="4">
        <v>45442</v>
      </c>
      <c r="B671" s="5">
        <v>144.62</v>
      </c>
      <c r="C671" s="5">
        <v>145.61000000000001</v>
      </c>
      <c r="D671" s="5">
        <v>144.02000000000001</v>
      </c>
      <c r="E671" s="5">
        <v>145.28</v>
      </c>
      <c r="F671" s="6">
        <v>8491111</v>
      </c>
    </row>
    <row r="672" spans="1:6" x14ac:dyDescent="0.2">
      <c r="A672" s="4">
        <v>45443</v>
      </c>
      <c r="B672" s="5">
        <v>145.57</v>
      </c>
      <c r="C672" s="5">
        <v>147.47999999999999</v>
      </c>
      <c r="D672" s="5">
        <v>145.19</v>
      </c>
      <c r="E672" s="5">
        <v>146.66999999999999</v>
      </c>
      <c r="F672" s="6">
        <v>14621200</v>
      </c>
    </row>
    <row r="673" spans="1:6" x14ac:dyDescent="0.2">
      <c r="A673" s="4">
        <v>45446</v>
      </c>
      <c r="B673" s="5">
        <v>147.25</v>
      </c>
      <c r="C673" s="5">
        <v>148.9</v>
      </c>
      <c r="D673" s="5">
        <v>146.77000000000001</v>
      </c>
      <c r="E673" s="5">
        <v>147.74</v>
      </c>
      <c r="F673" s="6">
        <v>7329241</v>
      </c>
    </row>
    <row r="674" spans="1:6" x14ac:dyDescent="0.2">
      <c r="A674" s="4">
        <v>45447</v>
      </c>
      <c r="B674" s="5">
        <v>147.47999999999999</v>
      </c>
      <c r="C674" s="5">
        <v>148.31</v>
      </c>
      <c r="D674" s="5">
        <v>146.19</v>
      </c>
      <c r="E674" s="5">
        <v>147.80000000000001</v>
      </c>
      <c r="F674" s="6">
        <v>8876441</v>
      </c>
    </row>
    <row r="675" spans="1:6" x14ac:dyDescent="0.2">
      <c r="A675" s="4">
        <v>45448</v>
      </c>
      <c r="B675" s="5">
        <v>147.97</v>
      </c>
      <c r="C675" s="5">
        <v>147.99</v>
      </c>
      <c r="D675" s="5">
        <v>145.85499999999999</v>
      </c>
      <c r="E675" s="5">
        <v>145.97</v>
      </c>
      <c r="F675" s="6">
        <v>5891299</v>
      </c>
    </row>
    <row r="676" spans="1:6" x14ac:dyDescent="0.2">
      <c r="A676" s="4">
        <v>45449</v>
      </c>
      <c r="B676" s="5">
        <v>145.5</v>
      </c>
      <c r="C676" s="5">
        <v>147</v>
      </c>
      <c r="D676" s="5">
        <v>144.66</v>
      </c>
      <c r="E676" s="5">
        <v>146.41999999999999</v>
      </c>
      <c r="F676" s="6">
        <v>5016301</v>
      </c>
    </row>
    <row r="677" spans="1:6" x14ac:dyDescent="0.2">
      <c r="A677" s="4">
        <v>45450</v>
      </c>
      <c r="B677" s="5">
        <v>146.68</v>
      </c>
      <c r="C677" s="5">
        <v>148.30000000000001</v>
      </c>
      <c r="D677" s="5">
        <v>146.34</v>
      </c>
      <c r="E677" s="5">
        <v>147.08000000000001</v>
      </c>
      <c r="F677" s="6">
        <v>5111626</v>
      </c>
    </row>
    <row r="678" spans="1:6" x14ac:dyDescent="0.2">
      <c r="A678" s="4">
        <v>45453</v>
      </c>
      <c r="B678" s="5">
        <v>146.53</v>
      </c>
      <c r="C678" s="5">
        <v>147.56</v>
      </c>
      <c r="D678" s="5">
        <v>145.6</v>
      </c>
      <c r="E678" s="5">
        <v>147.13</v>
      </c>
      <c r="F678" s="6">
        <v>5751309</v>
      </c>
    </row>
    <row r="679" spans="1:6" x14ac:dyDescent="0.2">
      <c r="A679" s="4">
        <v>45454</v>
      </c>
      <c r="B679" s="5">
        <v>146.81</v>
      </c>
      <c r="C679" s="5">
        <v>147.16</v>
      </c>
      <c r="D679" s="5">
        <v>145.44</v>
      </c>
      <c r="E679" s="5">
        <v>146.76</v>
      </c>
      <c r="F679" s="6">
        <v>5661236</v>
      </c>
    </row>
    <row r="680" spans="1:6" x14ac:dyDescent="0.2">
      <c r="A680" s="4">
        <v>45455</v>
      </c>
      <c r="B680" s="5">
        <v>147.06</v>
      </c>
      <c r="C680" s="5">
        <v>147.21</v>
      </c>
      <c r="D680" s="5">
        <v>144.78</v>
      </c>
      <c r="E680" s="5">
        <v>145.41</v>
      </c>
      <c r="F680" s="6">
        <v>6180493</v>
      </c>
    </row>
    <row r="681" spans="1:6" x14ac:dyDescent="0.2">
      <c r="A681" s="4">
        <v>45456</v>
      </c>
      <c r="B681" s="5">
        <v>145.07</v>
      </c>
      <c r="C681" s="5">
        <v>146</v>
      </c>
      <c r="D681" s="5">
        <v>143.88</v>
      </c>
      <c r="E681" s="5">
        <v>145.44999999999999</v>
      </c>
      <c r="F681" s="6">
        <v>6840374</v>
      </c>
    </row>
    <row r="682" spans="1:6" x14ac:dyDescent="0.2">
      <c r="A682" s="4">
        <v>45457</v>
      </c>
      <c r="B682" s="5">
        <v>145.13999999999999</v>
      </c>
      <c r="C682" s="5">
        <v>145.97</v>
      </c>
      <c r="D682" s="5">
        <v>144.47999999999999</v>
      </c>
      <c r="E682" s="5">
        <v>145.54</v>
      </c>
      <c r="F682" s="6">
        <v>4075342</v>
      </c>
    </row>
    <row r="683" spans="1:6" x14ac:dyDescent="0.2">
      <c r="A683" s="4">
        <v>45460</v>
      </c>
      <c r="B683" s="5">
        <v>145.02000000000001</v>
      </c>
      <c r="C683" s="5">
        <v>146.43</v>
      </c>
      <c r="D683" s="5">
        <v>144.74</v>
      </c>
      <c r="E683" s="5">
        <v>145.94999999999999</v>
      </c>
      <c r="F683" s="6">
        <v>6666583</v>
      </c>
    </row>
    <row r="684" spans="1:6" x14ac:dyDescent="0.2">
      <c r="A684" s="4">
        <v>45461</v>
      </c>
      <c r="B684" s="5">
        <v>145.96</v>
      </c>
      <c r="C684" s="5">
        <v>146.38999999999999</v>
      </c>
      <c r="D684" s="5">
        <v>145.26499999999999</v>
      </c>
      <c r="E684" s="5">
        <v>145.65</v>
      </c>
      <c r="F684" s="6">
        <v>6156572</v>
      </c>
    </row>
    <row r="685" spans="1:6" x14ac:dyDescent="0.2">
      <c r="A685" s="4">
        <v>45463</v>
      </c>
      <c r="B685" s="5">
        <v>145.27000000000001</v>
      </c>
      <c r="C685" s="5">
        <v>148.08000000000001</v>
      </c>
      <c r="D685" s="5">
        <v>145.01</v>
      </c>
      <c r="E685" s="5">
        <v>147.78</v>
      </c>
      <c r="F685" s="6">
        <v>8749717</v>
      </c>
    </row>
    <row r="686" spans="1:6" x14ac:dyDescent="0.2">
      <c r="A686" s="4">
        <v>45464</v>
      </c>
      <c r="B686" s="5">
        <v>147.88999999999999</v>
      </c>
      <c r="C686" s="5">
        <v>149.08000000000001</v>
      </c>
      <c r="D686" s="5">
        <v>147.37</v>
      </c>
      <c r="E686" s="5">
        <v>148.75</v>
      </c>
      <c r="F686" s="6">
        <v>15176870</v>
      </c>
    </row>
    <row r="687" spans="1:6" x14ac:dyDescent="0.2">
      <c r="A687" s="4">
        <v>45467</v>
      </c>
      <c r="B687" s="5">
        <v>149</v>
      </c>
      <c r="C687" s="5">
        <v>149.7199</v>
      </c>
      <c r="D687" s="5">
        <v>148.16999999999999</v>
      </c>
      <c r="E687" s="5">
        <v>149.12</v>
      </c>
      <c r="F687" s="6">
        <v>6914671</v>
      </c>
    </row>
    <row r="688" spans="1:6" x14ac:dyDescent="0.2">
      <c r="A688" s="4">
        <v>45468</v>
      </c>
      <c r="B688" s="5">
        <v>149.18</v>
      </c>
      <c r="C688" s="5">
        <v>149.19999999999999</v>
      </c>
      <c r="D688" s="5">
        <v>146.94</v>
      </c>
      <c r="E688" s="5">
        <v>147.19</v>
      </c>
      <c r="F688" s="6">
        <v>6620303</v>
      </c>
    </row>
    <row r="689" spans="1:6" x14ac:dyDescent="0.2">
      <c r="A689" s="4">
        <v>45469</v>
      </c>
      <c r="B689" s="5">
        <v>146.19999999999999</v>
      </c>
      <c r="C689" s="5">
        <v>147.19</v>
      </c>
      <c r="D689" s="5">
        <v>145.78</v>
      </c>
      <c r="E689" s="5">
        <v>146.82</v>
      </c>
      <c r="F689" s="6">
        <v>5267809</v>
      </c>
    </row>
    <row r="690" spans="1:6" x14ac:dyDescent="0.2">
      <c r="A690" s="4">
        <v>45470</v>
      </c>
      <c r="B690" s="5">
        <v>146.80000000000001</v>
      </c>
      <c r="C690" s="5">
        <v>147.36000000000001</v>
      </c>
      <c r="D690" s="5">
        <v>144.84</v>
      </c>
      <c r="E690" s="5">
        <v>145.80000000000001</v>
      </c>
      <c r="F690" s="6">
        <v>5739246</v>
      </c>
    </row>
    <row r="691" spans="1:6" x14ac:dyDescent="0.2">
      <c r="A691" s="4">
        <v>45471</v>
      </c>
      <c r="B691" s="5">
        <v>146.04</v>
      </c>
      <c r="C691" s="5">
        <v>147.07</v>
      </c>
      <c r="D691" s="5">
        <v>145.65</v>
      </c>
      <c r="E691" s="5">
        <v>146.16</v>
      </c>
      <c r="F691" s="6">
        <v>10495740</v>
      </c>
    </row>
    <row r="692" spans="1:6" x14ac:dyDescent="0.2">
      <c r="A692" s="4">
        <v>45474</v>
      </c>
      <c r="B692" s="5">
        <v>146.07</v>
      </c>
      <c r="C692" s="5">
        <v>148.69999999999999</v>
      </c>
      <c r="D692" s="5">
        <v>145.62010000000001</v>
      </c>
      <c r="E692" s="5">
        <v>146.44</v>
      </c>
      <c r="F692" s="6">
        <v>5144443</v>
      </c>
    </row>
    <row r="693" spans="1:6" x14ac:dyDescent="0.2">
      <c r="A693" s="4">
        <v>45475</v>
      </c>
      <c r="B693" s="5">
        <v>146.43</v>
      </c>
      <c r="C693" s="5">
        <v>147.15</v>
      </c>
      <c r="D693" s="5">
        <v>145.74</v>
      </c>
      <c r="E693" s="5">
        <v>146.03</v>
      </c>
      <c r="F693" s="6">
        <v>5491962</v>
      </c>
    </row>
    <row r="694" spans="1:6" x14ac:dyDescent="0.2">
      <c r="A694" s="4">
        <v>45476</v>
      </c>
      <c r="B694" s="5">
        <v>146.19999999999999</v>
      </c>
      <c r="C694" s="5">
        <v>146.65</v>
      </c>
      <c r="D694" s="5">
        <v>144.74</v>
      </c>
      <c r="E694" s="5">
        <v>145.69</v>
      </c>
      <c r="F694" s="6">
        <v>3246157</v>
      </c>
    </row>
    <row r="695" spans="1:6" x14ac:dyDescent="0.2">
      <c r="A695" s="4">
        <v>45478</v>
      </c>
      <c r="B695" s="5">
        <v>145.77000000000001</v>
      </c>
      <c r="C695" s="5">
        <v>146.55000000000001</v>
      </c>
      <c r="D695" s="5">
        <v>144.5</v>
      </c>
      <c r="E695" s="5">
        <v>146.47999999999999</v>
      </c>
      <c r="F695" s="6">
        <v>4888535</v>
      </c>
    </row>
    <row r="696" spans="1:6" x14ac:dyDescent="0.2">
      <c r="A696" s="4">
        <v>45481</v>
      </c>
      <c r="B696" s="5">
        <v>146.4</v>
      </c>
      <c r="C696" s="5">
        <v>147.22</v>
      </c>
      <c r="D696" s="5">
        <v>145.25</v>
      </c>
      <c r="E696" s="5">
        <v>145.47999999999999</v>
      </c>
      <c r="F696" s="6">
        <v>5260229</v>
      </c>
    </row>
    <row r="697" spans="1:6" x14ac:dyDescent="0.2">
      <c r="A697" s="4">
        <v>45482</v>
      </c>
      <c r="B697" s="5">
        <v>145.66999999999999</v>
      </c>
      <c r="C697" s="5">
        <v>147.13</v>
      </c>
      <c r="D697" s="5">
        <v>145.18</v>
      </c>
      <c r="E697" s="5">
        <v>147.05000000000001</v>
      </c>
      <c r="F697" s="6">
        <v>5892187</v>
      </c>
    </row>
    <row r="698" spans="1:6" x14ac:dyDescent="0.2">
      <c r="A698" s="4">
        <v>45483</v>
      </c>
      <c r="B698" s="5">
        <v>147.26</v>
      </c>
      <c r="C698" s="5">
        <v>149.47</v>
      </c>
      <c r="D698" s="5">
        <v>146.68</v>
      </c>
      <c r="E698" s="5">
        <v>149.43</v>
      </c>
      <c r="F698" s="6">
        <v>6093187</v>
      </c>
    </row>
    <row r="699" spans="1:6" x14ac:dyDescent="0.2">
      <c r="A699" s="4">
        <v>45484</v>
      </c>
      <c r="B699" s="5">
        <v>149.58000000000001</v>
      </c>
      <c r="C699" s="5">
        <v>150.58000000000001</v>
      </c>
      <c r="D699" s="5">
        <v>148.63999999999999</v>
      </c>
      <c r="E699" s="5">
        <v>149.69999999999999</v>
      </c>
      <c r="F699" s="6">
        <v>6352109</v>
      </c>
    </row>
    <row r="700" spans="1:6" x14ac:dyDescent="0.2">
      <c r="A700" s="4">
        <v>45485</v>
      </c>
      <c r="B700" s="5">
        <v>150</v>
      </c>
      <c r="C700" s="5">
        <v>150.88</v>
      </c>
      <c r="D700" s="5">
        <v>149.24</v>
      </c>
      <c r="E700" s="5">
        <v>149.88</v>
      </c>
      <c r="F700" s="6">
        <v>5336394</v>
      </c>
    </row>
    <row r="701" spans="1:6" x14ac:dyDescent="0.2">
      <c r="A701" s="4">
        <v>45488</v>
      </c>
      <c r="B701" s="5">
        <v>150.08000000000001</v>
      </c>
      <c r="C701" s="5">
        <v>150.25</v>
      </c>
      <c r="D701" s="5">
        <v>148.87</v>
      </c>
      <c r="E701" s="5">
        <v>149.24</v>
      </c>
      <c r="F701" s="6">
        <v>6711354</v>
      </c>
    </row>
    <row r="702" spans="1:6" x14ac:dyDescent="0.2">
      <c r="A702" s="4">
        <v>45489</v>
      </c>
      <c r="B702" s="5">
        <v>149.69</v>
      </c>
      <c r="C702" s="5">
        <v>151.08000000000001</v>
      </c>
      <c r="D702" s="5">
        <v>149.16</v>
      </c>
      <c r="E702" s="5">
        <v>151.01</v>
      </c>
      <c r="F702" s="6">
        <v>6469582</v>
      </c>
    </row>
    <row r="703" spans="1:6" x14ac:dyDescent="0.2">
      <c r="A703" s="4">
        <v>45490</v>
      </c>
      <c r="B703" s="5">
        <v>151.55000000000001</v>
      </c>
      <c r="C703" s="5">
        <v>157.49</v>
      </c>
      <c r="D703" s="5">
        <v>151.41499999999999</v>
      </c>
      <c r="E703" s="5">
        <v>156.58000000000001</v>
      </c>
      <c r="F703" s="6">
        <v>13801430</v>
      </c>
    </row>
    <row r="704" spans="1:6" x14ac:dyDescent="0.2">
      <c r="A704" s="4">
        <v>45491</v>
      </c>
      <c r="B704" s="5">
        <v>155.6</v>
      </c>
      <c r="C704" s="5">
        <v>157.07</v>
      </c>
      <c r="D704" s="5">
        <v>154.62</v>
      </c>
      <c r="E704" s="5">
        <v>155.41999999999999</v>
      </c>
      <c r="F704" s="6">
        <v>10166250</v>
      </c>
    </row>
    <row r="705" spans="1:6" x14ac:dyDescent="0.2">
      <c r="A705" s="4">
        <v>45492</v>
      </c>
      <c r="B705" s="5">
        <v>156.51</v>
      </c>
      <c r="C705" s="5">
        <v>156.51</v>
      </c>
      <c r="D705" s="5">
        <v>154.12</v>
      </c>
      <c r="E705" s="5">
        <v>154.69</v>
      </c>
      <c r="F705" s="6">
        <v>7398036</v>
      </c>
    </row>
    <row r="706" spans="1:6" x14ac:dyDescent="0.2">
      <c r="A706" s="4">
        <v>45495</v>
      </c>
      <c r="B706" s="5">
        <v>154.77000000000001</v>
      </c>
      <c r="C706" s="5">
        <v>155.11000000000001</v>
      </c>
      <c r="D706" s="5">
        <v>153.59</v>
      </c>
      <c r="E706" s="5">
        <v>154.24</v>
      </c>
      <c r="F706" s="6">
        <v>6840609</v>
      </c>
    </row>
    <row r="707" spans="1:6" x14ac:dyDescent="0.2">
      <c r="A707" s="4">
        <v>45496</v>
      </c>
      <c r="B707" s="5">
        <v>153.31</v>
      </c>
      <c r="C707" s="5">
        <v>153.5</v>
      </c>
      <c r="D707" s="5">
        <v>151.57</v>
      </c>
      <c r="E707" s="5">
        <v>152.35</v>
      </c>
      <c r="F707" s="6">
        <v>6261870</v>
      </c>
    </row>
    <row r="708" spans="1:6" x14ac:dyDescent="0.2">
      <c r="A708" s="4">
        <v>45497</v>
      </c>
      <c r="B708" s="5">
        <v>152.76</v>
      </c>
      <c r="C708" s="5">
        <v>156.41</v>
      </c>
      <c r="D708" s="5">
        <v>152.33000000000001</v>
      </c>
      <c r="E708" s="5">
        <v>156.28</v>
      </c>
      <c r="F708" s="6">
        <v>7168217</v>
      </c>
    </row>
    <row r="709" spans="1:6" x14ac:dyDescent="0.2">
      <c r="A709" s="4">
        <v>45498</v>
      </c>
      <c r="B709" s="5">
        <v>156.47999999999999</v>
      </c>
      <c r="C709" s="5">
        <v>160.58000000000001</v>
      </c>
      <c r="D709" s="5">
        <v>156</v>
      </c>
      <c r="E709" s="5">
        <v>159.63999999999999</v>
      </c>
      <c r="F709" s="6">
        <v>10019580</v>
      </c>
    </row>
    <row r="710" spans="1:6" x14ac:dyDescent="0.2">
      <c r="A710" s="4">
        <v>45499</v>
      </c>
      <c r="B710" s="5">
        <v>159.75</v>
      </c>
      <c r="C710" s="5">
        <v>161.58000000000001</v>
      </c>
      <c r="D710" s="5">
        <v>159.47239999999999</v>
      </c>
      <c r="E710" s="5">
        <v>160.63999999999999</v>
      </c>
      <c r="F710" s="6">
        <v>8356878</v>
      </c>
    </row>
    <row r="711" spans="1:6" x14ac:dyDescent="0.2">
      <c r="A711" s="4">
        <v>45502</v>
      </c>
      <c r="B711" s="5">
        <v>159.97</v>
      </c>
      <c r="C711" s="5">
        <v>160</v>
      </c>
      <c r="D711" s="5">
        <v>158.05000000000001</v>
      </c>
      <c r="E711" s="5">
        <v>158.56</v>
      </c>
      <c r="F711" s="6">
        <v>5625204</v>
      </c>
    </row>
    <row r="712" spans="1:6" x14ac:dyDescent="0.2">
      <c r="A712" s="4">
        <v>45503</v>
      </c>
      <c r="B712" s="5">
        <v>158.54</v>
      </c>
      <c r="C712" s="5">
        <v>161.55000000000001</v>
      </c>
      <c r="D712" s="5">
        <v>158.36000000000001</v>
      </c>
      <c r="E712" s="5">
        <v>161.33000000000001</v>
      </c>
      <c r="F712" s="6">
        <v>6545677</v>
      </c>
    </row>
    <row r="713" spans="1:6" x14ac:dyDescent="0.2">
      <c r="A713" s="4">
        <v>45504</v>
      </c>
      <c r="B713" s="5">
        <v>159.85</v>
      </c>
      <c r="C713" s="5">
        <v>160.35</v>
      </c>
      <c r="D713" s="5">
        <v>157.74</v>
      </c>
      <c r="E713" s="5">
        <v>157.85</v>
      </c>
      <c r="F713" s="6">
        <v>8293239</v>
      </c>
    </row>
    <row r="714" spans="1:6" x14ac:dyDescent="0.2">
      <c r="A714" s="4">
        <v>45505</v>
      </c>
      <c r="B714" s="5">
        <v>158.47999999999999</v>
      </c>
      <c r="C714" s="5">
        <v>160.81</v>
      </c>
      <c r="D714" s="5">
        <v>157.71</v>
      </c>
      <c r="E714" s="5">
        <v>160.76</v>
      </c>
      <c r="F714" s="6">
        <v>7213419</v>
      </c>
    </row>
    <row r="715" spans="1:6" x14ac:dyDescent="0.2">
      <c r="A715" s="4">
        <v>45506</v>
      </c>
      <c r="B715" s="5">
        <v>161.9</v>
      </c>
      <c r="C715" s="5">
        <v>164.85</v>
      </c>
      <c r="D715" s="5">
        <v>161</v>
      </c>
      <c r="E715" s="5">
        <v>164.14</v>
      </c>
      <c r="F715" s="6">
        <v>11280360</v>
      </c>
    </row>
    <row r="716" spans="1:6" x14ac:dyDescent="0.2">
      <c r="A716" s="4">
        <v>45509</v>
      </c>
      <c r="B716" s="5">
        <v>163.79499999999999</v>
      </c>
      <c r="C716" s="5">
        <v>165.78</v>
      </c>
      <c r="D716" s="5">
        <v>160.58000000000001</v>
      </c>
      <c r="E716" s="5">
        <v>161.25</v>
      </c>
      <c r="F716" s="6">
        <v>12032210</v>
      </c>
    </row>
    <row r="717" spans="1:6" x14ac:dyDescent="0.2">
      <c r="A717" s="4">
        <v>45510</v>
      </c>
      <c r="B717" s="5">
        <v>161.05000000000001</v>
      </c>
      <c r="C717" s="5">
        <v>161.47999999999999</v>
      </c>
      <c r="D717" s="5">
        <v>158.94</v>
      </c>
      <c r="E717" s="5">
        <v>158.97</v>
      </c>
      <c r="F717" s="6">
        <v>7607144</v>
      </c>
    </row>
    <row r="718" spans="1:6" x14ac:dyDescent="0.2">
      <c r="A718" s="4">
        <v>45511</v>
      </c>
      <c r="B718" s="5">
        <v>158.87</v>
      </c>
      <c r="C718" s="5">
        <v>160.61500000000001</v>
      </c>
      <c r="D718" s="5">
        <v>158.19</v>
      </c>
      <c r="E718" s="5">
        <v>158.9</v>
      </c>
      <c r="F718" s="6">
        <v>5993028</v>
      </c>
    </row>
    <row r="719" spans="1:6" x14ac:dyDescent="0.2">
      <c r="A719" s="4">
        <v>45512</v>
      </c>
      <c r="B719" s="5">
        <v>158.57</v>
      </c>
      <c r="C719" s="5">
        <v>160.69999999999999</v>
      </c>
      <c r="D719" s="5">
        <v>158.03</v>
      </c>
      <c r="E719" s="5">
        <v>160.22</v>
      </c>
      <c r="F719" s="6">
        <v>5094830</v>
      </c>
    </row>
    <row r="720" spans="1:6" x14ac:dyDescent="0.2">
      <c r="A720" s="4">
        <v>45513</v>
      </c>
      <c r="B720" s="5">
        <v>160.12</v>
      </c>
      <c r="C720" s="5">
        <v>160.93</v>
      </c>
      <c r="D720" s="5">
        <v>159.34</v>
      </c>
      <c r="E720" s="5">
        <v>160.62</v>
      </c>
      <c r="F720" s="6">
        <v>4579186</v>
      </c>
    </row>
    <row r="721" spans="1:6" x14ac:dyDescent="0.2">
      <c r="A721" s="4">
        <v>45516</v>
      </c>
      <c r="B721" s="5">
        <v>160.97</v>
      </c>
      <c r="C721" s="5">
        <v>161.69999999999999</v>
      </c>
      <c r="D721" s="5">
        <v>158.71</v>
      </c>
      <c r="E721" s="5">
        <v>159.88</v>
      </c>
      <c r="F721" s="6">
        <v>7605419</v>
      </c>
    </row>
    <row r="722" spans="1:6" x14ac:dyDescent="0.2">
      <c r="A722" s="4">
        <v>45517</v>
      </c>
      <c r="B722" s="5">
        <v>160.27000000000001</v>
      </c>
      <c r="C722" s="5">
        <v>160.37</v>
      </c>
      <c r="D722" s="5">
        <v>156.44</v>
      </c>
      <c r="E722" s="5">
        <v>158.38999999999999</v>
      </c>
      <c r="F722" s="6">
        <v>9711395</v>
      </c>
    </row>
    <row r="723" spans="1:6" x14ac:dyDescent="0.2">
      <c r="A723" s="4">
        <v>45518</v>
      </c>
      <c r="B723" s="5">
        <v>157.83000000000001</v>
      </c>
      <c r="C723" s="5">
        <v>159.55000000000001</v>
      </c>
      <c r="D723" s="5">
        <v>157.4</v>
      </c>
      <c r="E723" s="5">
        <v>158.47999999999999</v>
      </c>
      <c r="F723" s="6">
        <v>5141249</v>
      </c>
    </row>
    <row r="724" spans="1:6" x14ac:dyDescent="0.2">
      <c r="A724" s="4">
        <v>45519</v>
      </c>
      <c r="B724" s="5">
        <v>158.37</v>
      </c>
      <c r="C724" s="5">
        <v>159.495</v>
      </c>
      <c r="D724" s="5">
        <v>157.84</v>
      </c>
      <c r="E724" s="5">
        <v>159.09</v>
      </c>
      <c r="F724" s="6">
        <v>7237785</v>
      </c>
    </row>
    <row r="725" spans="1:6" x14ac:dyDescent="0.2">
      <c r="A725" s="4">
        <v>45520</v>
      </c>
      <c r="B725" s="5">
        <v>159.13999999999999</v>
      </c>
      <c r="C725" s="5">
        <v>159.94</v>
      </c>
      <c r="D725" s="5">
        <v>158.18</v>
      </c>
      <c r="E725" s="5">
        <v>159.38999999999999</v>
      </c>
      <c r="F725" s="6">
        <v>5012774</v>
      </c>
    </row>
    <row r="726" spans="1:6" x14ac:dyDescent="0.2">
      <c r="A726" s="4">
        <v>45523</v>
      </c>
      <c r="B726" s="5">
        <v>159.46</v>
      </c>
      <c r="C726" s="5">
        <v>160.29499999999999</v>
      </c>
      <c r="D726" s="5">
        <v>159.13</v>
      </c>
      <c r="E726" s="5">
        <v>159.63</v>
      </c>
      <c r="F726" s="6">
        <v>4408517</v>
      </c>
    </row>
    <row r="727" spans="1:6" x14ac:dyDescent="0.2">
      <c r="A727" s="4">
        <v>45524</v>
      </c>
      <c r="B727" s="5">
        <v>160</v>
      </c>
      <c r="C727" s="5">
        <v>160.93</v>
      </c>
      <c r="D727" s="5">
        <v>159.66999999999999</v>
      </c>
      <c r="E727" s="5">
        <v>160.16</v>
      </c>
      <c r="F727" s="6">
        <v>7275133</v>
      </c>
    </row>
    <row r="728" spans="1:6" x14ac:dyDescent="0.2">
      <c r="A728" s="4">
        <v>45525</v>
      </c>
      <c r="B728" s="5">
        <v>160.4</v>
      </c>
      <c r="C728" s="5">
        <v>161.47999999999999</v>
      </c>
      <c r="D728" s="5">
        <v>160.31</v>
      </c>
      <c r="E728" s="5">
        <v>161.43</v>
      </c>
      <c r="F728" s="6">
        <v>5019375</v>
      </c>
    </row>
    <row r="729" spans="1:6" x14ac:dyDescent="0.2">
      <c r="A729" s="4">
        <v>45526</v>
      </c>
      <c r="B729" s="5">
        <v>162</v>
      </c>
      <c r="C729" s="5">
        <v>162.49</v>
      </c>
      <c r="D729" s="5">
        <v>160.79</v>
      </c>
      <c r="E729" s="5">
        <v>162.35</v>
      </c>
      <c r="F729" s="6">
        <v>6552142</v>
      </c>
    </row>
    <row r="730" spans="1:6" x14ac:dyDescent="0.2">
      <c r="A730" s="4">
        <v>45527</v>
      </c>
      <c r="B730" s="5">
        <v>162.5</v>
      </c>
      <c r="C730" s="5">
        <v>164.22</v>
      </c>
      <c r="D730" s="5">
        <v>161.69499999999999</v>
      </c>
      <c r="E730" s="5">
        <v>164.13</v>
      </c>
      <c r="F730" s="6">
        <v>7093429</v>
      </c>
    </row>
    <row r="731" spans="1:6" x14ac:dyDescent="0.2">
      <c r="A731" s="4">
        <v>45530</v>
      </c>
      <c r="B731" s="5">
        <v>164.17</v>
      </c>
      <c r="C731" s="5">
        <v>165.71</v>
      </c>
      <c r="D731" s="5">
        <v>163.54</v>
      </c>
      <c r="E731" s="5">
        <v>164.61</v>
      </c>
      <c r="F731" s="6">
        <v>6870622</v>
      </c>
    </row>
    <row r="732" spans="1:6" x14ac:dyDescent="0.2">
      <c r="A732" s="4">
        <v>45531</v>
      </c>
      <c r="B732" s="5">
        <v>163.5</v>
      </c>
      <c r="C732" s="5">
        <v>164.035</v>
      </c>
      <c r="D732" s="5">
        <v>162.16</v>
      </c>
      <c r="E732" s="5">
        <v>162.94999999999999</v>
      </c>
      <c r="F732" s="6">
        <v>4388728</v>
      </c>
    </row>
    <row r="733" spans="1:6" x14ac:dyDescent="0.2">
      <c r="A733" s="4">
        <v>45532</v>
      </c>
      <c r="B733" s="5">
        <v>163</v>
      </c>
      <c r="C733" s="5">
        <v>165</v>
      </c>
      <c r="D733" s="5">
        <v>162.71</v>
      </c>
      <c r="E733" s="5">
        <v>163.92</v>
      </c>
      <c r="F733" s="6">
        <v>5187198</v>
      </c>
    </row>
    <row r="734" spans="1:6" x14ac:dyDescent="0.2">
      <c r="A734" s="4">
        <v>45533</v>
      </c>
      <c r="B734" s="5">
        <v>164.63</v>
      </c>
      <c r="C734" s="5">
        <v>164.72</v>
      </c>
      <c r="D734" s="5">
        <v>163.36000000000001</v>
      </c>
      <c r="E734" s="5">
        <v>164.23</v>
      </c>
      <c r="F734" s="6">
        <v>7390125</v>
      </c>
    </row>
    <row r="735" spans="1:6" x14ac:dyDescent="0.2">
      <c r="A735" s="4">
        <v>45534</v>
      </c>
      <c r="B735" s="5">
        <v>164.12</v>
      </c>
      <c r="C735" s="5">
        <v>165.98</v>
      </c>
      <c r="D735" s="5">
        <v>163.81</v>
      </c>
      <c r="E735" s="5">
        <v>165.86</v>
      </c>
      <c r="F735" s="6">
        <v>7971017</v>
      </c>
    </row>
    <row r="736" spans="1:6" x14ac:dyDescent="0.2">
      <c r="A736" s="4">
        <v>45538</v>
      </c>
      <c r="B736" s="5">
        <v>165.24</v>
      </c>
      <c r="C736" s="5">
        <v>167.81</v>
      </c>
      <c r="D736" s="5">
        <v>164.77</v>
      </c>
      <c r="E736" s="5">
        <v>167.16</v>
      </c>
      <c r="F736" s="6">
        <v>6956452</v>
      </c>
    </row>
    <row r="737" spans="1:6" x14ac:dyDescent="0.2">
      <c r="A737" s="4">
        <v>45539</v>
      </c>
      <c r="B737" s="5">
        <v>167.81</v>
      </c>
      <c r="C737" s="5">
        <v>168.85</v>
      </c>
      <c r="D737" s="5">
        <v>166.04</v>
      </c>
      <c r="E737" s="5">
        <v>167.36</v>
      </c>
      <c r="F737" s="6">
        <v>6939132</v>
      </c>
    </row>
    <row r="738" spans="1:6" x14ac:dyDescent="0.2">
      <c r="A738" s="4">
        <v>45540</v>
      </c>
      <c r="B738" s="5">
        <v>167.2</v>
      </c>
      <c r="C738" s="5">
        <v>167.37</v>
      </c>
      <c r="D738" s="5">
        <v>164.83</v>
      </c>
      <c r="E738" s="5">
        <v>164.99</v>
      </c>
      <c r="F738" s="6">
        <v>4600392</v>
      </c>
    </row>
    <row r="739" spans="1:6" x14ac:dyDescent="0.2">
      <c r="A739" s="4">
        <v>45541</v>
      </c>
      <c r="B739" s="5">
        <v>165.18</v>
      </c>
      <c r="C739" s="5">
        <v>165.93989999999999</v>
      </c>
      <c r="D739" s="5">
        <v>164.12</v>
      </c>
      <c r="E739" s="5">
        <v>164.38</v>
      </c>
      <c r="F739" s="6">
        <v>6016884</v>
      </c>
    </row>
    <row r="740" spans="1:6" x14ac:dyDescent="0.2">
      <c r="A740" s="4">
        <v>45544</v>
      </c>
      <c r="B740" s="5">
        <v>164.84</v>
      </c>
      <c r="C740" s="5">
        <v>167.405</v>
      </c>
      <c r="D740" s="5">
        <v>164.47</v>
      </c>
      <c r="E740" s="5">
        <v>166.61</v>
      </c>
      <c r="F740" s="6">
        <v>7538233</v>
      </c>
    </row>
    <row r="741" spans="1:6" x14ac:dyDescent="0.2">
      <c r="A741" s="4">
        <v>45545</v>
      </c>
      <c r="B741" s="5">
        <v>167.5</v>
      </c>
      <c r="C741" s="5">
        <v>168.46</v>
      </c>
      <c r="D741" s="5">
        <v>166.745</v>
      </c>
      <c r="E741" s="5">
        <v>167.38</v>
      </c>
      <c r="F741" s="6">
        <v>6559734</v>
      </c>
    </row>
    <row r="742" spans="1:6" x14ac:dyDescent="0.2">
      <c r="A742" s="4">
        <v>45546</v>
      </c>
      <c r="B742" s="5">
        <v>166.79</v>
      </c>
      <c r="C742" s="5">
        <v>166.79</v>
      </c>
      <c r="D742" s="5">
        <v>164.09</v>
      </c>
      <c r="E742" s="5">
        <v>164.82</v>
      </c>
      <c r="F742" s="6">
        <v>5920165</v>
      </c>
    </row>
    <row r="743" spans="1:6" x14ac:dyDescent="0.2">
      <c r="A743" s="4">
        <v>45547</v>
      </c>
      <c r="B743" s="5">
        <v>164.2</v>
      </c>
      <c r="C743" s="5">
        <v>165.1</v>
      </c>
      <c r="D743" s="5">
        <v>162.71010000000001</v>
      </c>
      <c r="E743" s="5">
        <v>164.64</v>
      </c>
      <c r="F743" s="6">
        <v>4541046</v>
      </c>
    </row>
    <row r="744" spans="1:6" x14ac:dyDescent="0.2">
      <c r="A744" s="4">
        <v>45548</v>
      </c>
      <c r="B744" s="5">
        <v>164.74</v>
      </c>
      <c r="C744" s="5">
        <v>165.75</v>
      </c>
      <c r="D744" s="5">
        <v>163.82</v>
      </c>
      <c r="E744" s="5">
        <v>165.52</v>
      </c>
      <c r="F744" s="6">
        <v>3693548</v>
      </c>
    </row>
    <row r="745" spans="1:6" x14ac:dyDescent="0.2">
      <c r="A745" s="4">
        <v>45551</v>
      </c>
      <c r="B745" s="5">
        <v>166.36</v>
      </c>
      <c r="C745" s="5">
        <v>167.25</v>
      </c>
      <c r="D745" s="5">
        <v>165.78</v>
      </c>
      <c r="E745" s="5">
        <v>166.99</v>
      </c>
      <c r="F745" s="6">
        <v>5187887</v>
      </c>
    </row>
    <row r="746" spans="1:6" x14ac:dyDescent="0.2">
      <c r="A746" s="4">
        <v>45552</v>
      </c>
      <c r="B746" s="5">
        <v>166.24</v>
      </c>
      <c r="C746" s="5">
        <v>167.72</v>
      </c>
      <c r="D746" s="5">
        <v>165.93</v>
      </c>
      <c r="E746" s="5">
        <v>167.07</v>
      </c>
      <c r="F746" s="6">
        <v>5066586</v>
      </c>
    </row>
    <row r="747" spans="1:6" x14ac:dyDescent="0.2">
      <c r="A747" s="4">
        <v>45553</v>
      </c>
      <c r="B747" s="5">
        <v>166.63</v>
      </c>
      <c r="C747" s="5">
        <v>168.35</v>
      </c>
      <c r="D747" s="5">
        <v>165.74</v>
      </c>
      <c r="E747" s="5">
        <v>166.15</v>
      </c>
      <c r="F747" s="6">
        <v>4722765</v>
      </c>
    </row>
    <row r="748" spans="1:6" x14ac:dyDescent="0.2">
      <c r="A748" s="4">
        <v>45554</v>
      </c>
      <c r="B748" s="5">
        <v>166.23</v>
      </c>
      <c r="C748" s="5">
        <v>166.37</v>
      </c>
      <c r="D748" s="5">
        <v>164.42</v>
      </c>
      <c r="E748" s="5">
        <v>164.82</v>
      </c>
      <c r="F748" s="6">
        <v>4956119</v>
      </c>
    </row>
    <row r="749" spans="1:6" x14ac:dyDescent="0.2">
      <c r="A749" s="4">
        <v>45555</v>
      </c>
      <c r="B749" s="5">
        <v>164.3</v>
      </c>
      <c r="C749" s="5">
        <v>164.87</v>
      </c>
      <c r="D749" s="5">
        <v>163.55000000000001</v>
      </c>
      <c r="E749" s="5">
        <v>164.16</v>
      </c>
      <c r="F749" s="6">
        <v>11838970</v>
      </c>
    </row>
    <row r="750" spans="1:6" x14ac:dyDescent="0.2">
      <c r="A750" s="4">
        <v>45558</v>
      </c>
      <c r="B750" s="5">
        <v>164.4</v>
      </c>
      <c r="C750" s="5">
        <v>164.5</v>
      </c>
      <c r="D750" s="5">
        <v>162.72</v>
      </c>
      <c r="E750" s="5">
        <v>163.22</v>
      </c>
      <c r="F750" s="6">
        <v>4671645</v>
      </c>
    </row>
    <row r="751" spans="1:6" x14ac:dyDescent="0.2">
      <c r="A751" s="4">
        <v>45559</v>
      </c>
      <c r="B751" s="5">
        <v>162.79</v>
      </c>
      <c r="C751" s="5">
        <v>163.49</v>
      </c>
      <c r="D751" s="5">
        <v>161.55000000000001</v>
      </c>
      <c r="E751" s="5">
        <v>162.78</v>
      </c>
      <c r="F751" s="6">
        <v>6041561</v>
      </c>
    </row>
    <row r="752" spans="1:6" x14ac:dyDescent="0.2">
      <c r="A752" s="4">
        <v>45560</v>
      </c>
      <c r="B752" s="5">
        <v>163</v>
      </c>
      <c r="C752" s="5">
        <v>163.315</v>
      </c>
      <c r="D752" s="5">
        <v>160.36000000000001</v>
      </c>
      <c r="E752" s="5">
        <v>160.6</v>
      </c>
      <c r="F752" s="6">
        <v>5420011</v>
      </c>
    </row>
    <row r="753" spans="1:6" x14ac:dyDescent="0.2">
      <c r="A753" s="4">
        <v>45561</v>
      </c>
      <c r="B753" s="5">
        <v>160.24</v>
      </c>
      <c r="C753" s="5">
        <v>161.54</v>
      </c>
      <c r="D753" s="5">
        <v>160.02000000000001</v>
      </c>
      <c r="E753" s="5">
        <v>161.38999999999999</v>
      </c>
      <c r="F753" s="6">
        <v>6122231</v>
      </c>
    </row>
    <row r="754" spans="1:6" x14ac:dyDescent="0.2">
      <c r="A754" s="4">
        <v>45562</v>
      </c>
      <c r="B754" s="5">
        <v>162</v>
      </c>
      <c r="C754" s="5">
        <v>163.43</v>
      </c>
      <c r="D754" s="5">
        <v>161.34</v>
      </c>
      <c r="E754" s="5">
        <v>161.4</v>
      </c>
      <c r="F754" s="6">
        <v>7553905</v>
      </c>
    </row>
    <row r="755" spans="1:6" x14ac:dyDescent="0.2">
      <c r="A755" s="4">
        <v>45565</v>
      </c>
      <c r="B755" s="5">
        <v>161.57</v>
      </c>
      <c r="C755" s="5">
        <v>162.18</v>
      </c>
      <c r="D755" s="5">
        <v>160.68</v>
      </c>
      <c r="E755" s="5">
        <v>162.06</v>
      </c>
      <c r="F755" s="6">
        <v>6010407</v>
      </c>
    </row>
    <row r="756" spans="1:6" x14ac:dyDescent="0.2">
      <c r="A756" s="4">
        <v>45566</v>
      </c>
      <c r="B756" s="5">
        <v>162.43</v>
      </c>
      <c r="C756" s="5">
        <v>162.75</v>
      </c>
      <c r="D756" s="5">
        <v>161.18</v>
      </c>
      <c r="E756" s="5">
        <v>161.99</v>
      </c>
      <c r="F756" s="6">
        <v>4408019</v>
      </c>
    </row>
    <row r="757" spans="1:6" x14ac:dyDescent="0.2">
      <c r="A757" s="4">
        <v>45567</v>
      </c>
      <c r="B757" s="5">
        <v>161.51</v>
      </c>
      <c r="C757" s="5">
        <v>162.12</v>
      </c>
      <c r="D757" s="5">
        <v>160.65</v>
      </c>
      <c r="E757" s="5">
        <v>161.16999999999999</v>
      </c>
      <c r="F757" s="6">
        <v>4684472</v>
      </c>
    </row>
    <row r="758" spans="1:6" x14ac:dyDescent="0.2">
      <c r="A758" s="4">
        <v>45568</v>
      </c>
      <c r="B758" s="5">
        <v>160.78</v>
      </c>
      <c r="C758" s="5">
        <v>161.44</v>
      </c>
      <c r="D758" s="5">
        <v>160.22</v>
      </c>
      <c r="E758" s="5">
        <v>160.5</v>
      </c>
      <c r="F758" s="6">
        <v>4791223</v>
      </c>
    </row>
    <row r="759" spans="1:6" x14ac:dyDescent="0.2">
      <c r="A759" s="4">
        <v>45569</v>
      </c>
      <c r="B759" s="5">
        <v>159.63</v>
      </c>
      <c r="C759" s="5">
        <v>160.5</v>
      </c>
      <c r="D759" s="5">
        <v>158.77500000000001</v>
      </c>
      <c r="E759" s="5">
        <v>160.29</v>
      </c>
      <c r="F759" s="6">
        <v>5331694</v>
      </c>
    </row>
    <row r="760" spans="1:6" x14ac:dyDescent="0.2">
      <c r="A760" s="4">
        <v>45572</v>
      </c>
      <c r="B760" s="5">
        <v>160.25</v>
      </c>
      <c r="C760" s="5">
        <v>160.86000000000001</v>
      </c>
      <c r="D760" s="5">
        <v>159.22</v>
      </c>
      <c r="E760" s="5">
        <v>159.53</v>
      </c>
      <c r="F760" s="6">
        <v>4265971</v>
      </c>
    </row>
    <row r="761" spans="1:6" x14ac:dyDescent="0.2">
      <c r="A761" s="4">
        <v>45573</v>
      </c>
      <c r="B761" s="5">
        <v>159.49</v>
      </c>
      <c r="C761" s="5">
        <v>160.245</v>
      </c>
      <c r="D761" s="5">
        <v>158.94999999999999</v>
      </c>
      <c r="E761" s="5">
        <v>159.69</v>
      </c>
      <c r="F761" s="6">
        <v>4766250</v>
      </c>
    </row>
    <row r="762" spans="1:6" x14ac:dyDescent="0.2">
      <c r="A762" s="4">
        <v>45574</v>
      </c>
      <c r="B762" s="5">
        <v>159.91999999999999</v>
      </c>
      <c r="C762" s="5">
        <v>161.215</v>
      </c>
      <c r="D762" s="5">
        <v>159.51</v>
      </c>
      <c r="E762" s="5">
        <v>160.65</v>
      </c>
      <c r="F762" s="6">
        <v>6047269</v>
      </c>
    </row>
    <row r="763" spans="1:6" x14ac:dyDescent="0.2">
      <c r="A763" s="4">
        <v>45575</v>
      </c>
      <c r="B763" s="5">
        <v>161.36000000000001</v>
      </c>
      <c r="C763" s="5">
        <v>161.38999999999999</v>
      </c>
      <c r="D763" s="5">
        <v>159.995</v>
      </c>
      <c r="E763" s="5">
        <v>160.51</v>
      </c>
      <c r="F763" s="6">
        <v>4793889</v>
      </c>
    </row>
    <row r="764" spans="1:6" x14ac:dyDescent="0.2">
      <c r="A764" s="4">
        <v>45576</v>
      </c>
      <c r="B764" s="5">
        <v>162.18</v>
      </c>
      <c r="C764" s="5">
        <v>162.66</v>
      </c>
      <c r="D764" s="5">
        <v>161.19999999999999</v>
      </c>
      <c r="E764" s="5">
        <v>161.46</v>
      </c>
      <c r="F764" s="6">
        <v>5253459</v>
      </c>
    </row>
    <row r="765" spans="1:6" x14ac:dyDescent="0.2">
      <c r="A765" s="4">
        <v>45579</v>
      </c>
      <c r="B765" s="5">
        <v>161.4</v>
      </c>
      <c r="C765" s="5">
        <v>162.13999999999999</v>
      </c>
      <c r="D765" s="5">
        <v>160.9</v>
      </c>
      <c r="E765" s="5">
        <v>161.6</v>
      </c>
      <c r="F765" s="6">
        <v>5963961</v>
      </c>
    </row>
    <row r="766" spans="1:6" x14ac:dyDescent="0.2">
      <c r="A766" s="4">
        <v>45580</v>
      </c>
      <c r="B766" s="5">
        <v>160</v>
      </c>
      <c r="C766" s="5">
        <v>166.75</v>
      </c>
      <c r="D766" s="5">
        <v>159</v>
      </c>
      <c r="E766" s="5">
        <v>164.1</v>
      </c>
      <c r="F766" s="6">
        <v>10547970</v>
      </c>
    </row>
    <row r="767" spans="1:6" x14ac:dyDescent="0.2">
      <c r="A767" s="4">
        <v>45581</v>
      </c>
      <c r="B767" s="5">
        <v>164</v>
      </c>
      <c r="C767" s="5">
        <v>164.99</v>
      </c>
      <c r="D767" s="5">
        <v>162.63999999999999</v>
      </c>
      <c r="E767" s="5">
        <v>164.28</v>
      </c>
      <c r="F767" s="6">
        <v>5982291</v>
      </c>
    </row>
    <row r="768" spans="1:6" x14ac:dyDescent="0.2">
      <c r="A768" s="4">
        <v>45582</v>
      </c>
      <c r="B768" s="5">
        <v>164.26</v>
      </c>
      <c r="C768" s="5">
        <v>165</v>
      </c>
      <c r="D768" s="5">
        <v>163.63</v>
      </c>
      <c r="E768" s="5">
        <v>164.47</v>
      </c>
      <c r="F768" s="6">
        <v>4798238</v>
      </c>
    </row>
    <row r="769" spans="1:6" x14ac:dyDescent="0.2">
      <c r="A769" s="4">
        <v>45583</v>
      </c>
      <c r="B769" s="5">
        <v>164.89</v>
      </c>
      <c r="C769" s="5">
        <v>165.28960000000001</v>
      </c>
      <c r="D769" s="5">
        <v>163.93</v>
      </c>
      <c r="E769" s="5">
        <v>165.12</v>
      </c>
      <c r="F769" s="6">
        <v>5908012</v>
      </c>
    </row>
    <row r="770" spans="1:6" x14ac:dyDescent="0.2">
      <c r="A770" s="4">
        <v>45586</v>
      </c>
      <c r="B770" s="5">
        <v>165.1</v>
      </c>
      <c r="C770" s="5">
        <v>165.25</v>
      </c>
      <c r="D770" s="5">
        <v>162.31</v>
      </c>
      <c r="E770" s="5">
        <v>162.83000000000001</v>
      </c>
      <c r="F770" s="6">
        <v>6082736</v>
      </c>
    </row>
    <row r="771" spans="1:6" x14ac:dyDescent="0.2">
      <c r="A771" s="4">
        <v>45587</v>
      </c>
      <c r="B771" s="5">
        <v>162.32</v>
      </c>
      <c r="C771" s="5">
        <v>163.72999999999999</v>
      </c>
      <c r="D771" s="5">
        <v>161.9</v>
      </c>
      <c r="E771" s="5">
        <v>163.44999999999999</v>
      </c>
      <c r="F771" s="6">
        <v>5680612</v>
      </c>
    </row>
    <row r="772" spans="1:6" x14ac:dyDescent="0.2">
      <c r="A772" s="4">
        <v>45588</v>
      </c>
      <c r="B772" s="5">
        <v>162.82</v>
      </c>
      <c r="C772" s="5">
        <v>166</v>
      </c>
      <c r="D772" s="5">
        <v>162.41999999999999</v>
      </c>
      <c r="E772" s="5">
        <v>165.86</v>
      </c>
      <c r="F772" s="6">
        <v>7442026</v>
      </c>
    </row>
    <row r="773" spans="1:6" x14ac:dyDescent="0.2">
      <c r="A773" s="4">
        <v>45589</v>
      </c>
      <c r="B773" s="5">
        <v>165</v>
      </c>
      <c r="C773" s="5">
        <v>165.51</v>
      </c>
      <c r="D773" s="5">
        <v>163.34</v>
      </c>
      <c r="E773" s="5">
        <v>163.66999999999999</v>
      </c>
      <c r="F773" s="6">
        <v>5386525</v>
      </c>
    </row>
    <row r="774" spans="1:6" x14ac:dyDescent="0.2">
      <c r="A774" s="4">
        <v>45590</v>
      </c>
      <c r="B774" s="5">
        <v>163.68</v>
      </c>
      <c r="C774" s="5">
        <v>163.92</v>
      </c>
      <c r="D774" s="5">
        <v>160.61000000000001</v>
      </c>
      <c r="E774" s="5">
        <v>160.88</v>
      </c>
      <c r="F774" s="6">
        <v>6400449</v>
      </c>
    </row>
    <row r="775" spans="1:6" x14ac:dyDescent="0.2">
      <c r="A775" s="4">
        <v>45593</v>
      </c>
      <c r="B775" s="5">
        <v>161.13</v>
      </c>
      <c r="C775" s="5">
        <v>161.97</v>
      </c>
      <c r="D775" s="5">
        <v>161</v>
      </c>
      <c r="E775" s="5">
        <v>161.6</v>
      </c>
      <c r="F775" s="6">
        <v>4842653</v>
      </c>
    </row>
    <row r="776" spans="1:6" x14ac:dyDescent="0.2">
      <c r="A776" s="4">
        <v>45594</v>
      </c>
      <c r="B776" s="5">
        <v>161.46</v>
      </c>
      <c r="C776" s="5">
        <v>162.16999999999999</v>
      </c>
      <c r="D776" s="5">
        <v>160.06</v>
      </c>
      <c r="E776" s="5">
        <v>160.09</v>
      </c>
      <c r="F776" s="6">
        <v>5216879</v>
      </c>
    </row>
    <row r="777" spans="1:6" x14ac:dyDescent="0.2">
      <c r="A777" s="4">
        <v>45595</v>
      </c>
      <c r="B777" s="5">
        <v>159.44999999999999</v>
      </c>
      <c r="C777" s="5">
        <v>161.28</v>
      </c>
      <c r="D777" s="5">
        <v>159.03020000000001</v>
      </c>
      <c r="E777" s="5">
        <v>160.61000000000001</v>
      </c>
      <c r="F777" s="6">
        <v>5820530</v>
      </c>
    </row>
    <row r="778" spans="1:6" x14ac:dyDescent="0.2">
      <c r="A778" s="4">
        <v>45596</v>
      </c>
      <c r="B778" s="5">
        <v>159.99</v>
      </c>
      <c r="C778" s="5">
        <v>160.87</v>
      </c>
      <c r="D778" s="5">
        <v>159.46</v>
      </c>
      <c r="E778" s="5">
        <v>159.86000000000001</v>
      </c>
      <c r="F778" s="6">
        <v>8613860</v>
      </c>
    </row>
    <row r="779" spans="1:6" x14ac:dyDescent="0.2">
      <c r="A779" s="4">
        <v>45597</v>
      </c>
      <c r="B779" s="5">
        <v>160.58000000000001</v>
      </c>
      <c r="C779" s="5">
        <v>161.06</v>
      </c>
      <c r="D779" s="5">
        <v>159.88</v>
      </c>
      <c r="E779" s="5">
        <v>160.13</v>
      </c>
      <c r="F779" s="6">
        <v>5256652</v>
      </c>
    </row>
    <row r="780" spans="1:6" x14ac:dyDescent="0.2">
      <c r="A780" s="4">
        <v>45600</v>
      </c>
      <c r="B780" s="5">
        <v>159.69999999999999</v>
      </c>
      <c r="C780" s="5">
        <v>160.28</v>
      </c>
      <c r="D780" s="5">
        <v>158.07</v>
      </c>
      <c r="E780" s="5">
        <v>158.24</v>
      </c>
      <c r="F780" s="6">
        <v>4644011</v>
      </c>
    </row>
    <row r="781" spans="1:6" x14ac:dyDescent="0.2">
      <c r="A781" s="4">
        <v>45601</v>
      </c>
      <c r="B781" s="5">
        <v>157.66999999999999</v>
      </c>
      <c r="C781" s="5">
        <v>158.59</v>
      </c>
      <c r="D781" s="5">
        <v>156.35</v>
      </c>
      <c r="E781" s="5">
        <v>158.35</v>
      </c>
      <c r="F781" s="6">
        <v>6547074</v>
      </c>
    </row>
    <row r="782" spans="1:6" x14ac:dyDescent="0.2">
      <c r="A782" s="4">
        <v>45602</v>
      </c>
      <c r="B782" s="5">
        <v>159.9</v>
      </c>
      <c r="C782" s="5">
        <v>160.85</v>
      </c>
      <c r="D782" s="5">
        <v>157.35499999999999</v>
      </c>
      <c r="E782" s="5">
        <v>157.88</v>
      </c>
      <c r="F782" s="6">
        <v>8926601</v>
      </c>
    </row>
    <row r="783" spans="1:6" x14ac:dyDescent="0.2">
      <c r="A783" s="4">
        <v>45603</v>
      </c>
      <c r="B783" s="5">
        <v>158.47</v>
      </c>
      <c r="C783" s="5">
        <v>158.75</v>
      </c>
      <c r="D783" s="5">
        <v>156.51</v>
      </c>
      <c r="E783" s="5">
        <v>156.72999999999999</v>
      </c>
      <c r="F783" s="6">
        <v>7522812</v>
      </c>
    </row>
    <row r="784" spans="1:6" x14ac:dyDescent="0.2">
      <c r="A784" s="4">
        <v>45604</v>
      </c>
      <c r="B784" s="5">
        <v>157</v>
      </c>
      <c r="C784" s="5">
        <v>157.08000000000001</v>
      </c>
      <c r="D784" s="5">
        <v>155.41</v>
      </c>
      <c r="E784" s="5">
        <v>155.47</v>
      </c>
      <c r="F784" s="6">
        <v>8926134</v>
      </c>
    </row>
    <row r="785" spans="1:6" x14ac:dyDescent="0.2">
      <c r="A785" s="4">
        <v>45607</v>
      </c>
      <c r="B785" s="5">
        <v>155.62</v>
      </c>
      <c r="C785" s="5">
        <v>157.58000000000001</v>
      </c>
      <c r="D785" s="5">
        <v>154.91</v>
      </c>
      <c r="E785" s="5">
        <v>155.04</v>
      </c>
      <c r="F785" s="6">
        <v>7146759</v>
      </c>
    </row>
    <row r="786" spans="1:6" x14ac:dyDescent="0.2">
      <c r="A786" s="4">
        <v>45608</v>
      </c>
      <c r="B786" s="5">
        <v>154.53</v>
      </c>
      <c r="C786" s="5">
        <v>155.04</v>
      </c>
      <c r="D786" s="5">
        <v>152.37</v>
      </c>
      <c r="E786" s="5">
        <v>152.63999999999999</v>
      </c>
      <c r="F786" s="6">
        <v>7181408</v>
      </c>
    </row>
    <row r="787" spans="1:6" x14ac:dyDescent="0.2">
      <c r="A787" s="4">
        <v>45609</v>
      </c>
      <c r="B787" s="5">
        <v>152.5</v>
      </c>
      <c r="C787" s="5">
        <v>153.51</v>
      </c>
      <c r="D787" s="5">
        <v>151.42449999999999</v>
      </c>
      <c r="E787" s="5">
        <v>153.24</v>
      </c>
      <c r="F787" s="6">
        <v>7162233</v>
      </c>
    </row>
    <row r="788" spans="1:6" x14ac:dyDescent="0.2">
      <c r="A788" s="4">
        <v>45610</v>
      </c>
      <c r="B788" s="5">
        <v>153.18</v>
      </c>
      <c r="C788" s="5">
        <v>153.59180000000001</v>
      </c>
      <c r="D788" s="5">
        <v>150.76</v>
      </c>
      <c r="E788" s="5">
        <v>151.87</v>
      </c>
      <c r="F788" s="6">
        <v>7716385</v>
      </c>
    </row>
    <row r="789" spans="1:6" x14ac:dyDescent="0.2">
      <c r="A789" s="4">
        <v>45611</v>
      </c>
      <c r="B789" s="5">
        <v>150.9</v>
      </c>
      <c r="C789" s="5">
        <v>154.43</v>
      </c>
      <c r="D789" s="5">
        <v>150.9</v>
      </c>
      <c r="E789" s="5">
        <v>154</v>
      </c>
      <c r="F789" s="6">
        <v>11328520</v>
      </c>
    </row>
    <row r="790" spans="1:6" x14ac:dyDescent="0.2">
      <c r="A790" s="4">
        <v>45614</v>
      </c>
      <c r="B790" s="5">
        <v>152.59</v>
      </c>
      <c r="C790" s="5">
        <v>155.33000000000001</v>
      </c>
      <c r="D790" s="5">
        <v>152.33000000000001</v>
      </c>
      <c r="E790" s="5">
        <v>154.77000000000001</v>
      </c>
      <c r="F790" s="6">
        <v>7514177</v>
      </c>
    </row>
    <row r="791" spans="1:6" x14ac:dyDescent="0.2">
      <c r="A791" s="4">
        <v>45615</v>
      </c>
      <c r="B791" s="5">
        <v>153.94499999999999</v>
      </c>
      <c r="C791" s="5">
        <v>153.99</v>
      </c>
      <c r="D791" s="5">
        <v>152.05000000000001</v>
      </c>
      <c r="E791" s="5">
        <v>153</v>
      </c>
      <c r="F791" s="6">
        <v>8233678</v>
      </c>
    </row>
    <row r="792" spans="1:6" x14ac:dyDescent="0.2">
      <c r="A792" s="4">
        <v>45616</v>
      </c>
      <c r="B792" s="5">
        <v>153.03</v>
      </c>
      <c r="C792" s="5">
        <v>153.25</v>
      </c>
      <c r="D792" s="5">
        <v>151.81</v>
      </c>
      <c r="E792" s="5">
        <v>153.11000000000001</v>
      </c>
      <c r="F792" s="6">
        <v>9061274</v>
      </c>
    </row>
    <row r="793" spans="1:6" x14ac:dyDescent="0.2">
      <c r="A793" s="4">
        <v>45617</v>
      </c>
      <c r="B793" s="5">
        <v>153.62</v>
      </c>
      <c r="C793" s="5">
        <v>156.06</v>
      </c>
      <c r="D793" s="5">
        <v>152.81</v>
      </c>
      <c r="E793" s="5">
        <v>155.5</v>
      </c>
      <c r="F793" s="6">
        <v>10141060</v>
      </c>
    </row>
    <row r="794" spans="1:6" x14ac:dyDescent="0.2">
      <c r="A794" s="4">
        <v>45618</v>
      </c>
      <c r="B794" s="5">
        <v>155.9</v>
      </c>
      <c r="C794" s="5">
        <v>157.11500000000001</v>
      </c>
      <c r="D794" s="5">
        <v>154.11000000000001</v>
      </c>
      <c r="E794" s="5">
        <v>155.16999999999999</v>
      </c>
      <c r="F794" s="6">
        <v>8265961</v>
      </c>
    </row>
    <row r="795" spans="1:6" x14ac:dyDescent="0.2">
      <c r="A795" s="4">
        <v>45621</v>
      </c>
      <c r="B795" s="5">
        <v>155.16999999999999</v>
      </c>
      <c r="C795" s="5">
        <v>157.035</v>
      </c>
      <c r="D795" s="5">
        <v>155.13999999999999</v>
      </c>
      <c r="E795" s="5">
        <v>155.78</v>
      </c>
      <c r="F795" s="6">
        <v>12256240</v>
      </c>
    </row>
    <row r="796" spans="1:6" x14ac:dyDescent="0.2">
      <c r="A796" s="4">
        <v>45622</v>
      </c>
      <c r="B796" s="5">
        <v>155.16</v>
      </c>
      <c r="C796" s="5">
        <v>155.25</v>
      </c>
      <c r="D796" s="5">
        <v>153.16</v>
      </c>
      <c r="E796" s="5">
        <v>154.52000000000001</v>
      </c>
      <c r="F796" s="6">
        <v>5683499</v>
      </c>
    </row>
    <row r="797" spans="1:6" x14ac:dyDescent="0.2">
      <c r="A797" s="4">
        <v>45623</v>
      </c>
      <c r="B797" s="5">
        <v>154.63</v>
      </c>
      <c r="C797" s="5">
        <v>156.63</v>
      </c>
      <c r="D797" s="5">
        <v>154.6</v>
      </c>
      <c r="E797" s="5">
        <v>155.4</v>
      </c>
      <c r="F797" s="6">
        <v>4140444</v>
      </c>
    </row>
    <row r="798" spans="1:6" x14ac:dyDescent="0.2">
      <c r="A798" s="4">
        <v>45625</v>
      </c>
      <c r="B798" s="5">
        <v>154.88999999999999</v>
      </c>
      <c r="C798" s="5">
        <v>155.66999999999999</v>
      </c>
      <c r="D798" s="5">
        <v>154.16900000000001</v>
      </c>
      <c r="E798" s="5">
        <v>155.01</v>
      </c>
      <c r="F798" s="6">
        <v>5687821</v>
      </c>
    </row>
    <row r="799" spans="1:6" x14ac:dyDescent="0.2">
      <c r="A799" s="4">
        <v>45628</v>
      </c>
      <c r="B799" s="5">
        <v>154.75</v>
      </c>
      <c r="C799" s="5">
        <v>155</v>
      </c>
      <c r="D799" s="5">
        <v>153.92580000000001</v>
      </c>
      <c r="E799" s="5">
        <v>154.80000000000001</v>
      </c>
      <c r="F799" s="6">
        <v>6946494</v>
      </c>
    </row>
    <row r="800" spans="1:6" x14ac:dyDescent="0.2">
      <c r="A800" s="4">
        <v>45629</v>
      </c>
      <c r="B800" s="5">
        <v>154.80000000000001</v>
      </c>
      <c r="C800" s="5">
        <v>154.80000000000001</v>
      </c>
      <c r="D800" s="5">
        <v>152.30500000000001</v>
      </c>
      <c r="E800" s="5">
        <v>152.36000000000001</v>
      </c>
      <c r="F800" s="6">
        <v>8674415</v>
      </c>
    </row>
    <row r="801" spans="1:6" x14ac:dyDescent="0.2">
      <c r="A801" s="4">
        <v>45630</v>
      </c>
      <c r="B801" s="5">
        <v>151.29</v>
      </c>
      <c r="C801" s="5">
        <v>151.56</v>
      </c>
      <c r="D801" s="5">
        <v>149.75</v>
      </c>
      <c r="E801" s="5">
        <v>150.47</v>
      </c>
      <c r="F801" s="6">
        <v>10333110</v>
      </c>
    </row>
    <row r="802" spans="1:6" x14ac:dyDescent="0.2">
      <c r="A802" s="4">
        <v>45631</v>
      </c>
      <c r="B802" s="5">
        <v>150</v>
      </c>
      <c r="C802" s="5">
        <v>150.38</v>
      </c>
      <c r="D802" s="5">
        <v>148.94999999999999</v>
      </c>
      <c r="E802" s="5">
        <v>149.52000000000001</v>
      </c>
      <c r="F802" s="6">
        <v>7898098</v>
      </c>
    </row>
    <row r="803" spans="1:6" x14ac:dyDescent="0.2">
      <c r="A803" s="4">
        <v>45632</v>
      </c>
      <c r="B803" s="5">
        <v>149.38999999999999</v>
      </c>
      <c r="C803" s="5">
        <v>150.05000000000001</v>
      </c>
      <c r="D803" s="5">
        <v>148.38</v>
      </c>
      <c r="E803" s="5">
        <v>149.31</v>
      </c>
      <c r="F803" s="6">
        <v>8389611</v>
      </c>
    </row>
    <row r="804" spans="1:6" x14ac:dyDescent="0.2">
      <c r="A804" s="4">
        <v>45635</v>
      </c>
      <c r="B804" s="5">
        <v>149.29</v>
      </c>
      <c r="C804" s="5">
        <v>150.88999999999999</v>
      </c>
      <c r="D804" s="5">
        <v>148.44</v>
      </c>
      <c r="E804" s="5">
        <v>149.6</v>
      </c>
      <c r="F804" s="6">
        <v>8410303</v>
      </c>
    </row>
    <row r="805" spans="1:6" x14ac:dyDescent="0.2">
      <c r="A805" s="4">
        <v>45636</v>
      </c>
      <c r="B805" s="5">
        <v>149.93</v>
      </c>
      <c r="C805" s="5">
        <v>150.83000000000001</v>
      </c>
      <c r="D805" s="5">
        <v>148.33000000000001</v>
      </c>
      <c r="E805" s="5">
        <v>149.22999999999999</v>
      </c>
      <c r="F805" s="6">
        <v>9398671</v>
      </c>
    </row>
    <row r="806" spans="1:6" x14ac:dyDescent="0.2">
      <c r="A806" s="4">
        <v>45637</v>
      </c>
      <c r="B806" s="5">
        <v>148.5</v>
      </c>
      <c r="C806" s="5">
        <v>148.5</v>
      </c>
      <c r="D806" s="5">
        <v>146.37</v>
      </c>
      <c r="E806" s="5">
        <v>146.63999999999999</v>
      </c>
      <c r="F806" s="6">
        <v>13446660</v>
      </c>
    </row>
    <row r="807" spans="1:6" x14ac:dyDescent="0.2">
      <c r="A807" s="4">
        <v>45638</v>
      </c>
      <c r="B807" s="5">
        <v>147.19999999999999</v>
      </c>
      <c r="C807" s="5">
        <v>147.77000000000001</v>
      </c>
      <c r="D807" s="5">
        <v>146.01</v>
      </c>
      <c r="E807" s="5">
        <v>146.24</v>
      </c>
      <c r="F807" s="6">
        <v>6176269</v>
      </c>
    </row>
    <row r="808" spans="1:6" x14ac:dyDescent="0.2">
      <c r="A808" s="4">
        <v>45639</v>
      </c>
      <c r="B808" s="5">
        <v>145.66</v>
      </c>
      <c r="C808" s="5">
        <v>146.93</v>
      </c>
      <c r="D808" s="5">
        <v>145.04</v>
      </c>
      <c r="E808" s="5">
        <v>146.62</v>
      </c>
      <c r="F808" s="6">
        <v>8324900</v>
      </c>
    </row>
    <row r="809" spans="1:6" x14ac:dyDescent="0.2">
      <c r="A809" s="4">
        <v>45642</v>
      </c>
      <c r="B809" s="5">
        <v>146.72999999999999</v>
      </c>
      <c r="C809" s="5">
        <v>147.25</v>
      </c>
      <c r="D809" s="5">
        <v>143.52000000000001</v>
      </c>
      <c r="E809" s="5">
        <v>143.85</v>
      </c>
      <c r="F809" s="6">
        <v>8732378</v>
      </c>
    </row>
    <row r="810" spans="1:6" x14ac:dyDescent="0.2">
      <c r="A810" s="4">
        <v>45643</v>
      </c>
      <c r="B810" s="5">
        <v>143.84</v>
      </c>
      <c r="C810" s="5">
        <v>146.66</v>
      </c>
      <c r="D810" s="5">
        <v>143.71</v>
      </c>
      <c r="E810" s="5">
        <v>146.41</v>
      </c>
      <c r="F810" s="6">
        <v>10342960</v>
      </c>
    </row>
    <row r="811" spans="1:6" x14ac:dyDescent="0.2">
      <c r="A811" s="4">
        <v>45644</v>
      </c>
      <c r="B811" s="5">
        <v>145.678</v>
      </c>
      <c r="C811" s="5">
        <v>146.74</v>
      </c>
      <c r="D811" s="5">
        <v>144.66999999999999</v>
      </c>
      <c r="E811" s="5">
        <v>144.75</v>
      </c>
      <c r="F811" s="6">
        <v>9336094</v>
      </c>
    </row>
    <row r="812" spans="1:6" x14ac:dyDescent="0.2">
      <c r="A812" s="4">
        <v>45645</v>
      </c>
      <c r="B812" s="5">
        <v>144.13999999999999</v>
      </c>
      <c r="C812" s="5">
        <v>145.22</v>
      </c>
      <c r="D812" s="5">
        <v>143.37</v>
      </c>
      <c r="E812" s="5">
        <v>143.58000000000001</v>
      </c>
      <c r="F812" s="6">
        <v>9516653</v>
      </c>
    </row>
    <row r="813" spans="1:6" x14ac:dyDescent="0.2">
      <c r="A813" s="4">
        <v>45646</v>
      </c>
      <c r="B813" s="5">
        <v>143.05000000000001</v>
      </c>
      <c r="C813" s="5">
        <v>145.47</v>
      </c>
      <c r="D813" s="5">
        <v>142.75</v>
      </c>
      <c r="E813" s="5">
        <v>144.47</v>
      </c>
      <c r="F813" s="6">
        <v>17702760</v>
      </c>
    </row>
    <row r="814" spans="1:6" x14ac:dyDescent="0.2">
      <c r="A814" s="4">
        <v>45649</v>
      </c>
      <c r="B814" s="5">
        <v>144.63</v>
      </c>
      <c r="C814" s="5">
        <v>145.33000000000001</v>
      </c>
      <c r="D814" s="5">
        <v>143.44999999999999</v>
      </c>
      <c r="E814" s="5">
        <v>145.27000000000001</v>
      </c>
      <c r="F814" s="6">
        <v>8720824</v>
      </c>
    </row>
    <row r="815" spans="1:6" x14ac:dyDescent="0.2">
      <c r="A815" s="4">
        <v>45650</v>
      </c>
      <c r="B815" s="5">
        <v>145</v>
      </c>
      <c r="C815" s="5">
        <v>145.85</v>
      </c>
      <c r="D815" s="5">
        <v>144.33250000000001</v>
      </c>
      <c r="E815" s="5">
        <v>145.85</v>
      </c>
      <c r="F815" s="6">
        <v>3164071</v>
      </c>
    </row>
    <row r="816" spans="1:6" x14ac:dyDescent="0.2">
      <c r="A816" s="4">
        <v>45652</v>
      </c>
      <c r="B816" s="5">
        <v>145.51</v>
      </c>
      <c r="C816" s="5">
        <v>146.37</v>
      </c>
      <c r="D816" s="5">
        <v>145.09</v>
      </c>
      <c r="E816" s="5">
        <v>145.58000000000001</v>
      </c>
      <c r="F816" s="6">
        <v>4656981</v>
      </c>
    </row>
    <row r="817" spans="1:6" x14ac:dyDescent="0.2">
      <c r="A817" s="4">
        <v>45653</v>
      </c>
      <c r="B817" s="5">
        <v>144.87</v>
      </c>
      <c r="C817" s="5">
        <v>146.6</v>
      </c>
      <c r="D817" s="5">
        <v>144.68</v>
      </c>
      <c r="E817" s="5">
        <v>145.05000000000001</v>
      </c>
      <c r="F817" s="6">
        <v>5588306</v>
      </c>
    </row>
    <row r="818" spans="1:6" x14ac:dyDescent="0.2">
      <c r="A818" s="4">
        <v>45656</v>
      </c>
      <c r="B818" s="5">
        <v>144.84</v>
      </c>
      <c r="C818" s="5">
        <v>144.88</v>
      </c>
      <c r="D818" s="5">
        <v>142.94999999999999</v>
      </c>
      <c r="E818" s="5">
        <v>143.34</v>
      </c>
      <c r="F818" s="6">
        <v>6268692</v>
      </c>
    </row>
    <row r="819" spans="1:6" x14ac:dyDescent="0.2">
      <c r="A819" s="4">
        <v>45657</v>
      </c>
      <c r="B819" s="5">
        <v>143.76</v>
      </c>
      <c r="C819" s="5">
        <v>144.66999999999999</v>
      </c>
      <c r="D819" s="5">
        <v>143.3098</v>
      </c>
      <c r="E819" s="5">
        <v>144.62</v>
      </c>
      <c r="F819" s="6">
        <v>5811401</v>
      </c>
    </row>
    <row r="820" spans="1:6" x14ac:dyDescent="0.2">
      <c r="A820" s="4">
        <v>45659</v>
      </c>
      <c r="B820" s="5">
        <v>145.22999999999999</v>
      </c>
      <c r="C820" s="5">
        <v>145.77000000000001</v>
      </c>
      <c r="D820" s="5">
        <v>143.78</v>
      </c>
      <c r="E820" s="5">
        <v>144.02000000000001</v>
      </c>
      <c r="F820" s="6">
        <v>6051330</v>
      </c>
    </row>
    <row r="821" spans="1:6" x14ac:dyDescent="0.2">
      <c r="A821" s="4">
        <v>45660</v>
      </c>
      <c r="B821" s="5">
        <v>144.07</v>
      </c>
      <c r="C821" s="5">
        <v>144.57499999999999</v>
      </c>
      <c r="D821" s="5">
        <v>143.62</v>
      </c>
      <c r="E821" s="5">
        <v>144.19</v>
      </c>
      <c r="F821" s="6">
        <v>5879816</v>
      </c>
    </row>
    <row r="822" spans="1:6" x14ac:dyDescent="0.2">
      <c r="A822" s="4">
        <v>45663</v>
      </c>
      <c r="B822" s="5">
        <v>143.51</v>
      </c>
      <c r="C822" s="5">
        <v>144.815</v>
      </c>
      <c r="D822" s="5">
        <v>142.93</v>
      </c>
      <c r="E822" s="5">
        <v>143.66</v>
      </c>
      <c r="F822" s="6">
        <v>7910493</v>
      </c>
    </row>
    <row r="823" spans="1:6" x14ac:dyDescent="0.2">
      <c r="A823" s="4">
        <v>45664</v>
      </c>
      <c r="B823" s="5">
        <v>143.755</v>
      </c>
      <c r="C823" s="5">
        <v>147.18</v>
      </c>
      <c r="D823" s="5">
        <v>143.59</v>
      </c>
      <c r="E823" s="5">
        <v>146.22999999999999</v>
      </c>
      <c r="F823" s="6">
        <v>8422010</v>
      </c>
    </row>
    <row r="824" spans="1:6" x14ac:dyDescent="0.2">
      <c r="A824" s="4">
        <v>45665</v>
      </c>
      <c r="B824" s="5">
        <v>145.49</v>
      </c>
      <c r="C824" s="5">
        <v>145.59</v>
      </c>
      <c r="D824" s="5">
        <v>141.44</v>
      </c>
      <c r="E824" s="5">
        <v>142.27000000000001</v>
      </c>
      <c r="F824" s="6">
        <v>11175550</v>
      </c>
    </row>
    <row r="825" spans="1:6" x14ac:dyDescent="0.2">
      <c r="A825" s="4">
        <v>45667</v>
      </c>
      <c r="B825" s="5">
        <v>141</v>
      </c>
      <c r="C825" s="5">
        <v>143.66999999999999</v>
      </c>
      <c r="D825" s="5">
        <v>140.68</v>
      </c>
      <c r="E825" s="5">
        <v>142.06</v>
      </c>
      <c r="F825" s="6">
        <v>8821541</v>
      </c>
    </row>
    <row r="826" spans="1:6" x14ac:dyDescent="0.2">
      <c r="A826" s="4">
        <v>45670</v>
      </c>
      <c r="B826" s="5">
        <v>142.97999999999999</v>
      </c>
      <c r="C826" s="5">
        <v>145.07</v>
      </c>
      <c r="D826" s="5">
        <v>142.31</v>
      </c>
      <c r="E826" s="5">
        <v>144.47</v>
      </c>
      <c r="F826" s="6">
        <v>10376380</v>
      </c>
    </row>
    <row r="827" spans="1:6" x14ac:dyDescent="0.2">
      <c r="A827" s="4">
        <v>45671</v>
      </c>
      <c r="B827" s="5">
        <v>144.5</v>
      </c>
      <c r="C827" s="5">
        <v>144.81</v>
      </c>
      <c r="D827" s="5">
        <v>142.86000000000001</v>
      </c>
      <c r="E827" s="5">
        <v>144.75</v>
      </c>
      <c r="F827" s="6">
        <v>8681741</v>
      </c>
    </row>
    <row r="828" spans="1:6" x14ac:dyDescent="0.2">
      <c r="A828" s="4">
        <v>45672</v>
      </c>
      <c r="B828" s="5">
        <v>145.31</v>
      </c>
      <c r="C828" s="5">
        <v>146.05000000000001</v>
      </c>
      <c r="D828" s="5">
        <v>144.26</v>
      </c>
      <c r="E828" s="5">
        <v>144.97</v>
      </c>
      <c r="F828" s="6">
        <v>7434562</v>
      </c>
    </row>
    <row r="829" spans="1:6" x14ac:dyDescent="0.2">
      <c r="A829" s="4">
        <v>45673</v>
      </c>
      <c r="B829" s="5">
        <v>144.32</v>
      </c>
      <c r="C829" s="5">
        <v>148.07</v>
      </c>
      <c r="D829" s="5">
        <v>144.06</v>
      </c>
      <c r="E829" s="5">
        <v>147.77000000000001</v>
      </c>
      <c r="F829" s="6">
        <v>8964016</v>
      </c>
    </row>
    <row r="830" spans="1:6" x14ac:dyDescent="0.2">
      <c r="A830" s="4">
        <v>45674</v>
      </c>
      <c r="B830" s="5">
        <v>147.44</v>
      </c>
      <c r="C830" s="5">
        <v>148.38</v>
      </c>
      <c r="D830" s="5">
        <v>146.61000000000001</v>
      </c>
      <c r="E830" s="5">
        <v>147.03</v>
      </c>
      <c r="F830" s="6">
        <v>10773050</v>
      </c>
    </row>
    <row r="831" spans="1:6" x14ac:dyDescent="0.2">
      <c r="A831" s="4">
        <v>45678</v>
      </c>
      <c r="B831" s="5">
        <v>147.56</v>
      </c>
      <c r="C831" s="5">
        <v>148.86000000000001</v>
      </c>
      <c r="D831" s="5">
        <v>147.05000000000001</v>
      </c>
      <c r="E831" s="5">
        <v>148.15</v>
      </c>
      <c r="F831" s="6">
        <v>11111750</v>
      </c>
    </row>
    <row r="832" spans="1:6" x14ac:dyDescent="0.2">
      <c r="A832" s="4">
        <v>45679</v>
      </c>
      <c r="B832" s="5">
        <v>144</v>
      </c>
      <c r="C832" s="5">
        <v>145.47</v>
      </c>
      <c r="D832" s="5">
        <v>142.11000000000001</v>
      </c>
      <c r="E832" s="5">
        <v>145.27000000000001</v>
      </c>
      <c r="F832" s="6">
        <v>16834750</v>
      </c>
    </row>
    <row r="833" spans="1:6" x14ac:dyDescent="0.2">
      <c r="A833" s="4">
        <v>45680</v>
      </c>
      <c r="B833" s="5">
        <v>145.44</v>
      </c>
      <c r="C833" s="5">
        <v>147.91</v>
      </c>
      <c r="D833" s="5">
        <v>144.81440000000001</v>
      </c>
      <c r="E833" s="5">
        <v>146.63999999999999</v>
      </c>
      <c r="F833" s="6">
        <v>10506360</v>
      </c>
    </row>
    <row r="834" spans="1:6" x14ac:dyDescent="0.2">
      <c r="A834" s="4">
        <v>45681</v>
      </c>
      <c r="B834" s="5">
        <v>146.80500000000001</v>
      </c>
      <c r="C834" s="5">
        <v>147.631</v>
      </c>
      <c r="D834" s="5">
        <v>146.38300000000001</v>
      </c>
      <c r="E834" s="5">
        <v>146.82</v>
      </c>
      <c r="F834" s="6">
        <v>9887682</v>
      </c>
    </row>
    <row r="835" spans="1:6" x14ac:dyDescent="0.2">
      <c r="A835" s="4">
        <v>45684</v>
      </c>
      <c r="B835" s="5">
        <v>148.44999999999999</v>
      </c>
      <c r="C835" s="5">
        <v>153.44999999999999</v>
      </c>
      <c r="D835" s="5">
        <v>148</v>
      </c>
      <c r="E835" s="5">
        <v>152.88999999999999</v>
      </c>
      <c r="F835" s="6">
        <v>15152310</v>
      </c>
    </row>
    <row r="836" spans="1:6" x14ac:dyDescent="0.2">
      <c r="A836" s="4">
        <v>45685</v>
      </c>
      <c r="B836" s="5">
        <v>152.66</v>
      </c>
      <c r="C836" s="5">
        <v>152.97</v>
      </c>
      <c r="D836" s="5">
        <v>150.30000000000001</v>
      </c>
      <c r="E836" s="5">
        <v>150.38</v>
      </c>
      <c r="F836" s="6">
        <v>10320610</v>
      </c>
    </row>
    <row r="837" spans="1:6" x14ac:dyDescent="0.2">
      <c r="A837" s="4">
        <v>45686</v>
      </c>
      <c r="B837" s="5">
        <v>150.5</v>
      </c>
      <c r="C837" s="5">
        <v>151.88</v>
      </c>
      <c r="D837" s="5">
        <v>150</v>
      </c>
      <c r="E837" s="5">
        <v>151.15</v>
      </c>
      <c r="F837" s="6">
        <v>7156421</v>
      </c>
    </row>
    <row r="838" spans="1:6" x14ac:dyDescent="0.2">
      <c r="A838" s="4">
        <v>45687</v>
      </c>
      <c r="B838" s="5">
        <v>151.91</v>
      </c>
      <c r="C838" s="5">
        <v>154.13999999999999</v>
      </c>
      <c r="D838" s="5">
        <v>151.36000000000001</v>
      </c>
      <c r="E838" s="5">
        <v>152.87</v>
      </c>
      <c r="F838" s="6">
        <v>8910983</v>
      </c>
    </row>
    <row r="839" spans="1:6" x14ac:dyDescent="0.2">
      <c r="A839" s="4">
        <v>45688</v>
      </c>
      <c r="B839" s="5">
        <v>152.62</v>
      </c>
      <c r="C839" s="5">
        <v>153.18</v>
      </c>
      <c r="D839" s="5">
        <v>152.05500000000001</v>
      </c>
      <c r="E839" s="5">
        <v>152.15</v>
      </c>
      <c r="F839" s="6">
        <v>8458715</v>
      </c>
    </row>
    <row r="840" spans="1:6" x14ac:dyDescent="0.2">
      <c r="A840" s="4">
        <v>45691</v>
      </c>
      <c r="B840" s="5">
        <v>152</v>
      </c>
      <c r="C840" s="5">
        <v>152.465</v>
      </c>
      <c r="D840" s="5">
        <v>150.78</v>
      </c>
      <c r="E840" s="5">
        <v>151.87</v>
      </c>
      <c r="F840" s="6">
        <v>6687487</v>
      </c>
    </row>
    <row r="841" spans="1:6" x14ac:dyDescent="0.2">
      <c r="A841" s="4">
        <v>45692</v>
      </c>
      <c r="B841" s="5">
        <v>151.36000000000001</v>
      </c>
      <c r="C841" s="5">
        <v>154.18</v>
      </c>
      <c r="D841" s="5">
        <v>150.94499999999999</v>
      </c>
      <c r="E841" s="5">
        <v>153.49</v>
      </c>
      <c r="F841" s="6">
        <v>9645289</v>
      </c>
    </row>
    <row r="842" spans="1:6" x14ac:dyDescent="0.2">
      <c r="A842" s="4">
        <v>45693</v>
      </c>
      <c r="B842" s="5">
        <v>153.82</v>
      </c>
      <c r="C842" s="5">
        <v>154.72999999999999</v>
      </c>
      <c r="D842" s="5">
        <v>153.31</v>
      </c>
      <c r="E842" s="5">
        <v>154.69</v>
      </c>
      <c r="F842" s="6">
        <v>8946957</v>
      </c>
    </row>
    <row r="843" spans="1:6" x14ac:dyDescent="0.2">
      <c r="A843" s="4">
        <v>45694</v>
      </c>
      <c r="B843" s="5">
        <v>154.79</v>
      </c>
      <c r="C843" s="5">
        <v>154.84020000000001</v>
      </c>
      <c r="D843" s="5">
        <v>153.38</v>
      </c>
      <c r="E843" s="5">
        <v>153.51</v>
      </c>
      <c r="F843" s="6">
        <v>7418468</v>
      </c>
    </row>
    <row r="844" spans="1:6" x14ac:dyDescent="0.2">
      <c r="A844" s="4">
        <v>45695</v>
      </c>
      <c r="B844" s="5">
        <v>153.53</v>
      </c>
      <c r="C844" s="5">
        <v>154.49</v>
      </c>
      <c r="D844" s="5">
        <v>152.80000000000001</v>
      </c>
      <c r="E844" s="5">
        <v>153.12</v>
      </c>
      <c r="F844" s="6">
        <v>6204916</v>
      </c>
    </row>
    <row r="845" spans="1:6" x14ac:dyDescent="0.2">
      <c r="A845" s="4">
        <v>45698</v>
      </c>
      <c r="B845" s="5">
        <v>153.61000000000001</v>
      </c>
      <c r="C845" s="5">
        <v>154.37</v>
      </c>
      <c r="D845" s="5">
        <v>152.29</v>
      </c>
      <c r="E845" s="5">
        <v>154.24</v>
      </c>
      <c r="F845" s="6">
        <v>6936561</v>
      </c>
    </row>
    <row r="846" spans="1:6" x14ac:dyDescent="0.2">
      <c r="A846" s="4">
        <v>45699</v>
      </c>
      <c r="B846" s="5">
        <v>154.11000000000001</v>
      </c>
      <c r="C846" s="5">
        <v>156.38999999999999</v>
      </c>
      <c r="D846" s="5">
        <v>153.94</v>
      </c>
      <c r="E846" s="5">
        <v>156.13</v>
      </c>
      <c r="F846" s="6">
        <v>7554811</v>
      </c>
    </row>
    <row r="847" spans="1:6" x14ac:dyDescent="0.2">
      <c r="A847" s="4">
        <v>45700</v>
      </c>
      <c r="B847" s="5">
        <v>155.27000000000001</v>
      </c>
      <c r="C847" s="5">
        <v>155.65989999999999</v>
      </c>
      <c r="D847" s="5">
        <v>154.27000000000001</v>
      </c>
      <c r="E847" s="5">
        <v>155.26</v>
      </c>
      <c r="F847" s="6">
        <v>7746014</v>
      </c>
    </row>
    <row r="848" spans="1:6" x14ac:dyDescent="0.2">
      <c r="A848" s="4">
        <v>45701</v>
      </c>
      <c r="B848" s="5">
        <v>155.26</v>
      </c>
      <c r="C848" s="5">
        <v>158.13</v>
      </c>
      <c r="D848" s="5">
        <v>154.79</v>
      </c>
      <c r="E848" s="5">
        <v>157.25</v>
      </c>
      <c r="F848" s="6">
        <v>10705080</v>
      </c>
    </row>
    <row r="849" spans="1:6" x14ac:dyDescent="0.2">
      <c r="A849" s="4">
        <v>45702</v>
      </c>
      <c r="B849" s="5">
        <v>157.29</v>
      </c>
      <c r="C849" s="5">
        <v>157.47</v>
      </c>
      <c r="D849" s="5">
        <v>156.06</v>
      </c>
      <c r="E849" s="5">
        <v>156.15</v>
      </c>
      <c r="F849" s="6">
        <v>6411840</v>
      </c>
    </row>
    <row r="850" spans="1:6" x14ac:dyDescent="0.2">
      <c r="A850" s="4">
        <v>45706</v>
      </c>
      <c r="B850" s="5">
        <v>154.13999999999999</v>
      </c>
      <c r="C850" s="5">
        <v>155.44999999999999</v>
      </c>
      <c r="D850" s="5">
        <v>153.24</v>
      </c>
      <c r="E850" s="5">
        <v>154.99</v>
      </c>
      <c r="F850" s="6">
        <v>9670657</v>
      </c>
    </row>
    <row r="851" spans="1:6" x14ac:dyDescent="0.2">
      <c r="A851" s="4">
        <v>45707</v>
      </c>
      <c r="B851" s="5">
        <v>155</v>
      </c>
      <c r="C851" s="5">
        <v>158.30000000000001</v>
      </c>
      <c r="D851" s="5">
        <v>154.75</v>
      </c>
      <c r="E851" s="5">
        <v>157.88999999999999</v>
      </c>
      <c r="F851" s="6">
        <v>7974736</v>
      </c>
    </row>
    <row r="852" spans="1:6" x14ac:dyDescent="0.2">
      <c r="A852" s="4">
        <v>45708</v>
      </c>
      <c r="B852" s="5">
        <v>156.94999999999999</v>
      </c>
      <c r="C852" s="5">
        <v>159.94999999999999</v>
      </c>
      <c r="D852" s="5">
        <v>156.94999999999999</v>
      </c>
      <c r="E852" s="5">
        <v>159.68</v>
      </c>
      <c r="F852" s="6">
        <v>7224030</v>
      </c>
    </row>
    <row r="853" spans="1:6" x14ac:dyDescent="0.2">
      <c r="A853" s="4">
        <v>45709</v>
      </c>
      <c r="B853" s="5">
        <v>159.88</v>
      </c>
      <c r="C853" s="5">
        <v>163.51</v>
      </c>
      <c r="D853" s="5">
        <v>159.28</v>
      </c>
      <c r="E853" s="5">
        <v>162.30000000000001</v>
      </c>
      <c r="F853" s="6">
        <v>12546930</v>
      </c>
    </row>
    <row r="854" spans="1:6" x14ac:dyDescent="0.2">
      <c r="A854" s="4">
        <v>45712</v>
      </c>
      <c r="B854" s="5">
        <v>162.68</v>
      </c>
      <c r="C854" s="5">
        <v>164.87</v>
      </c>
      <c r="D854" s="5">
        <v>162.05000000000001</v>
      </c>
      <c r="E854" s="5">
        <v>163.74</v>
      </c>
      <c r="F854" s="6">
        <v>10201920</v>
      </c>
    </row>
    <row r="855" spans="1:6" x14ac:dyDescent="0.2">
      <c r="A855" s="4">
        <v>45713</v>
      </c>
      <c r="B855" s="5">
        <v>164.1</v>
      </c>
      <c r="C855" s="5">
        <v>166.43</v>
      </c>
      <c r="D855" s="5">
        <v>163.94</v>
      </c>
      <c r="E855" s="5">
        <v>166.09</v>
      </c>
      <c r="F855" s="6">
        <v>12303700</v>
      </c>
    </row>
    <row r="856" spans="1:6" x14ac:dyDescent="0.2">
      <c r="A856" s="4">
        <v>45714</v>
      </c>
      <c r="B856" s="5">
        <v>165.08</v>
      </c>
      <c r="C856" s="5">
        <v>165.13</v>
      </c>
      <c r="D856" s="5">
        <v>162.55500000000001</v>
      </c>
      <c r="E856" s="5">
        <v>163.08000000000001</v>
      </c>
      <c r="F856" s="6">
        <v>11396410</v>
      </c>
    </row>
    <row r="857" spans="1:6" x14ac:dyDescent="0.2">
      <c r="A857" s="4">
        <v>45715</v>
      </c>
      <c r="B857" s="5">
        <v>162.31</v>
      </c>
      <c r="C857" s="5">
        <v>163.95</v>
      </c>
      <c r="D857" s="5">
        <v>161.72999999999999</v>
      </c>
      <c r="E857" s="5">
        <v>163.72999999999999</v>
      </c>
      <c r="F857" s="6">
        <v>8364573</v>
      </c>
    </row>
    <row r="858" spans="1:6" x14ac:dyDescent="0.2">
      <c r="A858" s="4">
        <v>45716</v>
      </c>
      <c r="B858" s="5">
        <v>164.31</v>
      </c>
      <c r="C858" s="5">
        <v>165.94</v>
      </c>
      <c r="D858" s="5">
        <v>162.69999999999999</v>
      </c>
      <c r="E858" s="5">
        <v>165.02</v>
      </c>
      <c r="F858" s="6">
        <v>12037420</v>
      </c>
    </row>
    <row r="859" spans="1:6" x14ac:dyDescent="0.2">
      <c r="A859" s="4">
        <v>45719</v>
      </c>
      <c r="B859" s="5">
        <v>164.96</v>
      </c>
      <c r="C859" s="5">
        <v>167.33</v>
      </c>
      <c r="D859" s="5">
        <v>164.84</v>
      </c>
      <c r="E859" s="5">
        <v>167.28</v>
      </c>
      <c r="F859" s="6">
        <v>9191464</v>
      </c>
    </row>
    <row r="860" spans="1:6" x14ac:dyDescent="0.2">
      <c r="A860" s="4">
        <v>45720</v>
      </c>
      <c r="B860" s="5">
        <v>168.08</v>
      </c>
      <c r="C860" s="5">
        <v>169.99</v>
      </c>
      <c r="D860" s="5">
        <v>165.32</v>
      </c>
      <c r="E860" s="5">
        <v>165.42</v>
      </c>
      <c r="F860" s="6">
        <v>11999960</v>
      </c>
    </row>
    <row r="861" spans="1:6" x14ac:dyDescent="0.2">
      <c r="A861" s="4">
        <v>45721</v>
      </c>
      <c r="B861" s="5">
        <v>164.51</v>
      </c>
      <c r="C861" s="5">
        <v>166.46180000000001</v>
      </c>
      <c r="D861" s="5">
        <v>163.53</v>
      </c>
      <c r="E861" s="5">
        <v>165.12</v>
      </c>
      <c r="F861" s="6">
        <v>8745050</v>
      </c>
    </row>
    <row r="862" spans="1:6" x14ac:dyDescent="0.2">
      <c r="A862" s="4">
        <v>45722</v>
      </c>
      <c r="B862" s="5">
        <v>165</v>
      </c>
      <c r="C862" s="5">
        <v>165.87</v>
      </c>
      <c r="D862" s="5">
        <v>163.51</v>
      </c>
      <c r="E862" s="5">
        <v>165.83</v>
      </c>
      <c r="F862" s="6">
        <v>8037888</v>
      </c>
    </row>
    <row r="863" spans="1:6" x14ac:dyDescent="0.2">
      <c r="A863" s="4">
        <v>45723</v>
      </c>
      <c r="B863" s="5">
        <v>165.13</v>
      </c>
      <c r="C863" s="5">
        <v>168.46</v>
      </c>
      <c r="D863" s="5">
        <v>164.7</v>
      </c>
      <c r="E863" s="5">
        <v>166.69</v>
      </c>
      <c r="F863" s="6">
        <v>9637593</v>
      </c>
    </row>
    <row r="864" spans="1:6" x14ac:dyDescent="0.2">
      <c r="A864" s="4">
        <v>45726</v>
      </c>
      <c r="B864" s="5">
        <v>167.48</v>
      </c>
      <c r="C864" s="5">
        <v>169.9</v>
      </c>
      <c r="D864" s="5">
        <v>167.05</v>
      </c>
      <c r="E864" s="5">
        <v>167.7</v>
      </c>
      <c r="F864" s="6">
        <v>17558980</v>
      </c>
    </row>
    <row r="865" spans="1:6" x14ac:dyDescent="0.2">
      <c r="A865" s="4">
        <v>45727</v>
      </c>
      <c r="B865" s="5">
        <v>167.2</v>
      </c>
      <c r="C865" s="5">
        <v>167.3</v>
      </c>
      <c r="D865" s="5">
        <v>165.05</v>
      </c>
      <c r="E865" s="5">
        <v>165.86</v>
      </c>
      <c r="F865" s="6">
        <v>9890648</v>
      </c>
    </row>
    <row r="866" spans="1:6" x14ac:dyDescent="0.2">
      <c r="A866" s="4">
        <v>45728</v>
      </c>
      <c r="B866" s="5">
        <v>163.72999999999999</v>
      </c>
      <c r="C866" s="5">
        <v>164.21</v>
      </c>
      <c r="D866" s="5">
        <v>162.22999999999999</v>
      </c>
      <c r="E866" s="5">
        <v>162.85</v>
      </c>
      <c r="F866" s="6">
        <v>8010692</v>
      </c>
    </row>
    <row r="867" spans="1:6" x14ac:dyDescent="0.2">
      <c r="A867" s="4">
        <v>45729</v>
      </c>
      <c r="B867" s="5">
        <v>163.43</v>
      </c>
      <c r="C867" s="5">
        <v>164.54</v>
      </c>
      <c r="D867" s="5">
        <v>162.6601</v>
      </c>
      <c r="E867" s="5">
        <v>162.99</v>
      </c>
      <c r="F867" s="6">
        <v>5286734</v>
      </c>
    </row>
    <row r="868" spans="1:6" x14ac:dyDescent="0.2">
      <c r="A868" s="4">
        <v>45730</v>
      </c>
      <c r="B868" s="5">
        <v>162.12</v>
      </c>
      <c r="C868" s="5">
        <v>163.15</v>
      </c>
      <c r="D868" s="5">
        <v>161.1</v>
      </c>
      <c r="E868" s="5">
        <v>162.81</v>
      </c>
      <c r="F868" s="6">
        <v>6235797</v>
      </c>
    </row>
    <row r="869" spans="1:6" x14ac:dyDescent="0.2">
      <c r="A869" s="4">
        <v>45733</v>
      </c>
      <c r="B869" s="5">
        <v>162.41</v>
      </c>
      <c r="C869" s="5">
        <v>163.5</v>
      </c>
      <c r="D869" s="5">
        <v>161.72999999999999</v>
      </c>
      <c r="E869" s="5">
        <v>162.84</v>
      </c>
      <c r="F869" s="6">
        <v>6669815</v>
      </c>
    </row>
    <row r="870" spans="1:6" x14ac:dyDescent="0.2">
      <c r="A870" s="4">
        <v>45734</v>
      </c>
      <c r="B870" s="5">
        <v>163.44</v>
      </c>
      <c r="C870" s="5">
        <v>164.86</v>
      </c>
      <c r="D870" s="5">
        <v>162.965</v>
      </c>
      <c r="E870" s="5">
        <v>164.25</v>
      </c>
      <c r="F870" s="6">
        <v>7348974</v>
      </c>
    </row>
    <row r="871" spans="1:6" x14ac:dyDescent="0.2">
      <c r="A871" s="4">
        <v>45735</v>
      </c>
      <c r="B871" s="5">
        <v>163.97</v>
      </c>
      <c r="C871" s="5">
        <v>164.36</v>
      </c>
      <c r="D871" s="5">
        <v>162.21</v>
      </c>
      <c r="E871" s="5">
        <v>162.99</v>
      </c>
      <c r="F871" s="6">
        <v>5936637</v>
      </c>
    </row>
    <row r="872" spans="1:6" x14ac:dyDescent="0.2">
      <c r="A872" s="4">
        <v>45736</v>
      </c>
      <c r="B872" s="5">
        <v>163</v>
      </c>
      <c r="C872" s="5">
        <v>163.19999999999999</v>
      </c>
      <c r="D872" s="5">
        <v>161.92500000000001</v>
      </c>
      <c r="E872" s="5">
        <v>163.02000000000001</v>
      </c>
      <c r="F872" s="6">
        <v>7485930</v>
      </c>
    </row>
    <row r="873" spans="1:6" x14ac:dyDescent="0.2">
      <c r="A873" s="4">
        <v>45737</v>
      </c>
      <c r="B873" s="5">
        <v>163</v>
      </c>
      <c r="C873" s="5">
        <v>164.13</v>
      </c>
      <c r="D873" s="5">
        <v>162.47999999999999</v>
      </c>
      <c r="E873" s="5">
        <v>163.63</v>
      </c>
      <c r="F873" s="6">
        <v>17047110</v>
      </c>
    </row>
    <row r="874" spans="1:6" x14ac:dyDescent="0.2">
      <c r="A874" s="4">
        <v>45740</v>
      </c>
      <c r="B874" s="5">
        <v>162.84</v>
      </c>
      <c r="C874" s="5">
        <v>164.39</v>
      </c>
      <c r="D874" s="5">
        <v>162.5</v>
      </c>
      <c r="E874" s="5">
        <v>163.29</v>
      </c>
      <c r="F874" s="6">
        <v>8046565</v>
      </c>
    </row>
    <row r="875" spans="1:6" x14ac:dyDescent="0.2">
      <c r="A875" s="4">
        <v>45741</v>
      </c>
      <c r="B875" s="5">
        <v>163.52000000000001</v>
      </c>
      <c r="C875" s="5">
        <v>164.19</v>
      </c>
      <c r="D875" s="5">
        <v>160.55500000000001</v>
      </c>
      <c r="E875" s="5">
        <v>161.02000000000001</v>
      </c>
      <c r="F875" s="6">
        <v>7456197</v>
      </c>
    </row>
    <row r="876" spans="1:6" x14ac:dyDescent="0.2">
      <c r="A876" s="4">
        <v>45742</v>
      </c>
      <c r="B876" s="5">
        <v>161.21</v>
      </c>
      <c r="C876" s="5">
        <v>162.49</v>
      </c>
      <c r="D876" s="5">
        <v>160.63999999999999</v>
      </c>
      <c r="E876" s="5">
        <v>161.72</v>
      </c>
      <c r="F876" s="6">
        <v>7223773</v>
      </c>
    </row>
    <row r="877" spans="1:6" x14ac:dyDescent="0.2">
      <c r="A877" s="4">
        <v>45743</v>
      </c>
      <c r="B877" s="5">
        <v>162.35</v>
      </c>
      <c r="C877" s="5">
        <v>164.065</v>
      </c>
      <c r="D877" s="5">
        <v>161.32</v>
      </c>
      <c r="E877" s="5">
        <v>163.13</v>
      </c>
      <c r="F877" s="6">
        <v>6752466</v>
      </c>
    </row>
    <row r="878" spans="1:6" x14ac:dyDescent="0.2">
      <c r="A878" s="4">
        <v>45744</v>
      </c>
      <c r="B878" s="5">
        <v>163.59</v>
      </c>
      <c r="C878" s="5">
        <v>164.52</v>
      </c>
      <c r="D878" s="5">
        <v>162.91</v>
      </c>
      <c r="E878" s="5">
        <v>163.71</v>
      </c>
      <c r="F878" s="6">
        <v>5760545</v>
      </c>
    </row>
    <row r="879" spans="1:6" x14ac:dyDescent="0.2">
      <c r="A879" s="4">
        <v>45747</v>
      </c>
      <c r="B879" s="5">
        <v>164.37</v>
      </c>
      <c r="C879" s="5">
        <v>166.63</v>
      </c>
      <c r="D879" s="5">
        <v>164.23</v>
      </c>
      <c r="E879" s="5">
        <v>165.84</v>
      </c>
      <c r="F879" s="6">
        <v>12481400</v>
      </c>
    </row>
    <row r="880" spans="1:6" x14ac:dyDescent="0.2">
      <c r="A880" s="4">
        <v>45748</v>
      </c>
      <c r="B880" s="5">
        <v>160.72999999999999</v>
      </c>
      <c r="C880" s="5">
        <v>161.81</v>
      </c>
      <c r="D880" s="5">
        <v>153.13</v>
      </c>
      <c r="E880" s="5">
        <v>153.25</v>
      </c>
      <c r="F880" s="6">
        <v>23303070</v>
      </c>
    </row>
    <row r="881" spans="1:6" x14ac:dyDescent="0.2">
      <c r="A881" s="4">
        <v>45749</v>
      </c>
      <c r="B881" s="5">
        <v>154.01499999999999</v>
      </c>
      <c r="C881" s="5">
        <v>155.79</v>
      </c>
      <c r="D881" s="5">
        <v>153.45009999999999</v>
      </c>
      <c r="E881" s="5">
        <v>155.36000000000001</v>
      </c>
      <c r="F881" s="6">
        <v>10356920</v>
      </c>
    </row>
    <row r="882" spans="1:6" x14ac:dyDescent="0.2">
      <c r="A882" s="4">
        <v>45750</v>
      </c>
      <c r="B882" s="5">
        <v>158.75</v>
      </c>
      <c r="C882" s="5">
        <v>160.64500000000001</v>
      </c>
      <c r="D882" s="5">
        <v>157.47999999999999</v>
      </c>
      <c r="E882" s="5">
        <v>159.82</v>
      </c>
      <c r="F882" s="6">
        <v>13249310</v>
      </c>
    </row>
    <row r="883" spans="1:6" x14ac:dyDescent="0.2">
      <c r="A883" s="4">
        <v>45751</v>
      </c>
      <c r="B883" s="5">
        <v>159.155</v>
      </c>
      <c r="C883" s="5">
        <v>159.82</v>
      </c>
      <c r="D883" s="5">
        <v>152.93</v>
      </c>
      <c r="E883" s="5">
        <v>153.24</v>
      </c>
      <c r="F883" s="6">
        <v>16601730</v>
      </c>
    </row>
    <row r="884" spans="1:6" x14ac:dyDescent="0.2">
      <c r="A884" s="4">
        <v>45754</v>
      </c>
      <c r="B884" s="5">
        <v>151.28</v>
      </c>
      <c r="C884" s="5">
        <v>152.71</v>
      </c>
      <c r="D884" s="5">
        <v>147.4</v>
      </c>
      <c r="E884" s="5">
        <v>150.62</v>
      </c>
      <c r="F884" s="6">
        <v>18083040</v>
      </c>
    </row>
    <row r="885" spans="1:6" x14ac:dyDescent="0.2">
      <c r="A885" s="4">
        <v>45755</v>
      </c>
      <c r="B885" s="5">
        <v>153.59</v>
      </c>
      <c r="C885" s="5">
        <v>153.59</v>
      </c>
      <c r="D885" s="5">
        <v>148</v>
      </c>
      <c r="E885" s="5">
        <v>150</v>
      </c>
      <c r="F885" s="6">
        <v>12018390</v>
      </c>
    </row>
    <row r="886" spans="1:6" x14ac:dyDescent="0.2">
      <c r="A886" s="4">
        <v>45756</v>
      </c>
      <c r="B886" s="5">
        <v>142.19999999999999</v>
      </c>
      <c r="C886" s="5">
        <v>153.19</v>
      </c>
      <c r="D886" s="5">
        <v>141.5</v>
      </c>
      <c r="E886" s="5">
        <v>150.97</v>
      </c>
      <c r="F886" s="6">
        <v>18773740</v>
      </c>
    </row>
    <row r="887" spans="1:6" x14ac:dyDescent="0.2">
      <c r="A887" s="4">
        <v>45757</v>
      </c>
      <c r="B887" s="5">
        <v>150.37</v>
      </c>
      <c r="C887" s="5">
        <v>151.19999999999999</v>
      </c>
      <c r="D887" s="5">
        <v>145.13</v>
      </c>
      <c r="E887" s="5">
        <v>148.69</v>
      </c>
      <c r="F887" s="6">
        <v>13830470</v>
      </c>
    </row>
    <row r="888" spans="1:6" x14ac:dyDescent="0.2">
      <c r="A888" s="4">
        <v>45758</v>
      </c>
      <c r="B888" s="5">
        <v>149.33000000000001</v>
      </c>
      <c r="C888" s="5">
        <v>152.35</v>
      </c>
      <c r="D888" s="5">
        <v>148.19</v>
      </c>
      <c r="E888" s="5">
        <v>151.72999999999999</v>
      </c>
      <c r="F888" s="6">
        <v>9943851</v>
      </c>
    </row>
    <row r="889" spans="1:6" x14ac:dyDescent="0.2">
      <c r="A889" s="4">
        <v>45761</v>
      </c>
      <c r="B889" s="5">
        <v>151.58500000000001</v>
      </c>
      <c r="C889" s="5">
        <v>154.66999999999999</v>
      </c>
      <c r="D889" s="5">
        <v>151.16579999999999</v>
      </c>
      <c r="E889" s="5">
        <v>154.36000000000001</v>
      </c>
      <c r="F889" s="6">
        <v>10685340</v>
      </c>
    </row>
    <row r="890" spans="1:6" x14ac:dyDescent="0.2">
      <c r="A890" s="4">
        <v>45762</v>
      </c>
      <c r="B890" s="5">
        <v>155.69999999999999</v>
      </c>
      <c r="C890" s="5">
        <v>156.30000000000001</v>
      </c>
      <c r="D890" s="5">
        <v>152.1</v>
      </c>
      <c r="E890" s="5">
        <v>153.62</v>
      </c>
      <c r="F890" s="6">
        <v>10847650</v>
      </c>
    </row>
    <row r="891" spans="1:6" x14ac:dyDescent="0.2">
      <c r="A891" s="4">
        <v>45763</v>
      </c>
      <c r="B891" s="5">
        <v>155.37</v>
      </c>
      <c r="C891" s="5">
        <v>155.63</v>
      </c>
      <c r="D891" s="5">
        <v>152.24</v>
      </c>
      <c r="E891" s="5">
        <v>153.91</v>
      </c>
      <c r="F891" s="6">
        <v>7987296</v>
      </c>
    </row>
    <row r="892" spans="1:6" x14ac:dyDescent="0.2">
      <c r="A892" s="4">
        <v>45764</v>
      </c>
      <c r="B892" s="5">
        <v>154.16</v>
      </c>
      <c r="C892" s="5">
        <v>159.44</v>
      </c>
      <c r="D892" s="5">
        <v>154.16</v>
      </c>
      <c r="E892" s="5">
        <v>157.47</v>
      </c>
      <c r="F892" s="6">
        <v>10981070</v>
      </c>
    </row>
    <row r="893" spans="1:6" x14ac:dyDescent="0.2">
      <c r="A893" s="4">
        <v>45768</v>
      </c>
      <c r="B893" s="5">
        <v>157.96</v>
      </c>
      <c r="C893" s="5">
        <v>158.22999999999999</v>
      </c>
      <c r="D893" s="5">
        <v>155.49</v>
      </c>
      <c r="E893" s="5">
        <v>156.91999999999999</v>
      </c>
      <c r="F893" s="6">
        <v>6285438</v>
      </c>
    </row>
    <row r="894" spans="1:6" x14ac:dyDescent="0.2">
      <c r="A894" s="4">
        <v>45769</v>
      </c>
      <c r="B894" s="5">
        <v>157.55000000000001</v>
      </c>
      <c r="C894" s="5">
        <v>158.72</v>
      </c>
      <c r="D894" s="5">
        <v>156.26009999999999</v>
      </c>
      <c r="E894" s="5">
        <v>157.75</v>
      </c>
      <c r="F894" s="6">
        <v>7136321</v>
      </c>
    </row>
    <row r="895" spans="1:6" x14ac:dyDescent="0.2">
      <c r="A895" s="4">
        <v>45770</v>
      </c>
      <c r="B895" s="5">
        <v>156.49</v>
      </c>
      <c r="C895" s="5">
        <v>157.1</v>
      </c>
      <c r="D895" s="5">
        <v>154.33000000000001</v>
      </c>
      <c r="E895" s="5">
        <v>155.38</v>
      </c>
      <c r="F895" s="6">
        <v>9099438</v>
      </c>
    </row>
    <row r="896" spans="1:6" x14ac:dyDescent="0.2">
      <c r="A896" s="4">
        <v>45771</v>
      </c>
      <c r="B896" s="5">
        <v>155.80000000000001</v>
      </c>
      <c r="C896" s="5">
        <v>155.89500000000001</v>
      </c>
      <c r="D896" s="5">
        <v>153.44</v>
      </c>
      <c r="E896" s="5">
        <v>154.93</v>
      </c>
      <c r="F896" s="6">
        <v>8310425</v>
      </c>
    </row>
    <row r="897" spans="1:6" x14ac:dyDescent="0.2">
      <c r="A897" s="4">
        <v>45772</v>
      </c>
      <c r="B897" s="5">
        <v>154.32</v>
      </c>
      <c r="C897" s="5">
        <v>154.9</v>
      </c>
      <c r="D897" s="5">
        <v>152.44999999999999</v>
      </c>
      <c r="E897" s="5">
        <v>154.58000000000001</v>
      </c>
      <c r="F897" s="6">
        <v>8643927</v>
      </c>
    </row>
    <row r="898" spans="1:6" x14ac:dyDescent="0.2">
      <c r="A898" s="4">
        <v>45775</v>
      </c>
      <c r="B898" s="5">
        <v>155.5</v>
      </c>
      <c r="C898" s="5">
        <v>155.81</v>
      </c>
      <c r="D898" s="5">
        <v>153.82</v>
      </c>
      <c r="E898" s="5">
        <v>155.35</v>
      </c>
      <c r="F898" s="6">
        <v>5815179</v>
      </c>
    </row>
    <row r="899" spans="1:6" x14ac:dyDescent="0.2">
      <c r="A899" s="4">
        <v>45776</v>
      </c>
      <c r="B899" s="5">
        <v>155.44999999999999</v>
      </c>
      <c r="C899" s="5">
        <v>157.02000000000001</v>
      </c>
      <c r="D899" s="5">
        <v>154.29</v>
      </c>
      <c r="E899" s="5">
        <v>155.91</v>
      </c>
      <c r="F899" s="6">
        <v>5246725</v>
      </c>
    </row>
    <row r="900" spans="1:6" x14ac:dyDescent="0.2">
      <c r="A900" s="4">
        <v>45777</v>
      </c>
      <c r="B900" s="5">
        <v>158.19999999999999</v>
      </c>
      <c r="C900" s="5">
        <v>158.19999999999999</v>
      </c>
      <c r="D900" s="5">
        <v>155.02099999999999</v>
      </c>
      <c r="E900" s="5">
        <v>156.31</v>
      </c>
      <c r="F900" s="6">
        <v>9598156</v>
      </c>
    </row>
    <row r="901" spans="1:6" x14ac:dyDescent="0.2">
      <c r="A901" s="4">
        <v>45778</v>
      </c>
      <c r="B901" s="5">
        <v>155</v>
      </c>
      <c r="C901" s="5">
        <v>155.08500000000001</v>
      </c>
      <c r="D901" s="5">
        <v>153.36000000000001</v>
      </c>
      <c r="E901" s="5">
        <v>154.46</v>
      </c>
      <c r="F901" s="6">
        <v>7325849</v>
      </c>
    </row>
    <row r="902" spans="1:6" x14ac:dyDescent="0.2">
      <c r="A902" s="4">
        <v>45779</v>
      </c>
      <c r="B902" s="5">
        <v>156.07</v>
      </c>
      <c r="C902" s="5">
        <v>156.715</v>
      </c>
      <c r="D902" s="5">
        <v>155.04</v>
      </c>
      <c r="E902" s="5">
        <v>156.12</v>
      </c>
      <c r="F902" s="6">
        <v>5974539</v>
      </c>
    </row>
    <row r="903" spans="1:6" x14ac:dyDescent="0.2">
      <c r="A903" s="4">
        <v>45782</v>
      </c>
      <c r="B903" s="5">
        <v>156.66999999999999</v>
      </c>
      <c r="C903" s="5">
        <v>156.79499999999999</v>
      </c>
      <c r="D903" s="5">
        <v>154.72499999999999</v>
      </c>
      <c r="E903" s="5">
        <v>155</v>
      </c>
      <c r="F903" s="6">
        <v>5464496</v>
      </c>
    </row>
    <row r="904" spans="1:6" x14ac:dyDescent="0.2">
      <c r="A904" s="4">
        <v>45783</v>
      </c>
      <c r="B904" s="5">
        <v>154.82</v>
      </c>
      <c r="C904" s="5">
        <v>155.9</v>
      </c>
      <c r="D904" s="5">
        <v>153.685</v>
      </c>
      <c r="E904" s="5">
        <v>154.47</v>
      </c>
      <c r="F904" s="6">
        <v>8644189</v>
      </c>
    </row>
    <row r="905" spans="1:6" x14ac:dyDescent="0.2">
      <c r="A905" s="4">
        <v>45784</v>
      </c>
      <c r="B905" s="5">
        <v>154.74</v>
      </c>
      <c r="C905" s="5">
        <v>157.94229999999999</v>
      </c>
      <c r="D905" s="5">
        <v>154.5</v>
      </c>
      <c r="E905" s="5">
        <v>157.30000000000001</v>
      </c>
      <c r="F905" s="6">
        <v>7854106</v>
      </c>
    </row>
    <row r="906" spans="1:6" x14ac:dyDescent="0.2">
      <c r="A906" s="4">
        <v>45785</v>
      </c>
      <c r="B906" s="5">
        <v>155.82</v>
      </c>
      <c r="C906" s="5">
        <v>157.03</v>
      </c>
      <c r="D906" s="5">
        <v>154.78</v>
      </c>
      <c r="E906" s="5">
        <v>155.66</v>
      </c>
      <c r="F906" s="6">
        <v>7606095</v>
      </c>
    </row>
    <row r="907" spans="1:6" x14ac:dyDescent="0.2">
      <c r="A907" s="4">
        <v>45786</v>
      </c>
      <c r="B907" s="5">
        <v>155.41999999999999</v>
      </c>
      <c r="C907" s="5">
        <v>156.06</v>
      </c>
      <c r="D907" s="5">
        <v>153.81</v>
      </c>
      <c r="E907" s="5">
        <v>154.22</v>
      </c>
      <c r="F907" s="6">
        <v>6520449</v>
      </c>
    </row>
    <row r="908" spans="1:6" x14ac:dyDescent="0.2">
      <c r="A908" s="4">
        <v>45789</v>
      </c>
      <c r="B908" s="5">
        <v>152.02000000000001</v>
      </c>
      <c r="C908" s="5">
        <v>155.36000000000001</v>
      </c>
      <c r="D908" s="5">
        <v>151.18</v>
      </c>
      <c r="E908" s="5">
        <v>154.13999999999999</v>
      </c>
      <c r="F908" s="6">
        <v>9023782</v>
      </c>
    </row>
    <row r="909" spans="1:6" x14ac:dyDescent="0.2">
      <c r="A909" s="4">
        <v>45790</v>
      </c>
      <c r="B909" s="5">
        <v>151.69999999999999</v>
      </c>
      <c r="C909" s="5">
        <v>151.69999999999999</v>
      </c>
      <c r="D909" s="5">
        <v>148.08000000000001</v>
      </c>
      <c r="E909" s="5">
        <v>148.44</v>
      </c>
      <c r="F909" s="6">
        <v>10549610</v>
      </c>
    </row>
    <row r="910" spans="1:6" x14ac:dyDescent="0.2">
      <c r="A910" s="4">
        <v>45791</v>
      </c>
      <c r="B910" s="5">
        <v>148.66499999999999</v>
      </c>
      <c r="C910" s="5">
        <v>148.82</v>
      </c>
      <c r="D910" s="5">
        <v>146.11500000000001</v>
      </c>
      <c r="E910" s="5">
        <v>146.36000000000001</v>
      </c>
      <c r="F910" s="6">
        <v>10215950</v>
      </c>
    </row>
    <row r="911" spans="1:6" x14ac:dyDescent="0.2">
      <c r="A911" s="4">
        <v>45792</v>
      </c>
      <c r="B911" s="5">
        <v>148</v>
      </c>
      <c r="C911" s="5">
        <v>149.65</v>
      </c>
      <c r="D911" s="5">
        <v>147.33000000000001</v>
      </c>
      <c r="E911" s="5">
        <v>149.61000000000001</v>
      </c>
      <c r="F911" s="6">
        <v>7945768</v>
      </c>
    </row>
    <row r="912" spans="1:6" x14ac:dyDescent="0.2">
      <c r="A912" s="4">
        <v>45793</v>
      </c>
      <c r="B912" s="5">
        <v>149.66999999999999</v>
      </c>
      <c r="C912" s="5">
        <v>151.5</v>
      </c>
      <c r="D912" s="5">
        <v>149.22</v>
      </c>
      <c r="E912" s="5">
        <v>151.33000000000001</v>
      </c>
      <c r="F912" s="6">
        <v>8051150</v>
      </c>
    </row>
    <row r="913" spans="1:6" x14ac:dyDescent="0.2">
      <c r="A913" s="4">
        <v>45796</v>
      </c>
      <c r="B913" s="5">
        <v>151.88999999999999</v>
      </c>
      <c r="C913" s="5">
        <v>152.66</v>
      </c>
      <c r="D913" s="5">
        <v>151.05000000000001</v>
      </c>
      <c r="E913" s="5">
        <v>152.49</v>
      </c>
      <c r="F913" s="6">
        <v>12639950</v>
      </c>
    </row>
    <row r="914" spans="1:6" x14ac:dyDescent="0.2">
      <c r="A914" s="4">
        <v>45797</v>
      </c>
      <c r="B914" s="5">
        <v>152.33000000000001</v>
      </c>
      <c r="C914" s="5">
        <v>154.03989999999999</v>
      </c>
      <c r="D914" s="5">
        <v>152.12</v>
      </c>
      <c r="E914" s="5">
        <v>153.66</v>
      </c>
      <c r="F914" s="6">
        <v>7351451</v>
      </c>
    </row>
    <row r="915" spans="1:6" x14ac:dyDescent="0.2">
      <c r="A915" s="4">
        <v>45798</v>
      </c>
      <c r="B915" s="5">
        <v>153.19</v>
      </c>
      <c r="C915" s="5">
        <v>154.43</v>
      </c>
      <c r="D915" s="5">
        <v>153</v>
      </c>
      <c r="E915" s="5">
        <v>153.18</v>
      </c>
      <c r="F915" s="6">
        <v>7032225</v>
      </c>
    </row>
    <row r="916" spans="1:6" x14ac:dyDescent="0.2">
      <c r="A916" s="4">
        <v>45799</v>
      </c>
      <c r="B916" s="5">
        <v>152.64500000000001</v>
      </c>
      <c r="C916" s="5">
        <v>153.32</v>
      </c>
      <c r="D916" s="5">
        <v>151.37</v>
      </c>
      <c r="E916" s="5">
        <v>152.61000000000001</v>
      </c>
      <c r="F916" s="6">
        <v>7535335</v>
      </c>
    </row>
    <row r="917" spans="1:6" x14ac:dyDescent="0.2">
      <c r="A917" s="4">
        <v>45800</v>
      </c>
      <c r="B917" s="5">
        <v>153</v>
      </c>
      <c r="C917" s="5">
        <v>153.47999999999999</v>
      </c>
      <c r="D917" s="5">
        <v>152.21</v>
      </c>
      <c r="E917" s="5">
        <v>152.94</v>
      </c>
      <c r="F917" s="6">
        <v>6727539</v>
      </c>
    </row>
    <row r="918" spans="1:6" x14ac:dyDescent="0.2">
      <c r="A918" s="4">
        <v>45804</v>
      </c>
      <c r="B918" s="5">
        <v>152.52000000000001</v>
      </c>
      <c r="C918" s="5">
        <v>154.04499999999999</v>
      </c>
      <c r="D918" s="5">
        <v>151.93</v>
      </c>
      <c r="E918" s="5">
        <v>153.25</v>
      </c>
      <c r="F918" s="6">
        <v>6990694</v>
      </c>
    </row>
    <row r="919" spans="1:6" x14ac:dyDescent="0.2">
      <c r="A919" s="4">
        <v>45805</v>
      </c>
      <c r="B919" s="5">
        <v>153.28</v>
      </c>
      <c r="C919" s="5">
        <v>153.63999999999999</v>
      </c>
      <c r="D919" s="5">
        <v>151.93</v>
      </c>
      <c r="E919" s="5">
        <v>152.43</v>
      </c>
      <c r="F919" s="6">
        <v>8459310</v>
      </c>
    </row>
    <row r="920" spans="1:6" x14ac:dyDescent="0.2">
      <c r="A920" s="4">
        <v>45806</v>
      </c>
      <c r="B920" s="5">
        <v>151.75</v>
      </c>
      <c r="C920" s="5">
        <v>154.04</v>
      </c>
      <c r="D920" s="5">
        <v>151.56</v>
      </c>
      <c r="E920" s="5">
        <v>153.58000000000001</v>
      </c>
      <c r="F920" s="6">
        <v>6810982</v>
      </c>
    </row>
    <row r="921" spans="1:6" x14ac:dyDescent="0.2">
      <c r="A921" s="4">
        <v>45807</v>
      </c>
      <c r="B921" s="5">
        <v>153.9</v>
      </c>
      <c r="C921" s="5">
        <v>155.71</v>
      </c>
      <c r="D921" s="5">
        <v>153.22</v>
      </c>
      <c r="E921" s="5">
        <v>155.21</v>
      </c>
      <c r="F921" s="6">
        <v>15529720</v>
      </c>
    </row>
    <row r="922" spans="1:6" x14ac:dyDescent="0.2">
      <c r="A922" s="4">
        <v>45810</v>
      </c>
      <c r="B922" s="5">
        <v>154.47999999999999</v>
      </c>
      <c r="C922" s="5">
        <v>155.54</v>
      </c>
      <c r="D922" s="5">
        <v>152.30000000000001</v>
      </c>
      <c r="E922" s="5">
        <v>155.4</v>
      </c>
      <c r="F922" s="6">
        <v>6669669</v>
      </c>
    </row>
    <row r="923" spans="1:6" x14ac:dyDescent="0.2">
      <c r="A923" s="4">
        <v>45811</v>
      </c>
      <c r="B923" s="5">
        <v>154.80000000000001</v>
      </c>
      <c r="C923" s="5">
        <v>155.66</v>
      </c>
      <c r="D923" s="5">
        <v>154.08000000000001</v>
      </c>
      <c r="E923" s="5">
        <v>154.41999999999999</v>
      </c>
      <c r="F923" s="6">
        <v>8209757</v>
      </c>
    </row>
    <row r="924" spans="1:6" x14ac:dyDescent="0.2">
      <c r="A924" s="4">
        <v>45812</v>
      </c>
      <c r="B924" s="5">
        <v>154.93</v>
      </c>
      <c r="C924" s="5">
        <v>154.93</v>
      </c>
      <c r="D924" s="5">
        <v>153.13</v>
      </c>
      <c r="E924" s="5">
        <v>153.22</v>
      </c>
      <c r="F924" s="6">
        <v>6983861</v>
      </c>
    </row>
    <row r="925" spans="1:6" x14ac:dyDescent="0.2">
      <c r="A925" s="4">
        <v>45813</v>
      </c>
      <c r="B925" s="5">
        <v>153.68</v>
      </c>
      <c r="C925" s="5">
        <v>154.09</v>
      </c>
      <c r="D925" s="5">
        <v>152.63999999999999</v>
      </c>
      <c r="E925" s="5">
        <v>153.66</v>
      </c>
      <c r="F925" s="6">
        <v>5296258</v>
      </c>
    </row>
    <row r="926" spans="1:6" x14ac:dyDescent="0.2">
      <c r="A926" s="4">
        <v>45814</v>
      </c>
      <c r="B926" s="5">
        <v>154</v>
      </c>
      <c r="C926" s="5">
        <v>156.03</v>
      </c>
      <c r="D926" s="5">
        <v>154</v>
      </c>
      <c r="E926" s="5">
        <v>155.03</v>
      </c>
      <c r="F926" s="6">
        <v>5391841</v>
      </c>
    </row>
    <row r="927" spans="1:6" x14ac:dyDescent="0.2">
      <c r="A927" s="4">
        <v>45817</v>
      </c>
      <c r="B927" s="5">
        <v>154.85</v>
      </c>
      <c r="C927" s="5">
        <v>155.99</v>
      </c>
      <c r="D927" s="5">
        <v>154.44999999999999</v>
      </c>
      <c r="E927" s="5">
        <v>155.22999999999999</v>
      </c>
      <c r="F927" s="6">
        <v>5319232</v>
      </c>
    </row>
    <row r="928" spans="1:6" x14ac:dyDescent="0.2">
      <c r="A928" s="4">
        <v>45818</v>
      </c>
      <c r="B928" s="5">
        <v>155.43</v>
      </c>
      <c r="C928" s="5">
        <v>157.44</v>
      </c>
      <c r="D928" s="5">
        <v>155.02000000000001</v>
      </c>
      <c r="E928" s="5">
        <v>156.44999999999999</v>
      </c>
      <c r="F928" s="6">
        <v>6791881</v>
      </c>
    </row>
    <row r="929" spans="1:6" x14ac:dyDescent="0.2">
      <c r="A929" s="4">
        <v>45819</v>
      </c>
      <c r="B929" s="5">
        <v>156.30000000000001</v>
      </c>
      <c r="C929" s="5">
        <v>156.6</v>
      </c>
      <c r="D929" s="5">
        <v>154.72999999999999</v>
      </c>
      <c r="E929" s="5">
        <v>155.26</v>
      </c>
      <c r="F929" s="6">
        <v>6016039</v>
      </c>
    </row>
    <row r="930" spans="1:6" x14ac:dyDescent="0.2">
      <c r="A930" s="4">
        <v>45820</v>
      </c>
      <c r="B930" s="5">
        <v>156.24</v>
      </c>
      <c r="C930" s="5">
        <v>156.67500000000001</v>
      </c>
      <c r="D930" s="5">
        <v>155.16999999999999</v>
      </c>
      <c r="E930" s="5">
        <v>156.66</v>
      </c>
      <c r="F930" s="6">
        <v>7075511</v>
      </c>
    </row>
    <row r="931" spans="1:6" x14ac:dyDescent="0.2">
      <c r="A931" s="4">
        <v>45821</v>
      </c>
      <c r="B931" s="5">
        <v>155.97</v>
      </c>
      <c r="C931" s="5">
        <v>157.66999999999999</v>
      </c>
      <c r="D931" s="5">
        <v>155.97</v>
      </c>
      <c r="E931" s="5">
        <v>157.1</v>
      </c>
      <c r="F931" s="6">
        <v>6587849</v>
      </c>
    </row>
    <row r="932" spans="1:6" x14ac:dyDescent="0.2">
      <c r="A932" s="4">
        <v>45824</v>
      </c>
      <c r="B932" s="5">
        <v>156.41999999999999</v>
      </c>
      <c r="C932" s="5">
        <v>156.495</v>
      </c>
      <c r="D932" s="5">
        <v>154.44999999999999</v>
      </c>
      <c r="E932" s="5">
        <v>155.22</v>
      </c>
      <c r="F932" s="6">
        <v>7023995</v>
      </c>
    </row>
    <row r="933" spans="1:6" x14ac:dyDescent="0.2">
      <c r="A933" s="4">
        <v>45825</v>
      </c>
      <c r="B933" s="5">
        <v>154.965</v>
      </c>
      <c r="C933" s="5">
        <v>155.28</v>
      </c>
      <c r="D933" s="5">
        <v>152.10499999999999</v>
      </c>
      <c r="E933" s="5">
        <v>152.38</v>
      </c>
      <c r="F933" s="6">
        <v>6407098</v>
      </c>
    </row>
    <row r="934" spans="1:6" x14ac:dyDescent="0.2">
      <c r="A934" s="4">
        <v>45826</v>
      </c>
      <c r="B934" s="5">
        <v>152.57</v>
      </c>
      <c r="C934" s="5">
        <v>152.64500000000001</v>
      </c>
      <c r="D934" s="5">
        <v>150.71</v>
      </c>
      <c r="E934" s="5">
        <v>150.72999999999999</v>
      </c>
      <c r="F934" s="6">
        <v>8325237</v>
      </c>
    </row>
    <row r="935" spans="1:6" x14ac:dyDescent="0.2">
      <c r="A935" s="4">
        <v>45828</v>
      </c>
      <c r="B935" s="5">
        <v>151.26</v>
      </c>
      <c r="C935" s="5">
        <v>151.39500000000001</v>
      </c>
      <c r="D935" s="5">
        <v>149.04</v>
      </c>
      <c r="E935" s="5">
        <v>149.79</v>
      </c>
      <c r="F935" s="6">
        <v>22605470</v>
      </c>
    </row>
    <row r="936" spans="1:6" x14ac:dyDescent="0.2">
      <c r="A936" s="4">
        <v>45831</v>
      </c>
      <c r="B936" s="5">
        <v>149.74</v>
      </c>
      <c r="C936" s="5">
        <v>151.43</v>
      </c>
      <c r="D936" s="5">
        <v>149.74</v>
      </c>
      <c r="E936" s="5">
        <v>151.32</v>
      </c>
      <c r="F936" s="6">
        <v>7397853</v>
      </c>
    </row>
    <row r="937" spans="1:6" x14ac:dyDescent="0.2">
      <c r="A937" s="4">
        <v>45832</v>
      </c>
      <c r="B937" s="5">
        <v>151.5</v>
      </c>
      <c r="C937" s="5">
        <v>152.72</v>
      </c>
      <c r="D937" s="5">
        <v>150.97999999999999</v>
      </c>
      <c r="E937" s="5">
        <v>152.19</v>
      </c>
      <c r="F937" s="6">
        <v>9544217</v>
      </c>
    </row>
    <row r="938" spans="1:6" x14ac:dyDescent="0.2">
      <c r="A938" s="4">
        <v>45833</v>
      </c>
      <c r="B938" s="5">
        <v>151.38</v>
      </c>
      <c r="C938" s="5">
        <v>153.07</v>
      </c>
      <c r="D938" s="5">
        <v>150.72999999999999</v>
      </c>
      <c r="E938" s="5">
        <v>152.28</v>
      </c>
      <c r="F938" s="6">
        <v>7153708</v>
      </c>
    </row>
    <row r="939" spans="1:6" x14ac:dyDescent="0.2">
      <c r="A939" s="4">
        <v>45834</v>
      </c>
      <c r="B939" s="5">
        <v>152.69999999999999</v>
      </c>
      <c r="C939" s="5">
        <v>153.22</v>
      </c>
      <c r="D939" s="5">
        <v>151.53</v>
      </c>
      <c r="E939" s="5">
        <v>152.01</v>
      </c>
      <c r="F939" s="6">
        <v>7156903</v>
      </c>
    </row>
    <row r="940" spans="1:6" x14ac:dyDescent="0.2">
      <c r="A940" s="4">
        <v>45835</v>
      </c>
      <c r="B940" s="5">
        <v>152.01</v>
      </c>
      <c r="C940" s="5">
        <v>153.33000000000001</v>
      </c>
      <c r="D940" s="5">
        <v>151.01</v>
      </c>
      <c r="E940" s="5">
        <v>152.41</v>
      </c>
      <c r="F940" s="6">
        <v>10010790</v>
      </c>
    </row>
    <row r="941" spans="1:6" x14ac:dyDescent="0.2">
      <c r="A941" s="4">
        <v>45838</v>
      </c>
      <c r="B941" s="5">
        <v>152.16</v>
      </c>
      <c r="C941" s="5">
        <v>152.97</v>
      </c>
      <c r="D941" s="5">
        <v>151.52000000000001</v>
      </c>
      <c r="E941" s="5">
        <v>152.75</v>
      </c>
      <c r="F941" s="6">
        <v>9039552</v>
      </c>
    </row>
    <row r="942" spans="1:6" x14ac:dyDescent="0.2">
      <c r="A942" s="4">
        <v>45839</v>
      </c>
      <c r="B942" s="5">
        <v>153</v>
      </c>
      <c r="C942" s="5">
        <v>157.75</v>
      </c>
      <c r="D942" s="5">
        <v>152.81</v>
      </c>
      <c r="E942" s="5">
        <v>155.91999999999999</v>
      </c>
      <c r="F942" s="6">
        <v>10896680</v>
      </c>
    </row>
    <row r="943" spans="1:6" x14ac:dyDescent="0.2">
      <c r="A943" s="4">
        <v>45840</v>
      </c>
      <c r="B943" s="5">
        <v>156</v>
      </c>
      <c r="C943" s="5">
        <v>156.30000000000001</v>
      </c>
      <c r="D943" s="5">
        <v>155.07</v>
      </c>
      <c r="E943" s="5">
        <v>155.56</v>
      </c>
      <c r="F943" s="6">
        <v>5544030</v>
      </c>
    </row>
    <row r="944" spans="1:6" x14ac:dyDescent="0.2">
      <c r="A944" s="4">
        <v>45841</v>
      </c>
      <c r="B944" s="5">
        <v>155.43</v>
      </c>
      <c r="C944" s="5">
        <v>156.28</v>
      </c>
      <c r="D944" s="5">
        <v>154.88</v>
      </c>
      <c r="E944" s="5">
        <v>156.01</v>
      </c>
      <c r="F944" s="6">
        <v>3482521</v>
      </c>
    </row>
    <row r="945" spans="1:6" x14ac:dyDescent="0.2">
      <c r="A945" s="4">
        <v>45845</v>
      </c>
      <c r="B945" s="5">
        <v>156.02000000000001</v>
      </c>
      <c r="C945" s="5">
        <v>156.35</v>
      </c>
      <c r="D945" s="5">
        <v>154.88999999999999</v>
      </c>
      <c r="E945" s="5">
        <v>155.27000000000001</v>
      </c>
      <c r="F945" s="6">
        <v>6270887</v>
      </c>
    </row>
    <row r="946" spans="1:6" x14ac:dyDescent="0.2">
      <c r="A946" s="4">
        <v>45846</v>
      </c>
      <c r="B946" s="5">
        <v>154.47999999999999</v>
      </c>
      <c r="C946" s="5">
        <v>156.76</v>
      </c>
      <c r="D946" s="5">
        <v>154.21</v>
      </c>
      <c r="E946" s="5">
        <v>155.79</v>
      </c>
      <c r="F946" s="6">
        <v>6438221</v>
      </c>
    </row>
    <row r="947" spans="1:6" x14ac:dyDescent="0.2">
      <c r="A947" s="4">
        <v>45847</v>
      </c>
      <c r="B947" s="5">
        <v>155.79</v>
      </c>
      <c r="C947" s="5">
        <v>156.69</v>
      </c>
      <c r="D947" s="5">
        <v>155.065</v>
      </c>
      <c r="E947" s="5">
        <v>156.28</v>
      </c>
      <c r="F947" s="6">
        <v>6147685</v>
      </c>
    </row>
    <row r="948" spans="1:6" x14ac:dyDescent="0.2">
      <c r="A948" s="4">
        <v>45848</v>
      </c>
      <c r="B948" s="5">
        <v>156.1</v>
      </c>
      <c r="C948" s="5">
        <v>159.24</v>
      </c>
      <c r="D948" s="5">
        <v>155.82089999999999</v>
      </c>
      <c r="E948" s="5">
        <v>157.69</v>
      </c>
      <c r="F948" s="6">
        <v>6733128</v>
      </c>
    </row>
    <row r="949" spans="1:6" x14ac:dyDescent="0.2">
      <c r="A949" s="4">
        <v>45849</v>
      </c>
      <c r="B949" s="5">
        <v>157.08500000000001</v>
      </c>
      <c r="C949" s="5">
        <v>157.18</v>
      </c>
      <c r="D949" s="5">
        <v>155.18</v>
      </c>
      <c r="E949" s="5">
        <v>156.9</v>
      </c>
      <c r="F949" s="6">
        <v>7872172</v>
      </c>
    </row>
    <row r="950" spans="1:6" x14ac:dyDescent="0.2">
      <c r="A950" s="4">
        <v>45852</v>
      </c>
      <c r="B950" s="5">
        <v>156.87</v>
      </c>
      <c r="C950" s="5">
        <v>157.47</v>
      </c>
      <c r="D950" s="5">
        <v>155.52000000000001</v>
      </c>
      <c r="E950" s="5">
        <v>156.82</v>
      </c>
      <c r="F950" s="6">
        <v>10185630</v>
      </c>
    </row>
    <row r="951" spans="1:6" x14ac:dyDescent="0.2">
      <c r="A951" s="4">
        <v>45853</v>
      </c>
      <c r="B951" s="5">
        <v>156.36000000000001</v>
      </c>
      <c r="C951" s="5">
        <v>157.19</v>
      </c>
      <c r="D951" s="5">
        <v>154.80000000000001</v>
      </c>
      <c r="E951" s="5">
        <v>155.16999999999999</v>
      </c>
      <c r="F951" s="6">
        <v>6873200</v>
      </c>
    </row>
    <row r="952" spans="1:6" x14ac:dyDescent="0.2">
      <c r="A952" s="4">
        <v>45854</v>
      </c>
      <c r="B952" s="5">
        <v>160.30000000000001</v>
      </c>
      <c r="C952" s="5">
        <v>166.12</v>
      </c>
      <c r="D952" s="5">
        <v>159.80000000000001</v>
      </c>
      <c r="E952" s="5">
        <v>164.78</v>
      </c>
      <c r="F952" s="6">
        <v>22134770</v>
      </c>
    </row>
    <row r="953" spans="1:6" x14ac:dyDescent="0.2">
      <c r="A953" s="4">
        <v>45855</v>
      </c>
      <c r="B953" s="5">
        <v>163.18</v>
      </c>
      <c r="C953" s="5">
        <v>164.7</v>
      </c>
      <c r="D953" s="5">
        <v>162.297</v>
      </c>
      <c r="E953" s="5">
        <v>162.97999999999999</v>
      </c>
      <c r="F953" s="6">
        <v>11295750</v>
      </c>
    </row>
    <row r="954" spans="1:6" x14ac:dyDescent="0.2">
      <c r="A954" s="4">
        <v>45856</v>
      </c>
      <c r="B954" s="5">
        <v>163.93</v>
      </c>
      <c r="C954" s="5">
        <v>165.1</v>
      </c>
      <c r="D954" s="5">
        <v>163.36000000000001</v>
      </c>
      <c r="E954" s="5">
        <v>163.69999999999999</v>
      </c>
      <c r="F954" s="6">
        <v>9793046</v>
      </c>
    </row>
    <row r="955" spans="1:6" x14ac:dyDescent="0.2">
      <c r="A955" s="4">
        <v>45859</v>
      </c>
      <c r="B955" s="5">
        <v>163.77000000000001</v>
      </c>
      <c r="C955" s="5">
        <v>164.91499999999999</v>
      </c>
      <c r="D955" s="5">
        <v>162.78</v>
      </c>
      <c r="E955" s="5">
        <v>164.36</v>
      </c>
      <c r="F955" s="6">
        <v>8254003</v>
      </c>
    </row>
    <row r="956" spans="1:6" x14ac:dyDescent="0.2">
      <c r="A956" s="4">
        <v>45860</v>
      </c>
      <c r="B956" s="5">
        <v>165</v>
      </c>
      <c r="C956" s="5">
        <v>168.05500000000001</v>
      </c>
      <c r="D956" s="5">
        <v>164.71</v>
      </c>
      <c r="E956" s="5">
        <v>167.93</v>
      </c>
      <c r="F956" s="6">
        <v>9287991</v>
      </c>
    </row>
    <row r="957" spans="1:6" x14ac:dyDescent="0.2">
      <c r="A957" s="4">
        <v>45861</v>
      </c>
      <c r="B957" s="5">
        <v>168.6</v>
      </c>
      <c r="C957" s="5">
        <v>169.12</v>
      </c>
      <c r="D957" s="5">
        <v>166.59</v>
      </c>
      <c r="E957" s="5">
        <v>169.1</v>
      </c>
      <c r="F957" s="6">
        <v>10617640</v>
      </c>
    </row>
    <row r="958" spans="1:6" x14ac:dyDescent="0.2">
      <c r="A958" s="4">
        <v>45862</v>
      </c>
      <c r="B958" s="5">
        <v>169.5</v>
      </c>
      <c r="C958" s="5">
        <v>169.99</v>
      </c>
      <c r="D958" s="5">
        <v>168.88</v>
      </c>
      <c r="E958" s="5">
        <v>169.56</v>
      </c>
      <c r="F958" s="6">
        <v>6636918</v>
      </c>
    </row>
    <row r="959" spans="1:6" x14ac:dyDescent="0.2">
      <c r="A959" s="4">
        <v>45863</v>
      </c>
      <c r="B959" s="5">
        <v>169.75</v>
      </c>
      <c r="C959" s="5">
        <v>169.88</v>
      </c>
      <c r="D959" s="5">
        <v>167.44</v>
      </c>
      <c r="E959" s="5">
        <v>168.3</v>
      </c>
      <c r="F959" s="6">
        <v>6255183</v>
      </c>
    </row>
    <row r="960" spans="1:6" x14ac:dyDescent="0.2">
      <c r="A960" s="4">
        <v>45866</v>
      </c>
      <c r="B960" s="5">
        <v>167.86</v>
      </c>
      <c r="C960" s="5">
        <v>167.94</v>
      </c>
      <c r="D960" s="5">
        <v>165.05</v>
      </c>
      <c r="E960" s="5">
        <v>166.22</v>
      </c>
      <c r="F960" s="6">
        <v>8014640</v>
      </c>
    </row>
    <row r="961" spans="1:6" x14ac:dyDescent="0.2">
      <c r="A961" s="4">
        <v>45867</v>
      </c>
      <c r="B961" s="5">
        <v>166.67</v>
      </c>
      <c r="C961" s="5">
        <v>168.7817</v>
      </c>
      <c r="D961" s="5">
        <v>166.37</v>
      </c>
      <c r="E961" s="5">
        <v>168.11</v>
      </c>
      <c r="F961" s="6">
        <v>7663408</v>
      </c>
    </row>
    <row r="962" spans="1:6" x14ac:dyDescent="0.2">
      <c r="A962" s="4">
        <v>45868</v>
      </c>
      <c r="B962" s="5">
        <v>167.69499999999999</v>
      </c>
      <c r="C962" s="5">
        <v>168.61</v>
      </c>
      <c r="D962" s="5">
        <v>166.78</v>
      </c>
      <c r="E962" s="5">
        <v>167.26</v>
      </c>
      <c r="F962" s="6">
        <v>6189161</v>
      </c>
    </row>
    <row r="963" spans="1:6" x14ac:dyDescent="0.2">
      <c r="A963" s="4">
        <v>45869</v>
      </c>
      <c r="B963" s="5">
        <v>165.93</v>
      </c>
      <c r="C963" s="5">
        <v>167.07</v>
      </c>
      <c r="D963" s="5">
        <v>164.23</v>
      </c>
      <c r="E963" s="5">
        <v>164.74</v>
      </c>
      <c r="F963" s="6">
        <v>11036180</v>
      </c>
    </row>
    <row r="964" spans="1:6" x14ac:dyDescent="0.2">
      <c r="A964" s="4">
        <v>45870</v>
      </c>
      <c r="B964" s="5">
        <v>165.47499999999999</v>
      </c>
      <c r="C964" s="5">
        <v>167.62</v>
      </c>
      <c r="D964" s="5">
        <v>164.79</v>
      </c>
      <c r="E964" s="5">
        <v>167.33</v>
      </c>
      <c r="F964" s="6">
        <v>8928229</v>
      </c>
    </row>
    <row r="965" spans="1:6" x14ac:dyDescent="0.2">
      <c r="A965" s="4">
        <v>45873</v>
      </c>
      <c r="B965" s="5">
        <v>167.03</v>
      </c>
      <c r="C965" s="5">
        <v>171.19</v>
      </c>
      <c r="D965" s="5">
        <v>166.64</v>
      </c>
      <c r="E965" s="5">
        <v>171.04</v>
      </c>
      <c r="F965" s="6">
        <v>12679100</v>
      </c>
    </row>
    <row r="966" spans="1:6" x14ac:dyDescent="0.2">
      <c r="A966" s="4">
        <v>45874</v>
      </c>
      <c r="B966" s="5">
        <v>170.54</v>
      </c>
      <c r="C966" s="5">
        <v>171.55500000000001</v>
      </c>
      <c r="D966" s="5">
        <v>169.65</v>
      </c>
      <c r="E966" s="5">
        <v>170.74</v>
      </c>
      <c r="F966" s="6">
        <v>7934442</v>
      </c>
    </row>
    <row r="967" spans="1:6" x14ac:dyDescent="0.2">
      <c r="A967" s="4">
        <v>45875</v>
      </c>
      <c r="B967" s="5">
        <v>169.91</v>
      </c>
      <c r="C967" s="5">
        <v>172.18</v>
      </c>
      <c r="D967" s="5">
        <v>169.68</v>
      </c>
      <c r="E967" s="5">
        <v>170.59</v>
      </c>
      <c r="F967" s="6">
        <v>8957240</v>
      </c>
    </row>
    <row r="968" spans="1:6" x14ac:dyDescent="0.2">
      <c r="A968" s="4">
        <v>45876</v>
      </c>
      <c r="B968" s="5">
        <v>171.17</v>
      </c>
      <c r="C968" s="5">
        <v>171.62</v>
      </c>
      <c r="D968" s="5">
        <v>169.92</v>
      </c>
      <c r="E968" s="5">
        <v>171.53</v>
      </c>
      <c r="F968" s="6">
        <v>9315942</v>
      </c>
    </row>
    <row r="969" spans="1:6" x14ac:dyDescent="0.2">
      <c r="A969" s="4">
        <v>45877</v>
      </c>
      <c r="B969" s="5">
        <v>171.02</v>
      </c>
      <c r="C969" s="5">
        <v>173.95500000000001</v>
      </c>
      <c r="D969" s="5">
        <v>170.39</v>
      </c>
      <c r="E969" s="5">
        <v>173.33</v>
      </c>
      <c r="F969" s="6">
        <v>7686765</v>
      </c>
    </row>
    <row r="970" spans="1:6" x14ac:dyDescent="0.2">
      <c r="A970" s="4">
        <v>45880</v>
      </c>
      <c r="B970" s="5">
        <v>173.4</v>
      </c>
      <c r="C970" s="5">
        <v>174.6</v>
      </c>
      <c r="D970" s="5">
        <v>173.05</v>
      </c>
      <c r="E970" s="5">
        <v>173.82</v>
      </c>
      <c r="F970" s="6">
        <v>7256778</v>
      </c>
    </row>
    <row r="971" spans="1:6" x14ac:dyDescent="0.2">
      <c r="A971" s="4">
        <v>45881</v>
      </c>
      <c r="B971" s="5">
        <v>173.995</v>
      </c>
      <c r="C971" s="5">
        <v>174.755</v>
      </c>
      <c r="D971" s="5">
        <v>171.81</v>
      </c>
      <c r="E971" s="5">
        <v>172.78</v>
      </c>
      <c r="F971" s="6">
        <v>7917437</v>
      </c>
    </row>
    <row r="972" spans="1:6" x14ac:dyDescent="0.2">
      <c r="A972" s="4">
        <v>45882</v>
      </c>
      <c r="B972" s="5">
        <v>173</v>
      </c>
      <c r="C972" s="5">
        <v>174.54</v>
      </c>
      <c r="D972" s="5">
        <v>172.69499999999999</v>
      </c>
      <c r="E972" s="5">
        <v>174.42</v>
      </c>
      <c r="F972" s="6">
        <v>5878666</v>
      </c>
    </row>
    <row r="973" spans="1:6" x14ac:dyDescent="0.2">
      <c r="A973" s="4">
        <v>45883</v>
      </c>
      <c r="B973" s="5">
        <v>174.31</v>
      </c>
      <c r="C973" s="5">
        <v>175.72380000000001</v>
      </c>
      <c r="D973" s="5">
        <v>172.72</v>
      </c>
      <c r="E973" s="5">
        <v>174.72</v>
      </c>
      <c r="F973" s="6">
        <v>8241942</v>
      </c>
    </row>
    <row r="974" spans="1:6" x14ac:dyDescent="0.2">
      <c r="A974" s="4">
        <v>45884</v>
      </c>
      <c r="B974" s="5">
        <v>175.57</v>
      </c>
      <c r="C974" s="5">
        <v>177.26499999999999</v>
      </c>
      <c r="D974" s="5">
        <v>174.96</v>
      </c>
      <c r="E974" s="5">
        <v>176.64</v>
      </c>
      <c r="F974" s="6">
        <v>9477559</v>
      </c>
    </row>
    <row r="975" spans="1:6" x14ac:dyDescent="0.2">
      <c r="A975" s="4">
        <v>45887</v>
      </c>
      <c r="B975" s="5">
        <v>176.5</v>
      </c>
      <c r="C975" s="5">
        <v>177.57</v>
      </c>
      <c r="D975" s="5">
        <v>176.1</v>
      </c>
      <c r="E975" s="5">
        <v>176.25</v>
      </c>
      <c r="F975" s="6">
        <v>9284138</v>
      </c>
    </row>
    <row r="976" spans="1:6" x14ac:dyDescent="0.2">
      <c r="A976" s="4">
        <v>45888</v>
      </c>
      <c r="B976" s="5">
        <v>176.04</v>
      </c>
      <c r="C976" s="5">
        <v>178.18</v>
      </c>
      <c r="D976" s="5">
        <v>175.976</v>
      </c>
      <c r="E976" s="5">
        <v>177.8</v>
      </c>
      <c r="F976" s="6">
        <v>9274182</v>
      </c>
    </row>
    <row r="977" spans="1:6" x14ac:dyDescent="0.2">
      <c r="A977" s="4">
        <v>45889</v>
      </c>
      <c r="B977" s="5">
        <v>178.5</v>
      </c>
      <c r="C977" s="5">
        <v>180.61</v>
      </c>
      <c r="D977" s="5">
        <v>178</v>
      </c>
      <c r="E977" s="5">
        <v>178.84</v>
      </c>
      <c r="F977" s="6">
        <v>9030396</v>
      </c>
    </row>
    <row r="978" spans="1:6" x14ac:dyDescent="0.2">
      <c r="A978" s="4">
        <v>45890</v>
      </c>
      <c r="B978" s="5">
        <v>178.55</v>
      </c>
      <c r="C978" s="5">
        <v>180.08</v>
      </c>
      <c r="D978" s="5">
        <v>178.16</v>
      </c>
      <c r="E978" s="5">
        <v>178.93</v>
      </c>
      <c r="F978" s="6">
        <v>8859552</v>
      </c>
    </row>
    <row r="979" spans="1:6" x14ac:dyDescent="0.2">
      <c r="A979" s="4">
        <v>45891</v>
      </c>
      <c r="B979" s="5">
        <v>180.035</v>
      </c>
      <c r="C979" s="5">
        <v>181.16</v>
      </c>
      <c r="D979" s="5">
        <v>177.47020000000001</v>
      </c>
      <c r="E979" s="5">
        <v>179.29</v>
      </c>
      <c r="F979" s="6">
        <v>9524308</v>
      </c>
    </row>
    <row r="980" spans="1:6" x14ac:dyDescent="0.2">
      <c r="A980" s="4">
        <v>45894</v>
      </c>
      <c r="B980" s="5">
        <v>179.52</v>
      </c>
      <c r="C980" s="5">
        <v>180.26</v>
      </c>
      <c r="D980" s="5">
        <v>178.29</v>
      </c>
      <c r="E980" s="5">
        <v>178.41</v>
      </c>
      <c r="F980" s="6">
        <v>6229149</v>
      </c>
    </row>
    <row r="981" spans="1:6" x14ac:dyDescent="0.2">
      <c r="A981" s="4">
        <v>45895</v>
      </c>
      <c r="B981" s="5">
        <v>176.745</v>
      </c>
      <c r="C981" s="5">
        <v>177.16</v>
      </c>
      <c r="D981" s="5">
        <v>175.77</v>
      </c>
      <c r="E981" s="5">
        <v>176.49</v>
      </c>
      <c r="F981" s="6">
        <v>9145045</v>
      </c>
    </row>
    <row r="982" spans="1:6" x14ac:dyDescent="0.2">
      <c r="A982" s="4">
        <v>45896</v>
      </c>
      <c r="B982" s="5">
        <v>176.97</v>
      </c>
      <c r="C982" s="5">
        <v>177.69</v>
      </c>
      <c r="D982" s="5">
        <v>176.16</v>
      </c>
      <c r="E982" s="5">
        <v>176.79</v>
      </c>
      <c r="F982" s="6">
        <v>5951099</v>
      </c>
    </row>
    <row r="983" spans="1:6" x14ac:dyDescent="0.2">
      <c r="A983" s="4">
        <v>45897</v>
      </c>
      <c r="B983" s="5">
        <v>176.37</v>
      </c>
      <c r="C983" s="5">
        <v>176.49</v>
      </c>
      <c r="D983" s="5">
        <v>174.63</v>
      </c>
      <c r="E983" s="5">
        <v>175.45</v>
      </c>
      <c r="F983" s="6">
        <v>6424695</v>
      </c>
    </row>
    <row r="984" spans="1:6" x14ac:dyDescent="0.2">
      <c r="A984" s="4">
        <v>45898</v>
      </c>
      <c r="B984" s="5">
        <v>175.965</v>
      </c>
      <c r="C984" s="5">
        <v>177.405</v>
      </c>
      <c r="D984" s="5">
        <v>175.45</v>
      </c>
      <c r="E984" s="5">
        <v>177.17</v>
      </c>
      <c r="F984" s="6">
        <v>6942311</v>
      </c>
    </row>
    <row r="985" spans="1:6" x14ac:dyDescent="0.2">
      <c r="A985" s="4">
        <v>45902</v>
      </c>
      <c r="B985" s="5">
        <v>177.47</v>
      </c>
      <c r="C985" s="5">
        <v>179.2</v>
      </c>
      <c r="D985" s="5">
        <v>176.89</v>
      </c>
      <c r="E985" s="5">
        <v>178.06</v>
      </c>
      <c r="F985" s="6">
        <v>9049003</v>
      </c>
    </row>
    <row r="986" spans="1:6" x14ac:dyDescent="0.2">
      <c r="A986" s="4">
        <v>45903</v>
      </c>
      <c r="B986" s="5">
        <v>177.67</v>
      </c>
      <c r="C986" s="5">
        <v>178.29</v>
      </c>
      <c r="D986" s="5">
        <v>176.53</v>
      </c>
      <c r="E986" s="5">
        <v>178</v>
      </c>
      <c r="F986" s="6">
        <v>7111689</v>
      </c>
    </row>
    <row r="987" spans="1:6" x14ac:dyDescent="0.2">
      <c r="A987" s="4">
        <v>45904</v>
      </c>
      <c r="B987" s="5">
        <v>178</v>
      </c>
      <c r="C987" s="5">
        <v>178.9</v>
      </c>
      <c r="D987" s="5">
        <v>177.55</v>
      </c>
      <c r="E987" s="5">
        <v>178.76</v>
      </c>
      <c r="F987" s="6">
        <v>7854833</v>
      </c>
    </row>
    <row r="988" spans="1:6" x14ac:dyDescent="0.2">
      <c r="A988" s="4">
        <v>45905</v>
      </c>
      <c r="B988" s="5">
        <v>178</v>
      </c>
      <c r="C988" s="5">
        <v>179.505</v>
      </c>
      <c r="D988" s="5">
        <v>176.56</v>
      </c>
      <c r="E988" s="5">
        <v>178.43</v>
      </c>
      <c r="F988" s="6">
        <v>9733803</v>
      </c>
    </row>
    <row r="989" spans="1:6" x14ac:dyDescent="0.2">
      <c r="A989" s="4">
        <v>45908</v>
      </c>
      <c r="B989" s="5">
        <v>177.36</v>
      </c>
      <c r="C989" s="5">
        <v>179.44499999999999</v>
      </c>
      <c r="D989" s="5">
        <v>176.7</v>
      </c>
      <c r="E989" s="5">
        <v>178.13</v>
      </c>
      <c r="F989" s="6">
        <v>8382514</v>
      </c>
    </row>
    <row r="990" spans="1:6" x14ac:dyDescent="0.2">
      <c r="A990" s="4">
        <v>45909</v>
      </c>
      <c r="B990" s="5">
        <v>178</v>
      </c>
      <c r="C990" s="5">
        <v>178.09</v>
      </c>
      <c r="D990" s="5">
        <v>176.45</v>
      </c>
      <c r="E990" s="5">
        <v>176.96</v>
      </c>
      <c r="F990" s="6">
        <v>6005703</v>
      </c>
    </row>
    <row r="991" spans="1:6" x14ac:dyDescent="0.2">
      <c r="A991" s="4">
        <v>45910</v>
      </c>
      <c r="B991" s="5">
        <v>176.3</v>
      </c>
      <c r="C991" s="5">
        <v>176.60499999999999</v>
      </c>
      <c r="D991" s="5">
        <v>174.33</v>
      </c>
      <c r="E991" s="5">
        <v>175.79</v>
      </c>
      <c r="F991" s="6">
        <v>6891590</v>
      </c>
    </row>
    <row r="992" spans="1:6" x14ac:dyDescent="0.2">
      <c r="A992" s="4">
        <v>45911</v>
      </c>
      <c r="B992" s="5">
        <v>175.75</v>
      </c>
      <c r="C992" s="5">
        <v>178.845</v>
      </c>
      <c r="D992" s="5">
        <v>175.625</v>
      </c>
      <c r="E992" s="5">
        <v>178.5</v>
      </c>
      <c r="F992" s="6">
        <v>5792527</v>
      </c>
    </row>
    <row r="993" spans="1:6" x14ac:dyDescent="0.2">
      <c r="A993" s="4">
        <v>45912</v>
      </c>
      <c r="B993" s="5">
        <v>177.70500000000001</v>
      </c>
      <c r="C993" s="5">
        <v>178.8</v>
      </c>
      <c r="D993" s="5">
        <v>176.72</v>
      </c>
      <c r="E993" s="5">
        <v>178.06</v>
      </c>
      <c r="F993" s="6">
        <v>7220473</v>
      </c>
    </row>
    <row r="994" spans="1:6" x14ac:dyDescent="0.2">
      <c r="A994" s="4">
        <v>45915</v>
      </c>
      <c r="B994" s="5">
        <v>177.76</v>
      </c>
      <c r="C994" s="5">
        <v>178.99</v>
      </c>
      <c r="D994" s="5">
        <v>176.93</v>
      </c>
      <c r="E994" s="5">
        <v>177.4</v>
      </c>
      <c r="F994" s="6">
        <v>4768547</v>
      </c>
    </row>
    <row r="995" spans="1:6" x14ac:dyDescent="0.2">
      <c r="A995" s="4">
        <v>45916</v>
      </c>
      <c r="B995" s="5">
        <v>177.57</v>
      </c>
      <c r="C995" s="5">
        <v>177.61500000000001</v>
      </c>
      <c r="D995" s="5">
        <v>175.65</v>
      </c>
      <c r="E995" s="5">
        <v>176.46</v>
      </c>
      <c r="F995" s="6">
        <v>7959652</v>
      </c>
    </row>
    <row r="996" spans="1:6" x14ac:dyDescent="0.2">
      <c r="A996" s="4">
        <v>45917</v>
      </c>
      <c r="B996" s="5">
        <v>176.71</v>
      </c>
      <c r="C996" s="5">
        <v>178.51</v>
      </c>
      <c r="D996" s="5">
        <v>176.58500000000001</v>
      </c>
      <c r="E996" s="5">
        <v>177.2</v>
      </c>
      <c r="F996" s="6">
        <v>6715188</v>
      </c>
    </row>
    <row r="997" spans="1:6" x14ac:dyDescent="0.2">
      <c r="A997" s="4">
        <v>45918</v>
      </c>
      <c r="B997" s="5">
        <v>176.6</v>
      </c>
      <c r="C997" s="5">
        <v>177.02</v>
      </c>
      <c r="D997" s="5">
        <v>173.87</v>
      </c>
      <c r="E997" s="5">
        <v>174.16</v>
      </c>
      <c r="F997" s="6">
        <v>8200854</v>
      </c>
    </row>
    <row r="998" spans="1:6" x14ac:dyDescent="0.2">
      <c r="A998" s="4">
        <v>45919</v>
      </c>
      <c r="B998" s="5">
        <v>174.69</v>
      </c>
      <c r="C998" s="5">
        <v>177.16</v>
      </c>
      <c r="D998" s="5">
        <v>173.33</v>
      </c>
      <c r="E998" s="5">
        <v>176.19</v>
      </c>
      <c r="F998" s="6">
        <v>25620950</v>
      </c>
    </row>
    <row r="999" spans="1:6" x14ac:dyDescent="0.2">
      <c r="A999" s="4">
        <v>45922</v>
      </c>
      <c r="B999" s="5">
        <v>176.09</v>
      </c>
      <c r="C999" s="5">
        <v>176.64</v>
      </c>
      <c r="D999" s="5">
        <v>174.12</v>
      </c>
      <c r="E999" s="5">
        <v>174.21</v>
      </c>
      <c r="F999" s="6">
        <v>7193868</v>
      </c>
    </row>
    <row r="1000" spans="1:6" x14ac:dyDescent="0.2">
      <c r="A1000" s="4">
        <v>45923</v>
      </c>
      <c r="B1000" s="5">
        <v>174.89</v>
      </c>
      <c r="C1000" s="5">
        <v>176.97</v>
      </c>
      <c r="D1000" s="5">
        <v>174.83</v>
      </c>
      <c r="E1000" s="5">
        <v>176.58</v>
      </c>
      <c r="F1000" s="6">
        <v>8350743</v>
      </c>
    </row>
    <row r="1001" spans="1:6" x14ac:dyDescent="0.2">
      <c r="A1001" s="4">
        <v>45924</v>
      </c>
      <c r="B1001" s="5">
        <v>176.14</v>
      </c>
      <c r="C1001" s="5">
        <v>176.95</v>
      </c>
      <c r="D1001" s="5">
        <v>175.74</v>
      </c>
      <c r="E1001" s="5">
        <v>176.69</v>
      </c>
      <c r="F1001" s="6">
        <v>6676770</v>
      </c>
    </row>
    <row r="1002" spans="1:6" x14ac:dyDescent="0.2">
      <c r="A1002" s="4">
        <v>45925</v>
      </c>
      <c r="B1002" s="5">
        <v>177.2</v>
      </c>
      <c r="C1002" s="5">
        <v>178.4</v>
      </c>
      <c r="D1002" s="5">
        <v>175.91</v>
      </c>
      <c r="E1002" s="5">
        <v>177.73</v>
      </c>
      <c r="F1002" s="6">
        <v>8474975</v>
      </c>
    </row>
    <row r="1003" spans="1:6" x14ac:dyDescent="0.2">
      <c r="A1003" s="4">
        <v>45926</v>
      </c>
      <c r="B1003" s="5">
        <v>178.6</v>
      </c>
      <c r="C1003" s="5">
        <v>179.91</v>
      </c>
      <c r="D1003" s="5">
        <v>177.32</v>
      </c>
      <c r="E1003" s="5">
        <v>179.71</v>
      </c>
      <c r="F1003" s="6">
        <v>8634403</v>
      </c>
    </row>
    <row r="1004" spans="1:6" x14ac:dyDescent="0.2">
      <c r="A1004" s="4">
        <v>45929</v>
      </c>
      <c r="B1004" s="5">
        <v>179.82499999999999</v>
      </c>
      <c r="C1004" s="5">
        <v>181.86500000000001</v>
      </c>
      <c r="D1004" s="5">
        <v>179.8</v>
      </c>
      <c r="E1004" s="5">
        <v>181.62</v>
      </c>
      <c r="F1004" s="6">
        <v>8597083</v>
      </c>
    </row>
    <row r="1005" spans="1:6" x14ac:dyDescent="0.2">
      <c r="A1005" s="4">
        <v>45930</v>
      </c>
      <c r="B1005" s="5">
        <v>181.7</v>
      </c>
      <c r="C1005" s="5">
        <v>185.99</v>
      </c>
      <c r="D1005" s="5">
        <v>181.07</v>
      </c>
      <c r="E1005" s="5">
        <v>185.42</v>
      </c>
      <c r="F1005" s="6">
        <v>11569020</v>
      </c>
    </row>
    <row r="1006" spans="1:6" x14ac:dyDescent="0.2">
      <c r="A1006" s="4">
        <v>45931</v>
      </c>
      <c r="B1006" s="5">
        <v>186</v>
      </c>
      <c r="C1006" s="5">
        <v>186.56</v>
      </c>
      <c r="D1006" s="5">
        <v>183.91</v>
      </c>
      <c r="E1006" s="5">
        <v>186.05</v>
      </c>
      <c r="F1006" s="6">
        <v>13063790</v>
      </c>
    </row>
    <row r="1007" spans="1:6" x14ac:dyDescent="0.2">
      <c r="A1007" s="4">
        <v>45932</v>
      </c>
      <c r="B1007" s="5">
        <v>184.19</v>
      </c>
      <c r="C1007" s="5">
        <v>186.59</v>
      </c>
      <c r="D1007" s="5">
        <v>184.09</v>
      </c>
      <c r="E1007" s="5">
        <v>185.98</v>
      </c>
      <c r="F1007" s="6">
        <v>7728069</v>
      </c>
    </row>
    <row r="1008" spans="1:6" x14ac:dyDescent="0.2">
      <c r="A1008" s="4">
        <v>45933</v>
      </c>
      <c r="B1008" s="5">
        <v>187.06</v>
      </c>
      <c r="C1008" s="5">
        <v>189.7825</v>
      </c>
      <c r="D1008" s="5">
        <v>186.91</v>
      </c>
      <c r="E1008" s="5">
        <v>188.64</v>
      </c>
      <c r="F1008" s="6">
        <v>8675087</v>
      </c>
    </row>
    <row r="1009" spans="1:6" x14ac:dyDescent="0.2">
      <c r="A1009" s="4">
        <v>45936</v>
      </c>
      <c r="B1009" s="5">
        <v>188</v>
      </c>
      <c r="C1009" s="5">
        <v>189.92</v>
      </c>
      <c r="D1009" s="5">
        <v>187.37</v>
      </c>
      <c r="E1009" s="5">
        <v>188.16</v>
      </c>
      <c r="F1009" s="6">
        <v>5806089</v>
      </c>
    </row>
    <row r="1010" spans="1:6" x14ac:dyDescent="0.2">
      <c r="A1010" s="4">
        <v>45937</v>
      </c>
      <c r="B1010" s="5">
        <v>183.77</v>
      </c>
      <c r="C1010" s="5">
        <v>189.23</v>
      </c>
      <c r="D1010" s="5">
        <v>182.94</v>
      </c>
      <c r="E1010" s="5">
        <v>188.89</v>
      </c>
      <c r="F1010" s="6">
        <v>8776784</v>
      </c>
    </row>
    <row r="1011" spans="1:6" x14ac:dyDescent="0.2">
      <c r="A1011" s="4">
        <v>45938</v>
      </c>
      <c r="B1011" s="5">
        <v>188.87</v>
      </c>
      <c r="C1011" s="5">
        <v>190.215</v>
      </c>
      <c r="D1011" s="5">
        <v>188.27</v>
      </c>
      <c r="E1011" s="5">
        <v>189.69</v>
      </c>
      <c r="F1011" s="6">
        <v>5751163</v>
      </c>
    </row>
    <row r="1012" spans="1:6" x14ac:dyDescent="0.2">
      <c r="A1012" s="4">
        <v>45939</v>
      </c>
      <c r="B1012" s="5">
        <v>190</v>
      </c>
      <c r="C1012" s="5">
        <v>192.1</v>
      </c>
      <c r="D1012" s="5">
        <v>189.73</v>
      </c>
      <c r="E1012" s="5">
        <v>191.08</v>
      </c>
      <c r="F1012" s="6">
        <v>7484764</v>
      </c>
    </row>
    <row r="1013" spans="1:6" x14ac:dyDescent="0.2">
      <c r="A1013" s="4">
        <v>45940</v>
      </c>
      <c r="B1013" s="5">
        <v>192.01</v>
      </c>
      <c r="C1013" s="5">
        <v>192.07</v>
      </c>
      <c r="D1013" s="5">
        <v>189.85</v>
      </c>
      <c r="E1013" s="5">
        <v>190.72</v>
      </c>
      <c r="F1013" s="6">
        <v>9598019</v>
      </c>
    </row>
    <row r="1014" spans="1:6" x14ac:dyDescent="0.2">
      <c r="A1014" s="4">
        <v>45943</v>
      </c>
      <c r="B1014" s="5">
        <v>189.83</v>
      </c>
      <c r="C1014" s="5">
        <v>191.3</v>
      </c>
      <c r="D1014" s="5">
        <v>189.28</v>
      </c>
      <c r="E1014" s="5">
        <v>190.9</v>
      </c>
      <c r="F1014" s="6">
        <v>7979476</v>
      </c>
    </row>
    <row r="1015" spans="1:6" x14ac:dyDescent="0.2">
      <c r="A1015" s="4">
        <v>45944</v>
      </c>
      <c r="B1015" s="5">
        <v>192.92</v>
      </c>
      <c r="C1015" s="5">
        <v>194.4</v>
      </c>
      <c r="D1015" s="5">
        <v>185.88</v>
      </c>
      <c r="E1015" s="5">
        <v>190.85</v>
      </c>
      <c r="F1015" s="6">
        <v>13613340</v>
      </c>
    </row>
    <row r="1016" spans="1:6" x14ac:dyDescent="0.2">
      <c r="A1016" s="4">
        <v>45945</v>
      </c>
      <c r="B1016" s="5">
        <v>191.48</v>
      </c>
      <c r="C1016" s="5">
        <v>193.57</v>
      </c>
      <c r="D1016" s="5">
        <v>189.3</v>
      </c>
      <c r="E1016" s="5">
        <v>191.17</v>
      </c>
      <c r="F1016" s="6">
        <v>9472995</v>
      </c>
    </row>
    <row r="1017" spans="1:6" x14ac:dyDescent="0.2">
      <c r="A1017" s="4">
        <v>45946</v>
      </c>
      <c r="B1017" s="5">
        <v>191.33500000000001</v>
      </c>
      <c r="C1017" s="5">
        <v>193.05</v>
      </c>
      <c r="D1017" s="5">
        <v>190.43</v>
      </c>
      <c r="E1017" s="5">
        <v>192.12</v>
      </c>
      <c r="F1017" s="6">
        <v>10611760</v>
      </c>
    </row>
    <row r="1018" spans="1:6" x14ac:dyDescent="0.2">
      <c r="A1018" s="4">
        <v>45947</v>
      </c>
      <c r="B1018" s="5">
        <v>192.5</v>
      </c>
      <c r="C1018" s="5">
        <v>193.6</v>
      </c>
      <c r="D1018" s="5">
        <v>191.67740000000001</v>
      </c>
      <c r="E1018" s="5">
        <v>193.22</v>
      </c>
      <c r="F1018" s="6">
        <v>7764449</v>
      </c>
    </row>
    <row r="1019" spans="1:6" x14ac:dyDescent="0.2">
      <c r="A1019" s="4">
        <v>45950</v>
      </c>
      <c r="B1019" s="5">
        <v>193.5</v>
      </c>
      <c r="C1019" s="5">
        <v>194.48</v>
      </c>
      <c r="D1019" s="5">
        <v>192.33459999999999</v>
      </c>
      <c r="E1019" s="5">
        <v>193.72</v>
      </c>
      <c r="F1019" s="6">
        <v>8034740</v>
      </c>
    </row>
    <row r="1020" spans="1:6" x14ac:dyDescent="0.2">
      <c r="A1020" s="4">
        <v>45951</v>
      </c>
      <c r="B1020" s="5">
        <v>193.01</v>
      </c>
      <c r="C1020" s="5">
        <v>193.55</v>
      </c>
      <c r="D1020" s="5">
        <v>191.77</v>
      </c>
      <c r="E1020" s="5">
        <v>191.88</v>
      </c>
      <c r="F1020" s="6">
        <v>6716360</v>
      </c>
    </row>
    <row r="1021" spans="1:6" x14ac:dyDescent="0.2">
      <c r="A1021" s="4">
        <v>45952</v>
      </c>
      <c r="B1021" s="5">
        <v>192</v>
      </c>
      <c r="C1021" s="5">
        <v>193.45</v>
      </c>
      <c r="D1021" s="5">
        <v>191.77500000000001</v>
      </c>
      <c r="E1021" s="5">
        <v>192.94</v>
      </c>
      <c r="F1021" s="6">
        <v>6343472</v>
      </c>
    </row>
    <row r="1022" spans="1:6" x14ac:dyDescent="0.2">
      <c r="A1022" s="4">
        <v>45953</v>
      </c>
      <c r="B1022" s="5">
        <v>192.56</v>
      </c>
      <c r="C1022" s="5">
        <v>194</v>
      </c>
      <c r="D1022" s="5">
        <v>191.54</v>
      </c>
      <c r="E1022" s="5">
        <v>192.47</v>
      </c>
      <c r="F1022" s="6">
        <v>8882491</v>
      </c>
    </row>
    <row r="1023" spans="1:6" x14ac:dyDescent="0.2">
      <c r="A1023" s="4">
        <v>45954</v>
      </c>
      <c r="B1023" s="5">
        <v>192.2</v>
      </c>
      <c r="C1023" s="5">
        <v>192.31</v>
      </c>
      <c r="D1023" s="5">
        <v>189.42</v>
      </c>
      <c r="E1023" s="5">
        <v>190.4</v>
      </c>
      <c r="F1023" s="6">
        <v>6903379</v>
      </c>
    </row>
    <row r="1024" spans="1:6" x14ac:dyDescent="0.2">
      <c r="A1024" s="4">
        <v>45957</v>
      </c>
      <c r="B1024" s="5">
        <v>189.99</v>
      </c>
      <c r="C1024" s="5">
        <v>190.8</v>
      </c>
      <c r="D1024" s="5">
        <v>189.53</v>
      </c>
      <c r="E1024" s="5">
        <v>190.3</v>
      </c>
      <c r="F1024" s="6">
        <v>7125956</v>
      </c>
    </row>
    <row r="1025" spans="1:6" x14ac:dyDescent="0.2">
      <c r="A1025" s="4">
        <v>45958</v>
      </c>
      <c r="B1025" s="5">
        <v>189.26</v>
      </c>
      <c r="C1025" s="5">
        <v>189.505</v>
      </c>
      <c r="D1025" s="5">
        <v>186.62</v>
      </c>
      <c r="E1025" s="5">
        <v>186.93</v>
      </c>
      <c r="F1025" s="6">
        <v>8329457</v>
      </c>
    </row>
    <row r="1026" spans="1:6" x14ac:dyDescent="0.2">
      <c r="A1026" s="4">
        <v>45959</v>
      </c>
      <c r="B1026" s="5">
        <v>186.7</v>
      </c>
      <c r="C1026" s="5">
        <v>187.1</v>
      </c>
      <c r="D1026" s="5">
        <v>184.66</v>
      </c>
      <c r="E1026" s="5">
        <v>186.6</v>
      </c>
      <c r="F1026" s="6">
        <v>10551080</v>
      </c>
    </row>
    <row r="1027" spans="1:6" x14ac:dyDescent="0.2">
      <c r="A1027" s="4">
        <v>45960</v>
      </c>
      <c r="B1027" s="5">
        <v>187.08</v>
      </c>
      <c r="C1027" s="5">
        <v>189.375</v>
      </c>
      <c r="D1027" s="5">
        <v>186.91</v>
      </c>
      <c r="E1027" s="5">
        <v>189.05</v>
      </c>
      <c r="F1027" s="6">
        <v>7072517</v>
      </c>
    </row>
    <row r="1028" spans="1:6" x14ac:dyDescent="0.2">
      <c r="A1028" s="4">
        <v>45961</v>
      </c>
      <c r="B1028" s="5">
        <v>187.46</v>
      </c>
      <c r="C1028" s="5">
        <v>189.5</v>
      </c>
      <c r="D1028" s="5">
        <v>186.76</v>
      </c>
      <c r="E1028" s="5">
        <v>188.87</v>
      </c>
      <c r="F1028" s="6">
        <v>8791666</v>
      </c>
    </row>
    <row r="1029" spans="1:6" x14ac:dyDescent="0.2">
      <c r="A1029" s="4">
        <v>45964</v>
      </c>
      <c r="B1029" s="5">
        <v>189</v>
      </c>
      <c r="C1029" s="5">
        <v>189.03</v>
      </c>
      <c r="D1029" s="5">
        <v>185.52</v>
      </c>
      <c r="E1029" s="5">
        <v>186.26</v>
      </c>
      <c r="F1029" s="6">
        <v>7542636</v>
      </c>
    </row>
    <row r="1030" spans="1:6" x14ac:dyDescent="0.2">
      <c r="A1030" s="4">
        <v>45965</v>
      </c>
      <c r="B1030" s="5">
        <v>186.83</v>
      </c>
      <c r="C1030" s="5">
        <v>187.82</v>
      </c>
      <c r="D1030" s="5">
        <v>185.62</v>
      </c>
      <c r="E1030" s="5">
        <v>186.86</v>
      </c>
      <c r="F1030" s="6">
        <v>7209395</v>
      </c>
    </row>
    <row r="1031" spans="1:6" x14ac:dyDescent="0.2">
      <c r="A1031" s="4">
        <v>45966</v>
      </c>
      <c r="B1031" s="5">
        <v>186.64</v>
      </c>
      <c r="C1031" s="5">
        <v>187.83</v>
      </c>
      <c r="D1031" s="5">
        <v>185.4</v>
      </c>
      <c r="E1031" s="5">
        <v>186</v>
      </c>
      <c r="F1031" s="6">
        <v>5049443</v>
      </c>
    </row>
    <row r="1032" spans="1:6" x14ac:dyDescent="0.2">
      <c r="A1032" s="4">
        <v>45967</v>
      </c>
      <c r="B1032" s="5">
        <v>186.76</v>
      </c>
      <c r="C1032" s="5">
        <v>187.52</v>
      </c>
      <c r="D1032" s="5">
        <v>185.37200000000001</v>
      </c>
      <c r="E1032" s="5">
        <v>186.97</v>
      </c>
      <c r="F1032" s="6">
        <v>6767417</v>
      </c>
    </row>
    <row r="1033" spans="1:6" x14ac:dyDescent="0.2">
      <c r="A1033" s="4">
        <v>45968</v>
      </c>
      <c r="B1033" s="5">
        <v>187.74</v>
      </c>
      <c r="C1033" s="5">
        <v>188.35</v>
      </c>
      <c r="D1033" s="5">
        <v>185.7</v>
      </c>
      <c r="E1033" s="5">
        <v>186.57</v>
      </c>
      <c r="F1033" s="6">
        <v>6959209</v>
      </c>
    </row>
    <row r="1034" spans="1:6" x14ac:dyDescent="0.2">
      <c r="A1034" s="4">
        <v>45971</v>
      </c>
      <c r="B1034" s="5">
        <v>186</v>
      </c>
      <c r="C1034" s="5">
        <v>188.42</v>
      </c>
      <c r="D1034" s="5">
        <v>185.12</v>
      </c>
      <c r="E1034" s="5">
        <v>188.41</v>
      </c>
      <c r="F1034" s="6">
        <v>5324077</v>
      </c>
    </row>
    <row r="1035" spans="1:6" x14ac:dyDescent="0.2">
      <c r="A1035" s="4">
        <v>45972</v>
      </c>
      <c r="B1035" s="5">
        <v>189.38499999999999</v>
      </c>
      <c r="C1035" s="5">
        <v>193.92</v>
      </c>
      <c r="D1035" s="5">
        <v>189.05</v>
      </c>
      <c r="E1035" s="5">
        <v>193.83</v>
      </c>
      <c r="F1035" s="6">
        <v>7465592</v>
      </c>
    </row>
    <row r="1036" spans="1:6" x14ac:dyDescent="0.2">
      <c r="A1036" s="4">
        <v>45973</v>
      </c>
      <c r="B1036" s="5">
        <v>193.36</v>
      </c>
      <c r="C1036" s="5">
        <v>195.54499999999999</v>
      </c>
      <c r="D1036" s="5">
        <v>193.07</v>
      </c>
      <c r="E1036" s="5">
        <v>194.39</v>
      </c>
      <c r="F1036" s="6">
        <v>8803005</v>
      </c>
    </row>
    <row r="1037" spans="1:6" x14ac:dyDescent="0.2">
      <c r="A1037" s="4">
        <v>45974</v>
      </c>
      <c r="B1037" s="5">
        <v>194.21</v>
      </c>
      <c r="C1037" s="5">
        <v>196</v>
      </c>
      <c r="D1037" s="5">
        <v>193.45</v>
      </c>
      <c r="E1037" s="5">
        <v>195.25</v>
      </c>
      <c r="F1037" s="6">
        <v>8631614</v>
      </c>
    </row>
    <row r="1038" spans="1:6" x14ac:dyDescent="0.2">
      <c r="A1038" s="4">
        <v>45975</v>
      </c>
      <c r="B1038" s="5">
        <v>195</v>
      </c>
      <c r="C1038" s="5">
        <v>197.18</v>
      </c>
      <c r="D1038" s="5">
        <v>193.55</v>
      </c>
      <c r="E1038" s="5">
        <v>195.93</v>
      </c>
      <c r="F1038" s="6">
        <v>8824847</v>
      </c>
    </row>
    <row r="1039" spans="1:6" x14ac:dyDescent="0.2">
      <c r="A1039" s="4">
        <v>45978</v>
      </c>
      <c r="B1039" s="5">
        <v>196.96</v>
      </c>
      <c r="C1039" s="5">
        <v>200.27500000000001</v>
      </c>
      <c r="D1039" s="5">
        <v>195.9</v>
      </c>
      <c r="E1039" s="5">
        <v>199.58</v>
      </c>
      <c r="F1039" s="6">
        <v>13257000</v>
      </c>
    </row>
    <row r="1040" spans="1:6" x14ac:dyDescent="0.2">
      <c r="A1040" s="4">
        <v>45979</v>
      </c>
      <c r="B1040" s="5">
        <v>199.01</v>
      </c>
      <c r="C1040" s="5">
        <v>200.3</v>
      </c>
      <c r="D1040" s="5">
        <v>198.53440000000001</v>
      </c>
      <c r="E1040" s="5">
        <v>200</v>
      </c>
      <c r="F1040" s="6">
        <v>12468620</v>
      </c>
    </row>
    <row r="1041" spans="1:6" x14ac:dyDescent="0.2">
      <c r="A1041" s="4">
        <v>45980</v>
      </c>
      <c r="B1041" s="5">
        <v>200</v>
      </c>
      <c r="C1041" s="5">
        <v>203.48</v>
      </c>
      <c r="D1041" s="5">
        <v>199.38</v>
      </c>
      <c r="E1041" s="5">
        <v>202.51</v>
      </c>
      <c r="F1041" s="6">
        <v>14690840</v>
      </c>
    </row>
    <row r="1042" spans="1:6" x14ac:dyDescent="0.2">
      <c r="A1042" s="4">
        <v>45981</v>
      </c>
      <c r="B1042" s="5">
        <v>202</v>
      </c>
      <c r="C1042" s="5">
        <v>204.51</v>
      </c>
      <c r="D1042" s="5">
        <v>201.57</v>
      </c>
      <c r="E1042" s="5">
        <v>203.07</v>
      </c>
      <c r="F1042" s="6">
        <v>10612550</v>
      </c>
    </row>
    <row r="1043" spans="1:6" x14ac:dyDescent="0.2">
      <c r="A1043" s="4">
        <v>45982</v>
      </c>
      <c r="B1043" s="5">
        <v>203.96</v>
      </c>
      <c r="C1043" s="5">
        <v>206.93989999999999</v>
      </c>
      <c r="D1043" s="5">
        <v>202.99</v>
      </c>
      <c r="E1043" s="5">
        <v>203.9</v>
      </c>
      <c r="F1043" s="6">
        <v>13189060</v>
      </c>
    </row>
    <row r="1044" spans="1:6" x14ac:dyDescent="0.2">
      <c r="A1044" s="4">
        <v>45985</v>
      </c>
      <c r="B1044" s="5">
        <v>203.71</v>
      </c>
      <c r="C1044" s="5">
        <v>206.12</v>
      </c>
      <c r="D1044" s="5">
        <v>203</v>
      </c>
      <c r="E1044" s="5">
        <v>206.05</v>
      </c>
      <c r="F1044" s="6">
        <v>14803870</v>
      </c>
    </row>
    <row r="1045" spans="1:6" x14ac:dyDescent="0.2">
      <c r="A1045" s="4">
        <v>45986</v>
      </c>
      <c r="B1045" s="5">
        <v>205.18</v>
      </c>
      <c r="C1045" s="5">
        <v>207.72</v>
      </c>
      <c r="D1045" s="5">
        <v>205.1788</v>
      </c>
      <c r="E1045" s="5">
        <v>206.67</v>
      </c>
      <c r="F1045" s="6">
        <v>10275720</v>
      </c>
    </row>
    <row r="1046" spans="1:6" x14ac:dyDescent="0.2">
      <c r="A1046" s="4">
        <v>45987</v>
      </c>
      <c r="B1046" s="5">
        <v>206.48500000000001</v>
      </c>
      <c r="C1046" s="5">
        <v>207.81</v>
      </c>
      <c r="D1046" s="5">
        <v>205.9426</v>
      </c>
      <c r="E1046" s="5">
        <v>207.56</v>
      </c>
      <c r="F1046" s="6">
        <v>6728994</v>
      </c>
    </row>
    <row r="1047" spans="1:6" x14ac:dyDescent="0.2">
      <c r="A1047" s="4">
        <v>45989</v>
      </c>
      <c r="B1047" s="5">
        <v>207</v>
      </c>
      <c r="C1047" s="5">
        <v>207.46</v>
      </c>
      <c r="D1047" s="5">
        <v>204.63</v>
      </c>
      <c r="E1047" s="5">
        <v>206.92</v>
      </c>
      <c r="F1047" s="6">
        <v>5638279</v>
      </c>
    </row>
    <row r="1048" spans="1:6" x14ac:dyDescent="0.2">
      <c r="A1048" s="4">
        <v>45992</v>
      </c>
      <c r="B1048" s="5">
        <v>206.5</v>
      </c>
      <c r="C1048" s="5">
        <v>207.7</v>
      </c>
      <c r="D1048" s="5">
        <v>205.34</v>
      </c>
      <c r="E1048" s="5">
        <v>205.34</v>
      </c>
      <c r="F1048" s="6">
        <v>8473726</v>
      </c>
    </row>
    <row r="1049" spans="1:6" x14ac:dyDescent="0.2">
      <c r="A1049" s="4">
        <v>45993</v>
      </c>
      <c r="B1049" s="5">
        <v>205.24</v>
      </c>
      <c r="C1049" s="5">
        <v>205.61</v>
      </c>
      <c r="D1049" s="5">
        <v>203.1</v>
      </c>
      <c r="E1049" s="5">
        <v>205.42</v>
      </c>
      <c r="F1049" s="6">
        <v>8393565</v>
      </c>
    </row>
    <row r="1050" spans="1:6" x14ac:dyDescent="0.2">
      <c r="A1050" s="4">
        <v>45994</v>
      </c>
      <c r="B1050" s="5">
        <v>205.9</v>
      </c>
      <c r="C1050" s="5">
        <v>207.02</v>
      </c>
      <c r="D1050" s="5">
        <v>204.99</v>
      </c>
      <c r="E1050" s="5">
        <v>205.33</v>
      </c>
      <c r="F1050" s="6">
        <v>8363292</v>
      </c>
    </row>
    <row r="1051" spans="1:6" x14ac:dyDescent="0.2">
      <c r="A1051" s="4">
        <v>45995</v>
      </c>
      <c r="B1051" s="5">
        <v>204.59</v>
      </c>
      <c r="C1051" s="5">
        <v>204.86</v>
      </c>
      <c r="D1051" s="5">
        <v>201.71</v>
      </c>
      <c r="E1051" s="5">
        <v>202.48</v>
      </c>
      <c r="F1051" s="6">
        <v>9049943</v>
      </c>
    </row>
    <row r="1052" spans="1:6" x14ac:dyDescent="0.2">
      <c r="A1052" s="4">
        <v>45996</v>
      </c>
      <c r="B1052" s="5">
        <v>202.98</v>
      </c>
      <c r="C1052" s="5">
        <v>203.45</v>
      </c>
      <c r="D1052" s="5">
        <v>200.81</v>
      </c>
      <c r="E1052" s="5">
        <v>201.93</v>
      </c>
      <c r="F1052" s="6">
        <v>7785552</v>
      </c>
    </row>
    <row r="1053" spans="1:6" x14ac:dyDescent="0.2">
      <c r="A1053" s="4">
        <v>45999</v>
      </c>
      <c r="B1053" s="5">
        <v>202.66</v>
      </c>
      <c r="C1053" s="5">
        <v>203.255</v>
      </c>
      <c r="D1053" s="5">
        <v>200.99</v>
      </c>
      <c r="E1053" s="5">
        <v>201.62</v>
      </c>
      <c r="F1053" s="6">
        <v>7785708</v>
      </c>
    </row>
    <row r="1054" spans="1:6" x14ac:dyDescent="0.2">
      <c r="A1054" s="4">
        <v>46000</v>
      </c>
      <c r="B1054" s="5">
        <v>202.92</v>
      </c>
      <c r="C1054" s="5">
        <v>205.54</v>
      </c>
      <c r="D1054" s="5">
        <v>199.905</v>
      </c>
      <c r="E1054" s="5">
        <v>199.96</v>
      </c>
      <c r="F1054" s="6">
        <v>7509402</v>
      </c>
    </row>
    <row r="1055" spans="1:6" x14ac:dyDescent="0.2">
      <c r="A1055" s="4">
        <v>46001</v>
      </c>
      <c r="B1055" s="5">
        <v>200.59</v>
      </c>
      <c r="C1055" s="5">
        <v>206.8</v>
      </c>
      <c r="D1055" s="5">
        <v>200.1799</v>
      </c>
      <c r="E1055" s="5">
        <v>206.54</v>
      </c>
      <c r="F1055" s="6">
        <v>11599790</v>
      </c>
    </row>
    <row r="1056" spans="1:6" x14ac:dyDescent="0.2">
      <c r="A1056" s="4">
        <v>46002</v>
      </c>
      <c r="B1056" s="5">
        <v>207.9</v>
      </c>
      <c r="C1056" s="5">
        <v>211.23500000000001</v>
      </c>
      <c r="D1056" s="5">
        <v>207.83</v>
      </c>
      <c r="E1056" s="5">
        <v>210.01</v>
      </c>
      <c r="F1056" s="6">
        <v>9008960</v>
      </c>
    </row>
    <row r="1057" spans="1:6" x14ac:dyDescent="0.2">
      <c r="A1057" s="4">
        <v>46003</v>
      </c>
      <c r="B1057" s="5">
        <v>210.28</v>
      </c>
      <c r="C1057" s="5">
        <v>212.27</v>
      </c>
      <c r="D1057" s="5">
        <v>208.9632</v>
      </c>
      <c r="E1057" s="5">
        <v>211.58</v>
      </c>
      <c r="F1057" s="6">
        <v>6922683</v>
      </c>
    </row>
    <row r="1058" spans="1:6" x14ac:dyDescent="0.2">
      <c r="A1058" s="4">
        <v>46006</v>
      </c>
      <c r="B1058" s="5">
        <v>210.345</v>
      </c>
      <c r="C1058" s="5">
        <v>215.185</v>
      </c>
      <c r="D1058" s="5">
        <v>209.00569999999999</v>
      </c>
      <c r="E1058" s="5">
        <v>214.17</v>
      </c>
      <c r="F1058" s="6">
        <v>8466964</v>
      </c>
    </row>
    <row r="1059" spans="1:6" x14ac:dyDescent="0.2">
      <c r="A1059" s="4">
        <v>46007</v>
      </c>
      <c r="B1059" s="5">
        <v>214</v>
      </c>
      <c r="C1059" s="5">
        <v>214.73</v>
      </c>
      <c r="D1059" s="5">
        <v>208.81</v>
      </c>
      <c r="E1059" s="5">
        <v>209.3</v>
      </c>
      <c r="F1059" s="6">
        <v>9949810</v>
      </c>
    </row>
    <row r="1060" spans="1:6" x14ac:dyDescent="0.2">
      <c r="A1060" s="4">
        <v>46008</v>
      </c>
      <c r="B1060" s="5">
        <v>209.38499999999999</v>
      </c>
      <c r="C1060" s="5">
        <v>211.51499999999999</v>
      </c>
      <c r="D1060" s="5">
        <v>208.46</v>
      </c>
      <c r="E1060" s="5">
        <v>210.33</v>
      </c>
      <c r="F1060" s="6">
        <v>8457560</v>
      </c>
    </row>
    <row r="1061" spans="1:6" x14ac:dyDescent="0.2">
      <c r="A1061" s="4">
        <v>46009</v>
      </c>
      <c r="B1061" s="5">
        <v>209.8</v>
      </c>
      <c r="C1061" s="5">
        <v>211.06</v>
      </c>
      <c r="D1061" s="5">
        <v>207.756</v>
      </c>
      <c r="E1061" s="5">
        <v>208.31</v>
      </c>
      <c r="F1061" s="6">
        <v>7499852</v>
      </c>
    </row>
    <row r="1062" spans="1:6" x14ac:dyDescent="0.2">
      <c r="A1062" s="4">
        <v>46010</v>
      </c>
      <c r="B1062" s="5">
        <v>207.56</v>
      </c>
      <c r="C1062" s="5">
        <v>209.24</v>
      </c>
      <c r="D1062" s="5">
        <v>206.03</v>
      </c>
      <c r="E1062" s="5">
        <v>206.37</v>
      </c>
      <c r="F1062" s="6">
        <v>24803920</v>
      </c>
    </row>
    <row r="1063" spans="1:6" x14ac:dyDescent="0.2">
      <c r="A1063" s="4">
        <v>46013</v>
      </c>
      <c r="B1063" s="5">
        <v>206.13</v>
      </c>
      <c r="C1063" s="5">
        <v>208.08</v>
      </c>
      <c r="D1063" s="5">
        <v>205.5</v>
      </c>
      <c r="E1063" s="5">
        <v>207.32</v>
      </c>
      <c r="F1063" s="6">
        <v>8187755</v>
      </c>
    </row>
    <row r="1064" spans="1:6" x14ac:dyDescent="0.2">
      <c r="A1064" s="4">
        <v>46014</v>
      </c>
      <c r="B1064" s="5">
        <v>205.02</v>
      </c>
      <c r="C1064" s="5">
        <v>206.53</v>
      </c>
      <c r="D1064" s="5">
        <v>203.28</v>
      </c>
      <c r="E1064" s="5">
        <v>205.78</v>
      </c>
      <c r="F1064" s="6">
        <v>7047346</v>
      </c>
    </row>
    <row r="1065" spans="1:6" x14ac:dyDescent="0.2">
      <c r="A1065" s="4">
        <v>46015</v>
      </c>
      <c r="B1065" s="5">
        <v>206</v>
      </c>
      <c r="C1065" s="5">
        <v>207.94</v>
      </c>
      <c r="D1065" s="5">
        <v>205.57</v>
      </c>
      <c r="E1065" s="5">
        <v>207.78</v>
      </c>
      <c r="F1065" s="6">
        <v>2376541</v>
      </c>
    </row>
    <row r="1066" spans="1:6" x14ac:dyDescent="0.2">
      <c r="A1066" s="4">
        <v>46017</v>
      </c>
      <c r="B1066" s="5">
        <v>207.53</v>
      </c>
      <c r="C1066" s="5">
        <v>208.04</v>
      </c>
      <c r="D1066" s="5">
        <v>206.71010000000001</v>
      </c>
      <c r="E1066" s="5">
        <v>207.63</v>
      </c>
      <c r="F1066" s="6">
        <v>2316730</v>
      </c>
    </row>
    <row r="1067" spans="1:6" x14ac:dyDescent="0.2">
      <c r="A1067" s="4">
        <v>46020</v>
      </c>
      <c r="B1067" s="5">
        <v>208</v>
      </c>
      <c r="C1067" s="5">
        <v>209.47</v>
      </c>
      <c r="D1067" s="5">
        <v>207.38</v>
      </c>
      <c r="E1067" s="5">
        <v>207.56</v>
      </c>
      <c r="F1067" s="6">
        <v>4348854</v>
      </c>
    </row>
    <row r="1068" spans="1:6" x14ac:dyDescent="0.2">
      <c r="A1068" s="4">
        <v>46021</v>
      </c>
      <c r="B1068" s="5">
        <v>207.51</v>
      </c>
      <c r="C1068" s="5">
        <v>207.69</v>
      </c>
      <c r="D1068" s="5">
        <v>206.52</v>
      </c>
      <c r="E1068" s="5">
        <v>206.91</v>
      </c>
      <c r="F1068" s="6">
        <v>3937395</v>
      </c>
    </row>
    <row r="1069" spans="1:6" x14ac:dyDescent="0.2">
      <c r="A1069" s="4">
        <v>46022</v>
      </c>
      <c r="B1069" s="5">
        <v>206.91</v>
      </c>
      <c r="C1069" s="5">
        <v>207.5</v>
      </c>
      <c r="D1069" s="5">
        <v>206.37</v>
      </c>
      <c r="E1069" s="5">
        <v>206.95</v>
      </c>
      <c r="F1069" s="6">
        <v>4084013</v>
      </c>
    </row>
    <row r="1070" spans="1:6" x14ac:dyDescent="0.2">
      <c r="A1070" s="4">
        <v>46024</v>
      </c>
      <c r="B1070" s="5">
        <v>206.82</v>
      </c>
      <c r="C1070" s="5">
        <v>207.38499999999999</v>
      </c>
      <c r="D1070" s="5">
        <v>203.68</v>
      </c>
      <c r="E1070" s="5">
        <v>207.35</v>
      </c>
      <c r="F1070" s="6">
        <v>6325672</v>
      </c>
    </row>
    <row r="1071" spans="1:6" x14ac:dyDescent="0.2">
      <c r="A1071" s="4">
        <v>46027</v>
      </c>
      <c r="B1071" s="5">
        <v>205.87</v>
      </c>
      <c r="C1071" s="5">
        <v>205.935</v>
      </c>
      <c r="D1071" s="5">
        <v>200.9101</v>
      </c>
      <c r="E1071" s="5">
        <v>204.31</v>
      </c>
      <c r="F1071" s="6">
        <v>9476975</v>
      </c>
    </row>
    <row r="1072" spans="1:6" x14ac:dyDescent="0.2">
      <c r="A1072" s="4">
        <v>46028</v>
      </c>
      <c r="B1072" s="5">
        <v>204.6</v>
      </c>
      <c r="C1072" s="5">
        <v>206.70500000000001</v>
      </c>
      <c r="D1072" s="5">
        <v>204.11500000000001</v>
      </c>
      <c r="E1072" s="5">
        <v>204.79</v>
      </c>
      <c r="F1072" s="6">
        <v>8107853</v>
      </c>
    </row>
    <row r="1073" spans="1:6" x14ac:dyDescent="0.2">
      <c r="A1073" s="4">
        <v>46029</v>
      </c>
      <c r="B1073" s="5">
        <v>205.26</v>
      </c>
      <c r="C1073" s="5">
        <v>208.26</v>
      </c>
      <c r="D1073" s="5">
        <v>205.03</v>
      </c>
      <c r="E1073" s="5">
        <v>207.49</v>
      </c>
      <c r="F1073" s="6">
        <v>7545920</v>
      </c>
    </row>
    <row r="1074" spans="1:6" x14ac:dyDescent="0.2">
      <c r="A1074" s="4">
        <v>46030</v>
      </c>
      <c r="B1074" s="5">
        <v>206.93</v>
      </c>
      <c r="C1074" s="5">
        <v>208.98</v>
      </c>
      <c r="D1074" s="5">
        <v>204.97</v>
      </c>
      <c r="E1074" s="5">
        <v>205.75</v>
      </c>
      <c r="F1074" s="6">
        <v>6557776</v>
      </c>
    </row>
    <row r="1075" spans="1:6" x14ac:dyDescent="0.2">
      <c r="A1075" s="4">
        <v>46031</v>
      </c>
      <c r="B1075" s="5">
        <v>205.91</v>
      </c>
      <c r="C1075" s="5">
        <v>206.7</v>
      </c>
      <c r="D1075" s="5">
        <v>204.01</v>
      </c>
      <c r="E1075" s="5">
        <v>204.39</v>
      </c>
      <c r="F1075" s="6">
        <v>6154326</v>
      </c>
    </row>
    <row r="1076" spans="1:6" x14ac:dyDescent="0.2">
      <c r="A1076" s="4">
        <v>46034</v>
      </c>
      <c r="B1076" s="5">
        <v>205.55</v>
      </c>
      <c r="C1076" s="5">
        <v>209.9</v>
      </c>
      <c r="D1076" s="5">
        <v>203.85</v>
      </c>
      <c r="E1076" s="5">
        <v>209.72</v>
      </c>
      <c r="F1076" s="6">
        <v>11794340</v>
      </c>
    </row>
    <row r="1077" spans="1:6" x14ac:dyDescent="0.2">
      <c r="A1077" s="4">
        <v>46035</v>
      </c>
      <c r="B1077" s="5">
        <v>209.91</v>
      </c>
      <c r="C1077" s="5">
        <v>214.39</v>
      </c>
      <c r="D1077" s="5">
        <v>208.86</v>
      </c>
      <c r="E1077" s="5">
        <v>213.65</v>
      </c>
      <c r="F1077" s="6">
        <v>11379590</v>
      </c>
    </row>
    <row r="1078" spans="1:6" x14ac:dyDescent="0.2">
      <c r="A1078" s="4">
        <v>46036</v>
      </c>
      <c r="B1078" s="5">
        <v>214.73</v>
      </c>
      <c r="C1078" s="5">
        <v>218.86</v>
      </c>
      <c r="D1078" s="5">
        <v>214.14500000000001</v>
      </c>
      <c r="E1078" s="5">
        <v>218.55</v>
      </c>
      <c r="F1078" s="6">
        <v>11858780</v>
      </c>
    </row>
    <row r="1079" spans="1:6" x14ac:dyDescent="0.2">
      <c r="A1079" s="4">
        <v>46037</v>
      </c>
      <c r="B1079" s="5">
        <v>218.23</v>
      </c>
      <c r="C1079" s="5">
        <v>219.75</v>
      </c>
      <c r="D1079" s="5">
        <v>215.91059999999999</v>
      </c>
      <c r="E1079" s="5">
        <v>219.57</v>
      </c>
      <c r="F1079" s="6">
        <v>8492116</v>
      </c>
    </row>
    <row r="1080" spans="1:6" x14ac:dyDescent="0.2">
      <c r="A1080" s="4">
        <v>46038</v>
      </c>
      <c r="B1080" s="5">
        <v>219.04</v>
      </c>
      <c r="C1080" s="5">
        <v>220.11</v>
      </c>
      <c r="D1080" s="5">
        <v>218.13499999999999</v>
      </c>
      <c r="E1080" s="5">
        <v>218.66</v>
      </c>
      <c r="F1080" s="6">
        <v>10021520</v>
      </c>
    </row>
    <row r="1081" spans="1:6" x14ac:dyDescent="0.2">
      <c r="A1081" s="4">
        <v>46042</v>
      </c>
      <c r="B1081" s="5">
        <v>217.09</v>
      </c>
      <c r="C1081" s="5">
        <v>218.72499999999999</v>
      </c>
      <c r="D1081" s="5">
        <v>214.5</v>
      </c>
      <c r="E1081" s="5">
        <v>218.21</v>
      </c>
      <c r="F1081" s="6">
        <v>14057140</v>
      </c>
    </row>
    <row r="1082" spans="1:6" x14ac:dyDescent="0.2">
      <c r="A1082" s="4">
        <v>46043</v>
      </c>
      <c r="B1082" s="5">
        <v>211</v>
      </c>
      <c r="C1082" s="5">
        <v>218.67500000000001</v>
      </c>
      <c r="D1082" s="5">
        <v>210.5</v>
      </c>
      <c r="E1082" s="5">
        <v>218.01</v>
      </c>
      <c r="F1082" s="6">
        <v>14762880</v>
      </c>
    </row>
    <row r="1083" spans="1:6" x14ac:dyDescent="0.2">
      <c r="A1083" s="4">
        <v>46044</v>
      </c>
      <c r="B1083" s="5">
        <v>218.77</v>
      </c>
      <c r="C1083" s="5">
        <v>222.17</v>
      </c>
      <c r="D1083" s="5">
        <v>218.1</v>
      </c>
      <c r="E1083" s="5">
        <v>218.49</v>
      </c>
      <c r="F1083" s="6">
        <v>13160040</v>
      </c>
    </row>
    <row r="1084" spans="1:6" x14ac:dyDescent="0.2">
      <c r="A1084" s="4">
        <v>46045</v>
      </c>
      <c r="B1084" s="5">
        <v>219.8</v>
      </c>
      <c r="C1084" s="5">
        <v>221.21</v>
      </c>
      <c r="D1084" s="5">
        <v>217.84350000000001</v>
      </c>
      <c r="E1084" s="5">
        <v>220.14</v>
      </c>
      <c r="F1084" s="6">
        <v>6951040</v>
      </c>
    </row>
    <row r="1085" spans="1:6" x14ac:dyDescent="0.2">
      <c r="A1085" s="4">
        <v>46048</v>
      </c>
      <c r="B1085" s="5">
        <v>220.21</v>
      </c>
      <c r="C1085" s="5">
        <v>222.03</v>
      </c>
      <c r="D1085" s="5">
        <v>220</v>
      </c>
      <c r="E1085" s="5">
        <v>221.49</v>
      </c>
      <c r="F1085" s="6">
        <v>6857093</v>
      </c>
    </row>
    <row r="1086" spans="1:6" x14ac:dyDescent="0.2">
      <c r="A1086" s="4">
        <v>46049</v>
      </c>
      <c r="B1086" s="5">
        <v>222</v>
      </c>
      <c r="C1086" s="5">
        <v>225.5</v>
      </c>
      <c r="D1086" s="5">
        <v>220.7</v>
      </c>
      <c r="E1086" s="5">
        <v>224.44</v>
      </c>
      <c r="F1086" s="6">
        <v>8154489</v>
      </c>
    </row>
    <row r="1087" spans="1:6" x14ac:dyDescent="0.2">
      <c r="A1087" s="4">
        <v>46050</v>
      </c>
      <c r="B1087" s="5">
        <v>226.4</v>
      </c>
      <c r="C1087" s="5">
        <v>228.57</v>
      </c>
      <c r="D1087" s="5">
        <v>226.07499999999999</v>
      </c>
      <c r="E1087" s="5">
        <v>227.72</v>
      </c>
      <c r="F1087" s="6">
        <v>9026495</v>
      </c>
    </row>
    <row r="1088" spans="1:6" x14ac:dyDescent="0.2">
      <c r="A1088" s="4">
        <v>46051</v>
      </c>
      <c r="B1088" s="5">
        <v>228.81</v>
      </c>
      <c r="C1088" s="5">
        <v>230</v>
      </c>
      <c r="D1088" s="5">
        <v>227.08</v>
      </c>
      <c r="E1088" s="5">
        <v>227.29</v>
      </c>
      <c r="F1088" s="6">
        <v>9645348</v>
      </c>
    </row>
    <row r="1089" spans="1:6" x14ac:dyDescent="0.2">
      <c r="A1089" s="4">
        <v>46052</v>
      </c>
      <c r="B1089" s="5">
        <v>228.26</v>
      </c>
      <c r="C1089" s="5">
        <v>228.5</v>
      </c>
      <c r="D1089" s="5">
        <v>225.33</v>
      </c>
      <c r="E1089" s="5">
        <v>227.25</v>
      </c>
      <c r="F1089" s="6">
        <v>11045530</v>
      </c>
    </row>
    <row r="1090" spans="1:6" x14ac:dyDescent="0.2">
      <c r="A1090" s="4">
        <v>46055</v>
      </c>
      <c r="B1090" s="5">
        <v>228.32</v>
      </c>
      <c r="C1090" s="5">
        <v>231.19</v>
      </c>
      <c r="D1090" s="5">
        <v>227.25</v>
      </c>
      <c r="E1090" s="5">
        <v>230.75</v>
      </c>
      <c r="F1090" s="6">
        <v>8187529</v>
      </c>
    </row>
    <row r="1091" spans="1:6" x14ac:dyDescent="0.2">
      <c r="A1091" s="4">
        <v>46056</v>
      </c>
      <c r="B1091" s="5">
        <v>231.5</v>
      </c>
      <c r="C1091" s="5">
        <v>235.2</v>
      </c>
      <c r="D1091" s="5">
        <v>230.48</v>
      </c>
      <c r="E1091" s="5">
        <v>233.1</v>
      </c>
      <c r="F1091" s="6">
        <v>9346605</v>
      </c>
    </row>
    <row r="1092" spans="1:6" x14ac:dyDescent="0.2">
      <c r="A1092" s="4">
        <v>46057</v>
      </c>
      <c r="B1092" s="5">
        <v>235</v>
      </c>
      <c r="C1092" s="5">
        <v>235.83</v>
      </c>
      <c r="D1092" s="5">
        <v>232.94</v>
      </c>
      <c r="E1092" s="5">
        <v>234.47</v>
      </c>
      <c r="F1092" s="6">
        <v>8641449</v>
      </c>
    </row>
    <row r="1093" spans="1:6" x14ac:dyDescent="0.2">
      <c r="A1093" s="4">
        <v>46058</v>
      </c>
      <c r="B1093" s="5">
        <v>235</v>
      </c>
      <c r="C1093" s="5">
        <v>239.58</v>
      </c>
      <c r="D1093" s="5">
        <v>234.99</v>
      </c>
      <c r="E1093" s="5">
        <v>237.79</v>
      </c>
      <c r="F1093" s="6">
        <v>10267500</v>
      </c>
    </row>
    <row r="1094" spans="1:6" x14ac:dyDescent="0.2">
      <c r="A1094" s="4">
        <v>46059</v>
      </c>
      <c r="B1094" s="5">
        <v>238.96</v>
      </c>
      <c r="C1094" s="5">
        <v>240.935</v>
      </c>
      <c r="D1094" s="5">
        <v>237.98</v>
      </c>
      <c r="E1094" s="5">
        <v>239.99</v>
      </c>
      <c r="F1094" s="6">
        <v>8274034</v>
      </c>
    </row>
    <row r="1095" spans="1:6" x14ac:dyDescent="0.2">
      <c r="A1095" s="4">
        <v>46062</v>
      </c>
      <c r="B1095" s="5">
        <v>240.25</v>
      </c>
      <c r="C1095" s="5">
        <v>240.74</v>
      </c>
      <c r="D1095" s="5">
        <v>237.04</v>
      </c>
      <c r="E1095" s="5">
        <v>238.64</v>
      </c>
      <c r="F1095" s="6">
        <v>9378548</v>
      </c>
    </row>
    <row r="1096" spans="1:6" x14ac:dyDescent="0.2">
      <c r="A1096" s="4">
        <v>46063</v>
      </c>
      <c r="B1096" s="5">
        <v>239.98</v>
      </c>
      <c r="C1096" s="5">
        <v>240.5</v>
      </c>
      <c r="D1096" s="5">
        <v>237.88</v>
      </c>
      <c r="E1096" s="5">
        <v>238.35</v>
      </c>
      <c r="F1096" s="6">
        <v>6723253</v>
      </c>
    </row>
    <row r="1097" spans="1:6" x14ac:dyDescent="0.2">
      <c r="A1097" s="4">
        <v>46064</v>
      </c>
      <c r="B1097" s="5">
        <v>239.34</v>
      </c>
      <c r="C1097" s="5">
        <v>241.26</v>
      </c>
      <c r="D1097" s="5">
        <v>237.4</v>
      </c>
      <c r="E1097" s="5">
        <v>240.86</v>
      </c>
      <c r="F1097" s="6">
        <v>6803917</v>
      </c>
    </row>
    <row r="1098" spans="1:6" x14ac:dyDescent="0.2">
      <c r="A1098" s="4">
        <v>46065</v>
      </c>
      <c r="B1098" s="5">
        <v>240.48</v>
      </c>
      <c r="C1098" s="5">
        <v>246.34989999999999</v>
      </c>
      <c r="D1098" s="5">
        <v>239.68</v>
      </c>
      <c r="E1098" s="5">
        <v>244.55</v>
      </c>
      <c r="F1098" s="6">
        <v>10254260</v>
      </c>
    </row>
    <row r="1099" spans="1:6" x14ac:dyDescent="0.2">
      <c r="A1099" s="4">
        <v>46066</v>
      </c>
      <c r="B1099" s="5">
        <v>244.59</v>
      </c>
      <c r="C1099" s="5">
        <v>244.95</v>
      </c>
      <c r="D1099" s="5">
        <v>242.61</v>
      </c>
      <c r="E1099" s="5">
        <v>243.45</v>
      </c>
      <c r="F1099" s="6">
        <v>13268520</v>
      </c>
    </row>
    <row r="1100" spans="1:6" x14ac:dyDescent="0.2">
      <c r="A1100" s="4">
        <v>46070</v>
      </c>
      <c r="B1100" s="5">
        <v>244.13</v>
      </c>
      <c r="C1100" s="5">
        <v>244.49</v>
      </c>
      <c r="D1100" s="5">
        <v>241.87</v>
      </c>
      <c r="E1100" s="5">
        <v>243.33</v>
      </c>
      <c r="F1100" s="6">
        <v>12703030</v>
      </c>
    </row>
    <row r="1101" spans="1:6" x14ac:dyDescent="0.2">
      <c r="A1101" s="4">
        <v>46071</v>
      </c>
      <c r="B1101" s="5">
        <v>243.24</v>
      </c>
      <c r="C1101" s="5">
        <v>245.065</v>
      </c>
      <c r="D1101" s="5">
        <v>242.82</v>
      </c>
      <c r="E1101" s="5">
        <v>244.99</v>
      </c>
      <c r="F1101" s="6">
        <v>8129663</v>
      </c>
    </row>
    <row r="1102" spans="1:6" x14ac:dyDescent="0.2">
      <c r="A1102" s="4">
        <v>46072</v>
      </c>
      <c r="B1102" s="5">
        <v>244.62</v>
      </c>
      <c r="C1102" s="5">
        <v>246.96</v>
      </c>
      <c r="D1102" s="5">
        <v>244.27</v>
      </c>
      <c r="E1102" s="5">
        <v>246.91</v>
      </c>
      <c r="F1102" s="6">
        <v>7553934</v>
      </c>
    </row>
    <row r="1103" spans="1:6" x14ac:dyDescent="0.2">
      <c r="A1103" s="4">
        <v>46073</v>
      </c>
      <c r="B1103" s="5">
        <v>246.47</v>
      </c>
      <c r="C1103" s="5">
        <v>246.88</v>
      </c>
      <c r="D1103" s="5">
        <v>240.28</v>
      </c>
      <c r="E1103" s="5">
        <v>242.49</v>
      </c>
      <c r="F1103" s="6">
        <v>13565790</v>
      </c>
    </row>
    <row r="1104" spans="1:6" x14ac:dyDescent="0.2">
      <c r="A1104" s="4">
        <v>46076</v>
      </c>
      <c r="B1104" s="5">
        <v>243.63</v>
      </c>
      <c r="C1104" s="5">
        <v>246.81</v>
      </c>
      <c r="D1104" s="5">
        <v>242.6</v>
      </c>
      <c r="E1104" s="5">
        <v>245.84</v>
      </c>
      <c r="F1104" s="6">
        <v>9622742</v>
      </c>
    </row>
    <row r="1105" spans="1:6" x14ac:dyDescent="0.2">
      <c r="A1105" s="4">
        <v>46077</v>
      </c>
      <c r="B1105" s="5">
        <v>245.345</v>
      </c>
      <c r="C1105" s="5">
        <v>247.25</v>
      </c>
      <c r="D1105" s="5">
        <v>244.54</v>
      </c>
      <c r="E1105" s="5">
        <v>246.28</v>
      </c>
      <c r="F1105" s="6">
        <v>7246279</v>
      </c>
    </row>
    <row r="1106" spans="1:6" x14ac:dyDescent="0.2">
      <c r="A1106" s="4">
        <v>46078</v>
      </c>
      <c r="B1106" s="5">
        <v>244.86</v>
      </c>
      <c r="C1106" s="5">
        <v>247.25</v>
      </c>
      <c r="D1106" s="5">
        <v>243.72</v>
      </c>
      <c r="E1106" s="5">
        <v>245.17</v>
      </c>
      <c r="F1106" s="6">
        <v>7698199</v>
      </c>
    </row>
    <row r="1107" spans="1:6" x14ac:dyDescent="0.2">
      <c r="A1107" s="4">
        <v>46079</v>
      </c>
      <c r="B1107" s="5">
        <v>245.11</v>
      </c>
      <c r="C1107" s="5">
        <v>245.47</v>
      </c>
      <c r="D1107" s="5">
        <v>242.02010000000001</v>
      </c>
      <c r="E1107" s="5">
        <v>243.47</v>
      </c>
      <c r="F1107" s="6">
        <v>7172607</v>
      </c>
    </row>
    <row r="1108" spans="1:6" x14ac:dyDescent="0.2">
      <c r="A1108" s="4">
        <v>46080</v>
      </c>
      <c r="B1108" s="5">
        <v>244.03</v>
      </c>
      <c r="C1108" s="5">
        <v>248.94</v>
      </c>
      <c r="D1108" s="5">
        <v>242.5</v>
      </c>
      <c r="E1108" s="5">
        <v>248.43</v>
      </c>
      <c r="F1108" s="6">
        <v>16428550</v>
      </c>
    </row>
    <row r="1109" spans="1:6" x14ac:dyDescent="0.2">
      <c r="A1109" s="4">
        <v>46083</v>
      </c>
      <c r="B1109" s="5">
        <v>249.19</v>
      </c>
      <c r="C1109" s="5">
        <v>251.71</v>
      </c>
      <c r="D1109" s="5">
        <v>246.87</v>
      </c>
      <c r="E1109" s="5">
        <v>248.56</v>
      </c>
      <c r="F1109" s="6">
        <v>9042359</v>
      </c>
    </row>
    <row r="1110" spans="1:6" x14ac:dyDescent="0.2">
      <c r="A1110" s="4">
        <v>46084</v>
      </c>
      <c r="B1110" s="5">
        <v>246.46</v>
      </c>
      <c r="C1110" s="5">
        <v>247.88</v>
      </c>
      <c r="D1110" s="5">
        <v>244.36</v>
      </c>
      <c r="E1110" s="5">
        <v>246.75</v>
      </c>
      <c r="F1110" s="6">
        <v>6178739</v>
      </c>
    </row>
    <row r="1111" spans="1:6" x14ac:dyDescent="0.2">
      <c r="A1111" s="4">
        <v>46085</v>
      </c>
      <c r="B1111" s="5">
        <v>245.75</v>
      </c>
      <c r="C1111" s="5">
        <v>246.57</v>
      </c>
      <c r="D1111" s="5">
        <v>243.18</v>
      </c>
      <c r="E1111" s="5">
        <v>245.3</v>
      </c>
      <c r="F1111" s="6">
        <v>5767980</v>
      </c>
    </row>
    <row r="1112" spans="1:6" x14ac:dyDescent="0.2">
      <c r="A1112" s="4">
        <v>46086</v>
      </c>
      <c r="B1112" s="5">
        <v>242.63</v>
      </c>
      <c r="C1112" s="5">
        <v>243</v>
      </c>
      <c r="D1112" s="5">
        <v>235.93</v>
      </c>
      <c r="E1112" s="5">
        <v>239.63</v>
      </c>
      <c r="F1112" s="6">
        <v>9375412</v>
      </c>
    </row>
    <row r="1113" spans="1:6" x14ac:dyDescent="0.2">
      <c r="A1113" s="4">
        <v>46087</v>
      </c>
      <c r="B1113" s="5">
        <v>238.11500000000001</v>
      </c>
      <c r="C1113" s="5">
        <v>240.79</v>
      </c>
      <c r="D1113" s="5">
        <v>235.43</v>
      </c>
      <c r="E1113" s="5">
        <v>240.4</v>
      </c>
      <c r="F1113" s="6">
        <v>7179790</v>
      </c>
    </row>
    <row r="1114" spans="1:6" x14ac:dyDescent="0.2">
      <c r="A1114" s="4">
        <v>46090</v>
      </c>
      <c r="B1114" s="5">
        <v>240.87</v>
      </c>
      <c r="C1114" s="5">
        <v>244.09</v>
      </c>
      <c r="D1114" s="5">
        <v>240.04</v>
      </c>
      <c r="E1114" s="5">
        <v>242.59</v>
      </c>
      <c r="F1114" s="6">
        <v>7844028</v>
      </c>
    </row>
    <row r="1115" spans="1:6" x14ac:dyDescent="0.2">
      <c r="A1115" s="4">
        <v>46091</v>
      </c>
      <c r="B1115" s="5">
        <v>242.3</v>
      </c>
      <c r="C1115" s="5">
        <v>245</v>
      </c>
      <c r="D1115" s="5">
        <v>240.82</v>
      </c>
      <c r="E1115" s="5">
        <v>243.71</v>
      </c>
      <c r="F1115" s="6">
        <v>7214122</v>
      </c>
    </row>
    <row r="1116" spans="1:6" x14ac:dyDescent="0.2">
      <c r="A1116" s="4">
        <v>46092</v>
      </c>
      <c r="B1116" s="5">
        <v>242.87</v>
      </c>
      <c r="C1116" s="5">
        <v>243.69</v>
      </c>
      <c r="D1116" s="5">
        <v>241.36</v>
      </c>
      <c r="E1116" s="5">
        <v>242.99</v>
      </c>
      <c r="F1116" s="6">
        <v>6934842</v>
      </c>
    </row>
    <row r="1117" spans="1:6" x14ac:dyDescent="0.2">
      <c r="A1117" s="4">
        <v>46093</v>
      </c>
      <c r="B1117" s="5">
        <v>241.46</v>
      </c>
      <c r="C1117" s="5">
        <v>244.4</v>
      </c>
      <c r="D1117" s="5">
        <v>240.3</v>
      </c>
      <c r="E1117" s="5">
        <v>242.04</v>
      </c>
      <c r="F1117" s="6">
        <v>7710152</v>
      </c>
    </row>
    <row r="1118" spans="1:6" x14ac:dyDescent="0.2">
      <c r="A1118" s="4">
        <v>46094</v>
      </c>
      <c r="B1118" s="5">
        <v>244.21</v>
      </c>
      <c r="C1118" s="5">
        <v>245.5899</v>
      </c>
      <c r="D1118" s="5">
        <v>241.5</v>
      </c>
      <c r="E1118" s="5">
        <v>241.52</v>
      </c>
      <c r="F1118" s="6">
        <v>6415539</v>
      </c>
    </row>
    <row r="1119" spans="1:6" x14ac:dyDescent="0.2">
      <c r="A1119" s="4">
        <v>46097</v>
      </c>
      <c r="B1119" s="5">
        <v>243.92</v>
      </c>
      <c r="C1119" s="5">
        <v>245.05500000000001</v>
      </c>
      <c r="D1119" s="5">
        <v>241.67</v>
      </c>
      <c r="E1119" s="5">
        <v>243.19</v>
      </c>
      <c r="F1119" s="6">
        <v>7571757</v>
      </c>
    </row>
    <row r="1120" spans="1:6" x14ac:dyDescent="0.2">
      <c r="A1120" s="4">
        <v>46098</v>
      </c>
      <c r="B1120" s="5">
        <v>243.58</v>
      </c>
      <c r="C1120" s="5">
        <v>244.14</v>
      </c>
      <c r="D1120" s="5">
        <v>237.22</v>
      </c>
      <c r="E1120" s="5">
        <v>238.11</v>
      </c>
      <c r="F1120" s="6">
        <v>7281819</v>
      </c>
    </row>
    <row r="1121" spans="1:6" x14ac:dyDescent="0.2">
      <c r="A1121" s="4">
        <v>46099</v>
      </c>
      <c r="B1121" s="5">
        <v>237.87</v>
      </c>
      <c r="C1121" s="5">
        <v>239.11</v>
      </c>
      <c r="D1121" s="5">
        <v>235.4169</v>
      </c>
      <c r="E1121" s="5">
        <v>237.28</v>
      </c>
      <c r="F1121" s="6">
        <v>6811546</v>
      </c>
    </row>
    <row r="1122" spans="1:6" x14ac:dyDescent="0.2">
      <c r="A1122" s="4">
        <v>46100</v>
      </c>
      <c r="B1122" s="5">
        <v>238.34</v>
      </c>
      <c r="C1122" s="5">
        <v>239.26</v>
      </c>
      <c r="D1122" s="5">
        <v>236.31</v>
      </c>
      <c r="E1122" s="5">
        <v>237.6</v>
      </c>
      <c r="F1122" s="6">
        <v>7511537</v>
      </c>
    </row>
    <row r="1123" spans="1:6" x14ac:dyDescent="0.2">
      <c r="A1123" s="4">
        <v>46101</v>
      </c>
      <c r="B1123" s="5">
        <v>236.83</v>
      </c>
      <c r="C1123" s="5">
        <v>238.29</v>
      </c>
      <c r="D1123" s="5">
        <v>234.5</v>
      </c>
      <c r="E1123" s="5">
        <v>235.37</v>
      </c>
      <c r="F1123" s="6">
        <v>17156620</v>
      </c>
    </row>
    <row r="1124" spans="1:6" x14ac:dyDescent="0.2">
      <c r="A1124" s="4">
        <v>46104</v>
      </c>
      <c r="B1124" s="5">
        <v>237.4</v>
      </c>
      <c r="C1124" s="5">
        <v>238.31</v>
      </c>
      <c r="D1124" s="5">
        <v>234.25</v>
      </c>
      <c r="E1124" s="5">
        <v>235.42</v>
      </c>
      <c r="F1124" s="6">
        <v>7313653</v>
      </c>
    </row>
    <row r="1125" spans="1:6" x14ac:dyDescent="0.2">
      <c r="A1125" s="4">
        <v>46105</v>
      </c>
      <c r="B1125" s="5">
        <v>234.14</v>
      </c>
      <c r="C1125" s="5">
        <v>236</v>
      </c>
      <c r="D1125" s="5">
        <v>232.23650000000001</v>
      </c>
      <c r="E1125" s="5">
        <v>235.27</v>
      </c>
      <c r="F1125" s="6">
        <v>9046201</v>
      </c>
    </row>
    <row r="1126" spans="1:6" x14ac:dyDescent="0.2">
      <c r="A1126" s="4">
        <v>46106</v>
      </c>
      <c r="B1126" s="5">
        <v>236.8</v>
      </c>
      <c r="C1126" s="5">
        <v>241.45500000000001</v>
      </c>
      <c r="D1126" s="5">
        <v>235.73</v>
      </c>
      <c r="E1126" s="5">
        <v>239.93</v>
      </c>
      <c r="F1126" s="6">
        <v>6456736</v>
      </c>
    </row>
    <row r="1127" spans="1:6" x14ac:dyDescent="0.2">
      <c r="A1127" s="4">
        <v>46107</v>
      </c>
      <c r="B1127" s="5">
        <v>240</v>
      </c>
      <c r="C1127" s="5">
        <v>241.65350000000001</v>
      </c>
      <c r="D1127" s="5">
        <v>238.93</v>
      </c>
      <c r="E1127" s="5">
        <v>239.24</v>
      </c>
      <c r="F1127" s="6">
        <v>5171440</v>
      </c>
    </row>
    <row r="1128" spans="1:6" x14ac:dyDescent="0.2">
      <c r="A1128" s="4">
        <v>46108</v>
      </c>
      <c r="B1128" s="5">
        <v>241.19</v>
      </c>
      <c r="C1128" s="5">
        <v>242.68</v>
      </c>
      <c r="D1128" s="5">
        <v>239.1301</v>
      </c>
      <c r="E1128" s="5">
        <v>240.45</v>
      </c>
      <c r="F1128" s="6">
        <v>7617616</v>
      </c>
    </row>
    <row r="1129" spans="1:6" x14ac:dyDescent="0.2">
      <c r="A1129" s="4">
        <v>46111</v>
      </c>
      <c r="B1129" s="5">
        <v>243.49</v>
      </c>
      <c r="C1129" s="5">
        <v>244.21</v>
      </c>
      <c r="D1129" s="5">
        <v>240.51</v>
      </c>
      <c r="E1129" s="5">
        <v>242.49</v>
      </c>
      <c r="F1129" s="6">
        <v>7241324</v>
      </c>
    </row>
    <row r="1130" spans="1:6" x14ac:dyDescent="0.2">
      <c r="A1130" s="4">
        <v>46112</v>
      </c>
      <c r="B1130" s="5">
        <v>243.01</v>
      </c>
      <c r="C1130" s="5">
        <v>245.33</v>
      </c>
      <c r="D1130" s="5">
        <v>242.65</v>
      </c>
      <c r="E1130" s="5">
        <v>244.44</v>
      </c>
      <c r="F1130" s="6">
        <v>7554152</v>
      </c>
    </row>
    <row r="1131" spans="1:6" x14ac:dyDescent="0.2">
      <c r="A1131" s="4">
        <v>46113</v>
      </c>
      <c r="B1131" s="5">
        <v>245.6</v>
      </c>
      <c r="C1131" s="5">
        <v>247.2</v>
      </c>
      <c r="D1131" s="5">
        <v>243.74</v>
      </c>
      <c r="E1131" s="5">
        <v>244.12</v>
      </c>
      <c r="F1131" s="6">
        <v>6314634</v>
      </c>
    </row>
    <row r="1132" spans="1:6" x14ac:dyDescent="0.2">
      <c r="A1132" s="4">
        <v>46114</v>
      </c>
      <c r="B1132" s="5">
        <v>245.11</v>
      </c>
      <c r="C1132" s="5">
        <v>247.21</v>
      </c>
      <c r="D1132" s="5">
        <v>241.87</v>
      </c>
      <c r="E1132" s="5">
        <v>243.04</v>
      </c>
      <c r="F1132" s="6">
        <v>6878704</v>
      </c>
    </row>
    <row r="1133" spans="1:6" x14ac:dyDescent="0.2">
      <c r="A1133" s="4">
        <v>46118</v>
      </c>
      <c r="B1133" s="5">
        <v>242.65</v>
      </c>
      <c r="C1133" s="5">
        <v>243.51929999999999</v>
      </c>
      <c r="D1133" s="5">
        <v>240.5</v>
      </c>
      <c r="E1133" s="5">
        <v>240.97</v>
      </c>
      <c r="F1133" s="6">
        <v>4442427</v>
      </c>
    </row>
    <row r="1134" spans="1:6" x14ac:dyDescent="0.2">
      <c r="A1134" s="4">
        <v>46119</v>
      </c>
      <c r="B1134" s="5">
        <v>240.78</v>
      </c>
      <c r="C1134" s="5">
        <v>240.78</v>
      </c>
      <c r="D1134" s="5">
        <v>236.01</v>
      </c>
      <c r="E1134" s="5">
        <v>238.41</v>
      </c>
      <c r="F1134" s="6">
        <v>6241146</v>
      </c>
    </row>
    <row r="1135" spans="1:6" x14ac:dyDescent="0.2">
      <c r="A1135" s="4">
        <v>46120</v>
      </c>
      <c r="B1135" s="5">
        <v>236.64</v>
      </c>
      <c r="C1135" s="5">
        <v>241.33</v>
      </c>
      <c r="D1135" s="5">
        <v>233.9</v>
      </c>
      <c r="E1135" s="5">
        <v>241.3</v>
      </c>
      <c r="F1135" s="6">
        <v>8771117</v>
      </c>
    </row>
    <row r="1136" spans="1:6" x14ac:dyDescent="0.2">
      <c r="A1136" s="4">
        <v>46121</v>
      </c>
      <c r="B1136" s="5">
        <v>241.3</v>
      </c>
      <c r="C1136" s="5">
        <v>244.2</v>
      </c>
      <c r="D1136" s="5">
        <v>240.54</v>
      </c>
      <c r="E1136" s="5">
        <v>241.31</v>
      </c>
      <c r="F1136" s="6">
        <v>6216497</v>
      </c>
    </row>
    <row r="1137" spans="1:6" x14ac:dyDescent="0.2">
      <c r="A1137" s="4">
        <v>46122</v>
      </c>
      <c r="B1137" s="5">
        <v>242</v>
      </c>
      <c r="C1137" s="5">
        <v>242.26</v>
      </c>
      <c r="D1137" s="5">
        <v>237.91</v>
      </c>
      <c r="E1137" s="5">
        <v>238.46</v>
      </c>
      <c r="F1137" s="6">
        <v>7354528</v>
      </c>
    </row>
    <row r="1138" spans="1:6" x14ac:dyDescent="0.2">
      <c r="A1138" s="4">
        <v>46125</v>
      </c>
      <c r="B1138" s="5">
        <v>237.71</v>
      </c>
      <c r="C1138" s="5">
        <v>238.39</v>
      </c>
      <c r="D1138" s="5">
        <v>235.18</v>
      </c>
      <c r="E1138" s="5">
        <v>237.96</v>
      </c>
      <c r="F1138" s="6">
        <v>7663571</v>
      </c>
    </row>
    <row r="1139" spans="1:6" x14ac:dyDescent="0.2">
      <c r="A1139" s="4">
        <v>46126</v>
      </c>
      <c r="B1139" s="5">
        <v>235.01</v>
      </c>
      <c r="C1139" s="5">
        <v>242.19</v>
      </c>
      <c r="D1139" s="5">
        <v>233.25</v>
      </c>
      <c r="E1139" s="5">
        <v>240.1</v>
      </c>
      <c r="F1139" s="6">
        <v>10318730</v>
      </c>
    </row>
    <row r="1140" spans="1:6" x14ac:dyDescent="0.2">
      <c r="A1140" s="4">
        <v>46127</v>
      </c>
      <c r="B1140" s="5">
        <v>239.935</v>
      </c>
      <c r="C1140" s="5">
        <v>240.42</v>
      </c>
      <c r="D1140" s="5">
        <v>236.75</v>
      </c>
      <c r="E1140" s="5">
        <v>238.67</v>
      </c>
      <c r="F1140" s="6">
        <v>6463456</v>
      </c>
    </row>
    <row r="1141" spans="1:6" x14ac:dyDescent="0.2">
      <c r="A1141" s="4">
        <v>46128</v>
      </c>
      <c r="B1141" s="5">
        <v>237.42</v>
      </c>
      <c r="C1141" s="5">
        <v>238.14</v>
      </c>
      <c r="D1141" s="5">
        <v>232.12</v>
      </c>
      <c r="E1141" s="5">
        <v>234.54</v>
      </c>
      <c r="F1141" s="6">
        <v>8668883</v>
      </c>
    </row>
    <row r="1142" spans="1:6" x14ac:dyDescent="0.2">
      <c r="A1142" s="4">
        <v>46129</v>
      </c>
      <c r="B1142" s="5">
        <v>234.36</v>
      </c>
      <c r="C1142" s="5">
        <v>235.54</v>
      </c>
      <c r="D1142" s="5">
        <v>232.04</v>
      </c>
      <c r="E1142" s="5">
        <v>234.18</v>
      </c>
      <c r="F1142" s="6">
        <v>8946288</v>
      </c>
    </row>
    <row r="1143" spans="1:6" x14ac:dyDescent="0.2">
      <c r="A1143" s="4">
        <v>46132</v>
      </c>
      <c r="B1143" s="5">
        <v>234.81</v>
      </c>
      <c r="C1143" s="5">
        <v>235.26</v>
      </c>
      <c r="D1143" s="5">
        <v>229.53</v>
      </c>
      <c r="E1143" s="5">
        <v>230.69</v>
      </c>
      <c r="F1143" s="6">
        <v>7810471</v>
      </c>
    </row>
    <row r="1144" spans="1:6" x14ac:dyDescent="0.2">
      <c r="A1144" s="4">
        <v>46133</v>
      </c>
      <c r="B1144" s="5">
        <v>229.35</v>
      </c>
      <c r="C1144" s="5">
        <v>229.69</v>
      </c>
      <c r="D1144" s="5">
        <v>224.7</v>
      </c>
      <c r="E1144" s="5">
        <v>226.16</v>
      </c>
      <c r="F1144" s="6">
        <v>11681240</v>
      </c>
    </row>
    <row r="1145" spans="1:6" x14ac:dyDescent="0.2">
      <c r="A1145" s="4">
        <v>46134</v>
      </c>
      <c r="B1145" s="5">
        <v>226.18</v>
      </c>
      <c r="C1145" s="5">
        <v>227.48</v>
      </c>
      <c r="D1145" s="5">
        <v>223.77500000000001</v>
      </c>
      <c r="E1145" s="5">
        <v>226.1</v>
      </c>
      <c r="F1145" s="6">
        <v>9003352</v>
      </c>
    </row>
    <row r="1146" spans="1:6" x14ac:dyDescent="0.2">
      <c r="A1146" s="4">
        <v>46135</v>
      </c>
      <c r="B1146" s="5">
        <v>227.25</v>
      </c>
      <c r="C1146" s="5">
        <v>231.39</v>
      </c>
      <c r="D1146" s="5">
        <v>227.03</v>
      </c>
      <c r="E1146" s="5">
        <v>230.65</v>
      </c>
      <c r="F1146" s="6">
        <v>7097642</v>
      </c>
    </row>
    <row r="1147" spans="1:6" x14ac:dyDescent="0.2">
      <c r="A1147" s="4">
        <v>46136</v>
      </c>
      <c r="B1147" s="5">
        <v>229.03</v>
      </c>
      <c r="C1147" s="5">
        <v>229.99</v>
      </c>
      <c r="D1147" s="5">
        <v>227.02</v>
      </c>
      <c r="E1147" s="5">
        <v>227.5</v>
      </c>
      <c r="F1147" s="6">
        <v>6067521</v>
      </c>
    </row>
    <row r="1148" spans="1:6" x14ac:dyDescent="0.2">
      <c r="A1148" s="4">
        <v>46139</v>
      </c>
      <c r="B1148" s="5">
        <v>225.77</v>
      </c>
      <c r="C1148" s="5">
        <v>227.91</v>
      </c>
      <c r="D1148" s="5">
        <v>224.35429999999999</v>
      </c>
      <c r="E1148" s="5">
        <v>225.34</v>
      </c>
      <c r="F1148" s="6">
        <v>7897807</v>
      </c>
    </row>
    <row r="1149" spans="1:6" x14ac:dyDescent="0.2">
      <c r="A1149" s="4">
        <v>46140</v>
      </c>
      <c r="B1149" s="5">
        <v>227.73</v>
      </c>
      <c r="C1149" s="5">
        <v>231.03</v>
      </c>
      <c r="D1149" s="5">
        <v>226.37</v>
      </c>
      <c r="E1149" s="5">
        <v>227.79</v>
      </c>
      <c r="F1149" s="6">
        <v>7179849</v>
      </c>
    </row>
    <row r="1150" spans="1:6" x14ac:dyDescent="0.2">
      <c r="A1150" s="4">
        <v>46141</v>
      </c>
      <c r="B1150" s="5">
        <v>225.52</v>
      </c>
      <c r="C1150" s="5">
        <v>228.71</v>
      </c>
      <c r="D1150" s="5">
        <v>224.86</v>
      </c>
      <c r="E1150" s="5">
        <v>227.35</v>
      </c>
      <c r="F1150" s="6">
        <v>7071144</v>
      </c>
    </row>
    <row r="1151" spans="1:6" x14ac:dyDescent="0.2">
      <c r="A1151" s="4">
        <v>46142</v>
      </c>
      <c r="B1151" s="5">
        <v>227.95</v>
      </c>
      <c r="C1151" s="5">
        <v>231.16</v>
      </c>
      <c r="D1151" s="5">
        <v>227.81</v>
      </c>
      <c r="E1151" s="5">
        <v>229.85</v>
      </c>
      <c r="F1151" s="6">
        <v>8157165</v>
      </c>
    </row>
    <row r="1152" spans="1:6" x14ac:dyDescent="0.2">
      <c r="A1152" s="4">
        <v>46143</v>
      </c>
      <c r="B1152" s="5">
        <v>229.06</v>
      </c>
      <c r="C1152" s="5">
        <v>229.77</v>
      </c>
      <c r="D1152" s="5">
        <v>227.02</v>
      </c>
      <c r="E1152" s="5">
        <v>227.19</v>
      </c>
      <c r="F1152" s="6">
        <v>6863587</v>
      </c>
    </row>
    <row r="1153" spans="1:6" x14ac:dyDescent="0.2">
      <c r="A1153" s="4">
        <v>46146</v>
      </c>
      <c r="B1153" s="5">
        <v>225.51</v>
      </c>
      <c r="C1153" s="5">
        <v>227.07</v>
      </c>
      <c r="D1153" s="5">
        <v>223.58</v>
      </c>
      <c r="E1153" s="5">
        <v>224.2</v>
      </c>
      <c r="F1153" s="6">
        <v>8215235</v>
      </c>
    </row>
    <row r="1154" spans="1:6" x14ac:dyDescent="0.2">
      <c r="A1154" s="4">
        <v>46147</v>
      </c>
      <c r="B1154" s="5">
        <v>225.39</v>
      </c>
      <c r="C1154" s="5">
        <v>226.53</v>
      </c>
      <c r="D1154" s="5">
        <v>224.9</v>
      </c>
      <c r="E1154" s="5">
        <v>225.55</v>
      </c>
      <c r="F1154" s="6">
        <v>5556720</v>
      </c>
    </row>
    <row r="1155" spans="1:6" x14ac:dyDescent="0.2">
      <c r="A1155" s="4">
        <v>46148</v>
      </c>
      <c r="B1155" s="5">
        <v>225.25</v>
      </c>
      <c r="C1155" s="5">
        <v>226.34</v>
      </c>
      <c r="D1155" s="5">
        <v>222.95</v>
      </c>
      <c r="E1155" s="5">
        <v>224.62</v>
      </c>
      <c r="F1155" s="6">
        <v>7982250</v>
      </c>
    </row>
    <row r="1156" spans="1:6" x14ac:dyDescent="0.2">
      <c r="A1156" s="4">
        <v>46149</v>
      </c>
      <c r="B1156" s="5">
        <v>224.78</v>
      </c>
      <c r="C1156" s="5">
        <v>224.78</v>
      </c>
      <c r="D1156" s="5">
        <v>220.63</v>
      </c>
      <c r="E1156" s="5">
        <v>222.51</v>
      </c>
      <c r="F1156" s="6">
        <v>7269708</v>
      </c>
    </row>
    <row r="1157" spans="1:6" x14ac:dyDescent="0.2">
      <c r="A1157" s="4">
        <v>46150</v>
      </c>
      <c r="B1157" s="5">
        <v>222.94</v>
      </c>
      <c r="C1157" s="5">
        <v>223.37</v>
      </c>
      <c r="D1157" s="5">
        <v>220.92009999999999</v>
      </c>
      <c r="E1157" s="5">
        <v>221.32</v>
      </c>
      <c r="F1157" s="6">
        <v>5550555</v>
      </c>
    </row>
    <row r="1158" spans="1:6" x14ac:dyDescent="0.2">
      <c r="A1158" s="4">
        <v>46153</v>
      </c>
      <c r="B1158" s="5">
        <v>221.32</v>
      </c>
      <c r="C1158" s="5">
        <v>223.28</v>
      </c>
      <c r="D1158" s="5">
        <v>220.37</v>
      </c>
      <c r="E1158" s="5">
        <v>221.43</v>
      </c>
      <c r="F1158" s="6">
        <v>6223182</v>
      </c>
    </row>
    <row r="1159" spans="1:6" x14ac:dyDescent="0.2">
      <c r="A1159" s="4">
        <v>46154</v>
      </c>
      <c r="B1159" s="5">
        <v>223</v>
      </c>
      <c r="C1159" s="5">
        <v>227.65</v>
      </c>
      <c r="D1159" s="5">
        <v>221.6456</v>
      </c>
      <c r="E1159" s="5">
        <v>224.26</v>
      </c>
      <c r="F1159" s="6">
        <v>8632470</v>
      </c>
    </row>
    <row r="1160" spans="1:6" x14ac:dyDescent="0.2">
      <c r="A1160" s="4">
        <v>46155</v>
      </c>
      <c r="B1160" s="5">
        <v>225.82</v>
      </c>
      <c r="C1160" s="5">
        <v>230.797</v>
      </c>
      <c r="D1160" s="5">
        <v>225.43819999999999</v>
      </c>
      <c r="E1160" s="5">
        <v>230.42</v>
      </c>
      <c r="F1160" s="6">
        <v>7464490</v>
      </c>
    </row>
    <row r="1161" spans="1:6" x14ac:dyDescent="0.2">
      <c r="A1161" s="4">
        <v>46156</v>
      </c>
      <c r="B1161" s="5">
        <v>231</v>
      </c>
      <c r="C1161" s="5">
        <v>231.76</v>
      </c>
      <c r="D1161" s="5">
        <v>229.16</v>
      </c>
      <c r="E1161" s="5">
        <v>230.8</v>
      </c>
      <c r="F1161" s="6">
        <v>6974439</v>
      </c>
    </row>
    <row r="1162" spans="1:6" x14ac:dyDescent="0.2">
      <c r="A1162" s="4">
        <v>46157</v>
      </c>
      <c r="B1162" s="5">
        <v>230.77</v>
      </c>
      <c r="C1162" s="5">
        <v>232.13499999999999</v>
      </c>
      <c r="D1162" s="5">
        <v>226.44</v>
      </c>
      <c r="E1162" s="5">
        <v>226.71</v>
      </c>
      <c r="F1162" s="6">
        <v>12166950</v>
      </c>
    </row>
    <row r="1163" spans="1:6" x14ac:dyDescent="0.2">
      <c r="A1163" s="4">
        <v>46160</v>
      </c>
      <c r="B1163" s="5">
        <v>226.71</v>
      </c>
      <c r="C1163" s="5">
        <v>229.7</v>
      </c>
      <c r="D1163" s="5">
        <v>225.86</v>
      </c>
      <c r="E1163" s="5">
        <v>228.92</v>
      </c>
      <c r="F1163" s="6">
        <v>10141610</v>
      </c>
    </row>
    <row r="1164" spans="1:6" x14ac:dyDescent="0.2">
      <c r="A1164" s="4">
        <v>46161</v>
      </c>
      <c r="B1164" s="5">
        <v>228.935</v>
      </c>
      <c r="C1164" s="5">
        <v>230.85</v>
      </c>
      <c r="D1164" s="5">
        <v>228.04</v>
      </c>
      <c r="E1164" s="5">
        <v>230</v>
      </c>
      <c r="F1164" s="6">
        <v>9677943</v>
      </c>
    </row>
    <row r="1165" spans="1:6" x14ac:dyDescent="0.2">
      <c r="A1165" s="4">
        <v>46162</v>
      </c>
      <c r="B1165" s="5">
        <v>231.69</v>
      </c>
      <c r="C1165" s="5">
        <v>232</v>
      </c>
      <c r="D1165" s="5">
        <v>229.17</v>
      </c>
      <c r="E1165" s="5">
        <v>229.32</v>
      </c>
      <c r="F1165" s="6">
        <v>7353781</v>
      </c>
    </row>
    <row r="1166" spans="1:6" x14ac:dyDescent="0.2">
      <c r="A1166" s="4">
        <v>46163</v>
      </c>
      <c r="B1166" s="5">
        <v>229.315</v>
      </c>
      <c r="C1166" s="5">
        <v>231.89</v>
      </c>
      <c r="D1166" s="5">
        <v>227.35</v>
      </c>
      <c r="E1166" s="5">
        <v>231.73</v>
      </c>
      <c r="F1166" s="6">
        <v>5239027</v>
      </c>
    </row>
    <row r="1167" spans="1:6" x14ac:dyDescent="0.2">
      <c r="A1167" s="4">
        <v>46164</v>
      </c>
      <c r="B1167" s="5">
        <v>233</v>
      </c>
      <c r="C1167" s="5">
        <v>235.495</v>
      </c>
      <c r="D1167" s="5">
        <v>232.72</v>
      </c>
      <c r="E1167" s="5">
        <v>234.34</v>
      </c>
      <c r="F1167" s="6">
        <v>5464729</v>
      </c>
    </row>
    <row r="1168" spans="1:6" x14ac:dyDescent="0.2">
      <c r="A1168" s="4">
        <v>46168</v>
      </c>
      <c r="B1168" s="5">
        <v>233</v>
      </c>
      <c r="C1168" s="5">
        <v>233.24</v>
      </c>
      <c r="D1168" s="5">
        <v>229.08</v>
      </c>
      <c r="E1168" s="5">
        <v>230.18</v>
      </c>
      <c r="F1168" s="6">
        <v>6623641</v>
      </c>
    </row>
    <row r="1169" spans="1:6" x14ac:dyDescent="0.2">
      <c r="A1169" s="4">
        <v>46169</v>
      </c>
      <c r="B1169" s="5">
        <v>229.98</v>
      </c>
      <c r="C1169" s="5">
        <v>232.89</v>
      </c>
      <c r="D1169" s="5">
        <v>229.0205</v>
      </c>
      <c r="E1169" s="5">
        <v>231.29</v>
      </c>
      <c r="F1169" s="6">
        <v>5836343</v>
      </c>
    </row>
    <row r="1170" spans="1:6" x14ac:dyDescent="0.2">
      <c r="A1170" s="4">
        <v>46170</v>
      </c>
      <c r="B1170" s="5">
        <v>230.03</v>
      </c>
      <c r="C1170" s="5">
        <v>231.87</v>
      </c>
      <c r="D1170" s="5">
        <v>229.73</v>
      </c>
      <c r="E1170" s="5">
        <v>230.8</v>
      </c>
      <c r="F1170" s="6">
        <v>7194961</v>
      </c>
    </row>
    <row r="1171" spans="1:6" x14ac:dyDescent="0.2">
      <c r="A1171" s="4">
        <v>46171</v>
      </c>
      <c r="B1171" s="5">
        <v>231.23</v>
      </c>
      <c r="C1171" s="5">
        <v>231.5</v>
      </c>
      <c r="D1171" s="5">
        <v>224.58500000000001</v>
      </c>
      <c r="E1171" s="5">
        <v>225.33</v>
      </c>
      <c r="F1171" s="6">
        <v>13901490</v>
      </c>
    </row>
    <row r="1172" spans="1:6" x14ac:dyDescent="0.2">
      <c r="A1172" s="4">
        <v>46174</v>
      </c>
      <c r="B1172" s="5">
        <v>223.2</v>
      </c>
      <c r="C1172" s="5">
        <v>224.44</v>
      </c>
      <c r="D1172" s="5">
        <v>220.84</v>
      </c>
      <c r="E1172" s="5">
        <v>223.51</v>
      </c>
      <c r="F1172" s="6">
        <v>8040997</v>
      </c>
    </row>
    <row r="1173" spans="1:6" x14ac:dyDescent="0.2">
      <c r="A1173" s="4">
        <v>46175</v>
      </c>
      <c r="B1173" s="5">
        <v>222.58</v>
      </c>
      <c r="C1173" s="5">
        <v>225.5</v>
      </c>
      <c r="D1173" s="5">
        <v>221.17</v>
      </c>
      <c r="E1173" s="5">
        <v>222.89</v>
      </c>
      <c r="F1173" s="6">
        <v>5668958</v>
      </c>
    </row>
    <row r="1174" spans="1:6" x14ac:dyDescent="0.2">
      <c r="A1174" s="4">
        <v>46176</v>
      </c>
      <c r="B1174" s="5">
        <v>222.45</v>
      </c>
      <c r="C1174" s="5">
        <v>224.93</v>
      </c>
      <c r="D1174" s="5">
        <v>222</v>
      </c>
      <c r="E1174" s="5">
        <v>223.24</v>
      </c>
      <c r="F1174" s="6">
        <v>6507220</v>
      </c>
    </row>
    <row r="1175" spans="1:6" x14ac:dyDescent="0.2">
      <c r="A1175" s="4">
        <v>46177</v>
      </c>
      <c r="B1175" s="5">
        <v>227.09</v>
      </c>
      <c r="C1175" s="5">
        <v>228.67</v>
      </c>
      <c r="D1175" s="5">
        <v>225.9</v>
      </c>
      <c r="E1175" s="5">
        <v>228.17</v>
      </c>
      <c r="F1175" s="6">
        <v>7274807</v>
      </c>
    </row>
    <row r="1176" spans="1:6" x14ac:dyDescent="0.2">
      <c r="A1176" s="4">
        <v>46178</v>
      </c>
      <c r="B1176" s="5">
        <v>230</v>
      </c>
      <c r="C1176" s="5">
        <v>235.215</v>
      </c>
      <c r="D1176" s="5">
        <v>229</v>
      </c>
      <c r="E1176" s="5">
        <v>232.77</v>
      </c>
      <c r="F1176" s="6">
        <v>8034922</v>
      </c>
    </row>
    <row r="1177" spans="1:6" x14ac:dyDescent="0.2">
      <c r="A1177" s="4">
        <v>46181</v>
      </c>
      <c r="B1177" s="5">
        <v>232.77</v>
      </c>
      <c r="C1177" s="5">
        <v>234.95</v>
      </c>
      <c r="D1177" s="5">
        <v>230.56010000000001</v>
      </c>
      <c r="E1177" s="5">
        <v>232.16</v>
      </c>
      <c r="F1177" s="6">
        <v>7559782</v>
      </c>
    </row>
    <row r="1178" spans="1:6" x14ac:dyDescent="0.2">
      <c r="A1178" s="4">
        <v>46182</v>
      </c>
      <c r="B1178" s="5">
        <v>232.38</v>
      </c>
      <c r="C1178" s="5">
        <v>237.71</v>
      </c>
      <c r="D1178" s="5">
        <v>230.41</v>
      </c>
      <c r="E1178" s="5">
        <v>237</v>
      </c>
      <c r="F1178" s="6">
        <v>8354459</v>
      </c>
    </row>
    <row r="1179" spans="1:6" x14ac:dyDescent="0.2">
      <c r="A1179" s="4">
        <v>46183</v>
      </c>
      <c r="B1179" s="5">
        <v>238.85</v>
      </c>
      <c r="C1179" s="5">
        <v>240.93</v>
      </c>
      <c r="D1179" s="5">
        <v>237.05</v>
      </c>
      <c r="E1179" s="5">
        <v>238.49</v>
      </c>
      <c r="F1179" s="6">
        <v>8350790</v>
      </c>
    </row>
    <row r="1180" spans="1:6" x14ac:dyDescent="0.2">
      <c r="A1180" s="4">
        <v>46184</v>
      </c>
      <c r="B1180" s="5">
        <v>240</v>
      </c>
      <c r="C1180" s="5">
        <v>241.6</v>
      </c>
      <c r="D1180" s="5">
        <v>238.14</v>
      </c>
      <c r="E1180" s="5">
        <v>238.33</v>
      </c>
      <c r="F1180" s="6">
        <v>7398981</v>
      </c>
    </row>
    <row r="1181" spans="1:6" x14ac:dyDescent="0.2">
      <c r="A1181" s="4">
        <v>46185</v>
      </c>
      <c r="B1181" s="5">
        <v>240</v>
      </c>
      <c r="C1181" s="5">
        <v>240.91</v>
      </c>
      <c r="D1181" s="5">
        <v>237.52</v>
      </c>
      <c r="E1181" s="5">
        <v>240.87</v>
      </c>
      <c r="F1181" s="6">
        <v>6459438</v>
      </c>
    </row>
    <row r="1182" spans="1:6" x14ac:dyDescent="0.2">
      <c r="A1182" s="4">
        <v>46188</v>
      </c>
      <c r="B1182" s="5">
        <v>239</v>
      </c>
      <c r="C1182" s="5">
        <v>239.5</v>
      </c>
      <c r="D1182" s="5">
        <v>233.58009999999999</v>
      </c>
      <c r="E1182" s="5">
        <v>235.66</v>
      </c>
      <c r="F1182" s="6">
        <v>7731954</v>
      </c>
    </row>
    <row r="1183" spans="1:6" x14ac:dyDescent="0.2">
      <c r="A1183" s="4">
        <v>46189</v>
      </c>
      <c r="B1183" s="5">
        <v>236.37</v>
      </c>
      <c r="C1183" s="5">
        <v>236.37</v>
      </c>
      <c r="D1183" s="5">
        <v>231.02</v>
      </c>
      <c r="E1183" s="5">
        <v>235.18</v>
      </c>
      <c r="F1183" s="6">
        <v>7718142</v>
      </c>
    </row>
    <row r="1184" spans="1:6" x14ac:dyDescent="0.2">
      <c r="A1184" s="4">
        <v>46190</v>
      </c>
      <c r="B1184" s="5">
        <v>234.03</v>
      </c>
      <c r="C1184" s="5">
        <v>235.4299</v>
      </c>
      <c r="D1184" s="5">
        <v>230.7</v>
      </c>
      <c r="E1184" s="5">
        <v>234.2</v>
      </c>
      <c r="F1184" s="6">
        <v>8548042</v>
      </c>
    </row>
    <row r="1185" spans="1:6" x14ac:dyDescent="0.2">
      <c r="A1185" s="4">
        <v>46191</v>
      </c>
      <c r="B1185" s="5">
        <v>231.78</v>
      </c>
      <c r="C1185" s="5">
        <v>232.75</v>
      </c>
      <c r="D1185" s="5">
        <v>227.6</v>
      </c>
      <c r="E1185" s="5">
        <v>228.39</v>
      </c>
      <c r="F1185" s="6">
        <v>18989760</v>
      </c>
    </row>
    <row r="1186" spans="1:6" x14ac:dyDescent="0.2">
      <c r="A1186" s="4">
        <v>46195</v>
      </c>
      <c r="B1186" s="5">
        <v>228.95</v>
      </c>
      <c r="C1186" s="5">
        <v>231.45</v>
      </c>
      <c r="D1186" s="5">
        <v>227.5</v>
      </c>
      <c r="E1186" s="5">
        <v>231.29</v>
      </c>
      <c r="F1186" s="6">
        <v>8518348</v>
      </c>
    </row>
    <row r="1187" spans="1:6" x14ac:dyDescent="0.2">
      <c r="A1187" s="4">
        <v>46196</v>
      </c>
      <c r="B1187" s="5">
        <v>235.64</v>
      </c>
      <c r="C1187" s="5">
        <v>239.8</v>
      </c>
      <c r="D1187" s="5">
        <v>234.35</v>
      </c>
      <c r="E1187" s="5">
        <v>239.08</v>
      </c>
      <c r="F1187" s="6">
        <v>11802000</v>
      </c>
    </row>
    <row r="1188" spans="1:6" x14ac:dyDescent="0.2">
      <c r="A1188" s="4">
        <v>46197</v>
      </c>
      <c r="B1188" s="5">
        <v>239.89</v>
      </c>
      <c r="C1188" s="5">
        <v>243.04</v>
      </c>
      <c r="D1188" s="5">
        <v>238.75</v>
      </c>
      <c r="E1188" s="5">
        <v>241</v>
      </c>
      <c r="F1188" s="6">
        <v>8139188</v>
      </c>
    </row>
    <row r="1189" spans="1:6" x14ac:dyDescent="0.2">
      <c r="A1189" s="4">
        <v>46198</v>
      </c>
      <c r="B1189" s="5">
        <v>241.27</v>
      </c>
      <c r="C1189" s="5">
        <v>248.19</v>
      </c>
      <c r="D1189" s="5">
        <v>240.88499999999999</v>
      </c>
      <c r="E1189" s="5">
        <v>244.88</v>
      </c>
      <c r="F1189" s="6">
        <v>10134550</v>
      </c>
    </row>
    <row r="1190" spans="1:6" x14ac:dyDescent="0.2">
      <c r="A1190" s="4">
        <v>46199</v>
      </c>
      <c r="B1190" s="5">
        <v>248.27</v>
      </c>
      <c r="C1190" s="5">
        <v>255.11</v>
      </c>
      <c r="D1190" s="5">
        <v>247.87</v>
      </c>
      <c r="E1190" s="5">
        <v>254.66</v>
      </c>
      <c r="F1190" s="6">
        <v>16316770</v>
      </c>
    </row>
    <row r="1191" spans="1:6" x14ac:dyDescent="0.2">
      <c r="A1191" s="4">
        <v>46202</v>
      </c>
      <c r="B1191" s="5">
        <v>253.19</v>
      </c>
      <c r="C1191" s="5">
        <v>258.58</v>
      </c>
      <c r="D1191" s="5">
        <v>252.02539999999999</v>
      </c>
      <c r="E1191" s="5">
        <v>258.51</v>
      </c>
      <c r="F1191" s="6">
        <v>8608378</v>
      </c>
    </row>
    <row r="1192" spans="1:6" x14ac:dyDescent="0.2">
      <c r="A1192" s="4">
        <v>46203</v>
      </c>
      <c r="B1192" s="5">
        <v>259</v>
      </c>
      <c r="C1192" s="5">
        <v>259.89999999999998</v>
      </c>
      <c r="D1192" s="5">
        <v>253.17009999999999</v>
      </c>
      <c r="E1192" s="5">
        <v>253.97</v>
      </c>
      <c r="F1192" s="6">
        <v>8469520</v>
      </c>
    </row>
    <row r="1193" spans="1:6" x14ac:dyDescent="0.2">
      <c r="A1193" s="4">
        <v>46204</v>
      </c>
      <c r="B1193" s="5">
        <v>253.25</v>
      </c>
      <c r="C1193" s="5">
        <v>254.2</v>
      </c>
      <c r="D1193" s="5">
        <v>251.07499999999999</v>
      </c>
      <c r="E1193" s="5">
        <v>253.98</v>
      </c>
      <c r="F1193" s="6">
        <v>6516504</v>
      </c>
    </row>
    <row r="1194" spans="1:6" x14ac:dyDescent="0.2">
      <c r="A1194" s="4">
        <v>46205</v>
      </c>
      <c r="B1194" s="5">
        <v>255.78</v>
      </c>
      <c r="C1194" s="5">
        <v>263.10000000000002</v>
      </c>
      <c r="D1194" s="5">
        <v>254</v>
      </c>
      <c r="E1194" s="5">
        <v>263.04000000000002</v>
      </c>
      <c r="F1194" s="6">
        <v>8000738</v>
      </c>
    </row>
    <row r="1195" spans="1:6" x14ac:dyDescent="0.2">
      <c r="A1195" s="4">
        <v>46209</v>
      </c>
      <c r="B1195" s="5">
        <v>260.22500000000002</v>
      </c>
      <c r="C1195" s="5">
        <v>261.38</v>
      </c>
      <c r="D1195" s="5">
        <v>255.93</v>
      </c>
      <c r="E1195" s="5">
        <v>259.33</v>
      </c>
      <c r="F1195" s="6">
        <v>6803700</v>
      </c>
    </row>
    <row r="1196" spans="1:6" x14ac:dyDescent="0.2">
      <c r="A1196" s="4">
        <v>46210</v>
      </c>
      <c r="B1196" s="5">
        <v>264.89</v>
      </c>
      <c r="C1196" s="5">
        <v>269.43</v>
      </c>
      <c r="D1196" s="5">
        <v>264.04500000000002</v>
      </c>
      <c r="E1196" s="5">
        <v>267.24</v>
      </c>
      <c r="F1196" s="6">
        <v>9089652</v>
      </c>
    </row>
    <row r="1197" spans="1:6" x14ac:dyDescent="0.2">
      <c r="A1197" s="4">
        <v>46211</v>
      </c>
      <c r="B1197" s="5">
        <v>268.60000000000002</v>
      </c>
      <c r="C1197" s="5">
        <v>268.60000000000002</v>
      </c>
      <c r="D1197" s="5">
        <v>263.13</v>
      </c>
      <c r="E1197" s="5">
        <v>263.39999999999998</v>
      </c>
      <c r="F1197" s="6">
        <v>6769425</v>
      </c>
    </row>
    <row r="1198" spans="1:6" x14ac:dyDescent="0.2">
      <c r="A1198" s="4">
        <v>46212</v>
      </c>
      <c r="B1198" s="5">
        <v>260.63</v>
      </c>
      <c r="C1198" s="5">
        <v>263.45</v>
      </c>
      <c r="D1198" s="5">
        <v>258.13</v>
      </c>
      <c r="E1198" s="5">
        <v>259.10000000000002</v>
      </c>
      <c r="F1198" s="6">
        <v>6426079</v>
      </c>
    </row>
    <row r="1199" spans="1:6" x14ac:dyDescent="0.2">
      <c r="A1199" s="4">
        <v>46213</v>
      </c>
      <c r="B1199" s="5">
        <v>260.19</v>
      </c>
      <c r="C1199" s="5">
        <v>261.3</v>
      </c>
      <c r="D1199" s="5">
        <v>255.52</v>
      </c>
      <c r="E1199" s="5">
        <v>256.98</v>
      </c>
      <c r="F1199" s="6">
        <v>6534728</v>
      </c>
    </row>
    <row r="1200" spans="1:6" x14ac:dyDescent="0.2">
      <c r="A1200" s="4">
        <v>46216</v>
      </c>
      <c r="B1200" s="5">
        <v>257.95</v>
      </c>
      <c r="C1200" s="5">
        <v>259.52499999999998</v>
      </c>
      <c r="D1200" s="5">
        <v>256.14999999999998</v>
      </c>
      <c r="E1200" s="5">
        <v>257.77</v>
      </c>
      <c r="F1200" s="6">
        <v>5272240</v>
      </c>
    </row>
    <row r="1201" spans="1:6" x14ac:dyDescent="0.2">
      <c r="A1201" s="4">
        <v>46217</v>
      </c>
      <c r="B1201" s="5">
        <v>255.53</v>
      </c>
      <c r="C1201" s="5">
        <v>256.39</v>
      </c>
      <c r="D1201" s="5">
        <v>252.14</v>
      </c>
      <c r="E1201" s="5">
        <v>253.85</v>
      </c>
      <c r="F1201" s="6">
        <v>8770553</v>
      </c>
    </row>
    <row r="1202" spans="1:6" x14ac:dyDescent="0.2">
      <c r="A1202" s="4">
        <v>46218</v>
      </c>
      <c r="B1202" s="5">
        <v>250.09</v>
      </c>
      <c r="C1202" s="5">
        <v>256.83</v>
      </c>
      <c r="D1202" s="5">
        <v>246.05</v>
      </c>
      <c r="E1202" s="5">
        <v>247.02</v>
      </c>
      <c r="F1202" s="6">
        <v>10547300</v>
      </c>
    </row>
    <row r="1203" spans="1:6" x14ac:dyDescent="0.2">
      <c r="A1203" s="4">
        <v>46219</v>
      </c>
      <c r="B1203" s="5">
        <v>248.9</v>
      </c>
      <c r="C1203" s="5">
        <v>253.54499999999999</v>
      </c>
      <c r="D1203" s="5">
        <v>246.3</v>
      </c>
      <c r="E1203" s="5">
        <v>249.97</v>
      </c>
      <c r="F1203" s="6">
        <v>11097640</v>
      </c>
    </row>
    <row r="1204" spans="1:6" x14ac:dyDescent="0.2">
      <c r="A1204" s="4">
        <v>46220</v>
      </c>
      <c r="B1204" s="5">
        <v>252.59</v>
      </c>
      <c r="C1204" s="5">
        <v>255.66</v>
      </c>
      <c r="D1204" s="5">
        <v>251.95</v>
      </c>
      <c r="E1204" s="5">
        <v>253.04</v>
      </c>
      <c r="F1204" s="6">
        <v>10167710</v>
      </c>
    </row>
    <row r="1205" spans="1:6" x14ac:dyDescent="0.2">
      <c r="A1205" s="4">
        <v>46223</v>
      </c>
      <c r="B1205" s="5">
        <v>252.01</v>
      </c>
      <c r="C1205" s="5">
        <v>254.17500000000001</v>
      </c>
      <c r="D1205" s="5">
        <v>248.63</v>
      </c>
      <c r="E1205" s="5">
        <v>248.82</v>
      </c>
      <c r="F1205" s="6">
        <v>8114657</v>
      </c>
    </row>
    <row r="1206" spans="1:6" x14ac:dyDescent="0.2">
      <c r="A1206" s="4">
        <v>46224</v>
      </c>
      <c r="B1206" s="5">
        <v>247.45</v>
      </c>
      <c r="C1206" s="5">
        <v>251.3407</v>
      </c>
      <c r="D1206" s="5">
        <v>245.49</v>
      </c>
      <c r="E1206" s="5">
        <v>250.61</v>
      </c>
      <c r="F1206" s="6">
        <v>7793070</v>
      </c>
    </row>
    <row r="1207" spans="1:6" x14ac:dyDescent="0.2">
      <c r="A1207" s="4">
        <v>46225</v>
      </c>
      <c r="B1207" s="5">
        <v>252.76</v>
      </c>
      <c r="C1207" s="5">
        <v>256.28989999999999</v>
      </c>
      <c r="D1207" s="5">
        <v>251.21</v>
      </c>
      <c r="E1207" s="5">
        <v>255.63</v>
      </c>
      <c r="F1207" s="6">
        <v>9100164</v>
      </c>
    </row>
    <row r="1208" spans="1:6" x14ac:dyDescent="0.2">
      <c r="A1208" s="4">
        <v>46226</v>
      </c>
      <c r="B1208" s="5">
        <v>255.24</v>
      </c>
      <c r="C1208" s="5">
        <v>260.2</v>
      </c>
      <c r="D1208" s="5">
        <v>254.42</v>
      </c>
      <c r="E1208" s="5">
        <v>259.27</v>
      </c>
      <c r="F1208" s="6">
        <v>8063250</v>
      </c>
    </row>
    <row r="1209" spans="1:6" x14ac:dyDescent="0.2">
      <c r="A1209" s="4">
        <v>46227</v>
      </c>
      <c r="B1209" s="5">
        <v>261.43</v>
      </c>
      <c r="C1209" s="5">
        <v>263.70999999999998</v>
      </c>
      <c r="D1209" s="5">
        <v>259.61</v>
      </c>
      <c r="E1209" s="5">
        <v>263.39999999999998</v>
      </c>
      <c r="F1209" s="6">
        <v>6351847</v>
      </c>
    </row>
    <row r="1210" spans="1:6" x14ac:dyDescent="0.2">
      <c r="A1210" s="4">
        <v>46230</v>
      </c>
      <c r="B1210" s="5">
        <v>262.55</v>
      </c>
      <c r="C1210" s="5">
        <v>268.8</v>
      </c>
      <c r="D1210" s="5">
        <v>261.35000000000002</v>
      </c>
      <c r="E1210" s="5">
        <v>265.95</v>
      </c>
      <c r="F1210" s="6">
        <v>9647870</v>
      </c>
    </row>
    <row r="1211" spans="1:6" x14ac:dyDescent="0.2">
      <c r="A1211" s="4">
        <v>46231</v>
      </c>
      <c r="B1211" s="5">
        <v>270</v>
      </c>
      <c r="C1211" s="5">
        <v>274.89999999999998</v>
      </c>
      <c r="D1211" s="5">
        <v>266.18</v>
      </c>
      <c r="E1211" s="5">
        <v>266.73</v>
      </c>
      <c r="F1211" s="6">
        <v>10497910</v>
      </c>
    </row>
    <row r="1212" spans="1:6" x14ac:dyDescent="0.2">
      <c r="A1212" s="4">
        <v>46232</v>
      </c>
      <c r="B1212" s="5">
        <v>268.5</v>
      </c>
      <c r="C1212" s="5">
        <v>269.33999999999997</v>
      </c>
      <c r="D1212" s="5">
        <v>264.79000000000002</v>
      </c>
      <c r="E1212" s="5">
        <v>265.52999999999997</v>
      </c>
      <c r="F1212" s="6">
        <v>6111627</v>
      </c>
    </row>
    <row r="1213" spans="1:6" x14ac:dyDescent="0.2">
      <c r="A1213" s="4">
        <v>46233</v>
      </c>
      <c r="B1213" s="5">
        <v>259.02999999999997</v>
      </c>
      <c r="C1213" s="5">
        <v>260.52</v>
      </c>
      <c r="D1213" s="5">
        <v>254.56120000000001</v>
      </c>
      <c r="E1213" s="5">
        <v>255.82</v>
      </c>
      <c r="F1213" s="6">
        <v>8219560</v>
      </c>
    </row>
    <row r="1214" spans="1:6" x14ac:dyDescent="0.2">
      <c r="A1214" s="4">
        <v>46234</v>
      </c>
      <c r="B1214" s="5">
        <v>256.01</v>
      </c>
      <c r="C1214" s="5">
        <v>258.48</v>
      </c>
      <c r="D1214" s="5">
        <v>253.2901</v>
      </c>
      <c r="E1214" s="5">
        <v>256.35000000000002</v>
      </c>
      <c r="F1214" s="6">
        <v>6782065</v>
      </c>
    </row>
    <row r="1215" spans="1:6" x14ac:dyDescent="0.2">
      <c r="A1215" s="4">
        <v>46237</v>
      </c>
      <c r="B1215" s="5">
        <v>254.97</v>
      </c>
      <c r="C1215" s="5">
        <v>257.75</v>
      </c>
      <c r="D1215" s="5">
        <v>250.91</v>
      </c>
      <c r="E1215" s="5">
        <v>254.41</v>
      </c>
      <c r="F1215" s="6">
        <v>8136276</v>
      </c>
    </row>
    <row r="1216" spans="1:6" x14ac:dyDescent="0.2">
      <c r="A1216" s="4">
        <v>46238</v>
      </c>
      <c r="B1216" s="5">
        <v>254.41</v>
      </c>
      <c r="C1216" s="5">
        <v>255.52</v>
      </c>
      <c r="D1216" s="5">
        <v>250.44</v>
      </c>
      <c r="E1216" s="5">
        <v>254.93</v>
      </c>
      <c r="F1216" s="6">
        <v>7362394</v>
      </c>
    </row>
    <row r="1217" spans="1:6" x14ac:dyDescent="0.2">
      <c r="A1217" s="4">
        <v>46239</v>
      </c>
      <c r="B1217" s="5">
        <v>255.25</v>
      </c>
      <c r="C1217" s="5">
        <v>259.32</v>
      </c>
      <c r="D1217" s="5">
        <v>254.47</v>
      </c>
      <c r="E1217" s="5">
        <v>257.58999999999997</v>
      </c>
      <c r="F1217" s="6">
        <v>6472628</v>
      </c>
    </row>
    <row r="1218" spans="1:6" x14ac:dyDescent="0.2">
      <c r="A1218" s="4">
        <v>46240</v>
      </c>
      <c r="B1218" s="5">
        <v>261.70999999999998</v>
      </c>
      <c r="C1218" s="5">
        <v>262.11</v>
      </c>
      <c r="D1218" s="5">
        <v>255.28</v>
      </c>
      <c r="E1218" s="5">
        <v>256.98</v>
      </c>
      <c r="F1218" s="6">
        <v>6931752</v>
      </c>
    </row>
    <row r="1219" spans="1:6" x14ac:dyDescent="0.2">
      <c r="A1219" s="4">
        <v>46241</v>
      </c>
      <c r="B1219" s="5">
        <v>255.89</v>
      </c>
      <c r="C1219" s="5">
        <v>259.60000000000002</v>
      </c>
      <c r="D1219" s="5">
        <v>255.12</v>
      </c>
      <c r="E1219" s="5">
        <v>259.24</v>
      </c>
      <c r="F1219" s="6">
        <v>6532116</v>
      </c>
    </row>
    <row r="1220" spans="1:6" x14ac:dyDescent="0.2">
      <c r="A1220" s="4">
        <v>46244</v>
      </c>
      <c r="B1220" s="5">
        <v>259.06</v>
      </c>
      <c r="C1220" s="5">
        <v>262</v>
      </c>
      <c r="D1220" s="5">
        <v>258.55</v>
      </c>
      <c r="E1220" s="5">
        <v>261.81</v>
      </c>
      <c r="F1220" s="6">
        <v>8985115</v>
      </c>
    </row>
    <row r="1221" spans="1:6" x14ac:dyDescent="0.2">
      <c r="A1221" s="4">
        <v>46245</v>
      </c>
      <c r="B1221" s="5">
        <v>261.23</v>
      </c>
      <c r="C1221" s="5">
        <v>264.14999999999998</v>
      </c>
      <c r="D1221" s="5">
        <v>258.36</v>
      </c>
      <c r="E1221" s="5">
        <v>259.8</v>
      </c>
      <c r="F1221" s="6">
        <v>5945941</v>
      </c>
    </row>
    <row r="1222" spans="1:6" x14ac:dyDescent="0.2">
      <c r="A1222" s="4">
        <v>46246</v>
      </c>
      <c r="B1222" s="5">
        <v>256</v>
      </c>
      <c r="C1222" s="5">
        <v>261.41000000000003</v>
      </c>
      <c r="D1222" s="5">
        <v>255.255</v>
      </c>
      <c r="E1222" s="5">
        <v>260.86</v>
      </c>
      <c r="F1222" s="6">
        <v>4629325</v>
      </c>
    </row>
    <row r="1223" spans="1:6" x14ac:dyDescent="0.2">
      <c r="A1223" s="4">
        <v>46247</v>
      </c>
      <c r="B1223" s="5">
        <v>261.72500000000002</v>
      </c>
      <c r="C1223" s="5">
        <v>262.62</v>
      </c>
      <c r="D1223" s="5">
        <v>259.64749999999998</v>
      </c>
      <c r="E1223" s="5">
        <v>262.08</v>
      </c>
      <c r="F1223" s="6">
        <v>4852713</v>
      </c>
    </row>
    <row r="1224" spans="1:6" x14ac:dyDescent="0.2">
      <c r="A1224" s="4">
        <v>46248</v>
      </c>
      <c r="B1224" s="5">
        <v>260.64999999999998</v>
      </c>
      <c r="C1224" s="5">
        <v>261.70999999999998</v>
      </c>
      <c r="D1224" s="5">
        <v>259.16000000000003</v>
      </c>
      <c r="E1224" s="5">
        <v>260.35000000000002</v>
      </c>
      <c r="F1224" s="6">
        <v>4998288</v>
      </c>
    </row>
    <row r="1225" spans="1:6" x14ac:dyDescent="0.2">
      <c r="A1225" s="4">
        <v>46251</v>
      </c>
      <c r="B1225" s="5">
        <v>258.87</v>
      </c>
      <c r="C1225" s="5">
        <v>264.27749999999997</v>
      </c>
      <c r="D1225" s="5">
        <v>258.01</v>
      </c>
      <c r="E1225" s="5">
        <v>262.37</v>
      </c>
      <c r="F1225" s="6">
        <v>5515539</v>
      </c>
    </row>
    <row r="1226" spans="1:6" x14ac:dyDescent="0.2">
      <c r="A1226" s="4">
        <v>46252</v>
      </c>
      <c r="B1226" s="5">
        <v>267.67</v>
      </c>
      <c r="C1226" s="5">
        <v>271.73</v>
      </c>
      <c r="D1226" s="5">
        <v>266.33</v>
      </c>
      <c r="E1226" s="5">
        <v>271.11</v>
      </c>
      <c r="F1226" s="6">
        <v>7838157</v>
      </c>
    </row>
    <row r="1227" spans="1:6" x14ac:dyDescent="0.2">
      <c r="A1227" s="4">
        <v>46253</v>
      </c>
      <c r="B1227" s="5">
        <v>272.995</v>
      </c>
      <c r="C1227" s="5">
        <v>276.47000000000003</v>
      </c>
      <c r="D1227" s="5">
        <v>270.56</v>
      </c>
      <c r="E1227" s="5">
        <v>273.41000000000003</v>
      </c>
      <c r="F1227" s="6">
        <v>7728511</v>
      </c>
    </row>
    <row r="1228" spans="1:6" x14ac:dyDescent="0.2">
      <c r="A1228" s="4">
        <v>46254</v>
      </c>
      <c r="B1228" s="5">
        <v>273.39999999999998</v>
      </c>
      <c r="C1228" s="5">
        <v>273.39999999999998</v>
      </c>
      <c r="D1228" s="5">
        <v>267.37</v>
      </c>
      <c r="E1228" s="5">
        <v>267.37</v>
      </c>
      <c r="F1228" s="6">
        <v>6475879</v>
      </c>
    </row>
    <row r="1229" spans="1:6" x14ac:dyDescent="0.2">
      <c r="A1229" s="4">
        <v>46255</v>
      </c>
      <c r="B1229" s="5">
        <v>267.83</v>
      </c>
      <c r="C1229" s="5">
        <v>272.65499999999997</v>
      </c>
      <c r="D1229" s="5">
        <v>267</v>
      </c>
      <c r="E1229" s="5">
        <v>270.24</v>
      </c>
      <c r="F1229" s="6">
        <v>6186832</v>
      </c>
    </row>
    <row r="1230" spans="1:6" x14ac:dyDescent="0.2">
      <c r="A1230" s="4">
        <v>46258</v>
      </c>
      <c r="B1230" s="5">
        <v>269.74</v>
      </c>
      <c r="C1230" s="5">
        <v>273.98</v>
      </c>
      <c r="D1230" s="5">
        <v>268.57</v>
      </c>
      <c r="E1230" s="5">
        <v>273.04000000000002</v>
      </c>
      <c r="F1230" s="6">
        <v>5437473</v>
      </c>
    </row>
    <row r="1231" spans="1:6" x14ac:dyDescent="0.2">
      <c r="A1231" s="4">
        <v>46259</v>
      </c>
      <c r="B1231" s="5">
        <v>271</v>
      </c>
      <c r="C1231" s="5">
        <v>273.8021</v>
      </c>
      <c r="D1231" s="5">
        <v>270.17500000000001</v>
      </c>
      <c r="E1231" s="5">
        <v>273.14</v>
      </c>
      <c r="F1231" s="6">
        <v>4688017</v>
      </c>
    </row>
    <row r="1232" spans="1:6" x14ac:dyDescent="0.2">
      <c r="A1232" s="4">
        <v>46260</v>
      </c>
      <c r="B1232" s="5">
        <v>271.97000000000003</v>
      </c>
      <c r="C1232" s="5">
        <v>272.90499999999997</v>
      </c>
      <c r="D1232" s="5">
        <v>269.55</v>
      </c>
      <c r="E1232" s="5">
        <v>270</v>
      </c>
      <c r="F1232" s="6">
        <v>7220371</v>
      </c>
    </row>
    <row r="1233" spans="1:6" x14ac:dyDescent="0.2">
      <c r="A1233" s="4">
        <v>46261</v>
      </c>
      <c r="B1233" s="5">
        <v>268.45</v>
      </c>
      <c r="C1233" s="5">
        <v>268.45</v>
      </c>
      <c r="D1233" s="5">
        <v>263.83</v>
      </c>
      <c r="E1233" s="5">
        <v>265.77</v>
      </c>
      <c r="F1233" s="6">
        <v>7311379</v>
      </c>
    </row>
    <row r="1234" spans="1:6" x14ac:dyDescent="0.2">
      <c r="A1234" s="4">
        <v>46262</v>
      </c>
      <c r="B1234" s="5">
        <v>265.77999999999997</v>
      </c>
      <c r="C1234" s="5">
        <v>268.38</v>
      </c>
      <c r="D1234" s="5">
        <v>264.27</v>
      </c>
      <c r="E1234" s="5">
        <v>268.04000000000002</v>
      </c>
      <c r="F1234" s="6">
        <v>5766429</v>
      </c>
    </row>
    <row r="1235" spans="1:6" x14ac:dyDescent="0.2">
      <c r="A1235" s="4">
        <v>46265</v>
      </c>
      <c r="B1235" s="5">
        <v>267.125</v>
      </c>
      <c r="C1235" s="5">
        <v>267.77</v>
      </c>
      <c r="D1235" s="5">
        <v>265.17</v>
      </c>
      <c r="E1235" s="5">
        <v>265.85000000000002</v>
      </c>
      <c r="F1235" s="6">
        <v>7900418</v>
      </c>
    </row>
    <row r="1236" spans="1:6" x14ac:dyDescent="0.2">
      <c r="A1236" s="4">
        <v>46266</v>
      </c>
      <c r="B1236" s="5">
        <v>270.83</v>
      </c>
      <c r="C1236" s="5">
        <v>271.91000000000003</v>
      </c>
      <c r="D1236" s="5">
        <v>267.02</v>
      </c>
      <c r="E1236" s="5">
        <v>271.19</v>
      </c>
      <c r="F1236" s="6">
        <v>6035314</v>
      </c>
    </row>
    <row r="1237" spans="1:6" x14ac:dyDescent="0.2">
      <c r="A1237" s="4">
        <v>46267</v>
      </c>
      <c r="B1237" s="5">
        <v>274.74</v>
      </c>
      <c r="C1237" s="5">
        <v>281.07</v>
      </c>
      <c r="D1237" s="5">
        <v>273.52999999999997</v>
      </c>
      <c r="E1237" s="5">
        <v>275.20999999999998</v>
      </c>
      <c r="F1237" s="6">
        <v>7913032</v>
      </c>
    </row>
    <row r="1238" spans="1:6" x14ac:dyDescent="0.2">
      <c r="A1238" s="4">
        <v>46268</v>
      </c>
      <c r="B1238" s="5">
        <v>277.32</v>
      </c>
      <c r="C1238" s="5">
        <v>278.89</v>
      </c>
      <c r="D1238" s="5">
        <v>273.15499999999997</v>
      </c>
      <c r="E1238" s="5">
        <v>278.43</v>
      </c>
      <c r="F1238" s="6">
        <v>5940829</v>
      </c>
    </row>
    <row r="1239" spans="1:6" x14ac:dyDescent="0.2">
      <c r="A1239" s="4">
        <v>46269</v>
      </c>
      <c r="B1239" s="5">
        <v>275.13</v>
      </c>
      <c r="C1239" s="5">
        <v>277.8</v>
      </c>
      <c r="D1239" s="5">
        <v>274.75</v>
      </c>
      <c r="E1239" s="5">
        <v>275.23</v>
      </c>
      <c r="F1239" s="6">
        <v>4320878</v>
      </c>
    </row>
    <row r="1240" spans="1:6" x14ac:dyDescent="0.2">
      <c r="A1240" s="4">
        <v>46273</v>
      </c>
      <c r="B1240" s="5">
        <v>271.27999999999997</v>
      </c>
      <c r="C1240" s="5">
        <v>271.99</v>
      </c>
      <c r="D1240" s="5">
        <v>266.88279999999997</v>
      </c>
      <c r="E1240" s="5">
        <v>269.12</v>
      </c>
      <c r="F1240" s="6">
        <v>8085992</v>
      </c>
    </row>
    <row r="1241" spans="1:6" x14ac:dyDescent="0.2">
      <c r="A1241" s="4">
        <v>46274</v>
      </c>
      <c r="B1241" s="5">
        <v>268.51</v>
      </c>
      <c r="C1241" s="5">
        <v>270.10000000000002</v>
      </c>
      <c r="D1241" s="5">
        <v>266.73</v>
      </c>
      <c r="E1241" s="5">
        <v>267.08</v>
      </c>
      <c r="F1241" s="6">
        <v>6125049</v>
      </c>
    </row>
    <row r="1242" spans="1:6" x14ac:dyDescent="0.2">
      <c r="A1242" s="4">
        <v>46275</v>
      </c>
      <c r="B1242" s="5">
        <v>270.20999999999998</v>
      </c>
      <c r="C1242" s="5">
        <v>271.27</v>
      </c>
      <c r="D1242" s="5">
        <v>265.72000000000003</v>
      </c>
      <c r="E1242" s="5">
        <v>266.35000000000002</v>
      </c>
      <c r="F1242" s="6">
        <v>4931607</v>
      </c>
    </row>
    <row r="1243" spans="1:6" x14ac:dyDescent="0.2">
      <c r="A1243" s="4">
        <v>46276</v>
      </c>
      <c r="B1243" s="5">
        <v>268.02999999999997</v>
      </c>
      <c r="C1243" s="5">
        <v>270.39999999999998</v>
      </c>
      <c r="D1243" s="5">
        <v>265.25</v>
      </c>
      <c r="E1243" s="5">
        <v>265.58</v>
      </c>
      <c r="F1243" s="6">
        <v>4706291</v>
      </c>
    </row>
    <row r="1244" spans="1:6" x14ac:dyDescent="0.2">
      <c r="A1244" s="4">
        <v>46279</v>
      </c>
      <c r="B1244" s="5">
        <v>271</v>
      </c>
      <c r="C1244" s="5">
        <v>271.55</v>
      </c>
      <c r="D1244" s="5">
        <v>266.19</v>
      </c>
      <c r="E1244" s="5">
        <v>266.32</v>
      </c>
      <c r="F1244" s="6">
        <v>4742712</v>
      </c>
    </row>
    <row r="1245" spans="1:6" x14ac:dyDescent="0.2">
      <c r="A1245" s="4">
        <v>46280</v>
      </c>
      <c r="B1245" s="5">
        <v>265.81</v>
      </c>
      <c r="C1245" s="5">
        <v>267.2</v>
      </c>
      <c r="D1245" s="5">
        <v>260.68</v>
      </c>
      <c r="E1245" s="5">
        <v>267.2</v>
      </c>
      <c r="F1245" s="6">
        <v>5284830</v>
      </c>
    </row>
    <row r="1246" spans="1:6" x14ac:dyDescent="0.2">
      <c r="A1246" s="4">
        <v>46281</v>
      </c>
      <c r="B1246" s="5">
        <v>266.81</v>
      </c>
      <c r="C1246" s="5">
        <v>268.64999999999998</v>
      </c>
      <c r="D1246" s="5">
        <v>266.29500000000002</v>
      </c>
      <c r="E1246" s="5">
        <v>267.27999999999997</v>
      </c>
      <c r="F1246" s="6">
        <v>4888657</v>
      </c>
    </row>
    <row r="1247" spans="1:6" x14ac:dyDescent="0.2">
      <c r="A1247" s="4">
        <v>46282</v>
      </c>
      <c r="B1247" s="5">
        <v>268</v>
      </c>
      <c r="C1247" s="5">
        <v>270.87</v>
      </c>
      <c r="D1247" s="5">
        <v>267.11</v>
      </c>
      <c r="E1247" s="5">
        <v>270.22000000000003</v>
      </c>
      <c r="F1247" s="6">
        <v>6572482</v>
      </c>
    </row>
    <row r="1248" spans="1:6" x14ac:dyDescent="0.2">
      <c r="A1248" s="4">
        <v>46283</v>
      </c>
      <c r="B1248" s="5">
        <v>269.45</v>
      </c>
      <c r="C1248" s="5">
        <v>272.11</v>
      </c>
      <c r="D1248" s="5">
        <v>267.19749999999999</v>
      </c>
      <c r="E1248" s="5">
        <v>269.99</v>
      </c>
      <c r="F1248" s="6">
        <v>16428380</v>
      </c>
    </row>
    <row r="1249" spans="1:6" x14ac:dyDescent="0.2">
      <c r="A1249" s="4">
        <v>46286</v>
      </c>
      <c r="B1249" s="5">
        <v>271.74</v>
      </c>
      <c r="C1249" s="5">
        <v>273.73</v>
      </c>
      <c r="D1249" s="5">
        <v>268.5</v>
      </c>
      <c r="E1249" s="5">
        <v>269.47000000000003</v>
      </c>
      <c r="F1249" s="6">
        <v>4487724</v>
      </c>
    </row>
    <row r="1250" spans="1:6" x14ac:dyDescent="0.2">
      <c r="A1250" s="4">
        <v>46287</v>
      </c>
      <c r="B1250" s="5">
        <v>267.51</v>
      </c>
      <c r="C1250" s="5">
        <v>270.10000000000002</v>
      </c>
      <c r="D1250" s="5">
        <v>265.04000000000002</v>
      </c>
      <c r="E1250" s="5">
        <v>269.19</v>
      </c>
      <c r="F1250" s="6">
        <v>5682566</v>
      </c>
    </row>
    <row r="1251" spans="1:6" x14ac:dyDescent="0.2">
      <c r="A1251" s="4">
        <v>46288</v>
      </c>
      <c r="B1251" s="5">
        <v>269.47000000000003</v>
      </c>
      <c r="C1251" s="5">
        <v>272.14</v>
      </c>
      <c r="D1251" s="5">
        <v>266.5</v>
      </c>
      <c r="E1251" s="5">
        <v>269.17</v>
      </c>
      <c r="F1251" s="6">
        <v>6637062</v>
      </c>
    </row>
    <row r="1252" spans="1:6" x14ac:dyDescent="0.2">
      <c r="A1252" s="4">
        <v>46289</v>
      </c>
      <c r="B1252" s="5">
        <v>269.52</v>
      </c>
      <c r="C1252" s="5">
        <v>275.23</v>
      </c>
      <c r="D1252" s="5">
        <v>269.01</v>
      </c>
      <c r="E1252" s="5">
        <v>270.68</v>
      </c>
      <c r="F1252" s="6">
        <v>6323724</v>
      </c>
    </row>
    <row r="1253" spans="1:6" x14ac:dyDescent="0.2">
      <c r="A1253" s="4">
        <v>46290</v>
      </c>
      <c r="B1253" s="5">
        <v>271.7</v>
      </c>
      <c r="C1253" s="5">
        <v>272.24590000000001</v>
      </c>
      <c r="D1253" s="5">
        <v>269.25729999999999</v>
      </c>
      <c r="E1253" s="5">
        <v>271.22000000000003</v>
      </c>
      <c r="F1253" s="6">
        <v>4086090</v>
      </c>
    </row>
    <row r="1254" spans="1:6" x14ac:dyDescent="0.2">
      <c r="A1254" s="4">
        <v>46293</v>
      </c>
      <c r="B1254" s="5">
        <v>270.17</v>
      </c>
      <c r="C1254" s="5">
        <v>273.77999999999997</v>
      </c>
      <c r="D1254" s="5">
        <v>269.27</v>
      </c>
      <c r="E1254" s="5">
        <v>271.95</v>
      </c>
      <c r="F1254" s="6">
        <v>7188862</v>
      </c>
    </row>
    <row r="1255" spans="1:6" x14ac:dyDescent="0.2">
      <c r="A1255" s="4">
        <v>46294</v>
      </c>
      <c r="B1255" s="5">
        <v>269.11</v>
      </c>
      <c r="C1255" s="5">
        <v>271.89400000000001</v>
      </c>
      <c r="D1255" s="5">
        <v>265.5883</v>
      </c>
      <c r="E1255" s="5">
        <v>267.57</v>
      </c>
      <c r="F1255" s="6">
        <v>5621788</v>
      </c>
    </row>
    <row r="1256" spans="1:6" x14ac:dyDescent="0.2">
      <c r="A1256" s="4">
        <v>46295</v>
      </c>
      <c r="B1256" s="5">
        <v>267.91000000000003</v>
      </c>
      <c r="C1256" s="5">
        <v>268.48</v>
      </c>
      <c r="D1256" s="5">
        <v>264.51</v>
      </c>
      <c r="E1256" s="5">
        <v>264.74</v>
      </c>
      <c r="F1256" s="6">
        <v>6343704</v>
      </c>
    </row>
    <row r="1257" spans="1:6" x14ac:dyDescent="0.2">
      <c r="A1257" s="4">
        <v>46296</v>
      </c>
      <c r="B1257" s="5">
        <v>263.68</v>
      </c>
      <c r="C1257" s="5">
        <v>263.97500000000002</v>
      </c>
      <c r="D1257" s="5">
        <v>258.33</v>
      </c>
      <c r="E1257" s="5">
        <v>258.66000000000003</v>
      </c>
      <c r="F1257" s="6">
        <v>8292415</v>
      </c>
    </row>
    <row r="1258" spans="1:6" x14ac:dyDescent="0.2">
      <c r="A1258" s="4">
        <v>46297</v>
      </c>
      <c r="B1258" s="5">
        <v>259.38</v>
      </c>
      <c r="C1258" s="5">
        <v>259.38</v>
      </c>
      <c r="D1258" s="5">
        <v>255.12</v>
      </c>
      <c r="E1258" s="5">
        <v>256.02999999999997</v>
      </c>
      <c r="F1258" s="6">
        <v>10942150</v>
      </c>
    </row>
  </sheetData>
  <autoFilter ref="A4:F1258" xr:uid="{3FFED043-4F08-48C6-85D7-B2B2E59D81E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0B37586-50AC-4610-8D0C-0F74D7D2EBA3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AA51A-4A96-409E-8A43-B6B7936DDCC4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159.58000000000001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59.15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0.60439904749968631</v>
      </c>
      <c r="AD5" s="34">
        <f ca="1">IF(AC5="","",AC5-ROW()*0.000000001)</f>
        <v>0.60439904249968635</v>
      </c>
      <c r="AE5" s="32">
        <f ca="1">IF(AD5="","",COUNTIF($AD$5:$AD$16,"&gt;"&amp;AD5)+1)</f>
        <v>5</v>
      </c>
      <c r="AF5" s="32" t="str">
        <f ca="1">IF(AC5="",AB5,AB5&amp;" "&amp;TEXT(AC5,"+0.0%;-0.0%;0.0%"))</f>
        <v>JnJ +60.4%</v>
      </c>
      <c r="AG5" s="34">
        <f ca="1">IF(AE5="","",INDEX($AK$5:$AK$16,AE5))</f>
        <v>1.0264419929475919</v>
      </c>
      <c r="AH5" s="32">
        <v>1</v>
      </c>
      <c r="AI5" s="34">
        <f ca="1">IF('Stock Price'!$I$11="OK",LARGE($AD$5:$AD$16,AH5),"")</f>
        <v>3.9489022507555531</v>
      </c>
      <c r="AJ5" s="34">
        <f ca="1">AI5</f>
        <v>3.9489022507555531</v>
      </c>
      <c r="AK5" s="34">
        <f ca="1">IF('Stock Price'!$I$11="OK",MAX(AJ5,AK6+$AL$5),"")</f>
        <v>3.9489022507555531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159.91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59.19</v>
      </c>
      <c r="M6" s="18">
        <v>109.32</v>
      </c>
      <c r="O6" s="19">
        <f ca="1">IF('Stock Price'!$I$11="OK",B6/INDEX(B$5:B$1258,'Stock Price'!$I$9)-1,"")</f>
        <v>2.0679283118183456E-3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6.762468300929303E-4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161.34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59.01</v>
      </c>
      <c r="M7" s="18">
        <v>110.87</v>
      </c>
      <c r="O7" s="19">
        <f ca="1">IF('Stock Price'!$I$11="OK",B7/INDEX(B$5:B$1258,'Stock Price'!$I$9)-1,"")</f>
        <v>1.1028950996365472E-2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-2.3668639053254781E-3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160.93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57.26</v>
      </c>
      <c r="M8" s="18">
        <v>111.18</v>
      </c>
      <c r="O8" s="19">
        <f ca="1">IF('Stock Price'!$I$11="OK",B8/INDEX(B$5:B$1258,'Stock Price'!$I$9)-1,"")</f>
        <v>8.4597067301666051E-3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-3.1952662721893454E-2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0.76838234094117663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160.25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57.42</v>
      </c>
      <c r="M9" s="18">
        <v>110.34</v>
      </c>
      <c r="O9" s="19">
        <f ca="1">IF('Stock Price'!$I$11="OK",B9/INDEX(B$5:B$1258,'Stock Price'!$I$9)-1,"")</f>
        <v>4.1985211179345061E-3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-2.9247675401521511E-2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0.60439904249968635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157.69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57.06</v>
      </c>
      <c r="M10" s="18">
        <v>108.57</v>
      </c>
      <c r="O10" s="19">
        <f ca="1">IF('Stock Price'!$I$11="OK",B10/INDEX(B$5:B$1258,'Stock Price'!$I$9)-1,"")</f>
        <v>-1.1843589422233403E-2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-3.5333896872358328E-2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159.19999999999999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57.07</v>
      </c>
      <c r="M11" s="18">
        <v>108.53</v>
      </c>
      <c r="O11" s="19">
        <f ca="1">IF('Stock Price'!$I$11="OK",B11/INDEX(B$5:B$1258,'Stock Price'!$I$9)-1,"")</f>
        <v>-2.3812507833063101E-3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-3.5164835164835151E-2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-2.6535253980288109E-2</v>
      </c>
      <c r="AD11" s="34">
        <f ca="1">IF(AC11="","",AC11-ROW()*0.000000001)</f>
        <v>-2.653526498028811E-2</v>
      </c>
      <c r="AE11" s="32">
        <f ca="1">IF(AD11="","",COUNTIF($AD$5:$AD$16,"&gt;"&amp;AD11)+1)</f>
        <v>10</v>
      </c>
      <c r="AF11" s="32" t="str">
        <f ca="1">IF(AC11="",AB11,AB11&amp;" "&amp;TEXT(AC11,"+0.0%;-0.0%;0.0%"))</f>
        <v>BAYNr -2.7%</v>
      </c>
      <c r="AG11" s="34">
        <f ca="1">IF(AE11="","",INDEX($AK$5:$AK$16,AE11))</f>
        <v>-0.12905141740387382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160.11000000000001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57.7</v>
      </c>
      <c r="M12" s="18">
        <v>108.91</v>
      </c>
      <c r="O12" s="19">
        <f ca="1">IF('Stock Price'!$I$11="OK",B12/INDEX(B$5:B$1258,'Stock Price'!$I$9)-1,"")</f>
        <v>3.3212181977690935E-3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-2.4513947590870555E-2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0.76838235294117663</v>
      </c>
      <c r="AD12" s="34">
        <f ca="1">IF(AC12="","",AC12-ROW()*0.000000001)</f>
        <v>0.76838234094117663</v>
      </c>
      <c r="AE12" s="32">
        <f ca="1">IF(AD12="","",COUNTIF($AD$5:$AD$16,"&gt;"&amp;AD12)+1)</f>
        <v>4</v>
      </c>
      <c r="AF12" s="32" t="str">
        <f ca="1">IF(AC12="",AB12,AB12&amp;" "&amp;TEXT(AC12,"+0.0%;-0.0%;0.0%"))</f>
        <v>MRK +76.8%</v>
      </c>
      <c r="AG12" s="34">
        <f ca="1">IF(AE12="","",INDEX($AK$5:$AK$16,AE12))</f>
        <v>1.257540675017885</v>
      </c>
      <c r="AH12" s="32">
        <v>8</v>
      </c>
      <c r="AI12" s="34">
        <f ca="1">IF('Stock Price'!$I$11="OK",LARGE($AD$5:$AD$16,AH12),"")</f>
        <v>3.381232650464918E-2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161.30000000000001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58.36</v>
      </c>
      <c r="M13" s="18">
        <v>109.33</v>
      </c>
      <c r="O13" s="19">
        <f ca="1">IF('Stock Price'!$I$11="OK",B13/INDEX(B$5:B$1258,'Stock Price'!$I$9)-1,"")</f>
        <v>1.0778293019175322E-2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-1.3355874894336428E-2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-0.34310018903591677</v>
      </c>
      <c r="AD13" s="34">
        <f ca="1">IF(AC13="","",AC13-ROW()*0.000000001)</f>
        <v>-0.34310020203591679</v>
      </c>
      <c r="AE13" s="32">
        <f ca="1">IF(AD13="","",COUNTIF($AD$5:$AD$16,"&gt;"&amp;AD13)+1)</f>
        <v>12</v>
      </c>
      <c r="AF13" s="32" t="str">
        <f ca="1">IF(AC13="",AB13,AB13&amp;" "&amp;TEXT(AC13,"+0.0%;-0.0%;0.0%"))</f>
        <v>PFE -34.3%</v>
      </c>
      <c r="AG13" s="34">
        <f ca="1">IF(AE13="","",INDEX($AK$5:$AK$16,AE13))</f>
        <v>-0.59124878154446003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160.12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56.94</v>
      </c>
      <c r="M14" s="18">
        <v>107.43</v>
      </c>
      <c r="O14" s="19">
        <f ca="1">IF('Stock Price'!$I$11="OK",B14/INDEX(B$5:B$1258,'Stock Price'!$I$9)-1,"")</f>
        <v>3.3838826920666865E-3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-3.7362637362637341E-2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3.9489022647555529</v>
      </c>
      <c r="AD14" s="34">
        <f ca="1">IF(AC14="","",AC14-ROW()*0.000000001)</f>
        <v>3.9489022507555531</v>
      </c>
      <c r="AE14" s="32">
        <f ca="1">IF(AD14="","",COUNTIF($AD$5:$AD$16,"&gt;"&amp;AD14)+1)</f>
        <v>1</v>
      </c>
      <c r="AF14" s="32" t="str">
        <f ca="1">IF(AC14="",AB14,AB14&amp;" "&amp;TEXT(AC14,"+0.0%;-0.0%;0.0%"))</f>
        <v>LLY +394.9%</v>
      </c>
      <c r="AG14" s="34">
        <f ca="1">IF(AE14="","",INDEX($AK$5:$AK$16,AE14))</f>
        <v>3.9489022507555531</v>
      </c>
      <c r="AH14" s="32">
        <v>10</v>
      </c>
      <c r="AI14" s="34">
        <f ca="1">IF('Stock Price'!$I$11="OK",LARGE($AD$5:$AD$16,AH14),"")</f>
        <v>-2.653526498028811E-2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163.87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57.59</v>
      </c>
      <c r="M15" s="18">
        <v>107.45</v>
      </c>
      <c r="O15" s="19">
        <f ca="1">IF('Stock Price'!$I$11="OK",B15/INDEX(B$5:B$1258,'Stock Price'!$I$9)-1,"")</f>
        <v>2.6883068053640713E-2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-2.637362637362628E-2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3.3812341504649179E-2</v>
      </c>
      <c r="AD15" s="34">
        <f ca="1">IF(AC15="","",AC15-ROW()*0.000000001)</f>
        <v>3.381232650464918E-2</v>
      </c>
      <c r="AE15" s="32">
        <f ca="1">IF(AD15="","",COUNTIF($AD$5:$AD$16,"&gt;"&amp;AD15)+1)</f>
        <v>8</v>
      </c>
      <c r="AF15" s="32" t="str">
        <f ca="1">IF(AC15="",AB15,AB15&amp;" "&amp;TEXT(AC15,"+0.0%;-0.0%;0.0%"))</f>
        <v>BMY +3.4%</v>
      </c>
      <c r="AG15" s="34">
        <f ca="1">IF(AE15="","",INDEX($AK$5:$AK$16,AE15))</f>
        <v>0.33314594673671238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163.78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58.07</v>
      </c>
      <c r="M16" s="18">
        <v>108.41</v>
      </c>
      <c r="O16" s="19">
        <f ca="1">IF('Stock Price'!$I$11="OK",B16/INDEX(B$5:B$1258,'Stock Price'!$I$9)-1,"")</f>
        <v>2.6319087604963043E-2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-1.8258664412510561E-2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-0.34310020203591679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163.4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57.81</v>
      </c>
      <c r="M17" s="18">
        <v>108.76</v>
      </c>
      <c r="O17" s="19">
        <f ca="1">IF('Stock Price'!$I$11="OK",B17/INDEX(B$5:B$1258,'Stock Price'!$I$9)-1,"")</f>
        <v>2.3937836821656733E-2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-2.2654268808114941E-2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163.72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57.6</v>
      </c>
      <c r="M18" s="18">
        <v>109.14</v>
      </c>
      <c r="O18" s="19">
        <f ca="1">IF('Stock Price'!$I$11="OK",B18/INDEX(B$5:B$1258,'Stock Price'!$I$9)-1,"")</f>
        <v>2.5943100639177707E-2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-2.6204564666103103E-2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164.08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57.81</v>
      </c>
      <c r="M19" s="18">
        <v>108.5</v>
      </c>
      <c r="O19" s="19">
        <f ca="1">IF('Stock Price'!$I$11="OK",B19/INDEX(B$5:B$1258,'Stock Price'!$I$9)-1,"")</f>
        <v>2.8199022433889054E-2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-2.2654268808114941E-2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165.75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58.24</v>
      </c>
      <c r="M20" s="18">
        <v>109.49</v>
      </c>
      <c r="O20" s="19">
        <f ca="1">IF('Stock Price'!$I$11="OK",B20/INDEX(B$5:B$1258,'Stock Price'!$I$9)-1,"")</f>
        <v>3.8663992981576634E-2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-1.538461538461533E-2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163.74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56.49</v>
      </c>
      <c r="M21" s="18">
        <v>108.4</v>
      </c>
      <c r="O21" s="19">
        <f ca="1">IF('Stock Price'!$I$11="OK",B21/INDEX(B$5:B$1258,'Stock Price'!$I$9)-1,"")</f>
        <v>2.6068429627772893E-2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-4.4970414201183417E-2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162.85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57.13</v>
      </c>
      <c r="M22" s="18">
        <v>109.67</v>
      </c>
      <c r="O22" s="19">
        <f ca="1">IF('Stock Price'!$I$11="OK",B22/INDEX(B$5:B$1258,'Stock Price'!$I$9)-1,"")</f>
        <v>2.0491289635292453E-2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-3.4150464919695644E-2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162.88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58.4</v>
      </c>
      <c r="M23" s="18">
        <v>114.67</v>
      </c>
      <c r="O23" s="19">
        <f ca="1">IF('Stock Price'!$I$11="OK",B23/INDEX(B$5:B$1258,'Stock Price'!$I$9)-1,"")</f>
        <v>2.0679283118185232E-2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-1.2679628064243498E-2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163.02000000000001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58.68</v>
      </c>
      <c r="M24" s="18">
        <v>114.81</v>
      </c>
      <c r="O24" s="19">
        <f ca="1">IF('Stock Price'!$I$11="OK",B24/INDEX(B$5:B$1258,'Stock Price'!$I$9)-1,"")</f>
        <v>2.1556586038350645E-2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-7.9459002535925416E-3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165.59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58.63</v>
      </c>
      <c r="M25" s="18">
        <v>116.53</v>
      </c>
      <c r="O25" s="19">
        <f ca="1">IF('Stock Price'!$I$11="OK",B25/INDEX(B$5:B$1258,'Stock Price'!$I$9)-1,"")</f>
        <v>3.7661361072816035E-2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-8.79120879120876E-3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165.06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59.36</v>
      </c>
      <c r="M26" s="18">
        <v>117.57</v>
      </c>
      <c r="O26" s="19">
        <f ca="1">IF('Stock Price'!$I$11="OK",B26/INDEX(B$5:B$1258,'Stock Price'!$I$9)-1,"")</f>
        <v>3.4340142875046942E-2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3.5502958579882726E-3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164.6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59.25</v>
      </c>
      <c r="M27" s="18">
        <v>117.06</v>
      </c>
      <c r="O27" s="19">
        <f ca="1">IF('Stock Price'!$I$11="OK",B27/INDEX(B$5:B$1258,'Stock Price'!$I$9)-1,"")</f>
        <v>3.1457576137360554E-2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1.6906170752324368E-3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163.43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59.45</v>
      </c>
      <c r="M28" s="18">
        <v>117.18</v>
      </c>
      <c r="O28" s="19">
        <f ca="1">IF('Stock Price'!$I$11="OK",B28/INDEX(B$5:B$1258,'Stock Price'!$I$9)-1,"")</f>
        <v>2.4125830304549511E-2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5.0718512256975323E-3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162.87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59.41</v>
      </c>
      <c r="M29" s="18">
        <v>116.06</v>
      </c>
      <c r="O29" s="19">
        <f ca="1">IF('Stock Price'!$I$11="OK",B29/INDEX(B$5:B$1258,'Stock Price'!$I$9)-1,"")</f>
        <v>2.0616618623887639E-2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4.39560439560438E-3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162.51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59.46</v>
      </c>
      <c r="M30" s="18">
        <v>115.61</v>
      </c>
      <c r="O30" s="19">
        <f ca="1">IF('Stock Price'!$I$11="OK",B30/INDEX(B$5:B$1258,'Stock Price'!$I$9)-1,"")</f>
        <v>1.8360696829176515E-2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5.2409129332207094E-3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164.27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59.39</v>
      </c>
      <c r="M31" s="18">
        <v>116.75</v>
      </c>
      <c r="O31" s="19">
        <f ca="1">IF('Stock Price'!$I$11="OK",B31/INDEX(B$5:B$1258,'Stock Price'!$I$9)-1,"")</f>
        <v>2.9389647825541987E-2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4.0574809805580259E-3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163.06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59.19</v>
      </c>
      <c r="M32" s="18">
        <v>116.63</v>
      </c>
      <c r="O32" s="19">
        <f ca="1">IF('Stock Price'!$I$11="OK",B32/INDEX(B$5:B$1258,'Stock Price'!$I$9)-1,"")</f>
        <v>2.1807244015540794E-2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6.762468300929303E-4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165.01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59.43</v>
      </c>
      <c r="M33" s="18">
        <v>116.97</v>
      </c>
      <c r="O33" s="19">
        <f ca="1">IF('Stock Price'!$I$11="OK",B33/INDEX(B$5:B$1258,'Stock Price'!$I$9)-1,"")</f>
        <v>3.4026820403559199E-2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4.7337278106509562E-3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163.52000000000001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59.62</v>
      </c>
      <c r="M34" s="18">
        <v>116.84</v>
      </c>
      <c r="O34" s="19">
        <f ca="1">IF('Stock Price'!$I$11="OK",B34/INDEX(B$5:B$1258,'Stock Price'!$I$9)-1,"")</f>
        <v>2.4689810753227182E-2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7.9459002535926526E-3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162.66999999999999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59.1</v>
      </c>
      <c r="M35" s="18">
        <v>116.42</v>
      </c>
      <c r="O35" s="19">
        <f ca="1">IF('Stock Price'!$I$11="OK",B35/INDEX(B$5:B$1258,'Stock Price'!$I$9)-1,"")</f>
        <v>1.9363328737936891E-2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-8.4530853761621838E-4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163.28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59.44</v>
      </c>
      <c r="M36" s="18">
        <v>117.35</v>
      </c>
      <c r="O36" s="19">
        <f ca="1">IF('Stock Price'!$I$11="OK",B36/INDEX(B$5:B$1258,'Stock Price'!$I$9)-1,"")</f>
        <v>2.3185862890086506E-2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4.9027895181741332E-3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162.4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59.04</v>
      </c>
      <c r="M37" s="18">
        <v>117.07</v>
      </c>
      <c r="O37" s="19">
        <f ca="1">IF('Stock Price'!$I$11="OK",B37/INDEX(B$5:B$1258,'Stock Price'!$I$9)-1,"")</f>
        <v>1.7671387391903659E-2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-1.8596787827557248E-3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162.88999999999999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57.83</v>
      </c>
      <c r="M38" s="18">
        <v>116.24</v>
      </c>
      <c r="O38" s="19">
        <f ca="1">IF('Stock Price'!$I$11="OK",B38/INDEX(B$5:B$1258,'Stock Price'!$I$9)-1,"")</f>
        <v>2.0741947612482603E-2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-2.2316145393068476E-2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159.69999999999999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57.04</v>
      </c>
      <c r="M39" s="18">
        <v>115.65</v>
      </c>
      <c r="O39" s="19">
        <f ca="1">IF('Stock Price'!$I$11="OK",B39/INDEX(B$5:B$1258,'Stock Price'!$I$9)-1,"")</f>
        <v>7.5197393157022674E-4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-3.5672020287404904E-2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160.69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57.45</v>
      </c>
      <c r="M40" s="18">
        <v>118.88</v>
      </c>
      <c r="O40" s="19">
        <f ca="1">IF('Stock Price'!$I$11="OK",B40/INDEX(B$5:B$1258,'Stock Price'!$I$9)-1,"")</f>
        <v>6.9557588670259296E-3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-2.8740490278951758E-2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160.24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56.81</v>
      </c>
      <c r="M41" s="18">
        <v>118.66</v>
      </c>
      <c r="O41" s="19">
        <f ca="1">IF('Stock Price'!$I$11="OK",B41/INDEX(B$5:B$1258,'Stock Price'!$I$9)-1,"")</f>
        <v>4.1358566236371352E-3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-3.9560439560439531E-2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159.19999999999999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56.53</v>
      </c>
      <c r="M42" s="18">
        <v>116.51</v>
      </c>
      <c r="O42" s="19">
        <f ca="1">IF('Stock Price'!$I$11="OK",B42/INDEX(B$5:B$1258,'Stock Price'!$I$9)-1,"")</f>
        <v>-2.3812507833063101E-3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-4.4294167371090376E-2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159.75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54.64</v>
      </c>
      <c r="M43" s="18">
        <v>116.89</v>
      </c>
      <c r="O43" s="19">
        <f ca="1">IF('Stock Price'!$I$11="OK",B43/INDEX(B$5:B$1258,'Stock Price'!$I$9)-1,"")</f>
        <v>1.0652964030579692E-3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-7.6246830092983942E-2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155.93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53.63</v>
      </c>
      <c r="M44" s="18">
        <v>115.28</v>
      </c>
      <c r="O44" s="19">
        <f ca="1">IF('Stock Price'!$I$11="OK",B44/INDEX(B$5:B$1258,'Stock Price'!$I$9)-1,"")</f>
        <v>-2.2872540418598875E-2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-9.3322062552831708E-2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158.08000000000001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54.95</v>
      </c>
      <c r="M45" s="18">
        <v>115.91</v>
      </c>
      <c r="O45" s="19">
        <f ca="1">IF('Stock Price'!$I$11="OK",B45/INDEX(B$5:B$1258,'Stock Price'!$I$9)-1,"")</f>
        <v>-9.3996741446296106E-3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-7.1005917159763232E-2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157.09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55.41</v>
      </c>
      <c r="M46" s="18">
        <v>116.87</v>
      </c>
      <c r="O46" s="19">
        <f ca="1">IF('Stock Price'!$I$11="OK",B46/INDEX(B$5:B$1258,'Stock Price'!$I$9)-1,"")</f>
        <v>-1.5603459080085313E-2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-6.3229078613693979E-2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159.38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56.32</v>
      </c>
      <c r="M47" s="18">
        <v>118.85</v>
      </c>
      <c r="O47" s="19">
        <f ca="1">IF('Stock Price'!$I$11="OK",B47/INDEX(B$5:B$1258,'Stock Price'!$I$9)-1,"")</f>
        <v>-1.253289885950748E-3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-4.7844463229078538E-2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162.94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56.83</v>
      </c>
      <c r="M48" s="18">
        <v>121.35</v>
      </c>
      <c r="O48" s="19">
        <f ca="1">IF('Stock Price'!$I$11="OK",B48/INDEX(B$5:B$1258,'Stock Price'!$I$9)-1,"")</f>
        <v>2.1055270083970345E-2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-3.9222316145393066E-2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163.36000000000001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57.13</v>
      </c>
      <c r="M49" s="18">
        <v>121.51</v>
      </c>
      <c r="O49" s="19">
        <f ca="1">IF('Stock Price'!$I$11="OK",B49/INDEX(B$5:B$1258,'Stock Price'!$I$9)-1,"")</f>
        <v>2.3687178844466805E-2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-3.4150464919695644E-2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164.34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57.6</v>
      </c>
      <c r="M50" s="18">
        <v>121.87</v>
      </c>
      <c r="O50" s="19">
        <f ca="1">IF('Stock Price'!$I$11="OK",B50/INDEX(B$5:B$1258,'Stock Price'!$I$9)-1,"")</f>
        <v>2.9828299285624693E-2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-2.6204564666103103E-2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165.9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57.54</v>
      </c>
      <c r="M51" s="18">
        <v>124.15</v>
      </c>
      <c r="O51" s="19">
        <f ca="1">IF('Stock Price'!$I$11="OK",B51/INDEX(B$5:B$1258,'Stock Price'!$I$9)-1,"")</f>
        <v>3.9603960396039639E-2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-2.7218934911242609E-2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165.49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56.36</v>
      </c>
      <c r="M52" s="18">
        <v>125.47</v>
      </c>
      <c r="O52" s="19">
        <f ca="1">IF('Stock Price'!$I$11="OK",B52/INDEX(B$5:B$1258,'Stock Price'!$I$9)-1,"")</f>
        <v>3.7034716129840772E-2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-4.7168216398985607E-2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168.45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59.05</v>
      </c>
      <c r="M53" s="18">
        <v>126.51</v>
      </c>
      <c r="O53" s="19">
        <f ca="1">IF('Stock Price'!$I$11="OK",B53/INDEX(B$5:B$1258,'Stock Price'!$I$9)-1,"")</f>
        <v>5.5583406441909844E-2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-1.6906170752324368E-3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170.29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59.51</v>
      </c>
      <c r="M54" s="18">
        <v>127.29</v>
      </c>
      <c r="O54" s="19">
        <f ca="1">IF('Stock Price'!$I$11="OK",B54/INDEX(B$5:B$1258,'Stock Price'!$I$9)-1,"")</f>
        <v>6.7113673392655615E-2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6.0862214708368167E-3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171.14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60.61</v>
      </c>
      <c r="M55" s="18">
        <v>130.22999999999999</v>
      </c>
      <c r="O55" s="19">
        <f ca="1">IF('Stock Price'!$I$11="OK",B55/INDEX(B$5:B$1258,'Stock Price'!$I$9)-1,"")</f>
        <v>7.2440155407945683E-2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2.4683009298393843E-2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173.01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62.17</v>
      </c>
      <c r="M56" s="18">
        <v>131.78</v>
      </c>
      <c r="O56" s="19">
        <f ca="1">IF('Stock Price'!$I$11="OK",B56/INDEX(B$5:B$1258,'Stock Price'!$I$9)-1,"")</f>
        <v>8.4158415841584011E-2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5.1056635672020345E-2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168.23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61.56</v>
      </c>
      <c r="M57" s="18">
        <v>129.53</v>
      </c>
      <c r="O57" s="19">
        <f ca="1">IF('Stock Price'!$I$11="OK",B57/INDEX(B$5:B$1258,'Stock Price'!$I$9)-1,"")</f>
        <v>5.4204787567364132E-2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4.0743871513102325E-2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167.75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61.72</v>
      </c>
      <c r="M58" s="18">
        <v>130.86000000000001</v>
      </c>
      <c r="O58" s="19">
        <f ca="1">IF('Stock Price'!$I$11="OK",B58/INDEX(B$5:B$1258,'Stock Price'!$I$9)-1,"")</f>
        <v>5.1196891841082781E-2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4.3448858833474269E-2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167.21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61.45</v>
      </c>
      <c r="M59" s="18">
        <v>129.94999999999999</v>
      </c>
      <c r="O59" s="19">
        <f ca="1">IF('Stock Price'!$I$11="OK",B59/INDEX(B$5:B$1258,'Stock Price'!$I$9)-1,"")</f>
        <v>4.7813009149016095E-2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3.8884192730346712E-2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167.93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62.1</v>
      </c>
      <c r="M60" s="18">
        <v>132.05000000000001</v>
      </c>
      <c r="O60" s="19">
        <f ca="1">IF('Stock Price'!$I$11="OK",B60/INDEX(B$5:B$1258,'Stock Price'!$I$9)-1,"")</f>
        <v>5.2324852738438343E-2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4.9873203719357662E-2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168.25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62.05</v>
      </c>
      <c r="M61" s="18">
        <v>133.09</v>
      </c>
      <c r="O61" s="19">
        <f ca="1">IF('Stock Price'!$I$11="OK",B61/INDEX(B$5:B$1258,'Stock Price'!$I$9)-1,"")</f>
        <v>5.4330116555959318E-2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4.9027895181741332E-2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169.67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62.29</v>
      </c>
      <c r="M62" s="18">
        <v>134.41</v>
      </c>
      <c r="O62" s="19">
        <f ca="1">IF('Stock Price'!$I$11="OK",B62/INDEX(B$5:B$1258,'Stock Price'!$I$9)-1,"")</f>
        <v>6.3228474746208629E-2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5.3085376162299358E-2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170.35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62.35</v>
      </c>
      <c r="M63" s="18">
        <v>134.38999999999999</v>
      </c>
      <c r="O63" s="19">
        <f ca="1">IF('Stock Price'!$I$11="OK",B63/INDEX(B$5:B$1258,'Stock Price'!$I$9)-1,"")</f>
        <v>6.7489660358440728E-2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5.4099746407438865E-2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171.55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62.29</v>
      </c>
      <c r="M64" s="18">
        <v>135.36000000000001</v>
      </c>
      <c r="O64" s="19">
        <f ca="1">IF('Stock Price'!$I$11="OK",B64/INDEX(B$5:B$1258,'Stock Price'!$I$9)-1,"")</f>
        <v>7.500939967414455E-2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5.3085376162299358E-2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172.31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62.52</v>
      </c>
      <c r="M65" s="18">
        <v>135.93</v>
      </c>
      <c r="O65" s="19">
        <f ca="1">IF('Stock Price'!$I$11="OK",B65/INDEX(B$5:B$1258,'Stock Price'!$I$9)-1,"")</f>
        <v>7.9771901240756948E-2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5.6973795435333985E-2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171.07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62.35</v>
      </c>
      <c r="M66" s="18">
        <v>135.4</v>
      </c>
      <c r="O66" s="19">
        <f ca="1">IF('Stock Price'!$I$11="OK",B66/INDEX(B$5:B$1258,'Stock Price'!$I$9)-1,"")</f>
        <v>7.2001503947862977E-2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5.4099746407438865E-2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171.54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61.88</v>
      </c>
      <c r="M67" s="18">
        <v>135.41999999999999</v>
      </c>
      <c r="O67" s="19">
        <f ca="1">IF('Stock Price'!$I$11="OK",B67/INDEX(B$5:B$1258,'Stock Price'!$I$9)-1,"")</f>
        <v>7.4946735179846957E-2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4.6153846153846212E-2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171.08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62.13</v>
      </c>
      <c r="M68" s="18">
        <v>135.16</v>
      </c>
      <c r="O68" s="19">
        <f ca="1">IF('Stock Price'!$I$11="OK",B68/INDEX(B$5:B$1258,'Stock Price'!$I$9)-1,"")</f>
        <v>7.206416844216057E-2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5.0380388841927415E-2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172.22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62.16</v>
      </c>
      <c r="M69" s="18">
        <v>135.87</v>
      </c>
      <c r="O69" s="19">
        <f ca="1">IF('Stock Price'!$I$11="OK",B69/INDEX(B$5:B$1258,'Stock Price'!$I$9)-1,"")</f>
        <v>7.9207920792079056E-2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5.0887573964496946E-2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171.63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61.48</v>
      </c>
      <c r="M70" s="18">
        <v>135.22999999999999</v>
      </c>
      <c r="O70" s="19">
        <f ca="1">IF('Stock Price'!$I$11="OK",B70/INDEX(B$5:B$1258,'Stock Price'!$I$9)-1,"")</f>
        <v>7.5510715628524849E-2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3.9391377852916243E-2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173.95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62.83</v>
      </c>
      <c r="M71" s="18">
        <v>134.88</v>
      </c>
      <c r="O71" s="19">
        <f ca="1">IF('Stock Price'!$I$11="OK",B71/INDEX(B$5:B$1258,'Stock Price'!$I$9)-1,"")</f>
        <v>9.0048878305551971E-2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6.2214708368554472E-2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173.09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65.099999999999994</v>
      </c>
      <c r="M72" s="18">
        <v>136.38999999999999</v>
      </c>
      <c r="O72" s="19">
        <f ca="1">IF('Stock Price'!$I$11="OK",B72/INDEX(B$5:B$1258,'Stock Price'!$I$9)-1,"")</f>
        <v>8.465973179596431E-2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0.10059171597633121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171.25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65.48</v>
      </c>
      <c r="M73" s="18">
        <v>136.97</v>
      </c>
      <c r="O73" s="19">
        <f ca="1">IF('Stock Price'!$I$11="OK",B73/INDEX(B$5:B$1258,'Stock Price'!$I$9)-1,"")</f>
        <v>7.3129464845218539E-2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0.10701606086221482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169.79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64.819999999999993</v>
      </c>
      <c r="M74" s="18">
        <v>137.29</v>
      </c>
      <c r="O74" s="19">
        <f ca="1">IF('Stock Price'!$I$11="OK",B74/INDEX(B$5:B$1258,'Stock Price'!$I$9)-1,"")</f>
        <v>6.3980448677779078E-2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9.5857988165680474E-2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168.76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64.599999999999994</v>
      </c>
      <c r="M75" s="18">
        <v>133.52000000000001</v>
      </c>
      <c r="O75" s="19">
        <f ca="1">IF('Stock Price'!$I$11="OK",B75/INDEX(B$5:B$1258,'Stock Price'!$I$9)-1,"")</f>
        <v>5.7526005765133226E-2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9.2138630600169025E-2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167.84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64.930000000000007</v>
      </c>
      <c r="M76" s="18">
        <v>135.87</v>
      </c>
      <c r="O76" s="19">
        <f ca="1">IF('Stock Price'!$I$11="OK",B76/INDEX(B$5:B$1258,'Stock Price'!$I$9)-1,"")</f>
        <v>5.1760872289760451E-2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9.771766694843631E-2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167.1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64.89</v>
      </c>
      <c r="M77" s="18">
        <v>136.78</v>
      </c>
      <c r="O77" s="19">
        <f ca="1">IF('Stock Price'!$I$11="OK",B77/INDEX(B$5:B$1258,'Stock Price'!$I$9)-1,"")</f>
        <v>4.7123699711743239E-2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9.7041420118343158E-2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166.58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64.72</v>
      </c>
      <c r="M78" s="18">
        <v>135.21</v>
      </c>
      <c r="O78" s="19">
        <f ca="1">IF('Stock Price'!$I$11="OK",B78/INDEX(B$5:B$1258,'Stock Price'!$I$9)-1,"")</f>
        <v>4.3865146008271738E-2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9.4167371090448038E-2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165.25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64.58</v>
      </c>
      <c r="M79" s="18">
        <v>133.03</v>
      </c>
      <c r="O79" s="19">
        <f ca="1">IF('Stock Price'!$I$11="OK",B79/INDEX(B$5:B$1258,'Stock Price'!$I$9)-1,"")</f>
        <v>3.5530768266700097E-2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9.1800507185122671E-2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164.87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63.54</v>
      </c>
      <c r="M80" s="18">
        <v>131.97999999999999</v>
      </c>
      <c r="O80" s="19">
        <f ca="1">IF('Stock Price'!$I$11="OK",B80/INDEX(B$5:B$1258,'Stock Price'!$I$9)-1,"")</f>
        <v>3.3149517483393787E-2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7.4218089602704929E-2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162.97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62.61</v>
      </c>
      <c r="M81" s="18">
        <v>132.16</v>
      </c>
      <c r="O81" s="19">
        <f ca="1">IF('Stock Price'!$I$11="OK",B81/INDEX(B$5:B$1258,'Stock Price'!$I$9)-1,"")</f>
        <v>2.1243263566862902E-2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5.8495350803043022E-2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167.63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62.46</v>
      </c>
      <c r="M82" s="18">
        <v>133.09</v>
      </c>
      <c r="O82" s="19">
        <f ca="1">IF('Stock Price'!$I$11="OK",B82/INDEX(B$5:B$1258,'Stock Price'!$I$9)-1,"")</f>
        <v>5.0444917909512332E-2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5.5959425190194478E-2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168.38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62.24</v>
      </c>
      <c r="M83" s="18">
        <v>134.22999999999999</v>
      </c>
      <c r="O83" s="19">
        <f ca="1">IF('Stock Price'!$I$11="OK",B83/INDEX(B$5:B$1258,'Stock Price'!$I$9)-1,"")</f>
        <v>5.5144754981827138E-2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5.2240067624683029E-2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170.59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63.86</v>
      </c>
      <c r="M84" s="18">
        <v>135.97</v>
      </c>
      <c r="O84" s="19">
        <f ca="1">IF('Stock Price'!$I$11="OK",B84/INDEX(B$5:B$1258,'Stock Price'!$I$9)-1,"")</f>
        <v>6.8993608221581626E-2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7.9628064243448815E-2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171.79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64.91</v>
      </c>
      <c r="M85" s="18">
        <v>137.91999999999999</v>
      </c>
      <c r="O85" s="19">
        <f ca="1">IF('Stock Price'!$I$11="OK",B85/INDEX(B$5:B$1258,'Stock Price'!$I$9)-1,"")</f>
        <v>7.6513347537285226E-2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9.7379543533389734E-2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172.29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64.89</v>
      </c>
      <c r="M86" s="18">
        <v>136.88999999999999</v>
      </c>
      <c r="O86" s="19">
        <f ca="1">IF('Stock Price'!$I$11="OK",B86/INDEX(B$5:B$1258,'Stock Price'!$I$9)-1,"")</f>
        <v>7.9646572252161763E-2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9.7041420118343158E-2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170.88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65.19</v>
      </c>
      <c r="M87" s="18">
        <v>137</v>
      </c>
      <c r="O87" s="19">
        <f ca="1">IF('Stock Price'!$I$11="OK",B87/INDEX(B$5:B$1258,'Stock Price'!$I$9)-1,"")</f>
        <v>7.0810878556210044E-2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0.10211327134404047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172.77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64.8</v>
      </c>
      <c r="M88" s="18">
        <v>138.62</v>
      </c>
      <c r="O88" s="19">
        <f ca="1">IF('Stock Price'!$I$11="OK",B88/INDEX(B$5:B$1258,'Stock Price'!$I$9)-1,"")</f>
        <v>8.2654467978443336E-2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9.5519864750633898E-2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172.76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64.069999999999993</v>
      </c>
      <c r="M89" s="18">
        <v>140.72999999999999</v>
      </c>
      <c r="O89" s="19">
        <f ca="1">IF('Stock Price'!$I$11="OK",B89/INDEX(B$5:B$1258,'Stock Price'!$I$9)-1,"")</f>
        <v>8.2591803484145743E-2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8.3178360101436866E-2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171.63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64.989999999999995</v>
      </c>
      <c r="M90" s="18">
        <v>140.65</v>
      </c>
      <c r="O90" s="19">
        <f ca="1">IF('Stock Price'!$I$11="OK",B90/INDEX(B$5:B$1258,'Stock Price'!$I$9)-1,"")</f>
        <v>7.5510715628524849E-2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9.8732037193575595E-2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171.06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66.19</v>
      </c>
      <c r="M91" s="18">
        <v>142.53</v>
      </c>
      <c r="O91" s="19">
        <f ca="1">IF('Stock Price'!$I$11="OK",B91/INDEX(B$5:B$1258,'Stock Price'!$I$9)-1,"")</f>
        <v>7.1938839453565606E-2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0.11901944209636506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171.51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65.89</v>
      </c>
      <c r="M92" s="18">
        <v>143.51</v>
      </c>
      <c r="O92" s="19">
        <f ca="1">IF('Stock Price'!$I$11="OK",B92/INDEX(B$5:B$1258,'Stock Price'!$I$9)-1,"")</f>
        <v>7.4758741696954401E-2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0.11394759087066775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171.49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67.14</v>
      </c>
      <c r="M93" s="18">
        <v>143.19999999999999</v>
      </c>
      <c r="O93" s="19">
        <f ca="1">IF('Stock Price'!$I$11="OK",B93/INDEX(B$5:B$1258,'Stock Price'!$I$9)-1,"")</f>
        <v>7.4633412708359437E-2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0.13508030431107354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169.42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66.510000000000005</v>
      </c>
      <c r="M94" s="18">
        <v>142.71</v>
      </c>
      <c r="O94" s="19">
        <f ca="1">IF('Stock Price'!$I$11="OK",B94/INDEX(B$5:B$1258,'Stock Price'!$I$9)-1,"")</f>
        <v>6.1661862388770361E-2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0.12442941673710917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167.71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66.88</v>
      </c>
      <c r="M95" s="18">
        <v>142.01</v>
      </c>
      <c r="O95" s="19">
        <f ca="1">IF('Stock Price'!$I$11="OK",B95/INDEX(B$5:B$1258,'Stock Price'!$I$9)-1,"")</f>
        <v>5.0946233863892632E-2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0.13068469991546916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165.6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66.81</v>
      </c>
      <c r="M96" s="18">
        <v>143</v>
      </c>
      <c r="O96" s="19">
        <f ca="1">IF('Stock Price'!$I$11="OK",B96/INDEX(B$5:B$1258,'Stock Price'!$I$9)-1,"")</f>
        <v>3.7724025567113628E-2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0.12950126796280648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167.31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67.77</v>
      </c>
      <c r="M97" s="18">
        <v>144.76</v>
      </c>
      <c r="O97" s="19">
        <f ca="1">IF('Stock Price'!$I$11="OK",B97/INDEX(B$5:B$1258,'Stock Price'!$I$9)-1,"")</f>
        <v>4.8439654091991358E-2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0.14573119188503791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167.21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67.599999999999994</v>
      </c>
      <c r="M98" s="18">
        <v>145.87</v>
      </c>
      <c r="O98" s="19">
        <f ca="1">IF('Stock Price'!$I$11="OK",B98/INDEX(B$5:B$1258,'Stock Price'!$I$9)-1,"")</f>
        <v>4.7813009149016095E-2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0.14285714285714279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166.19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67.39</v>
      </c>
      <c r="M99" s="18">
        <v>144.97</v>
      </c>
      <c r="O99" s="19">
        <f ca="1">IF('Stock Price'!$I$11="OK",B99/INDEX(B$5:B$1258,'Stock Price'!$I$9)-1,"")</f>
        <v>4.1421230730667835E-2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0.13930684699915474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163.36000000000001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67.55</v>
      </c>
      <c r="M100" s="18">
        <v>144.03</v>
      </c>
      <c r="O100" s="19">
        <f ca="1">IF('Stock Price'!$I$11="OK",B100/INDEX(B$5:B$1258,'Stock Price'!$I$9)-1,"")</f>
        <v>2.3687178844466805E-2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0.14201183431952669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161.13999999999999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67.45</v>
      </c>
      <c r="M101" s="18">
        <v>145.56</v>
      </c>
      <c r="O101" s="19">
        <f ca="1">IF('Stock Price'!$I$11="OK",B101/INDEX(B$5:B$1258,'Stock Price'!$I$9)-1,"")</f>
        <v>9.775661110414724E-3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0.14032121724429425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161.22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67.930000000000007</v>
      </c>
      <c r="M102" s="18">
        <v>146.76</v>
      </c>
      <c r="O102" s="19">
        <f ca="1">IF('Stock Price'!$I$11="OK",B102/INDEX(B$5:B$1258,'Stock Price'!$I$9)-1,"")</f>
        <v>1.0276977064795023E-2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0.14843617920541008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158.13999999999999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67.099999999999994</v>
      </c>
      <c r="M103" s="18">
        <v>145.27000000000001</v>
      </c>
      <c r="O103" s="19">
        <f ca="1">IF('Stock Price'!$I$11="OK",B103/INDEX(B$5:B$1258,'Stock Price'!$I$9)-1,"")</f>
        <v>-9.0236871788446082E-3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0.13440405748098039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166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68.8</v>
      </c>
      <c r="M104" s="18">
        <v>149.54</v>
      </c>
      <c r="O104" s="19">
        <f ca="1">IF('Stock Price'!$I$11="OK",B104/INDEX(B$5:B$1258,'Stock Price'!$I$9)-1,"")</f>
        <v>4.0230605339014902E-2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0.16314454775993226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164.57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68.67</v>
      </c>
      <c r="M105" s="18">
        <v>147.77000000000001</v>
      </c>
      <c r="O105" s="19">
        <f ca="1">IF('Stock Price'!$I$11="OK",B105/INDEX(B$5:B$1258,'Stock Price'!$I$9)-1,"")</f>
        <v>3.1269582654467776E-2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0.16094674556213029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164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68.63</v>
      </c>
      <c r="M106" s="18">
        <v>147.69</v>
      </c>
      <c r="O106" s="19">
        <f ca="1">IF('Stock Price'!$I$11="OK",B106/INDEX(B$5:B$1258,'Stock Price'!$I$9)-1,"")</f>
        <v>2.7697706479508533E-2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0.16027049873203714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166.04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68.849999999999994</v>
      </c>
      <c r="M107" s="18">
        <v>149.57</v>
      </c>
      <c r="O107" s="19">
        <f ca="1">IF('Stock Price'!$I$11="OK",B107/INDEX(B$5:B$1258,'Stock Price'!$I$9)-1,"")</f>
        <v>4.048126331620483E-2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0.16398985629754859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168.48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69.11</v>
      </c>
      <c r="M108" s="18">
        <v>150.41</v>
      </c>
      <c r="O108" s="19">
        <f ca="1">IF('Stock Price'!$I$11="OK",B108/INDEX(B$5:B$1258,'Stock Price'!$I$9)-1,"")</f>
        <v>5.5771399924802401E-2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0.16838546069315297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169.48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69.36</v>
      </c>
      <c r="M109" s="18">
        <v>150.56</v>
      </c>
      <c r="O109" s="19">
        <f ca="1">IF('Stock Price'!$I$11="OK",B109/INDEX(B$5:B$1258,'Stock Price'!$I$9)-1,"")</f>
        <v>6.2037849354555474E-2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0.17261200338123417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172.21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68.77</v>
      </c>
      <c r="M110" s="18">
        <v>149.44999999999999</v>
      </c>
      <c r="O110" s="19">
        <f ca="1">IF('Stock Price'!$I$11="OK",B110/INDEX(B$5:B$1258,'Stock Price'!$I$9)-1,"")</f>
        <v>7.9145256297781685E-2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0.1626373626373625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168.72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67.739999999999995</v>
      </c>
      <c r="M111" s="18">
        <v>147.15</v>
      </c>
      <c r="O111" s="19">
        <f ca="1">IF('Stock Price'!$I$11="OK",B111/INDEX(B$5:B$1258,'Stock Price'!$I$9)-1,"")</f>
        <v>5.7275347787943298E-2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0.14522400676246816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169.36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68.13</v>
      </c>
      <c r="M112" s="18">
        <v>148.84</v>
      </c>
      <c r="O112" s="19">
        <f ca="1">IF('Stock Price'!$I$11="OK",B112/INDEX(B$5:B$1258,'Stock Price'!$I$9)-1,"")</f>
        <v>6.1285875422985248E-2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0.15181741335587495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169.66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68.42</v>
      </c>
      <c r="M113" s="18">
        <v>149.16999999999999</v>
      </c>
      <c r="O113" s="19">
        <f ca="1">IF('Stock Price'!$I$11="OK",B113/INDEX(B$5:B$1258,'Stock Price'!$I$9)-1,"")</f>
        <v>6.3165810251911259E-2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0.15672020287404909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169.35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68.87</v>
      </c>
      <c r="M114" s="18">
        <v>149.06</v>
      </c>
      <c r="O114" s="19">
        <f ca="1">IF('Stock Price'!$I$11="OK",B114/INDEX(B$5:B$1258,'Stock Price'!$I$9)-1,"")</f>
        <v>6.1223210928687655E-2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0.16432797971259516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171.69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69.239999999999995</v>
      </c>
      <c r="M115" s="18">
        <v>152.1</v>
      </c>
      <c r="O115" s="19">
        <f ca="1">IF('Stock Price'!$I$11="OK",B115/INDEX(B$5:B$1258,'Stock Price'!$I$9)-1,"")</f>
        <v>7.5886702594309963E-2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0.17058326289095516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176.14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69.75</v>
      </c>
      <c r="M116" s="18">
        <v>155.88</v>
      </c>
      <c r="O116" s="19">
        <f ca="1">IF('Stock Price'!$I$11="OK",B116/INDEX(B$5:B$1258,'Stock Price'!$I$9)-1,"")</f>
        <v>0.10377240255671127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0.17920540997464074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174.52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69.66</v>
      </c>
      <c r="M117" s="18">
        <v>156.05000000000001</v>
      </c>
      <c r="O117" s="19">
        <f ca="1">IF('Stock Price'!$I$11="OK",B117/INDEX(B$5:B$1258,'Stock Price'!$I$9)-1,"")</f>
        <v>9.3620754480511215E-2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0.17768385460693148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176.8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70.52</v>
      </c>
      <c r="M118" s="18">
        <v>158.59</v>
      </c>
      <c r="O118" s="19">
        <f ca="1">IF('Stock Price'!$I$11="OK",B118/INDEX(B$5:B$1258,'Stock Price'!$I$9)-1,"")</f>
        <v>0.10790825918034841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0.1922231614539307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174.84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71.02</v>
      </c>
      <c r="M119" s="18">
        <v>159.19999999999999</v>
      </c>
      <c r="O119" s="19">
        <f ca="1">IF('Stock Price'!$I$11="OK",B119/INDEX(B$5:B$1258,'Stock Price'!$I$9)-1,"")</f>
        <v>9.5626018298032189E-2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0.20067624683009289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175.83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71.05</v>
      </c>
      <c r="M120" s="18">
        <v>160.05000000000001</v>
      </c>
      <c r="O120" s="19">
        <f ca="1">IF('Stock Price'!$I$11="OK",B120/INDEX(B$5:B$1258,'Stock Price'!$I$9)-1,"")</f>
        <v>0.10182980323348789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0.20118343195266264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175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70.819999999999993</v>
      </c>
      <c r="M121" s="18">
        <v>160.01</v>
      </c>
      <c r="O121" s="19">
        <f ca="1">IF('Stock Price'!$I$11="OK",B121/INDEX(B$5:B$1258,'Stock Price'!$I$9)-1,"")</f>
        <v>9.6628650206792788E-2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0.19729501267962801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174.34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71.38</v>
      </c>
      <c r="M122" s="18">
        <v>158.41999999999999</v>
      </c>
      <c r="O122" s="19">
        <f ca="1">IF('Stock Price'!$I$11="OK",B122/INDEX(B$5:B$1258,'Stock Price'!$I$9)-1,"")</f>
        <v>9.2492793583155652E-2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0.2067624683009297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175.24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72.41</v>
      </c>
      <c r="M123" s="18">
        <v>160.28</v>
      </c>
      <c r="O123" s="19">
        <f ca="1">IF('Stock Price'!$I$11="OK",B123/INDEX(B$5:B$1258,'Stock Price'!$I$9)-1,"")</f>
        <v>9.8132598069933463E-2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0.22417582417582405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176.92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73.28</v>
      </c>
      <c r="M124" s="18">
        <v>161.33000000000001</v>
      </c>
      <c r="O124" s="19">
        <f ca="1">IF('Stock Price'!$I$11="OK",B124/INDEX(B$5:B$1258,'Stock Price'!$I$9)-1,"")</f>
        <v>0.10866023311191864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0.23888419273034667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177.83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73.11</v>
      </c>
      <c r="M125" s="18">
        <v>161.97</v>
      </c>
      <c r="O125" s="19">
        <f ca="1">IF('Stock Price'!$I$11="OK",B125/INDEX(B$5:B$1258,'Stock Price'!$I$9)-1,"")</f>
        <v>0.11436270209299404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0.23601014370245132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177.74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73.23</v>
      </c>
      <c r="M126" s="18">
        <v>162.18</v>
      </c>
      <c r="O126" s="19">
        <f ca="1">IF('Stock Price'!$I$11="OK",B126/INDEX(B$5:B$1258,'Stock Price'!$I$9)-1,"")</f>
        <v>0.11379872164431637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0.23803888419273034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179.59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73.72</v>
      </c>
      <c r="M127" s="18">
        <v>163.75</v>
      </c>
      <c r="O127" s="19">
        <f ca="1">IF('Stock Price'!$I$11="OK",B127/INDEX(B$5:B$1258,'Stock Price'!$I$9)-1,"")</f>
        <v>0.12539165308935951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0.24632290786136934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177.23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73.03</v>
      </c>
      <c r="M128" s="18">
        <v>162.11000000000001</v>
      </c>
      <c r="O128" s="19">
        <f ca="1">IF('Stock Price'!$I$11="OK",B128/INDEX(B$5:B$1258,'Stock Price'!$I$9)-1,"")</f>
        <v>0.11060283243514202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0.23465765004226546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178.19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73.819999999999993</v>
      </c>
      <c r="M129" s="18">
        <v>162.68</v>
      </c>
      <c r="O129" s="19">
        <f ca="1">IF('Stock Price'!$I$11="OK",B129/INDEX(B$5:B$1258,'Stock Price'!$I$9)-1,"")</f>
        <v>0.11661862388770516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0.24801352493660178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176.47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73.790000000000006</v>
      </c>
      <c r="M130" s="18">
        <v>161.88999999999999</v>
      </c>
      <c r="O130" s="19">
        <f ca="1">IF('Stock Price'!$I$11="OK",B130/INDEX(B$5:B$1258,'Stock Price'!$I$9)-1,"")</f>
        <v>0.10584033086852984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0.24750633981403225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177.61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74.430000000000007</v>
      </c>
      <c r="M131" s="18">
        <v>163.43</v>
      </c>
      <c r="O131" s="19">
        <f ca="1">IF('Stock Price'!$I$11="OK",B131/INDEX(B$5:B$1258,'Stock Price'!$I$9)-1,"")</f>
        <v>0.11298408321844833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0.25832628909552002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182.23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75.34</v>
      </c>
      <c r="M132" s="18">
        <v>168.91</v>
      </c>
      <c r="O132" s="19">
        <f ca="1">IF('Stock Price'!$I$11="OK",B132/INDEX(B$5:B$1258,'Stock Price'!$I$9)-1,"")</f>
        <v>0.14193507958390761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0.27371090448013535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181.76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77.260000000000005</v>
      </c>
      <c r="M133" s="18">
        <v>173.28</v>
      </c>
      <c r="O133" s="19">
        <f ca="1">IF('Stock Price'!$I$11="OK",B133/INDEX(B$5:B$1258,'Stock Price'!$I$9)-1,"")</f>
        <v>0.13898984835192363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0.30617075232459867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182.12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77.77</v>
      </c>
      <c r="M134" s="18">
        <v>174.96</v>
      </c>
      <c r="O134" s="19">
        <f ca="1">IF('Stock Price'!$I$11="OK",B134/INDEX(B$5:B$1258,'Stock Price'!$I$9)-1,"")</f>
        <v>0.14124577014663475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0.31479289940828403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179.84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76.5</v>
      </c>
      <c r="M135" s="18">
        <v>169.83</v>
      </c>
      <c r="O135" s="19">
        <f ca="1">IF('Stock Price'!$I$11="OK",B135/INDEX(B$5:B$1258,'Stock Price'!$I$9)-1,"")</f>
        <v>0.12695826544679778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0.29332206255283189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179.9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76.55</v>
      </c>
      <c r="M136" s="18">
        <v>167.31</v>
      </c>
      <c r="O136" s="19">
        <f ca="1">IF('Stock Price'!$I$11="OK",B136/INDEX(B$5:B$1258,'Stock Price'!$I$9)-1,"")</f>
        <v>0.12733425241258289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0.29416737109044799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180.66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76.87</v>
      </c>
      <c r="M137" s="18">
        <v>158.94999999999999</v>
      </c>
      <c r="O137" s="19">
        <f ca="1">IF('Stock Price'!$I$11="OK",B137/INDEX(B$5:B$1258,'Stock Price'!$I$9)-1,"")</f>
        <v>0.13209675397919529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0.2995773457311921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179.9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77.510000000000005</v>
      </c>
      <c r="M138" s="18">
        <v>162.31</v>
      </c>
      <c r="O138" s="19">
        <f ca="1">IF('Stock Price'!$I$11="OK",B138/INDEX(B$5:B$1258,'Stock Price'!$I$9)-1,"")</f>
        <v>0.12733425241258289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0.31039729501267965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177.66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76.75</v>
      </c>
      <c r="M139" s="18">
        <v>159.36000000000001</v>
      </c>
      <c r="O139" s="19">
        <f ca="1">IF('Stock Price'!$I$11="OK",B139/INDEX(B$5:B$1258,'Stock Price'!$I$9)-1,"")</f>
        <v>0.11329740568993607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0.29754860524091287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183.08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76.400000000000006</v>
      </c>
      <c r="M140" s="18">
        <v>156.35</v>
      </c>
      <c r="O140" s="19">
        <f ca="1">IF('Stock Price'!$I$11="OK",B140/INDEX(B$5:B$1258,'Stock Price'!$I$9)-1,"")</f>
        <v>0.1472615615991979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0.29163144547759945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183.89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77.28</v>
      </c>
      <c r="M141" s="18">
        <v>156.69999999999999</v>
      </c>
      <c r="O141" s="19">
        <f ca="1">IF('Stock Price'!$I$11="OK",B141/INDEX(B$5:B$1258,'Stock Price'!$I$9)-1,"")</f>
        <v>0.15233738563729782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0.30650887573964503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183.36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77.56</v>
      </c>
      <c r="M142" s="18">
        <v>158.52000000000001</v>
      </c>
      <c r="O142" s="19">
        <f ca="1">IF('Stock Price'!$I$11="OK",B142/INDEX(B$5:B$1258,'Stock Price'!$I$9)-1,"")</f>
        <v>0.14901616743952872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0.31124260355029598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181.54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75.75</v>
      </c>
      <c r="M143" s="18">
        <v>154.99</v>
      </c>
      <c r="O143" s="19">
        <f ca="1">IF('Stock Price'!$I$11="OK",B143/INDEX(B$5:B$1258,'Stock Price'!$I$9)-1,"")</f>
        <v>0.13761122947737792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0.28064243448858828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186.01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76.05</v>
      </c>
      <c r="M144" s="18">
        <v>156.30000000000001</v>
      </c>
      <c r="O144" s="19">
        <f ca="1">IF('Stock Price'!$I$11="OK",B144/INDEX(B$5:B$1258,'Stock Price'!$I$9)-1,"")</f>
        <v>0.16562225842837441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0.28571428571428559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184.68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75.59</v>
      </c>
      <c r="M145" s="18">
        <v>156.18</v>
      </c>
      <c r="O145" s="19">
        <f ca="1">IF('Stock Price'!$I$11="OK",B145/INDEX(B$5:B$1258,'Stock Price'!$I$9)-1,"")</f>
        <v>0.15728788068680277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0.27793744716821656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182.1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75.81</v>
      </c>
      <c r="M146" s="18">
        <v>157.62</v>
      </c>
      <c r="O146" s="19">
        <f ca="1">IF('Stock Price'!$I$11="OK",B146/INDEX(B$5:B$1258,'Stock Price'!$I$9)-1,"")</f>
        <v>0.14112044115803979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0.28165680473372778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183.46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77.2</v>
      </c>
      <c r="M147" s="18">
        <v>156.31</v>
      </c>
      <c r="O147" s="19">
        <f ca="1">IF('Stock Price'!$I$11="OK",B147/INDEX(B$5:B$1258,'Stock Price'!$I$9)-1,"")</f>
        <v>0.14964281238250399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0.30515638207945917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180.46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75.27</v>
      </c>
      <c r="M148" s="18">
        <v>146.88</v>
      </c>
      <c r="O148" s="19">
        <f ca="1">IF('Stock Price'!$I$11="OK",B148/INDEX(B$5:B$1258,'Stock Price'!$I$9)-1,"")</f>
        <v>0.13084346409324477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0.27252747252747245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178.64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75.08</v>
      </c>
      <c r="M149" s="18">
        <v>147.87</v>
      </c>
      <c r="O149" s="19">
        <f ca="1">IF('Stock Price'!$I$11="OK",B149/INDEX(B$5:B$1258,'Stock Price'!$I$9)-1,"")</f>
        <v>0.11943852613109396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0.26931530008453075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178.29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75.05</v>
      </c>
      <c r="M150" s="18">
        <v>149.6</v>
      </c>
      <c r="O150" s="19">
        <f ca="1">IF('Stock Price'!$I$11="OK",B150/INDEX(B$5:B$1258,'Stock Price'!$I$9)-1,"")</f>
        <v>0.11724526883068043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0.268808114961961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180.2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76.31</v>
      </c>
      <c r="M151" s="18">
        <v>151.59</v>
      </c>
      <c r="O151" s="19">
        <f ca="1">IF('Stock Price'!$I$11="OK",B151/INDEX(B$5:B$1258,'Stock Price'!$I$9)-1,"")</f>
        <v>0.1292141872415089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0.29010989010989019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176.76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76.25</v>
      </c>
      <c r="M152" s="18">
        <v>152.18</v>
      </c>
      <c r="O152" s="19">
        <f ca="1">IF('Stock Price'!$I$11="OK",B152/INDEX(B$5:B$1258,'Stock Price'!$I$9)-1,"")</f>
        <v>0.10765760120315804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0.28909551986475068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176.37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76.67</v>
      </c>
      <c r="M153" s="18">
        <v>152.83000000000001</v>
      </c>
      <c r="O153" s="19">
        <f ca="1">IF('Stock Price'!$I$11="OK",B153/INDEX(B$5:B$1258,'Stock Price'!$I$9)-1,"")</f>
        <v>0.10521368592555458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0.29619611158072701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177.33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76.27</v>
      </c>
      <c r="M154" s="18">
        <v>150.96</v>
      </c>
      <c r="O154" s="19">
        <f ca="1">IF('Stock Price'!$I$11="OK",B154/INDEX(B$5:B$1258,'Stock Price'!$I$9)-1,"")</f>
        <v>0.1112294773781175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0.28943364327979704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177.09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76.290000000000006</v>
      </c>
      <c r="M155" s="18">
        <v>152.09</v>
      </c>
      <c r="O155" s="19">
        <f ca="1">IF('Stock Price'!$I$11="OK",B155/INDEX(B$5:B$1258,'Stock Price'!$I$9)-1,"")</f>
        <v>0.10972552951497683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0.28977176669484384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176.13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76.150000000000006</v>
      </c>
      <c r="M156" s="18">
        <v>151.96</v>
      </c>
      <c r="O156" s="19">
        <f ca="1">IF('Stock Price'!$I$11="OK",B156/INDEX(B$5:B$1258,'Stock Price'!$I$9)-1,"")</f>
        <v>0.10370973806241368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0.28740490278951825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177.87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76.3</v>
      </c>
      <c r="M157" s="18">
        <v>154.29</v>
      </c>
      <c r="O157" s="19">
        <f ca="1">IF('Stock Price'!$I$11="OK",B157/INDEX(B$5:B$1258,'Stock Price'!$I$9)-1,"")</f>
        <v>0.11461336007018419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0.28994082840236679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176.85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75.8</v>
      </c>
      <c r="M158" s="18">
        <v>153.5</v>
      </c>
      <c r="O158" s="19">
        <f ca="1">IF('Stock Price'!$I$11="OK",B158/INDEX(B$5:B$1258,'Stock Price'!$I$9)-1,"")</f>
        <v>0.10822158165183593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0.28148774302620461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178.08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76.91</v>
      </c>
      <c r="M159" s="18">
        <v>155.47</v>
      </c>
      <c r="O159" s="19">
        <f ca="1">IF('Stock Price'!$I$11="OK",B159/INDEX(B$5:B$1258,'Stock Price'!$I$9)-1,"")</f>
        <v>0.11592931445043231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0.30025359256128481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178.82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78.22</v>
      </c>
      <c r="M160" s="18">
        <v>154.78</v>
      </c>
      <c r="O160" s="19">
        <f ca="1">IF('Stock Price'!$I$11="OK",B160/INDEX(B$5:B$1258,'Stock Price'!$I$9)-1,"")</f>
        <v>0.12056648702844952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0.32240067624683011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175.5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77.02</v>
      </c>
      <c r="M161" s="18">
        <v>152.43</v>
      </c>
      <c r="O161" s="19">
        <f ca="1">IF('Stock Price'!$I$11="OK",B161/INDEX(B$5:B$1258,'Stock Price'!$I$9)-1,"")</f>
        <v>9.9761874921669325E-2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0.30211327134404065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173.94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75.959999999999994</v>
      </c>
      <c r="M162" s="18">
        <v>151.72</v>
      </c>
      <c r="O162" s="19">
        <f ca="1">IF('Stock Price'!$I$11="OK",B162/INDEX(B$5:B$1258,'Stock Price'!$I$9)-1,"")</f>
        <v>8.9986213811254379E-2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0.28419273034657633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176.98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76.19</v>
      </c>
      <c r="M163" s="18">
        <v>151.01</v>
      </c>
      <c r="O163" s="19">
        <f ca="1">IF('Stock Price'!$I$11="OK",B163/INDEX(B$5:B$1258,'Stock Price'!$I$9)-1,"")</f>
        <v>0.10903622007770375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0.28808114961961118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179.44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76.7</v>
      </c>
      <c r="M164" s="18">
        <v>148.03</v>
      </c>
      <c r="O164" s="19">
        <f ca="1">IF('Stock Price'!$I$11="OK",B164/INDEX(B$5:B$1258,'Stock Price'!$I$9)-1,"")</f>
        <v>0.12445168567489651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0.29670329670329676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181.4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77.13</v>
      </c>
      <c r="M165" s="18">
        <v>149.11000000000001</v>
      </c>
      <c r="O165" s="19">
        <f ca="1">IF('Stock Price'!$I$11="OK",B165/INDEX(B$5:B$1258,'Stock Price'!$I$9)-1,"")</f>
        <v>0.13673392655721273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0.30397295012679626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179.62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77.239999999999995</v>
      </c>
      <c r="M166" s="18">
        <v>151.96</v>
      </c>
      <c r="O166" s="19">
        <f ca="1">IF('Stock Price'!$I$11="OK",B166/INDEX(B$5:B$1258,'Stock Price'!$I$9)-1,"")</f>
        <v>0.12557964657225207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0.30583262890955187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179.46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77.59</v>
      </c>
      <c r="M167" s="18">
        <v>150.57</v>
      </c>
      <c r="O167" s="19">
        <f ca="1">IF('Stock Price'!$I$11="OK",B167/INDEX(B$5:B$1258,'Stock Price'!$I$9)-1,"")</f>
        <v>0.12457701466349169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0.31174978867286574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181.09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76.14</v>
      </c>
      <c r="M168" s="18">
        <v>150</v>
      </c>
      <c r="O168" s="19">
        <f ca="1">IF('Stock Price'!$I$11="OK",B168/INDEX(B$5:B$1258,'Stock Price'!$I$9)-1,"")</f>
        <v>0.13479132723398912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0.28723584108199507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179.53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75.45</v>
      </c>
      <c r="M169" s="18">
        <v>147.37</v>
      </c>
      <c r="O169" s="19">
        <f ca="1">IF('Stock Price'!$I$11="OK",B169/INDEX(B$5:B$1258,'Stock Price'!$I$9)-1,"")</f>
        <v>0.1250156661235744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0.27557058326289097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177.71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74.959999999999994</v>
      </c>
      <c r="M170" s="18">
        <v>146.02000000000001</v>
      </c>
      <c r="O170" s="19">
        <f ca="1">IF('Stock Price'!$I$11="OK",B170/INDEX(B$5:B$1258,'Stock Price'!$I$9)-1,"")</f>
        <v>0.11361072816142359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0.26728655959425174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177.15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75.069999999999993</v>
      </c>
      <c r="M171" s="18">
        <v>146.75</v>
      </c>
      <c r="O171" s="19">
        <f ca="1">IF('Stock Price'!$I$11="OK",B171/INDEX(B$5:B$1258,'Stock Price'!$I$9)-1,"")</f>
        <v>0.11010151648076194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0.26914623837700757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176.42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75.17</v>
      </c>
      <c r="M172" s="18">
        <v>147.16999999999999</v>
      </c>
      <c r="O172" s="19">
        <f ca="1">IF('Stock Price'!$I$11="OK",B172/INDEX(B$5:B$1258,'Stock Price'!$I$9)-1,"")</f>
        <v>0.1055270083970421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0.27083685545224023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176.4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75.25</v>
      </c>
      <c r="M173" s="18">
        <v>146.53</v>
      </c>
      <c r="O173" s="19">
        <f ca="1">IF('Stock Price'!$I$11="OK",B173/INDEX(B$5:B$1258,'Stock Price'!$I$9)-1,"")</f>
        <v>0.10540167940844714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0.27218934911242609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178.34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76.59</v>
      </c>
      <c r="M174" s="18">
        <v>149.13999999999999</v>
      </c>
      <c r="O174" s="19">
        <f ca="1">IF('Stock Price'!$I$11="OK",B174/INDEX(B$5:B$1258,'Stock Price'!$I$9)-1,"")</f>
        <v>0.11755859130216817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0.29484361792054115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177.28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76.180000000000007</v>
      </c>
      <c r="M175" s="18">
        <v>149.25</v>
      </c>
      <c r="O175" s="19">
        <f ca="1">IF('Stock Price'!$I$11="OK",B175/INDEX(B$5:B$1258,'Stock Price'!$I$9)-1,"")</f>
        <v>0.11091615490662976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0.287912087912088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173.71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75.98</v>
      </c>
      <c r="M176" s="18">
        <v>145.43</v>
      </c>
      <c r="O176" s="19">
        <f ca="1">IF('Stock Price'!$I$11="OK",B176/INDEX(B$5:B$1258,'Stock Price'!$I$9)-1,"")</f>
        <v>8.8544930442411296E-2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0.28453085376162313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172.55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75.09</v>
      </c>
      <c r="M177" s="18">
        <v>143.19999999999999</v>
      </c>
      <c r="O177" s="19">
        <f ca="1">IF('Stock Price'!$I$11="OK",B177/INDEX(B$5:B$1258,'Stock Price'!$I$9)-1,"")</f>
        <v>8.1275849103897624E-2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0.26948436179205415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170.81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73.58</v>
      </c>
      <c r="M178" s="18">
        <v>139.41999999999999</v>
      </c>
      <c r="O178" s="19">
        <f ca="1">IF('Stock Price'!$I$11="OK",B178/INDEX(B$5:B$1258,'Stock Price'!$I$9)-1,"")</f>
        <v>7.0372227096127338E-2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0.24395604395604398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168.19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72.87</v>
      </c>
      <c r="M179" s="18">
        <v>137.62</v>
      </c>
      <c r="O179" s="19">
        <f ca="1">IF('Stock Price'!$I$11="OK",B179/INDEX(B$5:B$1258,'Stock Price'!$I$9)-1,"")</f>
        <v>5.3954129590174205E-2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0.23195266272189352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169.99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73.02</v>
      </c>
      <c r="M180" s="18">
        <v>138.09</v>
      </c>
      <c r="O180" s="19">
        <f ca="1">IF('Stock Price'!$I$11="OK",B180/INDEX(B$5:B$1258,'Stock Price'!$I$9)-1,"")</f>
        <v>6.5233738563729826E-2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0.23448858833474207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170.08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72.62</v>
      </c>
      <c r="M181" s="18">
        <v>139.15</v>
      </c>
      <c r="O181" s="19">
        <f ca="1">IF('Stock Price'!$I$11="OK",B181/INDEX(B$5:B$1258,'Stock Price'!$I$9)-1,"")</f>
        <v>6.5797719012407496E-2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0.22772612003381254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169.46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73.77</v>
      </c>
      <c r="M182" s="18">
        <v>138.28</v>
      </c>
      <c r="O182" s="19">
        <f ca="1">IF('Stock Price'!$I$11="OK",B182/INDEX(B$5:B$1258,'Stock Price'!$I$9)-1,"")</f>
        <v>6.1912520365960511E-2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0.24716821639898567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173.01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76.47</v>
      </c>
      <c r="M183" s="18">
        <v>143.47</v>
      </c>
      <c r="O183" s="19">
        <f ca="1">IF('Stock Price'!$I$11="OK",B183/INDEX(B$5:B$1258,'Stock Price'!$I$9)-1,"")</f>
        <v>8.4158415841584011E-2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0.29281487743026213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175.74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76.55</v>
      </c>
      <c r="M184" s="18">
        <v>147.56</v>
      </c>
      <c r="O184" s="19">
        <f ca="1">IF('Stock Price'!$I$11="OK",B184/INDEX(B$5:B$1258,'Stock Price'!$I$9)-1,"")</f>
        <v>0.10126582278481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0.29416737109044799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179.66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77.69</v>
      </c>
      <c r="M185" s="18">
        <v>149.44999999999999</v>
      </c>
      <c r="O185" s="19">
        <f ca="1">IF('Stock Price'!$I$11="OK",B185/INDEX(B$5:B$1258,'Stock Price'!$I$9)-1,"")</f>
        <v>0.12583030454944222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0.31344040574809795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182.29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78.959999999999994</v>
      </c>
      <c r="M186" s="18">
        <v>152.34</v>
      </c>
      <c r="O186" s="19">
        <f ca="1">IF('Stock Price'!$I$11="OK",B186/INDEX(B$5:B$1258,'Stock Price'!$I$9)-1,"")</f>
        <v>0.14231106654969272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0.33491124260355032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182.12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79.98</v>
      </c>
      <c r="M187" s="18">
        <v>153.13999999999999</v>
      </c>
      <c r="O187" s="19">
        <f ca="1">IF('Stock Price'!$I$11="OK",B187/INDEX(B$5:B$1258,'Stock Price'!$I$9)-1,"")</f>
        <v>0.14124577014663475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0.35215553677092148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176.94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78.7</v>
      </c>
      <c r="M188" s="18">
        <v>152.49</v>
      </c>
      <c r="O188" s="19">
        <f ca="1">IF('Stock Price'!$I$11="OK",B188/INDEX(B$5:B$1258,'Stock Price'!$I$9)-1,"")</f>
        <v>0.10878556210051382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0.33051563820794594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176.99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78.28</v>
      </c>
      <c r="M189" s="18">
        <v>154.13999999999999</v>
      </c>
      <c r="O189" s="19">
        <f ca="1">IF('Stock Price'!$I$11="OK",B189/INDEX(B$5:B$1258,'Stock Price'!$I$9)-1,"")</f>
        <v>0.10909888457200156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0.32341504649196962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177.51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77</v>
      </c>
      <c r="M190" s="18">
        <v>153.16</v>
      </c>
      <c r="O190" s="19">
        <f ca="1">IF('Stock Price'!$I$11="OK",B190/INDEX(B$5:B$1258,'Stock Price'!$I$9)-1,"")</f>
        <v>0.11235743827547306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0.30177514792899407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179.52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76.84</v>
      </c>
      <c r="M191" s="18">
        <v>153.80000000000001</v>
      </c>
      <c r="O191" s="19">
        <f ca="1">IF('Stock Price'!$I$11="OK",B191/INDEX(B$5:B$1258,'Stock Price'!$I$9)-1,"")</f>
        <v>0.12495300162927681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0.29907016060862213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178.14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75.959999999999994</v>
      </c>
      <c r="M192" s="18">
        <v>153.93</v>
      </c>
      <c r="O192" s="19">
        <f ca="1">IF('Stock Price'!$I$11="OK",B192/INDEX(B$5:B$1258,'Stock Price'!$I$9)-1,"")</f>
        <v>0.11630530141621742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0.28419273034657633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178.3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76.22</v>
      </c>
      <c r="M193" s="18">
        <v>152.53</v>
      </c>
      <c r="O193" s="19">
        <f ca="1">IF('Stock Price'!$I$11="OK",B193/INDEX(B$5:B$1258,'Stock Price'!$I$9)-1,"")</f>
        <v>0.11730793332497802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0.28858833474218093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178.5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75.14</v>
      </c>
      <c r="M194" s="18">
        <v>152</v>
      </c>
      <c r="O194" s="19">
        <f ca="1">IF('Stock Price'!$I$11="OK",B194/INDEX(B$5:B$1258,'Stock Price'!$I$9)-1,"")</f>
        <v>0.11856122321092855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0.27032967032967048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178.28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75.38</v>
      </c>
      <c r="M195" s="18">
        <v>152.85</v>
      </c>
      <c r="O195" s="19">
        <f ca="1">IF('Stock Price'!$I$11="OK",B195/INDEX(B$5:B$1258,'Stock Price'!$I$9)-1,"")</f>
        <v>0.11718260433638283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0.27438715131022828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178.35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75.56</v>
      </c>
      <c r="M196" s="18">
        <v>153.22999999999999</v>
      </c>
      <c r="O196" s="19">
        <f ca="1">IF('Stock Price'!$I$11="OK",B196/INDEX(B$5:B$1258,'Stock Price'!$I$9)-1,"")</f>
        <v>0.11762125579646554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0.2774302620456468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175.85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75.010000000000005</v>
      </c>
      <c r="M197" s="18">
        <v>152.46</v>
      </c>
      <c r="O197" s="19">
        <f ca="1">IF('Stock Price'!$I$11="OK",B197/INDEX(B$5:B$1258,'Stock Price'!$I$9)-1,"")</f>
        <v>0.10195513222208286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0.26813186813186829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175.44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74.53</v>
      </c>
      <c r="M198" s="18">
        <v>152.15</v>
      </c>
      <c r="O198" s="19">
        <f ca="1">IF('Stock Price'!$I$11="OK",B198/INDEX(B$5:B$1258,'Stock Price'!$I$9)-1,"")</f>
        <v>9.9385887955883989E-2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0.26001690617075246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175.68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74.010000000000005</v>
      </c>
      <c r="M199" s="18">
        <v>150.44</v>
      </c>
      <c r="O199" s="19">
        <f ca="1">IF('Stock Price'!$I$11="OK",B199/INDEX(B$5:B$1258,'Stock Price'!$I$9)-1,"")</f>
        <v>0.10088983581902489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0.2512256973795437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178.23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75.650000000000006</v>
      </c>
      <c r="M200" s="18">
        <v>153.62</v>
      </c>
      <c r="O200" s="19">
        <f ca="1">IF('Stock Price'!$I$11="OK",B200/INDEX(B$5:B$1258,'Stock Price'!$I$9)-1,"")</f>
        <v>0.11686928186489509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0.27895181741335606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174.23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73.739999999999995</v>
      </c>
      <c r="M201" s="18">
        <v>149.57</v>
      </c>
      <c r="O201" s="19">
        <f ca="1">IF('Stock Price'!$I$11="OK",B201/INDEX(B$5:B$1258,'Stock Price'!$I$9)-1,"")</f>
        <v>9.1803484145882797E-2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0.24666103127641592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171.69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73.14</v>
      </c>
      <c r="M202" s="18">
        <v>149.74</v>
      </c>
      <c r="O202" s="19">
        <f ca="1">IF('Stock Price'!$I$11="OK",B202/INDEX(B$5:B$1258,'Stock Price'!$I$9)-1,"")</f>
        <v>7.5886702594309963E-2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0.23651732882502108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170.71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72.819999999999993</v>
      </c>
      <c r="M203" s="18">
        <v>147.69</v>
      </c>
      <c r="O203" s="19">
        <f ca="1">IF('Stock Price'!$I$11="OK",B203/INDEX(B$5:B$1258,'Stock Price'!$I$9)-1,"")</f>
        <v>6.9745582153152075E-2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0.23110735418427719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171.31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73.040000000000006</v>
      </c>
      <c r="M204" s="18">
        <v>147.75</v>
      </c>
      <c r="O204" s="19">
        <f ca="1">IF('Stock Price'!$I$11="OK",B204/INDEX(B$5:B$1258,'Stock Price'!$I$9)-1,"")</f>
        <v>7.3505451811003875E-2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0.23482671174978886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172.12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72.95</v>
      </c>
      <c r="M205" s="18">
        <v>148.47</v>
      </c>
      <c r="O205" s="19">
        <f ca="1">IF('Stock Price'!$I$11="OK",B205/INDEX(B$5:B$1258,'Stock Price'!$I$9)-1,"")</f>
        <v>7.8581275849103793E-2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0.2333051563820796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172.46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72.84</v>
      </c>
      <c r="M206" s="18">
        <v>150.22</v>
      </c>
      <c r="O206" s="19">
        <f ca="1">IF('Stock Price'!$I$11="OK",B206/INDEX(B$5:B$1258,'Stock Price'!$I$9)-1,"")</f>
        <v>8.0711868655219954E-2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0.23144547759932377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173.68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73.63</v>
      </c>
      <c r="M207" s="18">
        <v>150.87</v>
      </c>
      <c r="O207" s="19">
        <f ca="1">IF('Stock Price'!$I$11="OK",B207/INDEX(B$5:B$1258,'Stock Price'!$I$9)-1,"")</f>
        <v>8.8356936959518739E-2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0.24480135249366008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173.2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74.81</v>
      </c>
      <c r="M208" s="18">
        <v>151.15</v>
      </c>
      <c r="O208" s="19">
        <f ca="1">IF('Stock Price'!$I$11="OK",B208/INDEX(B$5:B$1258,'Stock Price'!$I$9)-1,"")</f>
        <v>8.5349041233237166E-2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0.26475063398140319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174.2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74.7</v>
      </c>
      <c r="M209" s="18">
        <v>149.75</v>
      </c>
      <c r="O209" s="19">
        <f ca="1">IF('Stock Price'!$I$11="OK",B209/INDEX(B$5:B$1258,'Stock Price'!$I$9)-1,"")</f>
        <v>9.161549066299024E-2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0.26289095519864758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174.52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73.78</v>
      </c>
      <c r="M210" s="18">
        <v>143.51</v>
      </c>
      <c r="O210" s="19">
        <f ca="1">IF('Stock Price'!$I$11="OK",B210/INDEX(B$5:B$1258,'Stock Price'!$I$9)-1,"")</f>
        <v>9.3620754480511215E-2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0.24733727810650885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173.91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73.62</v>
      </c>
      <c r="M211" s="18">
        <v>140.22</v>
      </c>
      <c r="O211" s="19">
        <f ca="1">IF('Stock Price'!$I$11="OK",B211/INDEX(B$5:B$1258,'Stock Price'!$I$9)-1,"")</f>
        <v>8.9798220328361822E-2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0.24463229078613713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172.92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73.28</v>
      </c>
      <c r="M212" s="18">
        <v>140.38999999999999</v>
      </c>
      <c r="O212" s="19">
        <f ca="1">IF('Stock Price'!$I$11="OK",B212/INDEX(B$5:B$1258,'Stock Price'!$I$9)-1,"")</f>
        <v>8.3594435392906119E-2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0.23888419273034667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174.59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72.989999999999995</v>
      </c>
      <c r="M213" s="18">
        <v>141.19999999999999</v>
      </c>
      <c r="O213" s="19">
        <f ca="1">IF('Stock Price'!$I$11="OK",B213/INDEX(B$5:B$1258,'Stock Price'!$I$9)-1,"")</f>
        <v>9.4059405940593921E-2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0.23398140321217231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171.79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72.12</v>
      </c>
      <c r="M214" s="18">
        <v>138.91999999999999</v>
      </c>
      <c r="O214" s="19">
        <f ca="1">IF('Stock Price'!$I$11="OK",B214/INDEX(B$5:B$1258,'Stock Price'!$I$9)-1,"")</f>
        <v>7.6513347537285226E-2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0.21927303465765013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171.11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72.12</v>
      </c>
      <c r="M215" s="18">
        <v>138.04</v>
      </c>
      <c r="O215" s="19">
        <f ca="1">IF('Stock Price'!$I$11="OK",B215/INDEX(B$5:B$1258,'Stock Price'!$I$9)-1,"")</f>
        <v>7.2252161925053349E-2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0.21927303465765013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170.2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73.8</v>
      </c>
      <c r="M216" s="18">
        <v>140.34</v>
      </c>
      <c r="O216" s="19">
        <f ca="1">IF('Stock Price'!$I$11="OK",B216/INDEX(B$5:B$1258,'Stock Price'!$I$9)-1,"")</f>
        <v>6.6549692943977723E-2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0.24767540152155543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170.18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74.959999999999994</v>
      </c>
      <c r="M217" s="18">
        <v>140.25</v>
      </c>
      <c r="O217" s="19">
        <f ca="1">IF('Stock Price'!$I$11="OK",B217/INDEX(B$5:B$1258,'Stock Price'!$I$9)-1,"")</f>
        <v>6.6424363955382759E-2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0.26728655959425174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170.67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74.86</v>
      </c>
      <c r="M218" s="18">
        <v>140.94</v>
      </c>
      <c r="O218" s="19">
        <f ca="1">IF('Stock Price'!$I$11="OK",B218/INDEX(B$5:B$1258,'Stock Price'!$I$9)-1,"")</f>
        <v>6.9494924175961703E-2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0.26559594251901952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167.14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74.459999999999994</v>
      </c>
      <c r="M219" s="18">
        <v>142.08000000000001</v>
      </c>
      <c r="O219" s="19">
        <f ca="1">IF('Stock Price'!$I$11="OK",B219/INDEX(B$5:B$1258,'Stock Price'!$I$9)-1,"")</f>
        <v>4.7374357688933388E-2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0.25883347421808955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165.3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75.569999999999993</v>
      </c>
      <c r="M220" s="18">
        <v>142.6</v>
      </c>
      <c r="O220" s="19">
        <f ca="1">IF('Stock Price'!$I$11="OK",B220/INDEX(B$5:B$1258,'Stock Price'!$I$9)-1,"")</f>
        <v>3.5844090738187839E-2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0.27759932375316976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166.09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74.53</v>
      </c>
      <c r="M221" s="18">
        <v>142.29</v>
      </c>
      <c r="O221" s="19">
        <f ca="1">IF('Stock Price'!$I$11="OK",B221/INDEX(B$5:B$1258,'Stock Price'!$I$9)-1,"")</f>
        <v>4.0794585787692572E-2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0.26001690617075246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167.57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74.13</v>
      </c>
      <c r="M222" s="18">
        <v>142.55000000000001</v>
      </c>
      <c r="O222" s="19">
        <f ca="1">IF('Stock Price'!$I$11="OK",B222/INDEX(B$5:B$1258,'Stock Price'!$I$9)-1,"")</f>
        <v>5.0068930943727219E-2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0.25325443786982249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167.58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74.56</v>
      </c>
      <c r="M223" s="18">
        <v>141.44</v>
      </c>
      <c r="O223" s="19">
        <f ca="1">IF('Stock Price'!$I$11="OK",B223/INDEX(B$5:B$1258,'Stock Price'!$I$9)-1,"")</f>
        <v>5.0131595438024812E-2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0.26052409129332221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166.77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74.150000000000006</v>
      </c>
      <c r="M224" s="18">
        <v>141.29</v>
      </c>
      <c r="O224" s="19">
        <f ca="1">IF('Stock Price'!$I$11="OK",B224/INDEX(B$5:B$1258,'Stock Price'!$I$9)-1,"")</f>
        <v>4.5055771399924893E-2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0.25359256128486907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169.31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75.33</v>
      </c>
      <c r="M225" s="18">
        <v>141.85</v>
      </c>
      <c r="O225" s="19">
        <f ca="1">IF('Stock Price'!$I$11="OK",B225/INDEX(B$5:B$1258,'Stock Price'!$I$9)-1,"")</f>
        <v>6.0972552951497505E-2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0.27354184277261195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167.59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74.55</v>
      </c>
      <c r="M226" s="18">
        <v>140.34</v>
      </c>
      <c r="O226" s="19">
        <f ca="1">IF('Stock Price'!$I$11="OK",B226/INDEX(B$5:B$1258,'Stock Price'!$I$9)-1,"")</f>
        <v>5.0194259932322183E-2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0.26035502958579881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166.13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72.77</v>
      </c>
      <c r="M227" s="18">
        <v>139.02000000000001</v>
      </c>
      <c r="O227" s="19">
        <f ca="1">IF('Stock Price'!$I$11="OK",B227/INDEX(B$5:B$1258,'Stock Price'!$I$9)-1,"")</f>
        <v>4.1045243764882722E-2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0.23026204564666108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165.58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72.42</v>
      </c>
      <c r="M228" s="18">
        <v>137.91</v>
      </c>
      <c r="O228" s="19">
        <f ca="1">IF('Stock Price'!$I$11="OK",B228/INDEX(B$5:B$1258,'Stock Price'!$I$9)-1,"")</f>
        <v>3.7598696578518664E-2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0.22434488588334744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167.13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71.5</v>
      </c>
      <c r="M229" s="18">
        <v>139.33000000000001</v>
      </c>
      <c r="O229" s="19">
        <f ca="1">IF('Stock Price'!$I$11="OK",B229/INDEX(B$5:B$1258,'Stock Price'!$I$9)-1,"")</f>
        <v>4.7311693194635795E-2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0.20879120879120872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164.27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71.19</v>
      </c>
      <c r="M230" s="18">
        <v>136.35</v>
      </c>
      <c r="O230" s="19">
        <f ca="1">IF('Stock Price'!$I$11="OK",B230/INDEX(B$5:B$1258,'Stock Price'!$I$9)-1,"")</f>
        <v>2.9389647825541987E-2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0.20355029585798823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163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66.75</v>
      </c>
      <c r="M231" s="18">
        <v>135.71</v>
      </c>
      <c r="O231" s="19">
        <f ca="1">IF('Stock Price'!$I$11="OK",B231/INDEX(B$5:B$1258,'Stock Price'!$I$9)-1,"")</f>
        <v>2.1431257049755459E-2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0.12848689771766697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162.43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67.2</v>
      </c>
      <c r="M232" s="18">
        <v>135.55000000000001</v>
      </c>
      <c r="O232" s="19">
        <f ca="1">IF('Stock Price'!$I$11="OK",B232/INDEX(B$5:B$1258,'Stock Price'!$I$9)-1,"")</f>
        <v>1.7859380874796216E-2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0.13609467455621305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161.34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67.41</v>
      </c>
      <c r="M233" s="18">
        <v>134.46</v>
      </c>
      <c r="O233" s="19">
        <f ca="1">IF('Stock Price'!$I$11="OK",B233/INDEX(B$5:B$1258,'Stock Price'!$I$9)-1,"")</f>
        <v>1.1028950996365472E-2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0.1396449704142011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165.34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69.09</v>
      </c>
      <c r="M234" s="18">
        <v>138.44999999999999</v>
      </c>
      <c r="O234" s="19">
        <f ca="1">IF('Stock Price'!$I$11="OK",B234/INDEX(B$5:B$1258,'Stock Price'!$I$9)-1,"")</f>
        <v>3.6094748715377767E-2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0.16804733727810661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162.74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68.61</v>
      </c>
      <c r="M235" s="18">
        <v>136.28</v>
      </c>
      <c r="O235" s="19">
        <f ca="1">IF('Stock Price'!$I$11="OK",B235/INDEX(B$5:B$1258,'Stock Price'!$I$9)-1,"")</f>
        <v>1.980198019801982E-2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0.15993237531699078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163.18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68.650000000000006</v>
      </c>
      <c r="M236" s="18">
        <v>137.59</v>
      </c>
      <c r="O236" s="19">
        <f ca="1">IF('Stock Price'!$I$11="OK",B236/INDEX(B$5:B$1258,'Stock Price'!$I$9)-1,"")</f>
        <v>2.2559217947111021E-2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0.16060862214708371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164.07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68.760000000000005</v>
      </c>
      <c r="M237" s="18">
        <v>138.71</v>
      </c>
      <c r="O237" s="19">
        <f ca="1">IF('Stock Price'!$I$11="OK",B237/INDEX(B$5:B$1258,'Stock Price'!$I$9)-1,"")</f>
        <v>2.8136357939591239E-2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0.16246830092983955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165.39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69.38</v>
      </c>
      <c r="M238" s="18">
        <v>140.52000000000001</v>
      </c>
      <c r="O238" s="19">
        <f ca="1">IF('Stock Price'!$I$11="OK",B238/INDEX(B$5:B$1258,'Stock Price'!$I$9)-1,"")</f>
        <v>3.6408071186865287E-2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0.17295012679628052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165.71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70.16</v>
      </c>
      <c r="M239" s="18">
        <v>141.41999999999999</v>
      </c>
      <c r="O239" s="19">
        <f ca="1">IF('Stock Price'!$I$11="OK",B239/INDEX(B$5:B$1258,'Stock Price'!$I$9)-1,"")</f>
        <v>3.8413335004386484E-2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0.18613693998309389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165.64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72.36</v>
      </c>
      <c r="M240" s="18">
        <v>142.24</v>
      </c>
      <c r="O240" s="19">
        <f ca="1">IF('Stock Price'!$I$11="OK",B240/INDEX(B$5:B$1258,'Stock Price'!$I$9)-1,"")</f>
        <v>3.7974683544303556E-2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0.22333051563820794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161.33000000000001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71.040000000000006</v>
      </c>
      <c r="M241" s="18">
        <v>138.53</v>
      </c>
      <c r="O241" s="19">
        <f ca="1">IF('Stock Price'!$I$11="OK",B241/INDEX(B$5:B$1258,'Stock Price'!$I$9)-1,"")</f>
        <v>1.0966286502067879E-2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0.20101437024513968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164.66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70.47</v>
      </c>
      <c r="M242" s="18">
        <v>139.55000000000001</v>
      </c>
      <c r="O242" s="19">
        <f ca="1">IF('Stock Price'!$I$11="OK",B242/INDEX(B$5:B$1258,'Stock Price'!$I$9)-1,"")</f>
        <v>3.1833563103145668E-2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0.19137785291631437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165.08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71.78</v>
      </c>
      <c r="M243" s="18">
        <v>142.51</v>
      </c>
      <c r="O243" s="19">
        <f ca="1">IF('Stock Price'!$I$11="OK",B243/INDEX(B$5:B$1258,'Stock Price'!$I$9)-1,"")</f>
        <v>3.4465471863642128E-2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0.21352493660185967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167.6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71.52</v>
      </c>
      <c r="M244" s="18">
        <v>144.06</v>
      </c>
      <c r="O244" s="19">
        <f ca="1">IF('Stock Price'!$I$11="OK",B244/INDEX(B$5:B$1258,'Stock Price'!$I$9)-1,"")</f>
        <v>5.0256924426619776E-2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0.20912933220625529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166.28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70.19</v>
      </c>
      <c r="M245" s="18">
        <v>142.66</v>
      </c>
      <c r="O245" s="19">
        <f ca="1">IF('Stock Price'!$I$11="OK",B245/INDEX(B$5:B$1258,'Stock Price'!$I$9)-1,"")</f>
        <v>4.1985211179345727E-2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0.18664412510566364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164.97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69.73</v>
      </c>
      <c r="M246" s="18">
        <v>141.77000000000001</v>
      </c>
      <c r="O246" s="19">
        <f ca="1">IF('Stock Price'!$I$11="OK",B246/INDEX(B$5:B$1258,'Stock Price'!$I$9)-1,"")</f>
        <v>3.377616242636905E-2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0.17886728655959439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163.28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69.459999999999994</v>
      </c>
      <c r="M247" s="18">
        <v>140.31</v>
      </c>
      <c r="O247" s="19">
        <f ca="1">IF('Stock Price'!$I$11="OK",B247/INDEX(B$5:B$1258,'Stock Price'!$I$9)-1,"")</f>
        <v>2.3185862890086506E-2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0.17430262045646661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166.18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71.290000000000006</v>
      </c>
      <c r="M248" s="18">
        <v>143.01</v>
      </c>
      <c r="O248" s="19">
        <f ca="1">IF('Stock Price'!$I$11="OK",B248/INDEX(B$5:B$1258,'Stock Price'!$I$9)-1,"")</f>
        <v>4.1358566236370464E-2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0.20524091293322066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166.72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70.709999999999994</v>
      </c>
      <c r="M249" s="18">
        <v>143.06</v>
      </c>
      <c r="O249" s="19">
        <f ca="1">IF('Stock Price'!$I$11="OK",B249/INDEX(B$5:B$1258,'Stock Price'!$I$9)-1,"")</f>
        <v>4.4742448928437151E-2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0.19543533389687218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165.7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70.150000000000006</v>
      </c>
      <c r="M250" s="18">
        <v>141.21</v>
      </c>
      <c r="O250" s="19">
        <f ca="1">IF('Stock Price'!$I$11="OK",B250/INDEX(B$5:B$1258,'Stock Price'!$I$9)-1,"")</f>
        <v>3.8350670510088891E-2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0.18596787827557071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164.94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70.36</v>
      </c>
      <c r="M251" s="18">
        <v>141.72</v>
      </c>
      <c r="O251" s="19">
        <f ca="1">IF('Stock Price'!$I$11="OK",B251/INDEX(B$5:B$1258,'Stock Price'!$I$9)-1,"")</f>
        <v>3.3588168943476493E-2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0.18951817413355876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166.36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72.06</v>
      </c>
      <c r="M252" s="18">
        <v>144.6</v>
      </c>
      <c r="O252" s="19">
        <f ca="1">IF('Stock Price'!$I$11="OK",B252/INDEX(B$5:B$1258,'Stock Price'!$I$9)-1,"")</f>
        <v>4.2486527133726026E-2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0.21825866441251063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164.53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71.709999999999994</v>
      </c>
      <c r="M253" s="18">
        <v>142.72</v>
      </c>
      <c r="O253" s="19">
        <f ca="1">IF('Stock Price'!$I$11="OK",B253/INDEX(B$5:B$1258,'Stock Price'!$I$9)-1,"")</f>
        <v>3.1018924677277848E-2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0.21234150464919699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163.36000000000001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71.09</v>
      </c>
      <c r="M254" s="18">
        <v>134.21</v>
      </c>
      <c r="O254" s="19">
        <f ca="1">IF('Stock Price'!$I$11="OK",B254/INDEX(B$5:B$1258,'Stock Price'!$I$9)-1,"")</f>
        <v>2.3687178844466805E-2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0.20185967878275579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163.19999999999999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70.53</v>
      </c>
      <c r="M255" s="18">
        <v>138.32</v>
      </c>
      <c r="O255" s="19">
        <f ca="1">IF('Stock Price'!$I$11="OK",B255/INDEX(B$5:B$1258,'Stock Price'!$I$9)-1,"")</f>
        <v>2.2684546935705985E-2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0.19239222316145388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165.62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71.209999999999994</v>
      </c>
      <c r="M256" s="18">
        <v>141.99</v>
      </c>
      <c r="O256" s="19">
        <f ca="1">IF('Stock Price'!$I$11="OK",B256/INDEX(B$5:B$1258,'Stock Price'!$I$9)-1,"")</f>
        <v>3.7849354555708592E-2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0.20388841927303458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165.11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71.45</v>
      </c>
      <c r="M257" s="18">
        <v>143.33000000000001</v>
      </c>
      <c r="O257" s="19">
        <f ca="1">IF('Stock Price'!$I$11="OK",B257/INDEX(B$5:B$1258,'Stock Price'!$I$9)-1,"")</f>
        <v>3.4653465346534684E-2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0.20794590025359261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161.91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70.239999999999995</v>
      </c>
      <c r="M258" s="18">
        <v>140.29</v>
      </c>
      <c r="O258" s="19">
        <f ca="1">IF('Stock Price'!$I$11="OK",B258/INDEX(B$5:B$1258,'Stock Price'!$I$9)-1,"")</f>
        <v>1.4600827171324715E-2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0.18748943364327975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160.19999999999999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69.7</v>
      </c>
      <c r="M259" s="18">
        <v>138.76</v>
      </c>
      <c r="O259" s="19">
        <f ca="1">IF('Stock Price'!$I$11="OK",B259/INDEX(B$5:B$1258,'Stock Price'!$I$9)-1,"")</f>
        <v>3.8851986464467636E-3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0.17836010143702463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160.41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68.48</v>
      </c>
      <c r="M260" s="18">
        <v>138.31</v>
      </c>
      <c r="O260" s="19">
        <f ca="1">IF('Stock Price'!$I$11="OK",B260/INDEX(B$5:B$1258,'Stock Price'!$I$9)-1,"")</f>
        <v>5.2011530266948824E-3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0.15773457311918859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162.72999999999999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69.650000000000006</v>
      </c>
      <c r="M261" s="18">
        <v>141.51</v>
      </c>
      <c r="O261" s="19">
        <f ca="1">IF('Stock Price'!$I$11="OK",B261/INDEX(B$5:B$1258,'Stock Price'!$I$9)-1,"")</f>
        <v>1.9739315703722227E-2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0.1775147928994083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162.69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69.28</v>
      </c>
      <c r="M262" s="18">
        <v>139.97999999999999</v>
      </c>
      <c r="O262" s="19">
        <f ca="1">IF('Stock Price'!$I$11="OK",B262/INDEX(B$5:B$1258,'Stock Price'!$I$9)-1,"")</f>
        <v>1.9488657726532077E-2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0.17125950972104831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165.15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70.77</v>
      </c>
      <c r="M263" s="18">
        <v>142.91999999999999</v>
      </c>
      <c r="O263" s="19">
        <f ca="1">IF('Stock Price'!$I$11="OK",B263/INDEX(B$5:B$1258,'Stock Price'!$I$9)-1,"")</f>
        <v>3.4904123323724834E-2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0.19644970414201191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164.46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70.62</v>
      </c>
      <c r="M264" s="18">
        <v>142.94</v>
      </c>
      <c r="O264" s="19">
        <f ca="1">IF('Stock Price'!$I$11="OK",B264/INDEX(B$5:B$1258,'Stock Price'!$I$9)-1,"")</f>
        <v>3.0580273217195142E-2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0.19391377852916336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166.59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71.38</v>
      </c>
      <c r="M265" s="18">
        <v>144.41</v>
      </c>
      <c r="O265" s="19">
        <f ca="1">IF('Stock Price'!$I$11="OK",B265/INDEX(B$5:B$1258,'Stock Price'!$I$9)-1,"")</f>
        <v>4.3927810502569109E-2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0.2067624683009297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166.01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71.739999999999995</v>
      </c>
      <c r="M266" s="18">
        <v>144.6</v>
      </c>
      <c r="O266" s="19">
        <f ca="1">IF('Stock Price'!$I$11="OK",B266/INDEX(B$5:B$1258,'Stock Price'!$I$9)-1,"")</f>
        <v>4.0293269833312273E-2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0.21284868977176674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164.69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71.14</v>
      </c>
      <c r="M267" s="18">
        <v>143.13</v>
      </c>
      <c r="O267" s="19">
        <f ca="1">IF('Stock Price'!$I$11="OK",B267/INDEX(B$5:B$1258,'Stock Price'!$I$9)-1,"")</f>
        <v>3.2021556586038225E-2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0.2027049873203719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165.11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70.349999999999994</v>
      </c>
      <c r="M268" s="18">
        <v>142.93</v>
      </c>
      <c r="O268" s="19">
        <f ca="1">IF('Stock Price'!$I$11="OK",B268/INDEX(B$5:B$1258,'Stock Price'!$I$9)-1,"")</f>
        <v>3.4653465346534684E-2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0.18934911242603536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168.71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72.209999999999994</v>
      </c>
      <c r="M269" s="18">
        <v>147.06</v>
      </c>
      <c r="O269" s="19">
        <f ca="1">IF('Stock Price'!$I$11="OK",B269/INDEX(B$5:B$1258,'Stock Price'!$I$9)-1,"")</f>
        <v>5.7212683293645705E-2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0.22079459002535917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170.98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72.989999999999995</v>
      </c>
      <c r="M270" s="18">
        <v>150.88999999999999</v>
      </c>
      <c r="O270" s="19">
        <f ca="1">IF('Stock Price'!$I$11="OK",B270/INDEX(B$5:B$1258,'Stock Price'!$I$9)-1,"")</f>
        <v>7.1437523499185307E-2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0.23398140321217231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170.71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72.77</v>
      </c>
      <c r="M271" s="18">
        <v>149.82</v>
      </c>
      <c r="O271" s="19">
        <f ca="1">IF('Stock Price'!$I$11="OK",B271/INDEX(B$5:B$1258,'Stock Price'!$I$9)-1,"")</f>
        <v>6.9745582153152075E-2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0.23026204564666108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172.21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74.45</v>
      </c>
      <c r="M272" s="18">
        <v>152.51</v>
      </c>
      <c r="O272" s="19">
        <f ca="1">IF('Stock Price'!$I$11="OK",B272/INDEX(B$5:B$1258,'Stock Price'!$I$9)-1,"")</f>
        <v>7.9145256297781685E-2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0.25866441251056638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172.31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74.599999999999994</v>
      </c>
      <c r="M273" s="18">
        <v>153.5</v>
      </c>
      <c r="O273" s="19">
        <f ca="1">IF('Stock Price'!$I$11="OK",B273/INDEX(B$5:B$1258,'Stock Price'!$I$9)-1,"")</f>
        <v>7.9771901240756948E-2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0.26120033812341492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174.87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76.83</v>
      </c>
      <c r="M274" s="18">
        <v>147.61000000000001</v>
      </c>
      <c r="O274" s="19">
        <f ca="1">IF('Stock Price'!$I$11="OK",B274/INDEX(B$5:B$1258,'Stock Price'!$I$9)-1,"")</f>
        <v>9.5814011780924968E-2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0.29890109890109895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173.97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77.47</v>
      </c>
      <c r="M275" s="18">
        <v>146.4</v>
      </c>
      <c r="O275" s="19">
        <f ca="1">IF('Stock Price'!$I$11="OK",B275/INDEX(B$5:B$1258,'Stock Price'!$I$9)-1,"")</f>
        <v>9.0174207294146935E-2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0.30972104818258672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173.09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77.7</v>
      </c>
      <c r="M276" s="18">
        <v>146.91</v>
      </c>
      <c r="O276" s="19">
        <f ca="1">IF('Stock Price'!$I$11="OK",B276/INDEX(B$5:B$1258,'Stock Price'!$I$9)-1,"")</f>
        <v>8.465973179596431E-2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0.31360946745562135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170.43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77.45</v>
      </c>
      <c r="M277" s="18">
        <v>144.52000000000001</v>
      </c>
      <c r="O277" s="19">
        <f ca="1">IF('Stock Price'!$I$11="OK",B277/INDEX(B$5:B$1258,'Stock Price'!$I$9)-1,"")</f>
        <v>6.7990976312821028E-2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0.30938292476754015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170.72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78.48</v>
      </c>
      <c r="M278" s="18">
        <v>144.41999999999999</v>
      </c>
      <c r="O278" s="19">
        <f ca="1">IF('Stock Price'!$I$11="OK",B278/INDEX(B$5:B$1258,'Stock Price'!$I$9)-1,"")</f>
        <v>6.9808246647449446E-2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0.32679628064243449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171.48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78.78</v>
      </c>
      <c r="M279" s="18">
        <v>145.28</v>
      </c>
      <c r="O279" s="19">
        <f ca="1">IF('Stock Price'!$I$11="OK",B279/INDEX(B$5:B$1258,'Stock Price'!$I$9)-1,"")</f>
        <v>7.4570748214061844E-2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0.33186813186813202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172.98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79.19</v>
      </c>
      <c r="M280" s="18">
        <v>148.1</v>
      </c>
      <c r="O280" s="19">
        <f ca="1">IF('Stock Price'!$I$11="OK",B280/INDEX(B$5:B$1258,'Stock Price'!$I$9)-1,"")</f>
        <v>8.3970422358691454E-2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0.33879966187658495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173.84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79.98</v>
      </c>
      <c r="M281" s="18">
        <v>148.53</v>
      </c>
      <c r="O281" s="19">
        <f ca="1">IF('Stock Price'!$I$11="OK",B281/INDEX(B$5:B$1258,'Stock Price'!$I$9)-1,"")</f>
        <v>8.9359568868279116E-2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0.35215553677092148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172.45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79.78</v>
      </c>
      <c r="M282" s="18">
        <v>147.62</v>
      </c>
      <c r="O282" s="19">
        <f ca="1">IF('Stock Price'!$I$11="OK",B282/INDEX(B$5:B$1258,'Stock Price'!$I$9)-1,"")</f>
        <v>8.0649204160922361E-2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0.34877430262045661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174.47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79.38</v>
      </c>
      <c r="M283" s="18">
        <v>149.72</v>
      </c>
      <c r="O283" s="19">
        <f ca="1">IF('Stock Price'!$I$11="OK",B283/INDEX(B$5:B$1258,'Stock Price'!$I$9)-1,"")</f>
        <v>9.3307432009023694E-2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0.34201183431952664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169.25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75.959999999999994</v>
      </c>
      <c r="M284" s="18">
        <v>150.16</v>
      </c>
      <c r="O284" s="19">
        <f ca="1">IF('Stock Price'!$I$11="OK",B284/INDEX(B$5:B$1258,'Stock Price'!$I$9)-1,"")</f>
        <v>6.0596565985712392E-2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0.28419273034657633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171.91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76.39</v>
      </c>
      <c r="M285" s="18">
        <v>151.74</v>
      </c>
      <c r="O285" s="19">
        <f ca="1">IF('Stock Price'!$I$11="OK",B285/INDEX(B$5:B$1258,'Stock Price'!$I$9)-1,"")</f>
        <v>7.7265321468855674E-2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0.29146238377007605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172.39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76.28</v>
      </c>
      <c r="M286" s="18">
        <v>153.04</v>
      </c>
      <c r="O286" s="19">
        <f ca="1">IF('Stock Price'!$I$11="OK",B286/INDEX(B$5:B$1258,'Stock Price'!$I$9)-1,"")</f>
        <v>8.0273217195137025E-2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0.28960270498732044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173.46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76.150000000000006</v>
      </c>
      <c r="M287" s="18">
        <v>151.87</v>
      </c>
      <c r="O287" s="19">
        <f ca="1">IF('Stock Price'!$I$11="OK",B287/INDEX(B$5:B$1258,'Stock Price'!$I$9)-1,"")</f>
        <v>8.6978318084973028E-2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0.28740490278951825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174.86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77.16</v>
      </c>
      <c r="M288" s="18">
        <v>152.16</v>
      </c>
      <c r="O288" s="19">
        <f ca="1">IF('Stock Price'!$I$11="OK",B288/INDEX(B$5:B$1258,'Stock Price'!$I$9)-1,"")</f>
        <v>9.5751347286627375E-2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0.30448013524936601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176.2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77.45</v>
      </c>
      <c r="M289" s="18">
        <v>154.97999999999999</v>
      </c>
      <c r="O289" s="19">
        <f ca="1">IF('Stock Price'!$I$11="OK",B289/INDEX(B$5:B$1258,'Stock Price'!$I$9)-1,"")</f>
        <v>0.10414838952249639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0.30938292476754015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175.97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78.959999999999994</v>
      </c>
      <c r="M290" s="18">
        <v>157.11000000000001</v>
      </c>
      <c r="O290" s="19">
        <f ca="1">IF('Stock Price'!$I$11="OK",B290/INDEX(B$5:B$1258,'Stock Price'!$I$9)-1,"")</f>
        <v>0.1027071061536533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0.33491124260355032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176.82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78.86</v>
      </c>
      <c r="M291" s="18">
        <v>159.79</v>
      </c>
      <c r="O291" s="19">
        <f ca="1">IF('Stock Price'!$I$11="OK",B291/INDEX(B$5:B$1258,'Stock Price'!$I$9)-1,"")</f>
        <v>0.10803358816894337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0.33322062552831788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177.01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79.14</v>
      </c>
      <c r="M292" s="18">
        <v>159.38999999999999</v>
      </c>
      <c r="O292" s="19">
        <f ca="1">IF('Stock Price'!$I$11="OK",B292/INDEX(B$5:B$1258,'Stock Price'!$I$9)-1,"")</f>
        <v>0.10922421356059653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0.33795435333896884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177.24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79.239999999999995</v>
      </c>
      <c r="M293" s="18">
        <v>159.62</v>
      </c>
      <c r="O293" s="19">
        <f ca="1">IF('Stock Price'!$I$11="OK",B293/INDEX(B$5:B$1258,'Stock Price'!$I$9)-1,"")</f>
        <v>0.11066549692943983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0.33964497041420105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177.33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79.14</v>
      </c>
      <c r="M294" s="18">
        <v>158.43</v>
      </c>
      <c r="O294" s="19">
        <f ca="1">IF('Stock Price'!$I$11="OK",B294/INDEX(B$5:B$1258,'Stock Price'!$I$9)-1,"")</f>
        <v>0.1112294773781175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0.33795435333896884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176.09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79.03</v>
      </c>
      <c r="M295" s="18">
        <v>158.19999999999999</v>
      </c>
      <c r="O295" s="19">
        <f ca="1">IF('Stock Price'!$I$11="OK",B295/INDEX(B$5:B$1258,'Stock Price'!$I$9)-1,"")</f>
        <v>0.10345908008522375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0.336094674556213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178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80.28</v>
      </c>
      <c r="M296" s="18">
        <v>161.18</v>
      </c>
      <c r="O296" s="19">
        <f ca="1">IF('Stock Price'!$I$11="OK",B296/INDEX(B$5:B$1258,'Stock Price'!$I$9)-1,"")</f>
        <v>0.11542799849605201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0.35722738799661879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178.74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80.88</v>
      </c>
      <c r="M297" s="18">
        <v>161.63</v>
      </c>
      <c r="O297" s="19">
        <f ca="1">IF('Stock Price'!$I$11="OK",B297/INDEX(B$5:B$1258,'Stock Price'!$I$9)-1,"")</f>
        <v>0.12006517107406944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0.36737109044801342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178.88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81.13</v>
      </c>
      <c r="M298" s="18">
        <v>163.66</v>
      </c>
      <c r="O298" s="19">
        <f ca="1">IF('Stock Price'!$I$11="OK",B298/INDEX(B$5:B$1258,'Stock Price'!$I$9)-1,"")</f>
        <v>0.12094247399423486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0.37159763313609462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178.78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80.7</v>
      </c>
      <c r="M299" s="18">
        <v>163.94</v>
      </c>
      <c r="O299" s="19">
        <f ca="1">IF('Stock Price'!$I$11="OK",B299/INDEX(B$5:B$1258,'Stock Price'!$I$9)-1,"")</f>
        <v>0.12031582905125937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0.36432797971259512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176.1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79.92</v>
      </c>
      <c r="M300" s="18">
        <v>163.72</v>
      </c>
      <c r="O300" s="19">
        <f ca="1">IF('Stock Price'!$I$11="OK",B300/INDEX(B$5:B$1258,'Stock Price'!$I$9)-1,"")</f>
        <v>0.10352174457952112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0.35114116652578198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177.17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79.930000000000007</v>
      </c>
      <c r="M301" s="18">
        <v>165.4</v>
      </c>
      <c r="O301" s="19">
        <f ca="1">IF('Stock Price'!$I$11="OK",B301/INDEX(B$5:B$1258,'Stock Price'!$I$9)-1,"")</f>
        <v>0.1102268454693569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0.35131022823330538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177.2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79.88</v>
      </c>
      <c r="M302" s="18">
        <v>165.99</v>
      </c>
      <c r="O302" s="19">
        <f ca="1">IF('Stock Price'!$I$11="OK",B302/INDEX(B$5:B$1258,'Stock Price'!$I$9)-1,"")</f>
        <v>0.11041483895224946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0.35046491969568883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175.74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78.83</v>
      </c>
      <c r="M303" s="18">
        <v>163.06</v>
      </c>
      <c r="O303" s="19">
        <f ca="1">IF('Stock Price'!$I$11="OK",B303/INDEX(B$5:B$1258,'Stock Price'!$I$9)-1,"")</f>
        <v>0.10126582278481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0.33271344040574813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177.84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78.89</v>
      </c>
      <c r="M304" s="18">
        <v>165.32</v>
      </c>
      <c r="O304" s="19">
        <f ca="1">IF('Stock Price'!$I$11="OK",B304/INDEX(B$5:B$1258,'Stock Price'!$I$9)-1,"")</f>
        <v>0.11442536658729163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0.33372781065088764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179.21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77.349999999999994</v>
      </c>
      <c r="M305" s="18">
        <v>164.79</v>
      </c>
      <c r="O305" s="19">
        <f ca="1">IF('Stock Price'!$I$11="OK",B305/INDEX(B$5:B$1258,'Stock Price'!$I$9)-1,"")</f>
        <v>0.12301040230605342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0.30769230769230771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179.76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77.14</v>
      </c>
      <c r="M306" s="18">
        <v>164.86</v>
      </c>
      <c r="O306" s="19">
        <f ca="1">IF('Stock Price'!$I$11="OK",B306/INDEX(B$5:B$1258,'Stock Price'!$I$9)-1,"")</f>
        <v>0.12645694949241748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0.30414201183431966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177.49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75</v>
      </c>
      <c r="M307" s="18">
        <v>163.1</v>
      </c>
      <c r="O307" s="19">
        <f ca="1">IF('Stock Price'!$I$11="OK",B307/INDEX(B$5:B$1258,'Stock Price'!$I$9)-1,"")</f>
        <v>0.1122321092868781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0.26796280642434489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175.67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73.489999999999995</v>
      </c>
      <c r="M308" s="18">
        <v>160.47999999999999</v>
      </c>
      <c r="O308" s="19">
        <f ca="1">IF('Stock Price'!$I$11="OK",B308/INDEX(B$5:B$1258,'Stock Price'!$I$9)-1,"")</f>
        <v>0.10082717132472729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0.24243448858833472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175.48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73.16</v>
      </c>
      <c r="M309" s="18">
        <v>161.49</v>
      </c>
      <c r="O309" s="19">
        <f ca="1">IF('Stock Price'!$I$11="OK",B309/INDEX(B$5:B$1258,'Stock Price'!$I$9)-1,"")</f>
        <v>9.9636545933074139E-2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0.23685545224006765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175.67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72.650000000000006</v>
      </c>
      <c r="M310" s="18">
        <v>160.58000000000001</v>
      </c>
      <c r="O310" s="19">
        <f ca="1">IF('Stock Price'!$I$11="OK",B310/INDEX(B$5:B$1258,'Stock Price'!$I$9)-1,"")</f>
        <v>0.10082717132472729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0.22823330515638229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177.68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73.33</v>
      </c>
      <c r="M311" s="18">
        <v>162.21</v>
      </c>
      <c r="O311" s="19">
        <f ca="1">IF('Stock Price'!$I$11="OK",B311/INDEX(B$5:B$1258,'Stock Price'!$I$9)-1,"")</f>
        <v>0.11342273467853103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0.23972950126796277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177.03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73.83</v>
      </c>
      <c r="M312" s="18">
        <v>163.27000000000001</v>
      </c>
      <c r="O312" s="19">
        <f ca="1">IF('Stock Price'!$I$11="OK",B312/INDEX(B$5:B$1258,'Stock Price'!$I$9)-1,"")</f>
        <v>0.10934954254919149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0.24818258664412518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177.48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72.89</v>
      </c>
      <c r="M313" s="18">
        <v>163.1</v>
      </c>
      <c r="O313" s="19">
        <f ca="1">IF('Stock Price'!$I$11="OK",B313/INDEX(B$5:B$1258,'Stock Price'!$I$9)-1,"")</f>
        <v>0.11216944479258029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0.2322907861369401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177.43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72.61</v>
      </c>
      <c r="M314" s="18">
        <v>162.99</v>
      </c>
      <c r="O314" s="19">
        <f ca="1">IF('Stock Price'!$I$11="OK",B314/INDEX(B$5:B$1258,'Stock Price'!$I$9)-1,"")</f>
        <v>0.11185612232109277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0.22755705832628914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176.66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71.989999999999995</v>
      </c>
      <c r="M315" s="18">
        <v>162.22999999999999</v>
      </c>
      <c r="O315" s="19">
        <f ca="1">IF('Stock Price'!$I$11="OK",B315/INDEX(B$5:B$1258,'Stock Price'!$I$9)-1,"")</f>
        <v>0.10703095626018277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0.21707523245984772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177.56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72.099999999999994</v>
      </c>
      <c r="M316" s="18">
        <v>162.56</v>
      </c>
      <c r="O316" s="19">
        <f ca="1">IF('Stock Price'!$I$11="OK",B316/INDEX(B$5:B$1258,'Stock Price'!$I$9)-1,"")</f>
        <v>0.11267076074696081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0.21893491124260356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176.65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71.95</v>
      </c>
      <c r="M317" s="18">
        <v>161.61000000000001</v>
      </c>
      <c r="O317" s="19">
        <f ca="1">IF('Stock Price'!$I$11="OK",B317/INDEX(B$5:B$1258,'Stock Price'!$I$9)-1,"")</f>
        <v>0.1069682917658854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0.21639898562975501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178.19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72.260000000000005</v>
      </c>
      <c r="M318" s="18">
        <v>162.38</v>
      </c>
      <c r="O318" s="19">
        <f ca="1">IF('Stock Price'!$I$11="OK",B318/INDEX(B$5:B$1258,'Stock Price'!$I$9)-1,"")</f>
        <v>0.11661862388770516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0.2216398985629755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180.13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72.62</v>
      </c>
      <c r="M319" s="18">
        <v>163.69</v>
      </c>
      <c r="O319" s="19">
        <f ca="1">IF('Stock Price'!$I$11="OK",B319/INDEX(B$5:B$1258,'Stock Price'!$I$9)-1,"")</f>
        <v>0.1287755357814262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0.22772612003381254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178.8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71.92</v>
      </c>
      <c r="M320" s="18">
        <v>163.49</v>
      </c>
      <c r="O320" s="19">
        <f ca="1">IF('Stock Price'!$I$11="OK",B320/INDEX(B$5:B$1258,'Stock Price'!$I$9)-1,"")</f>
        <v>0.12044115803985456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0.21589180050718526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180.25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73</v>
      </c>
      <c r="M321" s="18">
        <v>166.55</v>
      </c>
      <c r="O321" s="19">
        <f ca="1">IF('Stock Price'!$I$11="OK",B321/INDEX(B$5:B$1258,'Stock Price'!$I$9)-1,"")</f>
        <v>0.12952750971299642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0.23415046491969571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175.58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71.010000000000005</v>
      </c>
      <c r="M322" s="18">
        <v>161.66</v>
      </c>
      <c r="O322" s="19">
        <f ca="1">IF('Stock Price'!$I$11="OK",B322/INDEX(B$5:B$1258,'Stock Price'!$I$9)-1,"")</f>
        <v>0.10026319087604962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0.20050718512256993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175.16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71.650000000000006</v>
      </c>
      <c r="M323" s="18">
        <v>159.63999999999999</v>
      </c>
      <c r="O323" s="19">
        <f ca="1">IF('Stock Price'!$I$11="OK",B323/INDEX(B$5:B$1258,'Stock Price'!$I$9)-1,"")</f>
        <v>9.7631282115553164E-2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0.2113271344040577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174.88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71.94</v>
      </c>
      <c r="M324" s="18">
        <v>157.16999999999999</v>
      </c>
      <c r="O324" s="19">
        <f ca="1">IF('Stock Price'!$I$11="OK",B324/INDEX(B$5:B$1258,'Stock Price'!$I$9)-1,"")</f>
        <v>9.5876676275222339E-2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0.21622992392223161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174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71.599999999999994</v>
      </c>
      <c r="M325" s="18">
        <v>152.22</v>
      </c>
      <c r="O325" s="19">
        <f ca="1">IF('Stock Price'!$I$11="OK",B325/INDEX(B$5:B$1258,'Stock Price'!$I$9)-1,"")</f>
        <v>9.0362200777039714E-2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0.21048182586644115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173.43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72.510000000000005</v>
      </c>
      <c r="M326" s="18">
        <v>153.6</v>
      </c>
      <c r="O326" s="19">
        <f ca="1">IF('Stock Price'!$I$11="OK",B326/INDEX(B$5:B$1258,'Stock Price'!$I$9)-1,"")</f>
        <v>8.6790324602080471E-2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0.2258664412510567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172.36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72.31</v>
      </c>
      <c r="M327" s="18">
        <v>152.83000000000001</v>
      </c>
      <c r="O327" s="19">
        <f ca="1">IF('Stock Price'!$I$11="OK",B327/INDEX(B$5:B$1258,'Stock Price'!$I$9)-1,"")</f>
        <v>8.0085223712244691E-2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0.22248520710059183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169.76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72.14</v>
      </c>
      <c r="M328" s="18">
        <v>149.19999999999999</v>
      </c>
      <c r="O328" s="19">
        <f ca="1">IF('Stock Price'!$I$11="OK",B328/INDEX(B$5:B$1258,'Stock Price'!$I$9)-1,"")</f>
        <v>6.3792455194886521E-2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0.21961115807269649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169.53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73.75</v>
      </c>
      <c r="M329" s="18">
        <v>148.71</v>
      </c>
      <c r="O329" s="19">
        <f ca="1">IF('Stock Price'!$I$11="OK",B329/INDEX(B$5:B$1258,'Stock Price'!$I$9)-1,"")</f>
        <v>6.2351171826043217E-2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0.2468300929839391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168.74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74.150000000000006</v>
      </c>
      <c r="M330" s="18">
        <v>149.59</v>
      </c>
      <c r="O330" s="19">
        <f ca="1">IF('Stock Price'!$I$11="OK",B330/INDEX(B$5:B$1258,'Stock Price'!$I$9)-1,"")</f>
        <v>5.7400676776538484E-2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0.25359256128486907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168.31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73.260000000000005</v>
      </c>
      <c r="M331" s="18">
        <v>148.55000000000001</v>
      </c>
      <c r="O331" s="19">
        <f ca="1">IF('Stock Price'!$I$11="OK",B331/INDEX(B$5:B$1258,'Stock Price'!$I$9)-1,"")</f>
        <v>5.4706103521744431E-2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0.23854606931530009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168.31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72.34</v>
      </c>
      <c r="M332" s="18">
        <v>147.69</v>
      </c>
      <c r="O332" s="19">
        <f ca="1">IF('Stock Price'!$I$11="OK",B332/INDEX(B$5:B$1258,'Stock Price'!$I$9)-1,"")</f>
        <v>5.4706103521744431E-2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0.22299239222316158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169.51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73.17</v>
      </c>
      <c r="M333" s="18">
        <v>147.79</v>
      </c>
      <c r="O333" s="19">
        <f ca="1">IF('Stock Price'!$I$11="OK",B333/INDEX(B$5:B$1258,'Stock Price'!$I$9)-1,"")</f>
        <v>6.2225842837448253E-2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0.23702451394759083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168.89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72.989999999999995</v>
      </c>
      <c r="M334" s="18">
        <v>147.4</v>
      </c>
      <c r="O334" s="19">
        <f ca="1">IF('Stock Price'!$I$11="OK",B334/INDEX(B$5:B$1258,'Stock Price'!$I$9)-1,"")</f>
        <v>5.8340644191001267E-2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0.23398140321217231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168.23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72.45</v>
      </c>
      <c r="M335" s="18">
        <v>146.28</v>
      </c>
      <c r="O335" s="19">
        <f ca="1">IF('Stock Price'!$I$11="OK",B335/INDEX(B$5:B$1258,'Stock Price'!$I$9)-1,"")</f>
        <v>5.4204787567364132E-2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0.2248520710059172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162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72.03</v>
      </c>
      <c r="M336" s="18">
        <v>145.65</v>
      </c>
      <c r="O336" s="19">
        <f ca="1">IF('Stock Price'!$I$11="OK",B336/INDEX(B$5:B$1258,'Stock Price'!$I$9)-1,"")</f>
        <v>1.5164807620002385E-2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0.21775147928994087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163.41999999999999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72.650000000000006</v>
      </c>
      <c r="M337" s="18">
        <v>147.75</v>
      </c>
      <c r="O337" s="19">
        <f ca="1">IF('Stock Price'!$I$11="OK",B337/INDEX(B$5:B$1258,'Stock Price'!$I$9)-1,"")</f>
        <v>2.4063165810251697E-2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0.22823330515638229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164.92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71.23</v>
      </c>
      <c r="M338" s="18">
        <v>146.6</v>
      </c>
      <c r="O338" s="19">
        <f ca="1">IF('Stock Price'!$I$11="OK",B338/INDEX(B$5:B$1258,'Stock Price'!$I$9)-1,"")</f>
        <v>3.3462839954881307E-2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0.20422654268808116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165.54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72.77</v>
      </c>
      <c r="M339" s="18">
        <v>144.84</v>
      </c>
      <c r="O339" s="19">
        <f ca="1">IF('Stock Price'!$I$11="OK",B339/INDEX(B$5:B$1258,'Stock Price'!$I$9)-1,"")</f>
        <v>3.7348038601328293E-2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0.23026204564666108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164.61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74.45</v>
      </c>
      <c r="M340" s="18">
        <v>145.19999999999999</v>
      </c>
      <c r="O340" s="19">
        <f ca="1">IF('Stock Price'!$I$11="OK",B340/INDEX(B$5:B$1258,'Stock Price'!$I$9)-1,"")</f>
        <v>3.1520240631658147E-2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0.25866441251056638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163.36000000000001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74.53</v>
      </c>
      <c r="M341" s="18">
        <v>145.02000000000001</v>
      </c>
      <c r="O341" s="19">
        <f ca="1">IF('Stock Price'!$I$11="OK",B341/INDEX(B$5:B$1258,'Stock Price'!$I$9)-1,"")</f>
        <v>2.3687178844466805E-2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0.26001690617075246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163.4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74.52</v>
      </c>
      <c r="M342" s="18">
        <v>145.13999999999999</v>
      </c>
      <c r="O342" s="19">
        <f ca="1">IF('Stock Price'!$I$11="OK",B342/INDEX(B$5:B$1258,'Stock Price'!$I$9)-1,"")</f>
        <v>2.3937836821656733E-2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0.25984784446322906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163.61000000000001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73.650000000000006</v>
      </c>
      <c r="M343" s="18">
        <v>144.61000000000001</v>
      </c>
      <c r="O343" s="19">
        <f ca="1">IF('Stock Price'!$I$11="OK",B343/INDEX(B$5:B$1258,'Stock Price'!$I$9)-1,"")</f>
        <v>2.5253791201905074E-2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0.24513947590870688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161.4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71.489999999999995</v>
      </c>
      <c r="M344" s="18">
        <v>148.69999999999999</v>
      </c>
      <c r="O344" s="19">
        <f ca="1">IF('Stock Price'!$I$11="OK",B344/INDEX(B$5:B$1258,'Stock Price'!$I$9)-1,"")</f>
        <v>1.1404937962150585E-2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0.20862214708368554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162.15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72.2</v>
      </c>
      <c r="M345" s="18">
        <v>152.05000000000001</v>
      </c>
      <c r="O345" s="19">
        <f ca="1">IF('Stock Price'!$I$11="OK",B345/INDEX(B$5:B$1258,'Stock Price'!$I$9)-1,"")</f>
        <v>1.6104775034465391E-2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0.22062552831783599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162.75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73.17</v>
      </c>
      <c r="M346" s="18">
        <v>153.72999999999999</v>
      </c>
      <c r="O346" s="19">
        <f ca="1">IF('Stock Price'!$I$11="OK",B346/INDEX(B$5:B$1258,'Stock Price'!$I$9)-1,"")</f>
        <v>1.986464469231719E-2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0.23702451394759083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162.04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72.25</v>
      </c>
      <c r="M347" s="18">
        <v>152.59</v>
      </c>
      <c r="O347" s="19">
        <f ca="1">IF('Stock Price'!$I$11="OK",B347/INDEX(B$5:B$1258,'Stock Price'!$I$9)-1,"")</f>
        <v>1.5415465597192535E-2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0.22147083685545232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159.37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71.47</v>
      </c>
      <c r="M348" s="18">
        <v>151.06</v>
      </c>
      <c r="O348" s="19">
        <f ca="1">IF('Stock Price'!$I$11="OK",B348/INDEX(B$5:B$1258,'Stock Price'!$I$9)-1,"")</f>
        <v>-1.3159543802482299E-3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0.20828402366863896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158.24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70.849999999999994</v>
      </c>
      <c r="M349" s="18">
        <v>149.53</v>
      </c>
      <c r="O349" s="19">
        <f ca="1">IF('Stock Price'!$I$11="OK",B349/INDEX(B$5:B$1258,'Stock Price'!$I$9)-1,"")</f>
        <v>-8.3970422358691232E-3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0.19780219780219777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160.38999999999999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71.11</v>
      </c>
      <c r="M350" s="18">
        <v>151.31</v>
      </c>
      <c r="O350" s="19">
        <f ca="1">IF('Stock Price'!$I$11="OK",B350/INDEX(B$5:B$1258,'Stock Price'!$I$9)-1,"")</f>
        <v>5.0758240380999187E-3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0.20219780219780215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158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71.22</v>
      </c>
      <c r="M351" s="18">
        <v>152</v>
      </c>
      <c r="O351" s="19">
        <f ca="1">IF('Stock Price'!$I$11="OK",B351/INDEX(B$5:B$1258,'Stock Price'!$I$9)-1,"")</f>
        <v>-9.9009900990100208E-3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0.20405748098055798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157.78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71.31</v>
      </c>
      <c r="M352" s="18">
        <v>150.66999999999999</v>
      </c>
      <c r="O352" s="19">
        <f ca="1">IF('Stock Price'!$I$11="OK",B352/INDEX(B$5:B$1258,'Stock Price'!$I$9)-1,"")</f>
        <v>-1.1279608973555622E-2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0.20557903634826724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157.72999999999999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71.400000000000006</v>
      </c>
      <c r="M353" s="18">
        <v>152.07</v>
      </c>
      <c r="O353" s="19">
        <f ca="1">IF('Stock Price'!$I$11="OK",B353/INDEX(B$5:B$1258,'Stock Price'!$I$9)-1,"")</f>
        <v>-1.1592931445043364E-2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0.2071005917159765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155.97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70.180000000000007</v>
      </c>
      <c r="M354" s="18">
        <v>152.71</v>
      </c>
      <c r="O354" s="19">
        <f ca="1">IF('Stock Price'!$I$11="OK",B354/INDEX(B$5:B$1258,'Stock Price'!$I$9)-1,"")</f>
        <v>-2.2621882441408836E-2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0.18647506339814046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155.63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69.989999999999995</v>
      </c>
      <c r="M355" s="18">
        <v>154.28</v>
      </c>
      <c r="O355" s="19">
        <f ca="1">IF('Stock Price'!$I$11="OK",B355/INDEX(B$5:B$1258,'Stock Price'!$I$9)-1,"")</f>
        <v>-2.4752475247524885E-2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0.18326289095519854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153.26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68.959999999999994</v>
      </c>
      <c r="M356" s="18">
        <v>153.9</v>
      </c>
      <c r="O356" s="19">
        <f ca="1">IF('Stock Price'!$I$11="OK",B356/INDEX(B$5:B$1258,'Stock Price'!$I$9)-1,"")</f>
        <v>-3.960396039603975E-2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0.1658495350803042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152.57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69.36</v>
      </c>
      <c r="M357" s="18">
        <v>155.27000000000001</v>
      </c>
      <c r="O357" s="19">
        <f ca="1">IF('Stock Price'!$I$11="OK",B357/INDEX(B$5:B$1258,'Stock Price'!$I$9)-1,"")</f>
        <v>-4.3927810502569331E-2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0.17261200338123417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152.44999999999999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69.19</v>
      </c>
      <c r="M358" s="18">
        <v>154.38</v>
      </c>
      <c r="O358" s="19">
        <f ca="1">IF('Stock Price'!$I$11="OK",B358/INDEX(B$5:B$1258,'Stock Price'!$I$9)-1,"")</f>
        <v>-4.467978443413978E-2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0.16973795435333905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154.02000000000001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69.3</v>
      </c>
      <c r="M359" s="18">
        <v>156.06</v>
      </c>
      <c r="O359" s="19">
        <f ca="1">IF('Stock Price'!$I$11="OK",B359/INDEX(B$5:B$1258,'Stock Price'!$I$9)-1,"")</f>
        <v>-3.4841458829427241E-2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0.17159763313609466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155.56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68.900000000000006</v>
      </c>
      <c r="M360" s="18">
        <v>155.28</v>
      </c>
      <c r="O360" s="19">
        <f ca="1">IF('Stock Price'!$I$11="OK",B360/INDEX(B$5:B$1258,'Stock Price'!$I$9)-1,"")</f>
        <v>-2.5191126707607481E-2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0.16483516483516492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154.09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68</v>
      </c>
      <c r="M361" s="18">
        <v>152.93</v>
      </c>
      <c r="O361" s="19">
        <f ca="1">IF('Stock Price'!$I$11="OK",B361/INDEX(B$5:B$1258,'Stock Price'!$I$9)-1,"")</f>
        <v>-3.4402807369344535E-2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0.14961961115807276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152.96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67.290000000000006</v>
      </c>
      <c r="M362" s="18">
        <v>149.6</v>
      </c>
      <c r="O362" s="19">
        <f ca="1">IF('Stock Price'!$I$11="OK",B362/INDEX(B$5:B$1258,'Stock Price'!$I$9)-1,"")</f>
        <v>-4.1483895224965539E-2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0.13761622992392231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151.24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66.510000000000005</v>
      </c>
      <c r="M363" s="18">
        <v>147.35</v>
      </c>
      <c r="O363" s="19">
        <f ca="1">IF('Stock Price'!$I$11="OK",B363/INDEX(B$5:B$1258,'Stock Price'!$I$9)-1,"")</f>
        <v>-5.2262188244140861E-2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0.12442941673710917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151.61000000000001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65.709999999999994</v>
      </c>
      <c r="M364" s="18">
        <v>149.71</v>
      </c>
      <c r="O364" s="19">
        <f ca="1">IF('Stock Price'!$I$11="OK",B364/INDEX(B$5:B$1258,'Stock Price'!$I$9)-1,"")</f>
        <v>-4.9943601955132255E-2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0.11090448013524923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153.06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66</v>
      </c>
      <c r="M365" s="18">
        <v>151.94999999999999</v>
      </c>
      <c r="O365" s="19">
        <f ca="1">IF('Stock Price'!$I$11="OK",B365/INDEX(B$5:B$1258,'Stock Price'!$I$9)-1,"")</f>
        <v>-4.0857250281990276E-2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0.11580726965342358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153.91999999999999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66.47</v>
      </c>
      <c r="M366" s="18">
        <v>153.85</v>
      </c>
      <c r="O366" s="19">
        <f ca="1">IF('Stock Price'!$I$11="OK",B366/INDEX(B$5:B$1258,'Stock Price'!$I$9)-1,"")</f>
        <v>-3.5468103772402726E-2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0.12375316990701601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154.35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67.48</v>
      </c>
      <c r="M367" s="18">
        <v>154.06</v>
      </c>
      <c r="O367" s="19">
        <f ca="1">IF('Stock Price'!$I$11="OK",B367/INDEX(B$5:B$1258,'Stock Price'!$I$9)-1,"")</f>
        <v>-3.2773530517608784E-2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0.140828402366864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154.03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67.099999999999994</v>
      </c>
      <c r="M368" s="18">
        <v>155.30000000000001</v>
      </c>
      <c r="O368" s="19">
        <f ca="1">IF('Stock Price'!$I$11="OK",B368/INDEX(B$5:B$1258,'Stock Price'!$I$9)-1,"")</f>
        <v>-3.4778794335129759E-2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0.13440405748098039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152.38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66.53</v>
      </c>
      <c r="M369" s="18">
        <v>154.22</v>
      </c>
      <c r="O369" s="19">
        <f ca="1">IF('Stock Price'!$I$11="OK",B369/INDEX(B$5:B$1258,'Stock Price'!$I$9)-1,"")</f>
        <v>-4.5118435894222486E-2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0.12476754015215552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153.88999999999999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67.239999999999995</v>
      </c>
      <c r="M370" s="18">
        <v>156.12</v>
      </c>
      <c r="O370" s="19">
        <f ca="1">IF('Stock Price'!$I$11="OK",B370/INDEX(B$5:B$1258,'Stock Price'!$I$9)-1,"")</f>
        <v>-3.5656097255295283E-2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0.13677092138630598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153.88999999999999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67.510000000000005</v>
      </c>
      <c r="M371" s="18">
        <v>156.77000000000001</v>
      </c>
      <c r="O371" s="19">
        <f ca="1">IF('Stock Price'!$I$11="OK",B371/INDEX(B$5:B$1258,'Stock Price'!$I$9)-1,"")</f>
        <v>-3.5656097255295283E-2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0.14133558748943376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151.05000000000001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67.239999999999995</v>
      </c>
      <c r="M372" s="18">
        <v>153.66999999999999</v>
      </c>
      <c r="O372" s="19">
        <f ca="1">IF('Stock Price'!$I$11="OK",B372/INDEX(B$5:B$1258,'Stock Price'!$I$9)-1,"")</f>
        <v>-5.3452813635794016E-2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0.13677092138630598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151.13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66.98</v>
      </c>
      <c r="M373" s="18">
        <v>155.30000000000001</v>
      </c>
      <c r="O373" s="19">
        <f ca="1">IF('Stock Price'!$I$11="OK",B373/INDEX(B$5:B$1258,'Stock Price'!$I$9)-1,"")</f>
        <v>-5.2951497681413828E-2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0.1323753169907016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152.65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67.680000000000007</v>
      </c>
      <c r="M374" s="18">
        <v>158.02000000000001</v>
      </c>
      <c r="O374" s="19">
        <f ca="1">IF('Stock Price'!$I$11="OK",B374/INDEX(B$5:B$1258,'Stock Price'!$I$9)-1,"")</f>
        <v>-4.3426494548189032E-2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0.14420963651732888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153.30000000000001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68.069999999999993</v>
      </c>
      <c r="M375" s="18">
        <v>157.54</v>
      </c>
      <c r="O375" s="19">
        <f ca="1">IF('Stock Price'!$I$11="OK",B375/INDEX(B$5:B$1258,'Stock Price'!$I$9)-1,"")</f>
        <v>-3.935330241884949E-2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0.15080304311073522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151.82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68.2</v>
      </c>
      <c r="M376" s="18">
        <v>158.25</v>
      </c>
      <c r="O376" s="19">
        <f ca="1">IF('Stock Price'!$I$11="OK",B376/INDEX(B$5:B$1258,'Stock Price'!$I$9)-1,"")</f>
        <v>-4.8627647574884136E-2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0.15300084530853764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153.31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68.180000000000007</v>
      </c>
      <c r="M377" s="18">
        <v>158</v>
      </c>
      <c r="O377" s="19">
        <f ca="1">IF('Stock Price'!$I$11="OK",B377/INDEX(B$5:B$1258,'Stock Price'!$I$9)-1,"")</f>
        <v>-3.9290637924552008E-2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0.15266272189349128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153.43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68.2</v>
      </c>
      <c r="M378" s="18">
        <v>157.91999999999999</v>
      </c>
      <c r="O378" s="19">
        <f ca="1">IF('Stock Price'!$I$11="OK",B378/INDEX(B$5:B$1258,'Stock Price'!$I$9)-1,"")</f>
        <v>-3.8538663992981559E-2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0.15300084530853764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155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69.31</v>
      </c>
      <c r="M379" s="18">
        <v>159.37</v>
      </c>
      <c r="O379" s="19">
        <f ca="1">IF('Stock Price'!$I$11="OK",B379/INDEX(B$5:B$1258,'Stock Price'!$I$9)-1,"")</f>
        <v>-2.8700338388269242E-2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0.17176669484361806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156.85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69.69</v>
      </c>
      <c r="M380" s="18">
        <v>160.41999999999999</v>
      </c>
      <c r="O380" s="19">
        <f ca="1">IF('Stock Price'!$I$11="OK",B380/INDEX(B$5:B$1258,'Stock Price'!$I$9)-1,"")</f>
        <v>-1.71074069432261E-2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0.17819103972950123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158.49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68.91</v>
      </c>
      <c r="M381" s="18">
        <v>159.78</v>
      </c>
      <c r="O381" s="19">
        <f ca="1">IF('Stock Price'!$I$11="OK",B381/INDEX(B$5:B$1258,'Stock Price'!$I$9)-1,"")</f>
        <v>-6.8304298784308548E-3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0.16500422654268809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165.61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69.819999999999993</v>
      </c>
      <c r="M382" s="18">
        <v>160.80000000000001</v>
      </c>
      <c r="O382" s="19">
        <f ca="1">IF('Stock Price'!$I$11="OK",B382/INDEX(B$5:B$1258,'Stock Price'!$I$9)-1,"")</f>
        <v>3.7786690061411221E-2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0.18038884192730342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165.15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70.739999999999995</v>
      </c>
      <c r="M383" s="18">
        <v>161.55000000000001</v>
      </c>
      <c r="O383" s="19">
        <f ca="1">IF('Stock Price'!$I$11="OK",B383/INDEX(B$5:B$1258,'Stock Price'!$I$9)-1,"")</f>
        <v>3.4904123323724834E-2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0.19594251901944193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164.32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70.28</v>
      </c>
      <c r="M384" s="18">
        <v>161.28</v>
      </c>
      <c r="O384" s="19">
        <f ca="1">IF('Stock Price'!$I$11="OK",B384/INDEX(B$5:B$1258,'Stock Price'!$I$9)-1,"")</f>
        <v>2.9702970297029507E-2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0.1881656804733729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164.27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70.03</v>
      </c>
      <c r="M385" s="18">
        <v>161.38</v>
      </c>
      <c r="O385" s="19">
        <f ca="1">IF('Stock Price'!$I$11="OK",B385/INDEX(B$5:B$1258,'Stock Price'!$I$9)-1,"")</f>
        <v>2.9389647825541987E-2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0.1839391377852917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163.92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70.209999999999994</v>
      </c>
      <c r="M386" s="18">
        <v>162.36000000000001</v>
      </c>
      <c r="O386" s="19">
        <f ca="1">IF('Stock Price'!$I$11="OK",B386/INDEX(B$5:B$1258,'Stock Price'!$I$9)-1,"")</f>
        <v>2.7196390525128233E-2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0.18698224852070999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166.11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70.69</v>
      </c>
      <c r="M387" s="18">
        <v>162.69</v>
      </c>
      <c r="O387" s="19">
        <f ca="1">IF('Stock Price'!$I$11="OK",B387/INDEX(B$5:B$1258,'Stock Price'!$I$9)-1,"")</f>
        <v>4.0919914776287758E-2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0.19509721048182582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165.84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70.45</v>
      </c>
      <c r="M388" s="18">
        <v>161.59</v>
      </c>
      <c r="O388" s="19">
        <f ca="1">IF('Stock Price'!$I$11="OK",B388/INDEX(B$5:B$1258,'Stock Price'!$I$9)-1,"")</f>
        <v>3.9227973430254304E-2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0.19103972950126802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165.67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70.599999999999994</v>
      </c>
      <c r="M389" s="18">
        <v>161.18</v>
      </c>
      <c r="O389" s="19">
        <f ca="1">IF('Stock Price'!$I$11="OK",B389/INDEX(B$5:B$1258,'Stock Price'!$I$9)-1,"")</f>
        <v>3.8162677027196334E-2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0.19357565511411656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161.01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70.23</v>
      </c>
      <c r="M390" s="18">
        <v>159.59</v>
      </c>
      <c r="O390" s="19">
        <f ca="1">IF('Stock Price'!$I$11="OK",B390/INDEX(B$5:B$1258,'Stock Price'!$I$9)-1,"")</f>
        <v>8.9610226845469043E-3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0.18732037193575657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162.53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69.86</v>
      </c>
      <c r="M391" s="18">
        <v>161.21</v>
      </c>
      <c r="O391" s="19">
        <f ca="1">IF('Stock Price'!$I$11="OK",B391/INDEX(B$5:B$1258,'Stock Price'!$I$9)-1,"")</f>
        <v>1.8486025817771479E-2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0.18106508875739658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163.58000000000001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69.53</v>
      </c>
      <c r="M392" s="18">
        <v>161.74</v>
      </c>
      <c r="O392" s="19">
        <f ca="1">IF('Stock Price'!$I$11="OK",B392/INDEX(B$5:B$1258,'Stock Price'!$I$9)-1,"")</f>
        <v>2.5065797719012295E-2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0.17548605240912929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162.69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70.489999999999995</v>
      </c>
      <c r="M393" s="18">
        <v>162.41</v>
      </c>
      <c r="O393" s="19">
        <f ca="1">IF('Stock Price'!$I$11="OK",B393/INDEX(B$5:B$1258,'Stock Price'!$I$9)-1,"")</f>
        <v>1.9488657726532077E-2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0.19171597633136095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163.68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70.540000000000006</v>
      </c>
      <c r="M394" s="18">
        <v>164.08</v>
      </c>
      <c r="O394" s="19">
        <f ca="1">IF('Stock Price'!$I$11="OK",B394/INDEX(B$5:B$1258,'Stock Price'!$I$9)-1,"")</f>
        <v>2.569244266198778E-2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0.19256128486897728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165.18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70.239999999999995</v>
      </c>
      <c r="M395" s="18">
        <v>164.9</v>
      </c>
      <c r="O395" s="19">
        <f ca="1">IF('Stock Price'!$I$11="OK",B395/INDEX(B$5:B$1258,'Stock Price'!$I$9)-1,"")</f>
        <v>3.5092116806617391E-2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0.18748943364327975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162.62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68.02</v>
      </c>
      <c r="M396" s="18">
        <v>161.80000000000001</v>
      </c>
      <c r="O396" s="19">
        <f ca="1">IF('Stock Price'!$I$11="OK",B396/INDEX(B$5:B$1258,'Stock Price'!$I$9)-1,"")</f>
        <v>1.9050006266449371E-2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0.14995773457311912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163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67.61</v>
      </c>
      <c r="M397" s="18">
        <v>148.87</v>
      </c>
      <c r="O397" s="19">
        <f ca="1">IF('Stock Price'!$I$11="OK",B397/INDEX(B$5:B$1258,'Stock Price'!$I$9)-1,"")</f>
        <v>2.1431257049755459E-2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0.14302620456466619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163.69999999999999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66.77</v>
      </c>
      <c r="M398" s="18">
        <v>151.12</v>
      </c>
      <c r="O398" s="19">
        <f ca="1">IF('Stock Price'!$I$11="OK",B398/INDEX(B$5:B$1258,'Stock Price'!$I$9)-1,"")</f>
        <v>2.5817771650582522E-2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0.12882502113271332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163.6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68.400000000000006</v>
      </c>
      <c r="M399" s="18">
        <v>153.71</v>
      </c>
      <c r="O399" s="19">
        <f ca="1">IF('Stock Price'!$I$11="OK",B399/INDEX(B$5:B$1258,'Stock Price'!$I$9)-1,"")</f>
        <v>2.5191126707607259E-2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0.15638207945900273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165.03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68.099999999999994</v>
      </c>
      <c r="M400" s="18">
        <v>151.62</v>
      </c>
      <c r="O400" s="19">
        <f ca="1">IF('Stock Price'!$I$11="OK",B400/INDEX(B$5:B$1258,'Stock Price'!$I$9)-1,"")</f>
        <v>3.4152149392154385E-2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0.15131022823330498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162.87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66.64</v>
      </c>
      <c r="M401" s="18">
        <v>149.25</v>
      </c>
      <c r="O401" s="19">
        <f ca="1">IF('Stock Price'!$I$11="OK",B401/INDEX(B$5:B$1258,'Stock Price'!$I$9)-1,"")</f>
        <v>2.0616618623887639E-2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0.12662721893491136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162.13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66.819999999999993</v>
      </c>
      <c r="M402" s="18">
        <v>147.36000000000001</v>
      </c>
      <c r="O402" s="19">
        <f ca="1">IF('Stock Price'!$I$11="OK",B402/INDEX(B$5:B$1258,'Stock Price'!$I$9)-1,"")</f>
        <v>1.5979446045870205E-2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0.12967032967032965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162.68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68.14</v>
      </c>
      <c r="M403" s="18">
        <v>148.03</v>
      </c>
      <c r="O403" s="19">
        <f ca="1">IF('Stock Price'!$I$11="OK",B403/INDEX(B$5:B$1258,'Stock Price'!$I$9)-1,"")</f>
        <v>1.9425993232234484E-2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0.15198647506339813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162.31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68.41</v>
      </c>
      <c r="M404" s="18">
        <v>147.44999999999999</v>
      </c>
      <c r="O404" s="19">
        <f ca="1">IF('Stock Price'!$I$11="OK",B404/INDEX(B$5:B$1258,'Stock Price'!$I$9)-1,"")</f>
        <v>1.7107406943225989E-2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0.15655114116652569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161.05000000000001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68</v>
      </c>
      <c r="M405" s="18">
        <v>146.83000000000001</v>
      </c>
      <c r="O405" s="19">
        <f ca="1">IF('Stock Price'!$I$11="OK",B405/INDEX(B$5:B$1258,'Stock Price'!$I$9)-1,"")</f>
        <v>9.2116806617370539E-3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0.14961961115807276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161.65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68.489999999999995</v>
      </c>
      <c r="M406" s="18">
        <v>146.41999999999999</v>
      </c>
      <c r="O406" s="19">
        <f ca="1">IF('Stock Price'!$I$11="OK",B406/INDEX(B$5:B$1258,'Stock Price'!$I$9)-1,"")</f>
        <v>1.2971550319588854E-2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0.15790363482671177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160.99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69.08</v>
      </c>
      <c r="M407" s="18">
        <v>146.59</v>
      </c>
      <c r="O407" s="19">
        <f ca="1">IF('Stock Price'!$I$11="OK",B407/INDEX(B$5:B$1258,'Stock Price'!$I$9)-1,"")</f>
        <v>8.8356936959519405E-3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0.16787827557058321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160.78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68.06</v>
      </c>
      <c r="M408" s="18">
        <v>147.15</v>
      </c>
      <c r="O408" s="19">
        <f ca="1">IF('Stock Price'!$I$11="OK",B408/INDEX(B$5:B$1258,'Stock Price'!$I$9)-1,"")</f>
        <v>7.5197393157035997E-3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0.15063398140321227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159.55000000000001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68.17</v>
      </c>
      <c r="M409" s="18">
        <v>146.59</v>
      </c>
      <c r="O409" s="19">
        <f ca="1">IF('Stock Price'!$I$11="OK",B409/INDEX(B$5:B$1258,'Stock Price'!$I$9)-1,"")</f>
        <v>-1.8799348289255668E-4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0.15249366018596788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159.34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67.02</v>
      </c>
      <c r="M410" s="18">
        <v>143.29</v>
      </c>
      <c r="O410" s="19">
        <f ca="1">IF('Stock Price'!$I$11="OK",B410/INDEX(B$5:B$1258,'Stock Price'!$I$9)-1,"")</f>
        <v>-1.5039478631407865E-3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0.13305156382079453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158.99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66.53</v>
      </c>
      <c r="M411" s="18">
        <v>143.35</v>
      </c>
      <c r="O411" s="19">
        <f ca="1">IF('Stock Price'!$I$11="OK",B411/INDEX(B$5:B$1258,'Stock Price'!$I$9)-1,"")</f>
        <v>-3.6972051635543179E-3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0.12476754015215552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158.47999999999999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65.7</v>
      </c>
      <c r="M412" s="18">
        <v>143.44</v>
      </c>
      <c r="O412" s="19">
        <f ca="1">IF('Stock Price'!$I$11="OK",B412/INDEX(B$5:B$1258,'Stock Price'!$I$9)-1,"")</f>
        <v>-6.8930943727285587E-3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0.11073541842772627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158.91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65.84</v>
      </c>
      <c r="M413" s="18">
        <v>145.11000000000001</v>
      </c>
      <c r="O413" s="19">
        <f ca="1">IF('Stock Price'!$I$11="OK",B413/INDEX(B$5:B$1258,'Stock Price'!$I$9)-1,"")</f>
        <v>-4.1985211179347282E-3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0.11310228233305164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156.87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65.81</v>
      </c>
      <c r="M414" s="18">
        <v>144.9</v>
      </c>
      <c r="O414" s="19">
        <f ca="1">IF('Stock Price'!$I$11="OK",B414/INDEX(B$5:B$1258,'Stock Price'!$I$9)-1,"")</f>
        <v>-1.6982077954630914E-2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0.11259509721048189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156.81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66.53</v>
      </c>
      <c r="M415" s="18">
        <v>142.52000000000001</v>
      </c>
      <c r="O415" s="19">
        <f ca="1">IF('Stock Price'!$I$11="OK",B415/INDEX(B$5:B$1258,'Stock Price'!$I$9)-1,"")</f>
        <v>-1.7358064920416139E-2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0.12476754015215552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156.66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65.47</v>
      </c>
      <c r="M416" s="18">
        <v>141.15</v>
      </c>
      <c r="O416" s="19">
        <f ca="1">IF('Stock Price'!$I$11="OK",B416/INDEX(B$5:B$1258,'Stock Price'!$I$9)-1,"")</f>
        <v>-1.8298032334879144E-2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0.10684699915469142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154.41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64.56</v>
      </c>
      <c r="M417" s="18">
        <v>138.62</v>
      </c>
      <c r="O417" s="19">
        <f ca="1">IF('Stock Price'!$I$11="OK",B417/INDEX(B$5:B$1258,'Stock Price'!$I$9)-1,"")</f>
        <v>-3.2397543551823671E-2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9.1462383770076094E-2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154.35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63.82</v>
      </c>
      <c r="M418" s="18">
        <v>137.56</v>
      </c>
      <c r="O418" s="19">
        <f ca="1">IF('Stock Price'!$I$11="OK",B418/INDEX(B$5:B$1258,'Stock Price'!$I$9)-1,"")</f>
        <v>-3.2773530517608784E-2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7.8951817413355885E-2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154.37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63.71</v>
      </c>
      <c r="M419" s="18">
        <v>136.44</v>
      </c>
      <c r="O419" s="19">
        <f ca="1">IF('Stock Price'!$I$11="OK",B419/INDEX(B$5:B$1258,'Stock Price'!$I$9)-1,"")</f>
        <v>-3.264820152901371E-2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7.7092138630600271E-2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155.06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64.44</v>
      </c>
      <c r="M420" s="18">
        <v>137.96</v>
      </c>
      <c r="O420" s="19">
        <f ca="1">IF('Stock Price'!$I$11="OK",B420/INDEX(B$5:B$1258,'Stock Price'!$I$9)-1,"")</f>
        <v>-2.8324351422484129E-2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8.9433643279797082E-2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154.54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64.680000000000007</v>
      </c>
      <c r="M421" s="18">
        <v>133.44</v>
      </c>
      <c r="O421" s="19">
        <f ca="1">IF('Stock Price'!$I$11="OK",B421/INDEX(B$5:B$1258,'Stock Price'!$I$9)-1,"")</f>
        <v>-3.158290512595574E-2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9.3491124260355107E-2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156.97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65.66</v>
      </c>
      <c r="M422" s="18">
        <v>136.87</v>
      </c>
      <c r="O422" s="19">
        <f ca="1">IF('Stock Price'!$I$11="OK",B422/INDEX(B$5:B$1258,'Stock Price'!$I$9)-1,"")</f>
        <v>-1.6355433011655651E-2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0.11005917159763312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158.32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65.98</v>
      </c>
      <c r="M423" s="18">
        <v>136.86000000000001</v>
      </c>
      <c r="O423" s="19">
        <f ca="1">IF('Stock Price'!$I$11="OK",B423/INDEX(B$5:B$1258,'Stock Price'!$I$9)-1,"")</f>
        <v>-7.8957262814890461E-3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0.11546914623837701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158.18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65.48</v>
      </c>
      <c r="M424" s="18">
        <v>135.43</v>
      </c>
      <c r="O424" s="19">
        <f ca="1">IF('Stock Price'!$I$11="OK",B424/INDEX(B$5:B$1258,'Stock Price'!$I$9)-1,"")</f>
        <v>-8.7730292016543476E-3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0.10701606086221482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158.52000000000001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65.16</v>
      </c>
      <c r="M425" s="18">
        <v>136.5</v>
      </c>
      <c r="O425" s="19">
        <f ca="1">IF('Stock Price'!$I$11="OK",B425/INDEX(B$5:B$1258,'Stock Price'!$I$9)-1,"")</f>
        <v>-6.6424363955382981E-3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0.10160608622147072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160.26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65.31</v>
      </c>
      <c r="M426" s="18">
        <v>137.63999999999999</v>
      </c>
      <c r="O426" s="19">
        <f ca="1">IF('Stock Price'!$I$11="OK",B426/INDEX(B$5:B$1258,'Stock Price'!$I$9)-1,"")</f>
        <v>4.261185612231877E-3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0.10414201183431948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160.01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64.8</v>
      </c>
      <c r="M427" s="18">
        <v>138.18</v>
      </c>
      <c r="O427" s="19">
        <f ca="1">IF('Stock Price'!$I$11="OK",B427/INDEX(B$5:B$1258,'Stock Price'!$I$9)-1,"")</f>
        <v>2.6945732547936085E-3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9.5519864750633898E-2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159.9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64.760000000000005</v>
      </c>
      <c r="M428" s="18">
        <v>137.72999999999999</v>
      </c>
      <c r="O428" s="19">
        <f ca="1">IF('Stock Price'!$I$11="OK",B428/INDEX(B$5:B$1258,'Stock Price'!$I$9)-1,"")</f>
        <v>2.0052638175209747E-3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9.484361792054119E-2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160.74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64.760000000000005</v>
      </c>
      <c r="M429" s="18">
        <v>138.31</v>
      </c>
      <c r="O429" s="19">
        <f ca="1">IF('Stock Price'!$I$11="OK",B429/INDEX(B$5:B$1258,'Stock Price'!$I$9)-1,"")</f>
        <v>7.2690813385136721E-3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9.484361792054119E-2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161.56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64.16</v>
      </c>
      <c r="M430" s="18">
        <v>136.22999999999999</v>
      </c>
      <c r="O430" s="19">
        <f ca="1">IF('Stock Price'!$I$11="OK",B430/INDEX(B$5:B$1258,'Stock Price'!$I$9)-1,"")</f>
        <v>1.2407569870911184E-2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8.4699915469146125E-2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163.72999999999999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64.67</v>
      </c>
      <c r="M431" s="18">
        <v>135.88999999999999</v>
      </c>
      <c r="O431" s="19">
        <f ca="1">IF('Stock Price'!$I$11="OK",B431/INDEX(B$5:B$1258,'Stock Price'!$I$9)-1,"")</f>
        <v>2.60057651334753E-2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9.332206255283193E-2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164.23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66.16</v>
      </c>
      <c r="M432" s="18">
        <v>138.63999999999999</v>
      </c>
      <c r="O432" s="19">
        <f ca="1">IF('Stock Price'!$I$11="OK",B432/INDEX(B$5:B$1258,'Stock Price'!$I$9)-1,"")</f>
        <v>2.9138989848351837E-2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0.1185122569737953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164.13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66.03</v>
      </c>
      <c r="M433" s="18">
        <v>137.82</v>
      </c>
      <c r="O433" s="19">
        <f ca="1">IF('Stock Price'!$I$11="OK",B433/INDEX(B$5:B$1258,'Stock Price'!$I$9)-1,"")</f>
        <v>2.8512344905376574E-2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0.11631445477599334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163.88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65.5</v>
      </c>
      <c r="M434" s="18">
        <v>136.86000000000001</v>
      </c>
      <c r="O434" s="19">
        <f ca="1">IF('Stock Price'!$I$11="OK",B434/INDEX(B$5:B$1258,'Stock Price'!$I$9)-1,"")</f>
        <v>2.6945732547938306E-2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0.10735418427726118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165.62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65.3</v>
      </c>
      <c r="M435" s="18">
        <v>137.41</v>
      </c>
      <c r="O435" s="19">
        <f ca="1">IF('Stock Price'!$I$11="OK",B435/INDEX(B$5:B$1258,'Stock Price'!$I$9)-1,"")</f>
        <v>3.7849354555708592E-2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0.1039729501267963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165.48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65.040000000000006</v>
      </c>
      <c r="M436" s="18">
        <v>135.91999999999999</v>
      </c>
      <c r="O436" s="19">
        <f ca="1">IF('Stock Price'!$I$11="OK",B436/INDEX(B$5:B$1258,'Stock Price'!$I$9)-1,"")</f>
        <v>3.6972051635543179E-2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9.9577345731191924E-2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163.63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64.790000000000006</v>
      </c>
      <c r="M437" s="18">
        <v>134.94999999999999</v>
      </c>
      <c r="O437" s="19">
        <f ca="1">IF('Stock Price'!$I$11="OK",B437/INDEX(B$5:B$1258,'Stock Price'!$I$9)-1,"")</f>
        <v>2.5379120190500037E-2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9.5350803043110943E-2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163.29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64.75</v>
      </c>
      <c r="M438" s="18">
        <v>132.6</v>
      </c>
      <c r="O438" s="19">
        <f ca="1">IF('Stock Price'!$I$11="OK",B438/INDEX(B$5:B$1258,'Stock Price'!$I$9)-1,"")</f>
        <v>2.3248527384383877E-2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9.4674556213017791E-2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162.96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64.09</v>
      </c>
      <c r="M439" s="18">
        <v>132.51</v>
      </c>
      <c r="O439" s="19">
        <f ca="1">IF('Stock Price'!$I$11="OK",B439/INDEX(B$5:B$1258,'Stock Price'!$I$9)-1,"")</f>
        <v>2.1180599072565531E-2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8.3516483516483664E-2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164.1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64</v>
      </c>
      <c r="M440" s="18">
        <v>133.22999999999999</v>
      </c>
      <c r="O440" s="19">
        <f ca="1">IF('Stock Price'!$I$11="OK",B440/INDEX(B$5:B$1258,'Stock Price'!$I$9)-1,"")</f>
        <v>2.8324351422483796E-2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8.1994928148774404E-2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165.52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63.95</v>
      </c>
      <c r="M441" s="18">
        <v>134.72999999999999</v>
      </c>
      <c r="O441" s="19">
        <f ca="1">IF('Stock Price'!$I$11="OK",B441/INDEX(B$5:B$1258,'Stock Price'!$I$9)-1,"")</f>
        <v>3.7222709612733329E-2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8.1149619611158075E-2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163.35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64.430000000000007</v>
      </c>
      <c r="M442" s="18">
        <v>135.01</v>
      </c>
      <c r="O442" s="19">
        <f ca="1">IF('Stock Price'!$I$11="OK",B442/INDEX(B$5:B$1258,'Stock Price'!$I$9)-1,"")</f>
        <v>2.362451435016899E-2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8.9264581572274126E-2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162.81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64.73</v>
      </c>
      <c r="M443" s="18">
        <v>137.62</v>
      </c>
      <c r="O443" s="19">
        <f ca="1">IF('Stock Price'!$I$11="OK",B443/INDEX(B$5:B$1258,'Stock Price'!$I$9)-1,"")</f>
        <v>2.0240631658102526E-2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9.4336432797971437E-2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161.6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63.44</v>
      </c>
      <c r="M444" s="18">
        <v>137.25</v>
      </c>
      <c r="O444" s="19">
        <f ca="1">IF('Stock Price'!$I$11="OK",B444/INDEX(B$5:B$1258,'Stock Price'!$I$9)-1,"")</f>
        <v>1.2658227848101111E-2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7.2527472527472492E-2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159.25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62.65</v>
      </c>
      <c r="M445" s="18">
        <v>135.5</v>
      </c>
      <c r="O445" s="19">
        <f ca="1">IF('Stock Price'!$I$11="OK",B445/INDEX(B$5:B$1258,'Stock Price'!$I$9)-1,"")</f>
        <v>-2.0679283118185676E-3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5.9171597633136175E-2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159.51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62.48</v>
      </c>
      <c r="M446" s="18">
        <v>134.49</v>
      </c>
      <c r="O446" s="19">
        <f ca="1">IF('Stock Price'!$I$11="OK",B446/INDEX(B$5:B$1258,'Stock Price'!$I$9)-1,"")</f>
        <v>-4.386514600828173E-4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5.6297548605240832E-2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158.63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62.79</v>
      </c>
      <c r="M447" s="18">
        <v>135.57</v>
      </c>
      <c r="O447" s="19">
        <f ca="1">IF('Stock Price'!$I$11="OK",B447/INDEX(B$5:B$1258,'Stock Price'!$I$9)-1,"")</f>
        <v>-5.9531269582655533E-3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6.1538461538461542E-2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158.08000000000001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62.28</v>
      </c>
      <c r="M448" s="18">
        <v>134.97999999999999</v>
      </c>
      <c r="O448" s="19">
        <f ca="1">IF('Stock Price'!$I$11="OK",B448/INDEX(B$5:B$1258,'Stock Price'!$I$9)-1,"")</f>
        <v>-9.3996741446296106E-3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5.2916314454775959E-2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158.81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62.28</v>
      </c>
      <c r="M449" s="18">
        <v>133.59</v>
      </c>
      <c r="O449" s="19">
        <f ca="1">IF('Stock Price'!$I$11="OK",B449/INDEX(B$5:B$1258,'Stock Price'!$I$9)-1,"")</f>
        <v>-4.8251660609099911E-3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5.2916314454775959E-2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159.87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61.94</v>
      </c>
      <c r="M450" s="18">
        <v>136.01</v>
      </c>
      <c r="O450" s="19">
        <f ca="1">IF('Stock Price'!$I$11="OK",B450/INDEX(B$5:B$1258,'Stock Price'!$I$9)-1,"")</f>
        <v>1.817270334628418E-3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4.7168216398985718E-2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159.07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61.85</v>
      </c>
      <c r="M451" s="18">
        <v>134.83000000000001</v>
      </c>
      <c r="O451" s="19">
        <f ca="1">IF('Stock Price'!$I$11="OK",B451/INDEX(B$5:B$1258,'Stock Price'!$I$9)-1,"")</f>
        <v>-3.1958892091742408E-3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4.5646661031276459E-2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159.06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62</v>
      </c>
      <c r="M452" s="18">
        <v>136.58000000000001</v>
      </c>
      <c r="O452" s="19">
        <f ca="1">IF('Stock Price'!$I$11="OK",B452/INDEX(B$5:B$1258,'Stock Price'!$I$9)-1,"")</f>
        <v>-3.2585537034717227E-3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4.8182586644125225E-2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158.74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62.06</v>
      </c>
      <c r="M453" s="18">
        <v>137.68</v>
      </c>
      <c r="O453" s="19">
        <f ca="1">IF('Stock Price'!$I$11="OK",B453/INDEX(B$5:B$1258,'Stock Price'!$I$9)-1,"")</f>
        <v>-5.2638175209925864E-3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4.9196956889264731E-2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168.38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63.77</v>
      </c>
      <c r="M454" s="18">
        <v>142.19</v>
      </c>
      <c r="O454" s="19">
        <f ca="1">IF('Stock Price'!$I$11="OK",B454/INDEX(B$5:B$1258,'Stock Price'!$I$9)-1,"")</f>
        <v>5.5144754981827138E-2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7.8106508875739777E-2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170.19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64.680000000000007</v>
      </c>
      <c r="M455" s="18">
        <v>143.74</v>
      </c>
      <c r="O455" s="19">
        <f ca="1">IF('Stock Price'!$I$11="OK",B455/INDEX(B$5:B$1258,'Stock Price'!$I$9)-1,"")</f>
        <v>6.6487028449680352E-2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9.3491124260355107E-2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171.08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64.73</v>
      </c>
      <c r="M456" s="18">
        <v>143.18</v>
      </c>
      <c r="O456" s="19">
        <f ca="1">IF('Stock Price'!$I$11="OK",B456/INDEX(B$5:B$1258,'Stock Price'!$I$9)-1,"")</f>
        <v>7.206416844216057E-2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9.4336432797971437E-2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172.39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63.77</v>
      </c>
      <c r="M457" s="18">
        <v>141.63</v>
      </c>
      <c r="O457" s="19">
        <f ca="1">IF('Stock Price'!$I$11="OK",B457/INDEX(B$5:B$1258,'Stock Price'!$I$9)-1,"")</f>
        <v>8.0273217195137025E-2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7.8106508875739777E-2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172.72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63.41</v>
      </c>
      <c r="M458" s="18">
        <v>141.9</v>
      </c>
      <c r="O458" s="19">
        <f ca="1">IF('Stock Price'!$I$11="OK",B458/INDEX(B$5:B$1258,'Stock Price'!$I$9)-1,"")</f>
        <v>8.2341145506955593E-2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7.2020287404902739E-2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173.69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60.73</v>
      </c>
      <c r="M459" s="18">
        <v>148.85</v>
      </c>
      <c r="O459" s="19">
        <f ca="1">IF('Stock Price'!$I$11="OK",B459/INDEX(B$5:B$1258,'Stock Price'!$I$9)-1,"")</f>
        <v>8.841960145381611E-2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2.6711749788672856E-2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174.48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61.41</v>
      </c>
      <c r="M460" s="18">
        <v>150.85</v>
      </c>
      <c r="O460" s="19">
        <f ca="1">IF('Stock Price'!$I$11="OK",B460/INDEX(B$5:B$1258,'Stock Price'!$I$9)-1,"")</f>
        <v>9.3370096503321065E-2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3.8207945900253559E-2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167.53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62.19</v>
      </c>
      <c r="M461" s="18">
        <v>149.58000000000001</v>
      </c>
      <c r="O461" s="19">
        <f ca="1">IF('Stock Price'!$I$11="OK",B461/INDEX(B$5:B$1258,'Stock Price'!$I$9)-1,"")</f>
        <v>4.9818272966537069E-2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5.1394759087066699E-2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168.89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61.53</v>
      </c>
      <c r="M462" s="18">
        <v>148.54</v>
      </c>
      <c r="O462" s="19">
        <f ca="1">IF('Stock Price'!$I$11="OK",B462/INDEX(B$5:B$1258,'Stock Price'!$I$9)-1,"")</f>
        <v>5.8340644191001267E-2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4.0236686390532572E-2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169.91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61.75</v>
      </c>
      <c r="M463" s="18">
        <v>149.38</v>
      </c>
      <c r="O463" s="19">
        <f ca="1">IF('Stock Price'!$I$11="OK",B463/INDEX(B$5:B$1258,'Stock Price'!$I$9)-1,"")</f>
        <v>6.4732422609349527E-2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4.3956043956044022E-2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170.64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61.23</v>
      </c>
      <c r="M464" s="18">
        <v>149.05000000000001</v>
      </c>
      <c r="O464" s="19">
        <f ca="1">IF('Stock Price'!$I$11="OK",B464/INDEX(B$5:B$1258,'Stock Price'!$I$9)-1,"")</f>
        <v>6.9306930693069146E-2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3.516483516483504E-2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169.04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60.49</v>
      </c>
      <c r="M465" s="18">
        <v>147.72999999999999</v>
      </c>
      <c r="O465" s="19">
        <f ca="1">IF('Stock Price'!$I$11="OK",B465/INDEX(B$5:B$1258,'Stock Price'!$I$9)-1,"")</f>
        <v>5.9280611605464273E-2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2.2654268808115052E-2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173.1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60.47</v>
      </c>
      <c r="M466" s="18">
        <v>150.33000000000001</v>
      </c>
      <c r="O466" s="19">
        <f ca="1">IF('Stock Price'!$I$11="OK",B466/INDEX(B$5:B$1258,'Stock Price'!$I$9)-1,"")</f>
        <v>8.4722396290261903E-2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2.2316145393068476E-2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173.18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60.16</v>
      </c>
      <c r="M467" s="18">
        <v>149.62</v>
      </c>
      <c r="O467" s="19">
        <f ca="1">IF('Stock Price'!$I$11="OK",B467/INDEX(B$5:B$1258,'Stock Price'!$I$9)-1,"")</f>
        <v>8.5223712244642202E-2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1.7075232459847767E-2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173.07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60.62</v>
      </c>
      <c r="M468" s="18">
        <v>150.77000000000001</v>
      </c>
      <c r="O468" s="19">
        <f ca="1">IF('Stock Price'!$I$11="OK",B468/INDEX(B$5:B$1258,'Stock Price'!$I$9)-1,"")</f>
        <v>8.4534402807369124E-2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2.4852071005917242E-2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172.17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61.29</v>
      </c>
      <c r="M469" s="18">
        <v>151.44</v>
      </c>
      <c r="O469" s="19">
        <f ca="1">IF('Stock Price'!$I$11="OK",B469/INDEX(B$5:B$1258,'Stock Price'!$I$9)-1,"")</f>
        <v>7.8894598320591314E-2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3.6179205409974546E-2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173.85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61.23</v>
      </c>
      <c r="M470" s="18">
        <v>152.18</v>
      </c>
      <c r="O470" s="19">
        <f ca="1">IF('Stock Price'!$I$11="OK",B470/INDEX(B$5:B$1258,'Stock Price'!$I$9)-1,"")</f>
        <v>8.9422233362576709E-2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3.516483516483504E-2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173.44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61.62</v>
      </c>
      <c r="M471" s="18">
        <v>152.27000000000001</v>
      </c>
      <c r="O471" s="19">
        <f ca="1">IF('Stock Price'!$I$11="OK",B471/INDEX(B$5:B$1258,'Stock Price'!$I$9)-1,"")</f>
        <v>8.6852989096377842E-2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4.1758241758241832E-2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172.94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61.75</v>
      </c>
      <c r="M472" s="18">
        <v>152.12</v>
      </c>
      <c r="O472" s="19">
        <f ca="1">IF('Stock Price'!$I$11="OK",B472/INDEX(B$5:B$1258,'Stock Price'!$I$9)-1,"")</f>
        <v>8.3719764381501305E-2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4.3956043956044022E-2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172.39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60.93</v>
      </c>
      <c r="M473" s="18">
        <v>151.55000000000001</v>
      </c>
      <c r="O473" s="19">
        <f ca="1">IF('Stock Price'!$I$11="OK",B473/INDEX(B$5:B$1258,'Stock Price'!$I$9)-1,"")</f>
        <v>8.0273217195137025E-2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3.009298393913773E-2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174.01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62.15</v>
      </c>
      <c r="M474" s="18">
        <v>150.02000000000001</v>
      </c>
      <c r="O474" s="19">
        <f ca="1">IF('Stock Price'!$I$11="OK",B474/INDEX(B$5:B$1258,'Stock Price'!$I$9)-1,"")</f>
        <v>9.0424865271337085E-2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5.0718512256973769E-2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172.49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62.06</v>
      </c>
      <c r="M475" s="18">
        <v>150.13999999999999</v>
      </c>
      <c r="O475" s="19">
        <f ca="1">IF('Stock Price'!$I$11="OK",B475/INDEX(B$5:B$1258,'Stock Price'!$I$9)-1,"")</f>
        <v>8.089986213811251E-2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4.9196956889264731E-2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167.35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61.91</v>
      </c>
      <c r="M476" s="18">
        <v>150.16</v>
      </c>
      <c r="O476" s="19">
        <f ca="1">IF('Stock Price'!$I$11="OK",B476/INDEX(B$5:B$1258,'Stock Price'!$I$9)-1,"")</f>
        <v>4.8690312069181507E-2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4.6661031276415965E-2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166.02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61.86</v>
      </c>
      <c r="M477" s="18">
        <v>148.24</v>
      </c>
      <c r="O477" s="19">
        <f ca="1">IF('Stock Price'!$I$11="OK",B477/INDEX(B$5:B$1258,'Stock Price'!$I$9)-1,"")</f>
        <v>4.0355934327609866E-2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4.5815722738799636E-2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163.19999999999999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61.56</v>
      </c>
      <c r="M478" s="18">
        <v>147.08000000000001</v>
      </c>
      <c r="O478" s="19">
        <f ca="1">IF('Stock Price'!$I$11="OK",B478/INDEX(B$5:B$1258,'Stock Price'!$I$9)-1,"")</f>
        <v>2.2684546935705985E-2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4.0743871513102325E-2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165.09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61.28</v>
      </c>
      <c r="M479" s="18">
        <v>146.63</v>
      </c>
      <c r="O479" s="19">
        <f ca="1">IF('Stock Price'!$I$11="OK",B479/INDEX(B$5:B$1258,'Stock Price'!$I$9)-1,"")</f>
        <v>3.4528136357939498E-2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3.6010143702451369E-2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166.25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62.08</v>
      </c>
      <c r="M480" s="18">
        <v>146.69</v>
      </c>
      <c r="O480" s="19">
        <f ca="1">IF('Stock Price'!$I$11="OK",B480/INDEX(B$5:B$1258,'Stock Price'!$I$9)-1,"")</f>
        <v>4.1797217696453171E-2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4.9535080304311085E-2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164.29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61.64</v>
      </c>
      <c r="M481" s="18">
        <v>147.43</v>
      </c>
      <c r="O481" s="19">
        <f ca="1">IF('Stock Price'!$I$11="OK",B481/INDEX(B$5:B$1258,'Stock Price'!$I$9)-1,"")</f>
        <v>2.9514976814136951E-2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4.2096365173288186E-2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164.31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62.85</v>
      </c>
      <c r="M482" s="18">
        <v>147.59</v>
      </c>
      <c r="O482" s="19">
        <f ca="1">IF('Stock Price'!$I$11="OK",B482/INDEX(B$5:B$1258,'Stock Price'!$I$9)-1,"")</f>
        <v>2.9640305802732136E-2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6.2552831783601048E-2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163.72999999999999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62.38</v>
      </c>
      <c r="M483" s="18">
        <v>148.32</v>
      </c>
      <c r="O483" s="19">
        <f ca="1">IF('Stock Price'!$I$11="OK",B483/INDEX(B$5:B$1258,'Stock Price'!$I$9)-1,"")</f>
        <v>2.60057651334753E-2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5.4606931530008618E-2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161.68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61.65</v>
      </c>
      <c r="M484" s="18">
        <v>146.96</v>
      </c>
      <c r="O484" s="19">
        <f ca="1">IF('Stock Price'!$I$11="OK",B484/INDEX(B$5:B$1258,'Stock Price'!$I$9)-1,"")</f>
        <v>1.315954380248141E-2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4.2265426880811585E-2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160.47999999999999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62.02</v>
      </c>
      <c r="M485" s="18">
        <v>148.19999999999999</v>
      </c>
      <c r="O485" s="19">
        <f ca="1">IF('Stock Price'!$I$11="OK",B485/INDEX(B$5:B$1258,'Stock Price'!$I$9)-1,"")</f>
        <v>5.6398044867775887E-3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4.8520710059171579E-2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160.68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60.64</v>
      </c>
      <c r="M486" s="18">
        <v>146.1</v>
      </c>
      <c r="O486" s="19">
        <f ca="1">IF('Stock Price'!$I$11="OK",B486/INDEX(B$5:B$1258,'Stock Price'!$I$9)-1,"")</f>
        <v>6.8930943727283367E-3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2.5190194420963596E-2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158.01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59.67</v>
      </c>
      <c r="M487" s="18">
        <v>145.61000000000001</v>
      </c>
      <c r="O487" s="19">
        <f ca="1">IF('Stock Price'!$I$11="OK",B487/INDEX(B$5:B$1258,'Stock Price'!$I$9)-1,"")</f>
        <v>-9.8383256047125389E-3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8.79120879120876E-3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160.03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59.97</v>
      </c>
      <c r="M488" s="18">
        <v>148.91</v>
      </c>
      <c r="O488" s="19">
        <f ca="1">IF('Stock Price'!$I$11="OK",B488/INDEX(B$5:B$1258,'Stock Price'!$I$9)-1,"")</f>
        <v>2.8199022433887944E-3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1.386306001690607E-2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160.56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60.82</v>
      </c>
      <c r="M489" s="18">
        <v>149.02000000000001</v>
      </c>
      <c r="O489" s="19">
        <f ca="1">IF('Stock Price'!$I$11="OK",B489/INDEX(B$5:B$1258,'Stock Price'!$I$9)-1,"")</f>
        <v>6.1411204411578879E-3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2.8233305156382116E-2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162.66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60.81</v>
      </c>
      <c r="M490" s="18">
        <v>149.04</v>
      </c>
      <c r="O490" s="19">
        <f ca="1">IF('Stock Price'!$I$11="OK",B490/INDEX(B$5:B$1258,'Stock Price'!$I$9)-1,"")</f>
        <v>1.930066424363952E-2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2.8064243448858939E-2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163.58000000000001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60.24</v>
      </c>
      <c r="M491" s="18">
        <v>149.27000000000001</v>
      </c>
      <c r="O491" s="19">
        <f ca="1">IF('Stock Price'!$I$11="OK",B491/INDEX(B$5:B$1258,'Stock Price'!$I$9)-1,"")</f>
        <v>2.5065797719012295E-2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1.8427726120033849E-2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163.99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59.65</v>
      </c>
      <c r="M492" s="18">
        <v>151.16</v>
      </c>
      <c r="O492" s="19">
        <f ca="1">IF('Stock Price'!$I$11="OK",B492/INDEX(B$5:B$1258,'Stock Price'!$I$9)-1,"")</f>
        <v>2.7635041985211162E-2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8.4530853761624059E-3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163.74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59.49</v>
      </c>
      <c r="M493" s="18">
        <v>153.63999999999999</v>
      </c>
      <c r="O493" s="19">
        <f ca="1">IF('Stock Price'!$I$11="OK",B493/INDEX(B$5:B$1258,'Stock Price'!$I$9)-1,"")</f>
        <v>2.6068429627772893E-2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5.7480980557904626E-3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161.44999999999999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59.03</v>
      </c>
      <c r="M494" s="18">
        <v>152.12</v>
      </c>
      <c r="O494" s="19">
        <f ca="1">IF('Stock Price'!$I$11="OK",B494/INDEX(B$5:B$1258,'Stock Price'!$I$9)-1,"")</f>
        <v>1.1718260433638106E-2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-2.0287404902789019E-3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162.47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58.58</v>
      </c>
      <c r="M495" s="18">
        <v>153.94</v>
      </c>
      <c r="O495" s="19">
        <f ca="1">IF('Stock Price'!$I$11="OK",B495/INDEX(B$5:B$1258,'Stock Price'!$I$9)-1,"")</f>
        <v>1.8110038851986365E-2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-9.6365173288249784E-3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162.19999999999999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58.63</v>
      </c>
      <c r="M496" s="18">
        <v>153.49</v>
      </c>
      <c r="O496" s="19">
        <f ca="1">IF('Stock Price'!$I$11="OK",B496/INDEX(B$5:B$1258,'Stock Price'!$I$9)-1,"")</f>
        <v>1.6418097505952911E-2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-8.79120879120876E-3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162.91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58.78</v>
      </c>
      <c r="M497" s="18">
        <v>153.61000000000001</v>
      </c>
      <c r="O497" s="19">
        <f ca="1">IF('Stock Price'!$I$11="OK",B497/INDEX(B$5:B$1258,'Stock Price'!$I$9)-1,"")</f>
        <v>2.0867276601077789E-2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-6.2552831783601048E-3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161.66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59.08</v>
      </c>
      <c r="M498" s="18">
        <v>153.43</v>
      </c>
      <c r="O498" s="19">
        <f ca="1">IF('Stock Price'!$I$11="OK",B498/INDEX(B$5:B$1258,'Stock Price'!$I$9)-1,"")</f>
        <v>1.3034214813886447E-2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-1.1834319526626835E-3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160.5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58.9</v>
      </c>
      <c r="M499" s="18">
        <v>152.74</v>
      </c>
      <c r="O499" s="19">
        <f ca="1">IF('Stock Price'!$I$11="OK",B499/INDEX(B$5:B$1258,'Stock Price'!$I$9)-1,"")</f>
        <v>5.7651334753727745E-3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-4.2265426880812029E-3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160.26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59.16</v>
      </c>
      <c r="M500" s="18">
        <v>154.65</v>
      </c>
      <c r="O500" s="19">
        <f ca="1">IF('Stock Price'!$I$11="OK",B500/INDEX(B$5:B$1258,'Stock Price'!$I$9)-1,"")</f>
        <v>4.261185612231877E-3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1.6906170752317706E-4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159.02000000000001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58.54</v>
      </c>
      <c r="M501" s="18">
        <v>153.91</v>
      </c>
      <c r="O501" s="19">
        <f ca="1">IF('Stock Price'!$I$11="OK",B501/INDEX(B$5:B$1258,'Stock Price'!$I$9)-1,"")</f>
        <v>-3.5092116806617613E-3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-1.031276415891802E-2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157.11000000000001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57.89</v>
      </c>
      <c r="M502" s="18">
        <v>153.13</v>
      </c>
      <c r="O502" s="19">
        <f ca="1">IF('Stock Price'!$I$11="OK",B502/INDEX(B$5:B$1258,'Stock Price'!$I$9)-1,"")</f>
        <v>-1.5478130091490128E-2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-2.130177514792897E-2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156.88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58.14</v>
      </c>
      <c r="M503" s="18">
        <v>152.25</v>
      </c>
      <c r="O503" s="19">
        <f ca="1">IF('Stock Price'!$I$11="OK",B503/INDEX(B$5:B$1258,'Stock Price'!$I$9)-1,"")</f>
        <v>-1.6919413460333432E-2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-1.7075232459847767E-2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155.75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58.04</v>
      </c>
      <c r="M504" s="18">
        <v>149.06</v>
      </c>
      <c r="O504" s="19">
        <f ca="1">IF('Stock Price'!$I$11="OK",B504/INDEX(B$5:B$1258,'Stock Price'!$I$9)-1,"")</f>
        <v>-2.4000501315954437E-2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-1.8765849535080315E-2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155.15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57.85</v>
      </c>
      <c r="M505" s="18">
        <v>148.25</v>
      </c>
      <c r="O505" s="19">
        <f ca="1">IF('Stock Price'!$I$11="OK",B505/INDEX(B$5:B$1258,'Stock Price'!$I$9)-1,"")</f>
        <v>-2.7760370973806237E-2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-2.19780219780219E-2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155.34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57.22</v>
      </c>
      <c r="M506" s="18">
        <v>147.43</v>
      </c>
      <c r="O506" s="19">
        <f ca="1">IF('Stock Price'!$I$11="OK",B506/INDEX(B$5:B$1258,'Stock Price'!$I$9)-1,"")</f>
        <v>-2.6569745582153192E-2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-3.2628909551986496E-2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155.52000000000001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56.73</v>
      </c>
      <c r="M507" s="18">
        <v>147.69</v>
      </c>
      <c r="O507" s="19">
        <f ca="1">IF('Stock Price'!$I$11="OK",B507/INDEX(B$5:B$1258,'Stock Price'!$I$9)-1,"")</f>
        <v>-2.544178468479763E-2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-4.0912933220625614E-2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157.13999999999999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56.42</v>
      </c>
      <c r="M508" s="18">
        <v>147.44999999999999</v>
      </c>
      <c r="O508" s="19">
        <f ca="1">IF('Stock Price'!$I$11="OK",B508/INDEX(B$5:B$1258,'Stock Price'!$I$9)-1,"")</f>
        <v>-1.5290136608597682E-2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-4.6153846153846101E-2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157.63999999999999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56.66</v>
      </c>
      <c r="M509" s="18">
        <v>148.24</v>
      </c>
      <c r="O509" s="19">
        <f ca="1">IF('Stock Price'!$I$11="OK",B509/INDEX(B$5:B$1258,'Stock Price'!$I$9)-1,"")</f>
        <v>-1.2156911893721145E-2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-4.2096365173288297E-2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158.54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56.61</v>
      </c>
      <c r="M510" s="18">
        <v>149.11000000000001</v>
      </c>
      <c r="O510" s="19">
        <f ca="1">IF('Stock Price'!$I$11="OK",B510/INDEX(B$5:B$1258,'Stock Price'!$I$9)-1,"")</f>
        <v>-6.5171074069433343E-3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-4.2941673710904515E-2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158.36000000000001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56.39</v>
      </c>
      <c r="M511" s="18">
        <v>148.88999999999999</v>
      </c>
      <c r="O511" s="19">
        <f ca="1">IF('Stock Price'!$I$11="OK",B511/INDEX(B$5:B$1258,'Stock Price'!$I$9)-1,"")</f>
        <v>-7.6450683042987855E-3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-4.6661031276415854E-2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156.18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56.65</v>
      </c>
      <c r="M512" s="18">
        <v>149.34</v>
      </c>
      <c r="O512" s="19">
        <f ca="1">IF('Stock Price'!$I$11="OK",B512/INDEX(B$5:B$1258,'Stock Price'!$I$9)-1,"")</f>
        <v>-2.1305928061160606E-2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-4.2265426880811474E-2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156.33000000000001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56.26</v>
      </c>
      <c r="M513" s="18">
        <v>148.30000000000001</v>
      </c>
      <c r="O513" s="19">
        <f ca="1">IF('Stock Price'!$I$11="OK",B513/INDEX(B$5:B$1258,'Stock Price'!$I$9)-1,"")</f>
        <v>-2.0365960646697601E-2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-4.8858833474218155E-2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156.85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56.47</v>
      </c>
      <c r="M514" s="18">
        <v>147.96</v>
      </c>
      <c r="O514" s="19">
        <f ca="1">IF('Stock Price'!$I$11="OK",B514/INDEX(B$5:B$1258,'Stock Price'!$I$9)-1,"")</f>
        <v>-1.71074069432261E-2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-4.5308537616229883E-2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157.53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57.17</v>
      </c>
      <c r="M515" s="18">
        <v>147.22999999999999</v>
      </c>
      <c r="O515" s="19">
        <f ca="1">IF('Stock Price'!$I$11="OK",B515/INDEX(B$5:B$1258,'Stock Price'!$I$9)-1,"")</f>
        <v>-1.284622133099389E-2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-3.3474218089602603E-2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156.09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57.37</v>
      </c>
      <c r="M516" s="18">
        <v>149.18</v>
      </c>
      <c r="O516" s="19">
        <f ca="1">IF('Stock Price'!$I$11="OK",B516/INDEX(B$5:B$1258,'Stock Price'!$I$9)-1,"")</f>
        <v>-2.1869908509838387E-2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-3.0092983939137841E-2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152.72999999999999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56.85</v>
      </c>
      <c r="M517" s="18">
        <v>149.28</v>
      </c>
      <c r="O517" s="19">
        <f ca="1">IF('Stock Price'!$I$11="OK",B517/INDEX(B$5:B$1258,'Stock Price'!$I$9)-1,"")</f>
        <v>-4.2925178593808844E-2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-3.888419273034649E-2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152.32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56.48</v>
      </c>
      <c r="M518" s="18">
        <v>145.52000000000001</v>
      </c>
      <c r="O518" s="19">
        <f ca="1">IF('Stock Price'!$I$11="OK",B518/INDEX(B$5:B$1258,'Stock Price'!$I$9)-1,"")</f>
        <v>-4.5494422860007599E-2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-4.5139475908706705E-2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153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56.46</v>
      </c>
      <c r="M519" s="18">
        <v>146.22999999999999</v>
      </c>
      <c r="O519" s="19">
        <f ca="1">IF('Stock Price'!$I$11="OK",B519/INDEX(B$5:B$1258,'Stock Price'!$I$9)-1,"")</f>
        <v>-4.12332372477755E-2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-4.5477599323753171E-2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151.38999999999999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56</v>
      </c>
      <c r="M520" s="18">
        <v>144.72999999999999</v>
      </c>
      <c r="O520" s="19">
        <f ca="1">IF('Stock Price'!$I$11="OK",B520/INDEX(B$5:B$1258,'Stock Price'!$I$9)-1,"")</f>
        <v>-5.1322220829678078E-2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-5.3254437869822424E-2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151.22999999999999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56.12</v>
      </c>
      <c r="M521" s="18">
        <v>146.31</v>
      </c>
      <c r="O521" s="19">
        <f ca="1">IF('Stock Price'!$I$11="OK",B521/INDEX(B$5:B$1258,'Stock Price'!$I$9)-1,"")</f>
        <v>-5.2324852738438565E-2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-5.1225697379543522E-2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151.57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56.61</v>
      </c>
      <c r="M522" s="18">
        <v>145.26</v>
      </c>
      <c r="O522" s="19">
        <f ca="1">IF('Stock Price'!$I$11="OK",B522/INDEX(B$5:B$1258,'Stock Price'!$I$9)-1,"")</f>
        <v>-5.0194259932322516E-2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-4.2941673710904515E-2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149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52.97</v>
      </c>
      <c r="M523" s="18">
        <v>145.19999999999999</v>
      </c>
      <c r="O523" s="19">
        <f ca="1">IF('Stock Price'!$I$11="OK",B523/INDEX(B$5:B$1258,'Stock Price'!$I$9)-1,"")</f>
        <v>-6.6299034966787906E-2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-0.10448013524936606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145.6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51.02</v>
      </c>
      <c r="M524" s="18">
        <v>138.93</v>
      </c>
      <c r="O524" s="19">
        <f ca="1">IF('Stock Price'!$I$11="OK",B524/INDEX(B$5:B$1258,'Stock Price'!$I$9)-1,"")</f>
        <v>-8.7604963027948513E-2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-0.13744716821639891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147.03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51.25</v>
      </c>
      <c r="M525" s="18">
        <v>141.88999999999999</v>
      </c>
      <c r="O525" s="19">
        <f ca="1">IF('Stock Price'!$I$11="OK",B525/INDEX(B$5:B$1258,'Stock Price'!$I$9)-1,"")</f>
        <v>-7.8643940343401497E-2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-0.13355874894336428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148.34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51.53</v>
      </c>
      <c r="M526" s="18">
        <v>141.18</v>
      </c>
      <c r="O526" s="19">
        <f ca="1">IF('Stock Price'!$I$11="OK",B526/INDEX(B$5:B$1258,'Stock Price'!$I$9)-1,"")</f>
        <v>-7.0434891590424931E-2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-0.12882502113271344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148.69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51.28</v>
      </c>
      <c r="M527" s="18">
        <v>142.47</v>
      </c>
      <c r="O527" s="19">
        <f ca="1">IF('Stock Price'!$I$11="OK",B527/INDEX(B$5:B$1258,'Stock Price'!$I$9)-1,"")</f>
        <v>-6.8241634290011399E-2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-0.13305156382079453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150.24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51.13</v>
      </c>
      <c r="M528" s="18">
        <v>143.26</v>
      </c>
      <c r="O528" s="19">
        <f ca="1">IF('Stock Price'!$I$11="OK",B528/INDEX(B$5:B$1258,'Stock Price'!$I$9)-1,"")</f>
        <v>-5.8528637673893935E-2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-0.13558748943364318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151.34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52.82</v>
      </c>
      <c r="M529" s="18">
        <v>141.41999999999999</v>
      </c>
      <c r="O529" s="19">
        <f ca="1">IF('Stock Price'!$I$11="OK",B529/INDEX(B$5:B$1258,'Stock Price'!$I$9)-1,"")</f>
        <v>-5.1635543301165598E-2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-0.10701606086221471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151.69999999999999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52.79</v>
      </c>
      <c r="M530" s="18">
        <v>141.19999999999999</v>
      </c>
      <c r="O530" s="19">
        <f ca="1">IF('Stock Price'!$I$11="OK",B530/INDEX(B$5:B$1258,'Stock Price'!$I$9)-1,"")</f>
        <v>-4.9379621506454585E-2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-0.10752324598478447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150.9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52.29</v>
      </c>
      <c r="M531" s="18">
        <v>142.16</v>
      </c>
      <c r="O531" s="19">
        <f ca="1">IF('Stock Price'!$I$11="OK",B531/INDEX(B$5:B$1258,'Stock Price'!$I$9)-1,"")</f>
        <v>-5.4392781050256911E-2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-0.11597633136094676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150.35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52.42</v>
      </c>
      <c r="M532" s="18">
        <v>142.03</v>
      </c>
      <c r="O532" s="19">
        <f ca="1">IF('Stock Price'!$I$11="OK",B532/INDEX(B$5:B$1258,'Stock Price'!$I$9)-1,"")</f>
        <v>-5.783932823662119E-2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-0.11377852916314446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147.41999999999999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50.41</v>
      </c>
      <c r="M533" s="18">
        <v>138.04</v>
      </c>
      <c r="O533" s="19">
        <f ca="1">IF('Stock Price'!$I$11="OK",B533/INDEX(B$5:B$1258,'Stock Price'!$I$9)-1,"")</f>
        <v>-7.6200025065797816E-2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-0.14775993237531704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147.25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50.61</v>
      </c>
      <c r="M534" s="18">
        <v>138.59</v>
      </c>
      <c r="O534" s="19">
        <f ca="1">IF('Stock Price'!$I$11="OK",B534/INDEX(B$5:B$1258,'Stock Price'!$I$9)-1,"")</f>
        <v>-7.7265321468855785E-2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-0.14437869822485205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147.63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50.15</v>
      </c>
      <c r="M535" s="18">
        <v>138.63999999999999</v>
      </c>
      <c r="O535" s="19">
        <f ca="1">IF('Stock Price'!$I$11="OK",B535/INDEX(B$5:B$1258,'Stock Price'!$I$9)-1,"")</f>
        <v>-7.4884070685549697E-2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-0.15215553677092142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147.66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50.52</v>
      </c>
      <c r="M536" s="18">
        <v>138.06</v>
      </c>
      <c r="O536" s="19">
        <f ca="1">IF('Stock Price'!$I$11="OK",B536/INDEX(B$5:B$1258,'Stock Price'!$I$9)-1,"")</f>
        <v>-7.469607720265703E-2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-0.1459002535925612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148.80000000000001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51.57</v>
      </c>
      <c r="M537" s="18">
        <v>137.6</v>
      </c>
      <c r="O537" s="19">
        <f ca="1">IF('Stock Price'!$I$11="OK",B537/INDEX(B$5:B$1258,'Stock Price'!$I$9)-1,"")</f>
        <v>-6.7552324852738432E-2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-0.12814877430262039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150.1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50.84</v>
      </c>
      <c r="M538" s="18">
        <v>138.28</v>
      </c>
      <c r="O538" s="19">
        <f ca="1">IF('Stock Price'!$I$11="OK",B538/INDEX(B$5:B$1258,'Stock Price'!$I$9)-1,"")</f>
        <v>-5.940594059405957E-2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-0.14049027895181732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149.79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50.84</v>
      </c>
      <c r="M539" s="18">
        <v>138.30000000000001</v>
      </c>
      <c r="O539" s="19">
        <f ca="1">IF('Stock Price'!$I$11="OK",B539/INDEX(B$5:B$1258,'Stock Price'!$I$9)-1,"")</f>
        <v>-6.1348539917282952E-2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-0.14049027895181732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149.91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48.9</v>
      </c>
      <c r="M540" s="18">
        <v>138.31</v>
      </c>
      <c r="O540" s="19">
        <f ca="1">IF('Stock Price'!$I$11="OK",B540/INDEX(B$5:B$1258,'Stock Price'!$I$9)-1,"")</f>
        <v>-6.0596565985712614E-2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-0.1732882502113271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151.12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48.48</v>
      </c>
      <c r="M541" s="18">
        <v>138.72999999999999</v>
      </c>
      <c r="O541" s="19">
        <f ca="1">IF('Stock Price'!$I$11="OK",B541/INDEX(B$5:B$1258,'Stock Price'!$I$9)-1,"")</f>
        <v>-5.301416217571131E-2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-0.18038884192730353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150.82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49.42</v>
      </c>
      <c r="M542" s="18">
        <v>138.47</v>
      </c>
      <c r="O542" s="19">
        <f ca="1">IF('Stock Price'!$I$11="OK",B542/INDEX(B$5:B$1258,'Stock Price'!$I$9)-1,"")</f>
        <v>-5.4894097004637321E-2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-0.16449704142011834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152.5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49.76</v>
      </c>
      <c r="M543" s="18">
        <v>138.66999999999999</v>
      </c>
      <c r="O543" s="19">
        <f ca="1">IF('Stock Price'!$I$11="OK",B543/INDEX(B$5:B$1258,'Stock Price'!$I$9)-1,"")</f>
        <v>-4.4366461962652037E-2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-0.15874894336432799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151.28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49.02</v>
      </c>
      <c r="M544" s="18">
        <v>139.09</v>
      </c>
      <c r="O544" s="19">
        <f ca="1">IF('Stock Price'!$I$11="OK",B544/INDEX(B$5:B$1258,'Stock Price'!$I$9)-1,"")</f>
        <v>-5.2011530266950823E-2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-0.17125950972104809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151.63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48.92</v>
      </c>
      <c r="M545" s="18">
        <v>138.08000000000001</v>
      </c>
      <c r="O545" s="19">
        <f ca="1">IF('Stock Price'!$I$11="OK",B545/INDEX(B$5:B$1258,'Stock Price'!$I$9)-1,"")</f>
        <v>-4.9818272966537291E-2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-0.17295012679628063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152.11000000000001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48.72</v>
      </c>
      <c r="M546" s="18">
        <v>138.5</v>
      </c>
      <c r="O546" s="19">
        <f ca="1">IF('Stock Price'!$I$11="OK",B546/INDEX(B$5:B$1258,'Stock Price'!$I$9)-1,"")</f>
        <v>-4.6810377240255607E-2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-0.17633136094674551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154.66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49.38</v>
      </c>
      <c r="M547" s="18">
        <v>142.38999999999999</v>
      </c>
      <c r="O547" s="19">
        <f ca="1">IF('Stock Price'!$I$11="OK",B547/INDEX(B$5:B$1258,'Stock Price'!$I$9)-1,"")</f>
        <v>-3.0830931194385403E-2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-0.16517328825021127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158.38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50.1</v>
      </c>
      <c r="M548" s="18">
        <v>143.41</v>
      </c>
      <c r="O548" s="19">
        <f ca="1">IF('Stock Price'!$I$11="OK",B548/INDEX(B$5:B$1258,'Stock Price'!$I$9)-1,"")</f>
        <v>-7.5197393157038217E-3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-0.15300084530853753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158.88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49.98</v>
      </c>
      <c r="M549" s="18">
        <v>144.15</v>
      </c>
      <c r="O549" s="19">
        <f ca="1">IF('Stock Price'!$I$11="OK",B549/INDEX(B$5:B$1258,'Stock Price'!$I$9)-1,"")</f>
        <v>-4.3865146008272848E-3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-0.15502958579881665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158.55000000000001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50.23</v>
      </c>
      <c r="M550" s="18">
        <v>144.57</v>
      </c>
      <c r="O550" s="19">
        <f ca="1">IF('Stock Price'!$I$11="OK",B550/INDEX(B$5:B$1258,'Stock Price'!$I$9)-1,"")</f>
        <v>-6.4544429126457414E-3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-0.15080304311073545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156.62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49.88</v>
      </c>
      <c r="M551" s="18">
        <v>146.38</v>
      </c>
      <c r="O551" s="19">
        <f ca="1">IF('Stock Price'!$I$11="OK",B551/INDEX(B$5:B$1258,'Stock Price'!$I$9)-1,"")</f>
        <v>-1.8548690312069183E-2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-0.15672020287404897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155.4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50.16</v>
      </c>
      <c r="M552" s="18">
        <v>147.97</v>
      </c>
      <c r="O552" s="19">
        <f ca="1">IF('Stock Price'!$I$11="OK",B552/INDEX(B$5:B$1258,'Stock Price'!$I$9)-1,"")</f>
        <v>-2.6193758616367968E-2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-0.15198647506339813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154.41999999999999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50.31</v>
      </c>
      <c r="M553" s="18">
        <v>149.28</v>
      </c>
      <c r="O553" s="19">
        <f ca="1">IF('Stock Price'!$I$11="OK",B553/INDEX(B$5:B$1258,'Stock Price'!$I$9)-1,"")</f>
        <v>-3.2334879057526189E-2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-0.14945054945054936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155.06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51.09</v>
      </c>
      <c r="M554" s="18">
        <v>151.24</v>
      </c>
      <c r="O554" s="19">
        <f ca="1">IF('Stock Price'!$I$11="OK",B554/INDEX(B$5:B$1258,'Stock Price'!$I$9)-1,"")</f>
        <v>-2.8324351422484129E-2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-0.13626373626373622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155.07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50.51</v>
      </c>
      <c r="M555" s="18">
        <v>153.24</v>
      </c>
      <c r="O555" s="19">
        <f ca="1">IF('Stock Price'!$I$11="OK",B555/INDEX(B$5:B$1258,'Stock Price'!$I$9)-1,"")</f>
        <v>-2.8261686928186647E-2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-0.14606931530008449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155.79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51.86</v>
      </c>
      <c r="M556" s="18">
        <v>154.30000000000001</v>
      </c>
      <c r="O556" s="19">
        <f ca="1">IF('Stock Price'!$I$11="OK",B556/INDEX(B$5:B$1258,'Stock Price'!$I$9)-1,"")</f>
        <v>-2.3749843338764398E-2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-0.12324598478444626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156.87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51.47</v>
      </c>
      <c r="M557" s="18">
        <v>154.88</v>
      </c>
      <c r="O557" s="19">
        <f ca="1">IF('Stock Price'!$I$11="OK",B557/INDEX(B$5:B$1258,'Stock Price'!$I$9)-1,"")</f>
        <v>-1.6982077954630914E-2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-0.12983939137785294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155.16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50.89</v>
      </c>
      <c r="M558" s="18">
        <v>154.04</v>
      </c>
      <c r="O558" s="19">
        <f ca="1">IF('Stock Price'!$I$11="OK",B558/INDEX(B$5:B$1258,'Stock Price'!$I$9)-1,"")</f>
        <v>-2.7697706479508755E-2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-0.13964497041420121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155.44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51.34</v>
      </c>
      <c r="M559" s="18">
        <v>153.41999999999999</v>
      </c>
      <c r="O559" s="19">
        <f ca="1">IF('Stock Price'!$I$11="OK",B559/INDEX(B$5:B$1258,'Stock Price'!$I$9)-1,"")</f>
        <v>-2.594310063917793E-2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-0.13203719357565502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156.46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52.11</v>
      </c>
      <c r="M560" s="18">
        <v>153.6</v>
      </c>
      <c r="O560" s="19">
        <f ca="1">IF('Stock Price'!$I$11="OK",B560/INDEX(B$5:B$1258,'Stock Price'!$I$9)-1,"")</f>
        <v>-1.955132222082967E-2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-0.11901944209636517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153.27000000000001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50.96</v>
      </c>
      <c r="M561" s="18">
        <v>151.69</v>
      </c>
      <c r="O561" s="19">
        <f ca="1">IF('Stock Price'!$I$11="OK",B561/INDEX(B$5:B$1258,'Stock Price'!$I$9)-1,"")</f>
        <v>-3.9541295901742046E-2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-0.13846153846153841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154.84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51.26</v>
      </c>
      <c r="M562" s="18">
        <v>152.59</v>
      </c>
      <c r="O562" s="19">
        <f ca="1">IF('Stock Price'!$I$11="OK",B562/INDEX(B$5:B$1258,'Stock Price'!$I$9)-1,"")</f>
        <v>-2.9702970297029729E-2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-0.1333896872358411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155.46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52.29</v>
      </c>
      <c r="M563" s="18">
        <v>154.94</v>
      </c>
      <c r="O563" s="19">
        <f ca="1">IF('Stock Price'!$I$11="OK",B563/INDEX(B$5:B$1258,'Stock Price'!$I$9)-1,"")</f>
        <v>-2.5817771650582855E-2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-0.11597633136094676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156.13999999999999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51.45</v>
      </c>
      <c r="M564" s="18">
        <v>154.62</v>
      </c>
      <c r="O564" s="19">
        <f ca="1">IF('Stock Price'!$I$11="OK",B564/INDEX(B$5:B$1258,'Stock Price'!$I$9)-1,"")</f>
        <v>-2.1556586038350867E-2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-0.1301775147928993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156.35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51.21</v>
      </c>
      <c r="M565" s="18">
        <v>154.88</v>
      </c>
      <c r="O565" s="19">
        <f ca="1">IF('Stock Price'!$I$11="OK",B565/INDEX(B$5:B$1258,'Stock Price'!$I$9)-1,"")</f>
        <v>-2.0240631658102637E-2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-0.13423499577345732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156.58000000000001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51.22</v>
      </c>
      <c r="M566" s="18">
        <v>154.75</v>
      </c>
      <c r="O566" s="19">
        <f ca="1">IF('Stock Price'!$I$11="OK",B566/INDEX(B$5:B$1258,'Stock Price'!$I$9)-1,"")</f>
        <v>-1.8799348289259332E-2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-0.13406593406593403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156.74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51.31</v>
      </c>
      <c r="M567" s="18">
        <v>154.97</v>
      </c>
      <c r="O567" s="19">
        <f ca="1">IF('Stock Price'!$I$11="OK",B567/INDEX(B$5:B$1258,'Stock Price'!$I$9)-1,"")</f>
        <v>-1.7796716380498845E-2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-0.13254437869822477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159.97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52.76</v>
      </c>
      <c r="M568" s="18">
        <v>159.82</v>
      </c>
      <c r="O568" s="19">
        <f ca="1">IF('Stock Price'!$I$11="OK",B568/INDEX(B$5:B$1258,'Stock Price'!$I$9)-1,"")</f>
        <v>2.443915277603681E-3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-0.10803043110735422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160.97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52.3</v>
      </c>
      <c r="M569" s="18">
        <v>160.46</v>
      </c>
      <c r="O569" s="19">
        <f ca="1">IF('Stock Price'!$I$11="OK",B569/INDEX(B$5:B$1258,'Stock Price'!$I$9)-1,"")</f>
        <v>8.7103647073567547E-3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-0.11580726965342347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160.63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52.04</v>
      </c>
      <c r="M570" s="18">
        <v>161.46</v>
      </c>
      <c r="O570" s="19">
        <f ca="1">IF('Stock Price'!$I$11="OK",B570/INDEX(B$5:B$1258,'Stock Price'!$I$9)-1,"")</f>
        <v>6.5797719012405942E-3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-0.12020287404902785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161.13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52.23</v>
      </c>
      <c r="M571" s="18">
        <v>162.13999999999999</v>
      </c>
      <c r="O571" s="19">
        <f ca="1">IF('Stock Price'!$I$11="OK",B571/INDEX(B$5:B$1258,'Stock Price'!$I$9)-1,"")</f>
        <v>9.7129966161171311E-3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-0.11699070160608627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161.53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51.79</v>
      </c>
      <c r="M572" s="18">
        <v>161.43</v>
      </c>
      <c r="O572" s="19">
        <f ca="1">IF('Stock Price'!$I$11="OK",B572/INDEX(B$5:B$1258,'Stock Price'!$I$9)-1,"")</f>
        <v>1.2219576388018405E-2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-0.12442941673710906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161.63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51.28</v>
      </c>
      <c r="M573" s="18">
        <v>162.31</v>
      </c>
      <c r="O573" s="19">
        <f ca="1">IF('Stock Price'!$I$11="OK",B573/INDEX(B$5:B$1258,'Stock Price'!$I$9)-1,"")</f>
        <v>1.2846221330993668E-2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-0.13305156382079453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161.87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50.66</v>
      </c>
      <c r="M574" s="18">
        <v>164.89</v>
      </c>
      <c r="O574" s="19">
        <f ca="1">IF('Stock Price'!$I$11="OK",B574/INDEX(B$5:B$1258,'Stock Price'!$I$9)-1,"")</f>
        <v>1.4350169194134565E-2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-0.14353338968723584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161.15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50.22</v>
      </c>
      <c r="M575" s="18">
        <v>163.78</v>
      </c>
      <c r="O575" s="19">
        <f ca="1">IF('Stock Price'!$I$11="OK",B575/INDEX(B$5:B$1258,'Stock Price'!$I$9)-1,"")</f>
        <v>9.8383256047123169E-3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-0.15097210481825862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162.38999999999999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50.31</v>
      </c>
      <c r="M576" s="18">
        <v>162.4</v>
      </c>
      <c r="O576" s="19">
        <f ca="1">IF('Stock Price'!$I$11="OK",B576/INDEX(B$5:B$1258,'Stock Price'!$I$9)-1,"")</f>
        <v>1.7608722897606066E-2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-0.14945054945054936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160.52000000000001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50</v>
      </c>
      <c r="M577" s="18">
        <v>161.47999999999999</v>
      </c>
      <c r="O577" s="19">
        <f ca="1">IF('Stock Price'!$I$11="OK",B577/INDEX(B$5:B$1258,'Stock Price'!$I$9)-1,"")</f>
        <v>5.8904624639679604E-3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-0.15469146238377007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160.43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49.98</v>
      </c>
      <c r="M578" s="18">
        <v>162.04</v>
      </c>
      <c r="O578" s="19">
        <f ca="1">IF('Stock Price'!$I$11="OK",B578/INDEX(B$5:B$1258,'Stock Price'!$I$9)-1,"")</f>
        <v>5.3264820152900683E-3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-0.15502958579881665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161.21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50.09</v>
      </c>
      <c r="M579" s="18">
        <v>163.30000000000001</v>
      </c>
      <c r="O579" s="19">
        <f ca="1">IF('Stock Price'!$I$11="OK",B579/INDEX(B$5:B$1258,'Stock Price'!$I$9)-1,"")</f>
        <v>1.021431257049743E-2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-0.15316990701606081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161.68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50.11</v>
      </c>
      <c r="M580" s="18">
        <v>164.77</v>
      </c>
      <c r="O580" s="19">
        <f ca="1">IF('Stock Price'!$I$11="OK",B580/INDEX(B$5:B$1258,'Stock Price'!$I$9)-1,"")</f>
        <v>1.315954380248141E-2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-0.15283178360101435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162.47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49.57</v>
      </c>
      <c r="M581" s="18">
        <v>165.39</v>
      </c>
      <c r="O581" s="19">
        <f ca="1">IF('Stock Price'!$I$11="OK",B581/INDEX(B$5:B$1258,'Stock Price'!$I$9)-1,"")</f>
        <v>1.8110038851986365E-2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-0.16196111580726957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159.81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50.12</v>
      </c>
      <c r="M582" s="18">
        <v>167.5</v>
      </c>
      <c r="O582" s="19">
        <f ca="1">IF('Stock Price'!$I$11="OK",B582/INDEX(B$5:B$1258,'Stock Price'!$I$9)-1,"")</f>
        <v>1.4412833688430826E-3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-0.15266272189349117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158.96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50.24</v>
      </c>
      <c r="M583" s="18">
        <v>164.22</v>
      </c>
      <c r="O583" s="19">
        <f ca="1">IF('Stock Price'!$I$11="OK",B583/INDEX(B$5:B$1258,'Stock Price'!$I$9)-1,"")</f>
        <v>-3.8851986464469856E-3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-0.15063398140321216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159.56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49.61</v>
      </c>
      <c r="M584" s="18">
        <v>165.13</v>
      </c>
      <c r="O584" s="19">
        <f ca="1">IF('Stock Price'!$I$11="OK",B584/INDEX(B$5:B$1258,'Stock Price'!$I$9)-1,"")</f>
        <v>-1.253289885950748E-4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-0.16128486897717664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159.5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49.7</v>
      </c>
      <c r="M585" s="18">
        <v>164.4</v>
      </c>
      <c r="O585" s="19">
        <f ca="1">IF('Stock Price'!$I$11="OK",B585/INDEX(B$5:B$1258,'Stock Price'!$I$9)-1,"")</f>
        <v>-5.0131595438029919E-4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-0.15976331360946738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159.36000000000001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49.87</v>
      </c>
      <c r="M586" s="18">
        <v>163.91</v>
      </c>
      <c r="O586" s="19">
        <f ca="1">IF('Stock Price'!$I$11="OK",B586/INDEX(B$5:B$1258,'Stock Price'!$I$9)-1,"")</f>
        <v>-1.3786188745457117E-3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-0.15688926458157226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158.77000000000001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49.39</v>
      </c>
      <c r="M587" s="18">
        <v>164.92</v>
      </c>
      <c r="O587" s="19">
        <f ca="1">IF('Stock Price'!$I$11="OK",B587/INDEX(B$5:B$1258,'Stock Price'!$I$9)-1,"")</f>
        <v>-5.0758240381000297E-3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-0.16500422654268809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158.9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48.87</v>
      </c>
      <c r="M588" s="18">
        <v>164.4</v>
      </c>
      <c r="O588" s="19">
        <f ca="1">IF('Stock Price'!$I$11="OK",B588/INDEX(B$5:B$1258,'Stock Price'!$I$9)-1,"")</f>
        <v>-4.261185612232099E-3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-0.17379543533389685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158.36000000000001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48.67</v>
      </c>
      <c r="M589" s="18">
        <v>167.59</v>
      </c>
      <c r="O589" s="19">
        <f ca="1">IF('Stock Price'!$I$11="OK",B589/INDEX(B$5:B$1258,'Stock Price'!$I$9)-1,"")</f>
        <v>-7.6450683042987855E-3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-0.17717666948436173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156.61000000000001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48.71</v>
      </c>
      <c r="M590" s="18">
        <v>168.67</v>
      </c>
      <c r="O590" s="19">
        <f ca="1">IF('Stock Price'!$I$11="OK",B590/INDEX(B$5:B$1258,'Stock Price'!$I$9)-1,"")</f>
        <v>-1.8611354806366665E-2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-0.1765004226542688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155.80000000000001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47.98</v>
      </c>
      <c r="M591" s="18">
        <v>171.26</v>
      </c>
      <c r="O591" s="19">
        <f ca="1">IF('Stock Price'!$I$11="OK",B591/INDEX(B$5:B$1258,'Stock Price'!$I$9)-1,"")</f>
        <v>-2.3687178844466694E-2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-0.18884192730346583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158.06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49.26</v>
      </c>
      <c r="M592" s="18">
        <v>173.29</v>
      </c>
      <c r="O592" s="19">
        <f ca="1">IF('Stock Price'!$I$11="OK",B592/INDEX(B$5:B$1258,'Stock Price'!$I$9)-1,"")</f>
        <v>-9.5250031332247964E-3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-0.16720202874049028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157.97999999999999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48.64</v>
      </c>
      <c r="M593" s="18">
        <v>175.01</v>
      </c>
      <c r="O593" s="19">
        <f ca="1">IF('Stock Price'!$I$11="OK",B593/INDEX(B$5:B$1258,'Stock Price'!$I$9)-1,"")</f>
        <v>-1.0026319087605096E-2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-0.17768385460693148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156.4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48.71</v>
      </c>
      <c r="M594" s="18">
        <v>174.79</v>
      </c>
      <c r="O594" s="19">
        <f ca="1">IF('Stock Price'!$I$11="OK",B594/INDEX(B$5:B$1258,'Stock Price'!$I$9)-1,"")</f>
        <v>-1.9927309186614894E-2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-0.1765004226542688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156.76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49.81</v>
      </c>
      <c r="M595" s="18">
        <v>174.08</v>
      </c>
      <c r="O595" s="19">
        <f ca="1">IF('Stock Price'!$I$11="OK",B595/INDEX(B$5:B$1258,'Stock Price'!$I$9)-1,"")</f>
        <v>-1.7671387391903881E-2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-0.15790363482671166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157.85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49.75</v>
      </c>
      <c r="M596" s="18">
        <v>173.07</v>
      </c>
      <c r="O596" s="19">
        <f ca="1">IF('Stock Price'!$I$11="OK",B596/INDEX(B$5:B$1258,'Stock Price'!$I$9)-1,"")</f>
        <v>-1.0840957513473026E-2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-0.15891800507185116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156.47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48.71</v>
      </c>
      <c r="M597" s="18">
        <v>173.29</v>
      </c>
      <c r="O597" s="19">
        <f ca="1">IF('Stock Price'!$I$11="OK",B597/INDEX(B$5:B$1258,'Stock Price'!$I$9)-1,"")</f>
        <v>-1.9488657726532188E-2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-0.1765004226542688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155.74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48.89</v>
      </c>
      <c r="M598" s="18">
        <v>174.42</v>
      </c>
      <c r="O598" s="19">
        <f ca="1">IF('Stock Price'!$I$11="OK",B598/INDEX(B$5:B$1258,'Stock Price'!$I$9)-1,"")</f>
        <v>-2.4063165810251919E-2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-0.17345731191885039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157.91999999999999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49.44</v>
      </c>
      <c r="M599" s="18">
        <v>176.59</v>
      </c>
      <c r="O599" s="19">
        <f ca="1">IF('Stock Price'!$I$11="OK",B599/INDEX(B$5:B$1258,'Stock Price'!$I$9)-1,"")</f>
        <v>-1.040230605339032E-2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-0.16415891800507187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156.55000000000001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49.86</v>
      </c>
      <c r="M600" s="18">
        <v>177.49</v>
      </c>
      <c r="O600" s="19">
        <f ca="1">IF('Stock Price'!$I$11="OK",B600/INDEX(B$5:B$1258,'Stock Price'!$I$9)-1,"")</f>
        <v>-1.8987341772151889E-2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-0.15705832628909555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157.86000000000001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49.86</v>
      </c>
      <c r="M601" s="18">
        <v>175.75</v>
      </c>
      <c r="O601" s="19">
        <f ca="1">IF('Stock Price'!$I$11="OK",B601/INDEX(B$5:B$1258,'Stock Price'!$I$9)-1,"")</f>
        <v>-1.0778293019175322E-2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-0.15705832628909555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158.68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50.91</v>
      </c>
      <c r="M602" s="18">
        <v>175.14</v>
      </c>
      <c r="O602" s="19">
        <f ca="1">IF('Stock Price'!$I$11="OK",B602/INDEX(B$5:B$1258,'Stock Price'!$I$9)-1,"")</f>
        <v>-5.6398044867778108E-3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-0.13930684699915474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160.44999999999999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51.33</v>
      </c>
      <c r="M603" s="18">
        <v>176.75</v>
      </c>
      <c r="O603" s="19">
        <f ca="1">IF('Stock Price'!$I$11="OK",B603/INDEX(B$5:B$1258,'Stock Price'!$I$9)-1,"")</f>
        <v>5.451811003885032E-3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-0.13220625528317842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161.84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51.66</v>
      </c>
      <c r="M604" s="18">
        <v>178.09</v>
      </c>
      <c r="O604" s="19">
        <f ca="1">IF('Stock Price'!$I$11="OK",B604/INDEX(B$5:B$1258,'Stock Price'!$I$9)-1,"")</f>
        <v>1.4162175711242009E-2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-0.12662721893491125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160.79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50.52</v>
      </c>
      <c r="M605" s="18">
        <v>178.81</v>
      </c>
      <c r="O605" s="19">
        <f ca="1">IF('Stock Price'!$I$11="OK",B605/INDEX(B$5:B$1258,'Stock Price'!$I$9)-1,"")</f>
        <v>7.5824038100011926E-3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-0.1459002535925612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160.97999999999999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50.51</v>
      </c>
      <c r="M606" s="18">
        <v>178.99</v>
      </c>
      <c r="O606" s="19">
        <f ca="1">IF('Stock Price'!$I$11="OK",B606/INDEX(B$5:B$1258,'Stock Price'!$I$9)-1,"")</f>
        <v>8.7730292016541256E-3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-0.14606931530008449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161.55000000000001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50.92</v>
      </c>
      <c r="M607" s="18">
        <v>178</v>
      </c>
      <c r="O607" s="19">
        <f ca="1">IF('Stock Price'!$I$11="OK",B607/INDEX(B$5:B$1258,'Stock Price'!$I$9)-1,"")</f>
        <v>1.2344905376613591E-2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-0.13913778529163134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161.38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50.75</v>
      </c>
      <c r="M608" s="18">
        <v>176.05</v>
      </c>
      <c r="O608" s="19">
        <f ca="1">IF('Stock Price'!$I$11="OK",B608/INDEX(B$5:B$1258,'Stock Price'!$I$9)-1,"")</f>
        <v>1.1279608973555399E-2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-0.14201183431952658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162.12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50.89</v>
      </c>
      <c r="M609" s="18">
        <v>178.91</v>
      </c>
      <c r="O609" s="19">
        <f ca="1">IF('Stock Price'!$I$11="OK",B609/INDEX(B$5:B$1258,'Stock Price'!$I$9)-1,"")</f>
        <v>1.5916781551572834E-2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-0.13964497041420121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159.84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50.92</v>
      </c>
      <c r="M610" s="18">
        <v>177.05</v>
      </c>
      <c r="O610" s="19">
        <f ca="1">IF('Stock Price'!$I$11="OK",B610/INDEX(B$5:B$1258,'Stock Price'!$I$9)-1,"")</f>
        <v>1.6292768517356393E-3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-0.13913778529163134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159.97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51.82</v>
      </c>
      <c r="M611" s="18">
        <v>179.16</v>
      </c>
      <c r="O611" s="19">
        <f ca="1">IF('Stock Price'!$I$11="OK",B611/INDEX(B$5:B$1258,'Stock Price'!$I$9)-1,"")</f>
        <v>2.443915277603681E-3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-0.1239222316145393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159.34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53.38</v>
      </c>
      <c r="M612" s="18">
        <v>181.06</v>
      </c>
      <c r="O612" s="19">
        <f ca="1">IF('Stock Price'!$I$11="OK",B612/INDEX(B$5:B$1258,'Stock Price'!$I$9)-1,"")</f>
        <v>-1.5039478631407865E-3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-9.7548605240912911E-2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158.87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53.28</v>
      </c>
      <c r="M613" s="18">
        <v>180.57</v>
      </c>
      <c r="O613" s="19">
        <f ca="1">IF('Stock Price'!$I$11="OK",B613/INDEX(B$5:B$1258,'Stock Price'!$I$9)-1,"")</f>
        <v>-4.4491790951247667E-3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-9.9239222316145348E-2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159.52000000000001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53.79</v>
      </c>
      <c r="M614" s="18">
        <v>178.85</v>
      </c>
      <c r="O614" s="19">
        <f ca="1">IF('Stock Price'!$I$11="OK",B614/INDEX(B$5:B$1258,'Stock Price'!$I$9)-1,"")</f>
        <v>-3.7598696578522439E-4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-9.0617075232459876E-2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161.22999999999999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54.36</v>
      </c>
      <c r="M615" s="18">
        <v>179.63</v>
      </c>
      <c r="O615" s="19">
        <f ca="1">IF('Stock Price'!$I$11="OK",B615/INDEX(B$5:B$1258,'Stock Price'!$I$9)-1,"")</f>
        <v>1.0339641559092394E-2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-8.0980557903634787E-2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162.74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54.4</v>
      </c>
      <c r="M616" s="18">
        <v>180.92</v>
      </c>
      <c r="O616" s="19">
        <f ca="1">IF('Stock Price'!$I$11="OK",B616/INDEX(B$5:B$1258,'Stock Price'!$I$9)-1,"")</f>
        <v>1.980198019801982E-2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-8.0304311073541856E-2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161.1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52.65</v>
      </c>
      <c r="M617" s="18">
        <v>179.86</v>
      </c>
      <c r="O617" s="19">
        <f ca="1">IF('Stock Price'!$I$11="OK",B617/INDEX(B$5:B$1258,'Stock Price'!$I$9)-1,"")</f>
        <v>9.5250031332245744E-3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-0.10989010989010994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159.21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52.49</v>
      </c>
      <c r="M618" s="18">
        <v>181.2</v>
      </c>
      <c r="O618" s="19">
        <f ca="1">IF('Stock Price'!$I$11="OK",B618/INDEX(B$5:B$1258,'Stock Price'!$I$9)-1,"")</f>
        <v>-2.3185862890087172E-3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-0.11259509721048178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158.18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52.34</v>
      </c>
      <c r="M619" s="18">
        <v>177.88</v>
      </c>
      <c r="O619" s="19">
        <f ca="1">IF('Stock Price'!$I$11="OK",B619/INDEX(B$5:B$1258,'Stock Price'!$I$9)-1,"")</f>
        <v>-8.7730292016543476E-3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-0.11513102282333043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156.76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51.59</v>
      </c>
      <c r="M620" s="18">
        <v>178.49</v>
      </c>
      <c r="O620" s="19">
        <f ca="1">IF('Stock Price'!$I$11="OK",B620/INDEX(B$5:B$1258,'Stock Price'!$I$9)-1,"")</f>
        <v>-1.7671387391903881E-2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-0.12781065088757393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156.21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51.8</v>
      </c>
      <c r="M621" s="18">
        <v>179.66</v>
      </c>
      <c r="O621" s="19">
        <f ca="1">IF('Stock Price'!$I$11="OK",B621/INDEX(B$5:B$1258,'Stock Price'!$I$9)-1,"")</f>
        <v>-2.1117934578267938E-2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-0.12426035502958588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155.76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51.88</v>
      </c>
      <c r="M622" s="18">
        <v>176.27</v>
      </c>
      <c r="O622" s="19">
        <f ca="1">IF('Stock Price'!$I$11="OK",B622/INDEX(B$5:B$1258,'Stock Price'!$I$9)-1,"")</f>
        <v>-2.3937836821656955E-2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-0.1229078613693998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155.75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51.59</v>
      </c>
      <c r="M623" s="18">
        <v>177.5</v>
      </c>
      <c r="O623" s="19">
        <f ca="1">IF('Stock Price'!$I$11="OK",B623/INDEX(B$5:B$1258,'Stock Price'!$I$9)-1,"")</f>
        <v>-2.4000501315954437E-2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-0.12781065088757393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155.22999999999999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51.93</v>
      </c>
      <c r="M624" s="18">
        <v>178.45</v>
      </c>
      <c r="O624" s="19">
        <f ca="1">IF('Stock Price'!$I$11="OK",B624/INDEX(B$5:B$1258,'Stock Price'!$I$9)-1,"")</f>
        <v>-2.7259055019426159E-2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-0.12206255283178358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155.22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52.25</v>
      </c>
      <c r="M625" s="18">
        <v>178.53</v>
      </c>
      <c r="O625" s="19">
        <f ca="1">IF('Stock Price'!$I$11="OK",B625/INDEX(B$5:B$1258,'Stock Price'!$I$9)-1,"")</f>
        <v>-2.7321719513723641E-2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-0.11665257819103969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155.77000000000001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52.55</v>
      </c>
      <c r="M626" s="18">
        <v>179.19</v>
      </c>
      <c r="O626" s="19">
        <f ca="1">IF('Stock Price'!$I$11="OK",B626/INDEX(B$5:B$1258,'Stock Price'!$I$9)-1,"")</f>
        <v>-2.3875172327359362E-2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-0.11158072696534238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157.96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53.25</v>
      </c>
      <c r="M627" s="18">
        <v>180.35</v>
      </c>
      <c r="O627" s="19">
        <f ca="1">IF('Stock Price'!$I$11="OK",B627/INDEX(B$5:B$1258,'Stock Price'!$I$9)-1,"")</f>
        <v>-1.0151648076200059E-2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-9.9746407438715101E-2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158.19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54.23</v>
      </c>
      <c r="M628" s="18">
        <v>182.1</v>
      </c>
      <c r="O628" s="19">
        <f ca="1">IF('Stock Price'!$I$11="OK",B628/INDEX(B$5:B$1258,'Stock Price'!$I$9)-1,"")</f>
        <v>-8.7103647073568657E-3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-8.3178360101437088E-2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157.78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52.99</v>
      </c>
      <c r="M629" s="18">
        <v>180.76</v>
      </c>
      <c r="O629" s="19">
        <f ca="1">IF('Stock Price'!$I$11="OK",B629/INDEX(B$5:B$1258,'Stock Price'!$I$9)-1,"")</f>
        <v>-1.1279608973555622E-2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-0.10414201183431948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157.72999999999999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52.74</v>
      </c>
      <c r="M630" s="18">
        <v>180.69</v>
      </c>
      <c r="O630" s="19">
        <f ca="1">IF('Stock Price'!$I$11="OK",B630/INDEX(B$5:B$1258,'Stock Price'!$I$9)-1,"")</f>
        <v>-1.1592931445043364E-2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-0.10836855452240057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154.26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52.18</v>
      </c>
      <c r="M631" s="18">
        <v>177.33</v>
      </c>
      <c r="O631" s="19">
        <f ca="1">IF('Stock Price'!$I$11="OK",B631/INDEX(B$5:B$1258,'Stock Price'!$I$9)-1,"")</f>
        <v>-3.3337510966286676E-2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-0.11783601014370249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152.5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51.4</v>
      </c>
      <c r="M632" s="18">
        <v>167.9</v>
      </c>
      <c r="O632" s="19">
        <f ca="1">IF('Stock Price'!$I$11="OK",B632/INDEX(B$5:B$1258,'Stock Price'!$I$9)-1,"")</f>
        <v>-4.4366461962652037E-2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-0.13102282333051563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152.38999999999999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51.32</v>
      </c>
      <c r="M633" s="18">
        <v>170</v>
      </c>
      <c r="O633" s="19">
        <f ca="1">IF('Stock Price'!$I$11="OK",B633/INDEX(B$5:B$1258,'Stock Price'!$I$9)-1,"")</f>
        <v>-4.5055771399925004E-2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-0.1323753169907016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151.59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51.1</v>
      </c>
      <c r="M634" s="18">
        <v>169.8</v>
      </c>
      <c r="O634" s="19">
        <f ca="1">IF('Stock Price'!$I$11="OK",B634/INDEX(B$5:B$1258,'Stock Price'!$I$9)-1,"")</f>
        <v>-5.006893094372733E-2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-0.13609467455621294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152.29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51.6</v>
      </c>
      <c r="M635" s="18">
        <v>170.14</v>
      </c>
      <c r="O635" s="19">
        <f ca="1">IF('Stock Price'!$I$11="OK",B635/INDEX(B$5:B$1258,'Stock Price'!$I$9)-1,"")</f>
        <v>-4.5682416342900267E-2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-0.12764158918005064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150.19999999999999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50.29</v>
      </c>
      <c r="M636" s="18">
        <v>169.03</v>
      </c>
      <c r="O636" s="19">
        <f ca="1">IF('Stock Price'!$I$11="OK",B636/INDEX(B$5:B$1258,'Stock Price'!$I$9)-1,"")</f>
        <v>-5.8779295651084196E-2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-0.14978867286559594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148.79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49.12</v>
      </c>
      <c r="M637" s="18">
        <v>167.52</v>
      </c>
      <c r="O637" s="19">
        <f ca="1">IF('Stock Price'!$I$11="OK",B637/INDEX(B$5:B$1258,'Stock Price'!$I$9)-1,"")</f>
        <v>-6.7614989347036136E-2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-0.16956889264581576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147.52000000000001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48.28</v>
      </c>
      <c r="M638" s="18">
        <v>162.28</v>
      </c>
      <c r="O638" s="19">
        <f ca="1">IF('Stock Price'!$I$11="OK",B638/INDEX(B$5:B$1258,'Stock Price'!$I$9)-1,"")</f>
        <v>-7.5573380122822442E-2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-0.1837700760777683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147.59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48.51</v>
      </c>
      <c r="M639" s="18">
        <v>161.66999999999999</v>
      </c>
      <c r="O639" s="19">
        <f ca="1">IF('Stock Price'!$I$11="OK",B639/INDEX(B$5:B$1258,'Stock Price'!$I$9)-1,"")</f>
        <v>-7.5134728662739736E-2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-0.17988165680473378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144.44999999999999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48.26</v>
      </c>
      <c r="M640" s="18">
        <v>162.54</v>
      </c>
      <c r="O640" s="19">
        <f ca="1">IF('Stock Price'!$I$11="OK",B640/INDEX(B$5:B$1258,'Stock Price'!$I$9)-1,"")</f>
        <v>-9.4811379872164592E-2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-0.18410819949281487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144.77000000000001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47.84</v>
      </c>
      <c r="M641" s="18">
        <v>164.25</v>
      </c>
      <c r="O641" s="19">
        <f ca="1">IF('Stock Price'!$I$11="OK",B641/INDEX(B$5:B$1258,'Stock Price'!$I$9)-1,"")</f>
        <v>-9.2806116054643395E-2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-0.19120879120879108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145.74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48.3</v>
      </c>
      <c r="M642" s="18">
        <v>164.66</v>
      </c>
      <c r="O642" s="19">
        <f ca="1">IF('Stock Price'!$I$11="OK",B642/INDEX(B$5:B$1258,'Stock Price'!$I$9)-1,"")</f>
        <v>-8.6727660107782989E-2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-0.18343195266272194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147.91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48.93</v>
      </c>
      <c r="M643" s="18">
        <v>166.41</v>
      </c>
      <c r="O643" s="19">
        <f ca="1">IF('Stock Price'!$I$11="OK",B643/INDEX(B$5:B$1258,'Stock Price'!$I$9)-1,"")</f>
        <v>-7.3129464845218761E-2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-0.17278106508875735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149.12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49.14</v>
      </c>
      <c r="M644" s="18">
        <v>167.89</v>
      </c>
      <c r="O644" s="19">
        <f ca="1">IF('Stock Price'!$I$11="OK",B644/INDEX(B$5:B$1258,'Stock Price'!$I$9)-1,"")</f>
        <v>-6.5547061035217458E-2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-0.16923076923076918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149.56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48.99</v>
      </c>
      <c r="M645" s="18">
        <v>169.54</v>
      </c>
      <c r="O645" s="19">
        <f ca="1">IF('Stock Price'!$I$11="OK",B645/INDEX(B$5:B$1258,'Stock Price'!$I$9)-1,"")</f>
        <v>-6.2789823286126145E-2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-0.17176669484361784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148.53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48.86</v>
      </c>
      <c r="M646" s="18">
        <v>167.8</v>
      </c>
      <c r="O646" s="19">
        <f ca="1">IF('Stock Price'!$I$11="OK",B646/INDEX(B$5:B$1258,'Stock Price'!$I$9)-1,"")</f>
        <v>-6.9244266198771887E-2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-0.17396449704142014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146.82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44.7</v>
      </c>
      <c r="M647" s="18">
        <v>167.29</v>
      </c>
      <c r="O647" s="19">
        <f ca="1">IF('Stock Price'!$I$11="OK",B647/INDEX(B$5:B$1258,'Stock Price'!$I$9)-1,"")</f>
        <v>-7.9959894723649727E-2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-0.24429416737109033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146.13999999999999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44.85</v>
      </c>
      <c r="M648" s="18">
        <v>159.62</v>
      </c>
      <c r="O648" s="19">
        <f ca="1">IF('Stock Price'!$I$11="OK",B648/INDEX(B$5:B$1258,'Stock Price'!$I$9)-1,"")</f>
        <v>-8.4221080335881826E-2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-0.24175824175824168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146.82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44.64</v>
      </c>
      <c r="M649" s="18">
        <v>161.52000000000001</v>
      </c>
      <c r="O649" s="19">
        <f ca="1">IF('Stock Price'!$I$11="OK",B649/INDEX(B$5:B$1258,'Stock Price'!$I$9)-1,"")</f>
        <v>-7.9959894723649727E-2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-0.24530853761622995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144.59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43.94</v>
      </c>
      <c r="M650" s="18">
        <v>162.63999999999999</v>
      </c>
      <c r="O650" s="19">
        <f ca="1">IF('Stock Price'!$I$11="OK",B650/INDEX(B$5:B$1258,'Stock Price'!$I$9)-1,"")</f>
        <v>-9.3934076951999068E-2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-0.25714285714285712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151.18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44.21</v>
      </c>
      <c r="M651" s="18">
        <v>161.72</v>
      </c>
      <c r="O651" s="19">
        <f ca="1">IF('Stock Price'!$I$11="OK",B651/INDEX(B$5:B$1258,'Stock Price'!$I$9)-1,"")</f>
        <v>-5.2638175209926086E-2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-0.25257819103972945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149.91999999999999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43.7</v>
      </c>
      <c r="M652" s="18">
        <v>160.81</v>
      </c>
      <c r="O652" s="19">
        <f ca="1">IF('Stock Price'!$I$11="OK",B652/INDEX(B$5:B$1258,'Stock Price'!$I$9)-1,"")</f>
        <v>-6.0533901491415132E-2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-0.26120033812341503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149.27000000000001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43.99</v>
      </c>
      <c r="M653" s="18">
        <v>163.79</v>
      </c>
      <c r="O653" s="19">
        <f ca="1">IF('Stock Price'!$I$11="OK",B653/INDEX(B$5:B$1258,'Stock Price'!$I$9)-1,"")</f>
        <v>-6.4607093620754452E-2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-0.2562975486052409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148.58000000000001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43.9</v>
      </c>
      <c r="M654" s="18">
        <v>162.72999999999999</v>
      </c>
      <c r="O654" s="19">
        <f ca="1">IF('Stock Price'!$I$11="OK",B654/INDEX(B$5:B$1258,'Stock Price'!$I$9)-1,"")</f>
        <v>-6.8930943727284144E-2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-0.25781910397295016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148.72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44.04</v>
      </c>
      <c r="M655" s="18">
        <v>162.55000000000001</v>
      </c>
      <c r="O655" s="19">
        <f ca="1">IF('Stock Price'!$I$11="OK",B655/INDEX(B$5:B$1258,'Stock Price'!$I$9)-1,"")</f>
        <v>-6.8053640807118732E-2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-0.25545224006762468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148.94999999999999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43.67</v>
      </c>
      <c r="M656" s="18">
        <v>160.44999999999999</v>
      </c>
      <c r="O656" s="19">
        <f ca="1">IF('Stock Price'!$I$11="OK",B656/INDEX(B$5:B$1258,'Stock Price'!$I$9)-1,"")</f>
        <v>-6.6612357438275649E-2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-0.26170752324598479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149.85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44.74</v>
      </c>
      <c r="M657" s="18">
        <v>160.4</v>
      </c>
      <c r="O657" s="19">
        <f ca="1">IF('Stock Price'!$I$11="OK",B657/INDEX(B$5:B$1258,'Stock Price'!$I$9)-1,"")</f>
        <v>-6.0972552951497838E-2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-0.2436179205409974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149.91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44.94</v>
      </c>
      <c r="M658" s="18">
        <v>160.75</v>
      </c>
      <c r="O658" s="19">
        <f ca="1">IF('Stock Price'!$I$11="OK",B658/INDEX(B$5:B$1258,'Stock Price'!$I$9)-1,"")</f>
        <v>-6.0596565985712614E-2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-0.24023668639053253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151.22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45.06</v>
      </c>
      <c r="M659" s="18">
        <v>161.28</v>
      </c>
      <c r="O659" s="19">
        <f ca="1">IF('Stock Price'!$I$11="OK",B659/INDEX(B$5:B$1258,'Stock Price'!$I$9)-1,"")</f>
        <v>-5.2387517232736047E-2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-0.23820794590025351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151.38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44.71</v>
      </c>
      <c r="M660" s="18">
        <v>161.59</v>
      </c>
      <c r="O660" s="19">
        <f ca="1">IF('Stock Price'!$I$11="OK",B660/INDEX(B$5:B$1258,'Stock Price'!$I$9)-1,"")</f>
        <v>-5.138488532397556E-2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-0.24412510566356715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152.66999999999999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44.55</v>
      </c>
      <c r="M661" s="18">
        <v>163.79</v>
      </c>
      <c r="O661" s="19">
        <f ca="1">IF('Stock Price'!$I$11="OK",B661/INDEX(B$5:B$1258,'Stock Price'!$I$9)-1,"")</f>
        <v>-4.3301165559594068E-2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-0.24683009298393921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154.28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44.11</v>
      </c>
      <c r="M662" s="18">
        <v>164.35</v>
      </c>
      <c r="O662" s="19">
        <f ca="1">IF('Stock Price'!$I$11="OK",B662/INDEX(B$5:B$1258,'Stock Price'!$I$9)-1,"")</f>
        <v>-3.3212181977691491E-2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-0.254268808114962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154.63999999999999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44.03</v>
      </c>
      <c r="M663" s="18">
        <v>166.42</v>
      </c>
      <c r="O663" s="19">
        <f ca="1">IF('Stock Price'!$I$11="OK",B663/INDEX(B$5:B$1258,'Stock Price'!$I$9)-1,"")</f>
        <v>-3.0956260182980477E-2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-0.25562130177514786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151.27000000000001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43.36</v>
      </c>
      <c r="M664" s="18">
        <v>164.56</v>
      </c>
      <c r="O664" s="19">
        <f ca="1">IF('Stock Price'!$I$11="OK",B664/INDEX(B$5:B$1258,'Stock Price'!$I$9)-1,"")</f>
        <v>-5.2074194761248305E-2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-0.26694843617920538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151.24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42.27</v>
      </c>
      <c r="M665" s="18">
        <v>162.93</v>
      </c>
      <c r="O665" s="19">
        <f ca="1">IF('Stock Price'!$I$11="OK",B665/INDEX(B$5:B$1258,'Stock Price'!$I$9)-1,"")</f>
        <v>-5.2262188244140861E-2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-0.28537616229923912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153.5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42.34</v>
      </c>
      <c r="M666" s="18">
        <v>159.61000000000001</v>
      </c>
      <c r="O666" s="19">
        <f ca="1">IF('Stock Price'!$I$11="OK",B666/INDEX(B$5:B$1258,'Stock Price'!$I$9)-1,"")</f>
        <v>-3.8100012532898964E-2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-0.28419273034657644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149.69999999999999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41.54</v>
      </c>
      <c r="M667" s="18">
        <v>158.26</v>
      </c>
      <c r="O667" s="19">
        <f ca="1">IF('Stock Price'!$I$11="OK",B667/INDEX(B$5:B$1258,'Stock Price'!$I$9)-1,"")</f>
        <v>-6.1912520365960844E-2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-0.29771766694843615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146.97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41.24</v>
      </c>
      <c r="M668" s="18">
        <v>157.06</v>
      </c>
      <c r="O668" s="19">
        <f ca="1">IF('Stock Price'!$I$11="OK",B668/INDEX(B$5:B$1258,'Stock Price'!$I$9)-1,"")</f>
        <v>-7.9019927309186722E-2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-0.30278951817413347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144.38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40.49</v>
      </c>
      <c r="M669" s="18">
        <v>155.34</v>
      </c>
      <c r="O669" s="19">
        <f ca="1">IF('Stock Price'!$I$11="OK",B669/INDEX(B$5:B$1258,'Stock Price'!$I$9)-1,"")</f>
        <v>-9.5250031332247298E-2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-0.31546914623837696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144.44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40.25</v>
      </c>
      <c r="M670" s="18">
        <v>154.79</v>
      </c>
      <c r="O670" s="19">
        <f ca="1">IF('Stock Price'!$I$11="OK",B670/INDEX(B$5:B$1258,'Stock Price'!$I$9)-1,"")</f>
        <v>-9.4874044366462074E-2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-0.31952662721893488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145.28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40.25</v>
      </c>
      <c r="M671" s="18">
        <v>156.31</v>
      </c>
      <c r="O671" s="19">
        <f ca="1">IF('Stock Price'!$I$11="OK",B671/INDEX(B$5:B$1258,'Stock Price'!$I$9)-1,"")</f>
        <v>-8.9610226845469376E-2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-0.31952662721893488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146.66999999999999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41.09</v>
      </c>
      <c r="M672" s="18">
        <v>161.24</v>
      </c>
      <c r="O672" s="19">
        <f ca="1">IF('Stock Price'!$I$11="OK",B672/INDEX(B$5:B$1258,'Stock Price'!$I$9)-1,"")</f>
        <v>-8.0899862138112733E-2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-0.30532544378698212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147.74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41.77</v>
      </c>
      <c r="M673" s="18">
        <v>160.19</v>
      </c>
      <c r="O673" s="19">
        <f ca="1">IF('Stock Price'!$I$11="OK",B673/INDEX(B$5:B$1258,'Stock Price'!$I$9)-1,"")</f>
        <v>-7.419476124827673E-2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-0.29382924767540142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147.80000000000001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41.75</v>
      </c>
      <c r="M674" s="18">
        <v>162.13999999999999</v>
      </c>
      <c r="O674" s="19">
        <f ca="1">IF('Stock Price'!$I$11="OK",B674/INDEX(B$5:B$1258,'Stock Price'!$I$9)-1,"")</f>
        <v>-7.3818774282491506E-2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-0.29416737109044799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145.97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41.24</v>
      </c>
      <c r="M675" s="18">
        <v>165.44</v>
      </c>
      <c r="O675" s="19">
        <f ca="1">IF('Stock Price'!$I$11="OK",B675/INDEX(B$5:B$1258,'Stock Price'!$I$9)-1,"")</f>
        <v>-8.5286376738939795E-2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-0.30278951817413347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146.41999999999999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40.880000000000003</v>
      </c>
      <c r="M676" s="18">
        <v>168.57</v>
      </c>
      <c r="O676" s="19">
        <f ca="1">IF('Stock Price'!$I$11="OK",B676/INDEX(B$5:B$1258,'Stock Price'!$I$9)-1,"")</f>
        <v>-8.2466474495551001E-2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-0.30887573964497039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147.08000000000001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41.48</v>
      </c>
      <c r="M677" s="18">
        <v>169.42</v>
      </c>
      <c r="O677" s="19">
        <f ca="1">IF('Stock Price'!$I$11="OK",B677/INDEX(B$5:B$1258,'Stock Price'!$I$9)-1,"")</f>
        <v>-7.8330617871913755E-2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-0.29873203719357566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147.13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42.57</v>
      </c>
      <c r="M678" s="18">
        <v>170.46</v>
      </c>
      <c r="O678" s="19">
        <f ca="1">IF('Stock Price'!$I$11="OK",B678/INDEX(B$5:B$1258,'Stock Price'!$I$9)-1,"")</f>
        <v>-7.8017295400426234E-2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-0.28030431107354181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146.76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43.02</v>
      </c>
      <c r="M679" s="18">
        <v>167.7</v>
      </c>
      <c r="O679" s="19">
        <f ca="1">IF('Stock Price'!$I$11="OK",B679/INDEX(B$5:B$1258,'Stock Price'!$I$9)-1,"")</f>
        <v>-8.033588168943484E-2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-0.27269653423499574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145.41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42.41</v>
      </c>
      <c r="M680" s="18">
        <v>166.09</v>
      </c>
      <c r="O680" s="19">
        <f ca="1">IF('Stock Price'!$I$11="OK",B680/INDEX(B$5:B$1258,'Stock Price'!$I$9)-1,"")</f>
        <v>-8.8795588419601557E-2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-0.28300929839391387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145.44999999999999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41.48</v>
      </c>
      <c r="M681" s="18">
        <v>166.56</v>
      </c>
      <c r="O681" s="19">
        <f ca="1">IF('Stock Price'!$I$11="OK",B681/INDEX(B$5:B$1258,'Stock Price'!$I$9)-1,"")</f>
        <v>-8.8544930442411518E-2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-0.29873203719357566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145.54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41.2</v>
      </c>
      <c r="M682" s="18">
        <v>168.59</v>
      </c>
      <c r="O682" s="19">
        <f ca="1">IF('Stock Price'!$I$11="OK",B682/INDEX(B$5:B$1258,'Stock Price'!$I$9)-1,"")</f>
        <v>-8.7980949993733626E-2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-0.30346576500422651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145.94999999999999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40.97</v>
      </c>
      <c r="M683" s="18">
        <v>169.68</v>
      </c>
      <c r="O683" s="19">
        <f ca="1">IF('Stock Price'!$I$11="OK",B683/INDEX(B$5:B$1258,'Stock Price'!$I$9)-1,"")</f>
        <v>-8.541170572753487E-2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-0.30735418427726124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145.65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40.81</v>
      </c>
      <c r="M684" s="18">
        <v>171.36</v>
      </c>
      <c r="O684" s="19">
        <f ca="1">IF('Stock Price'!$I$11="OK",B684/INDEX(B$5:B$1258,'Stock Price'!$I$9)-1,"")</f>
        <v>-8.729164055646077E-2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-0.31005917159763308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147.78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41.04</v>
      </c>
      <c r="M685" s="18">
        <v>172.13</v>
      </c>
      <c r="O685" s="19">
        <f ca="1">IF('Stock Price'!$I$11="OK",B685/INDEX(B$5:B$1258,'Stock Price'!$I$9)-1,"")</f>
        <v>-7.3944103271086692E-2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-0.30617075232459845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148.75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41.93</v>
      </c>
      <c r="M686" s="18">
        <v>170.39</v>
      </c>
      <c r="O686" s="19">
        <f ca="1">IF('Stock Price'!$I$11="OK",B686/INDEX(B$5:B$1258,'Stock Price'!$I$9)-1,"")</f>
        <v>-6.7865647324226175E-2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-0.29112426035502958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149.12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42.23</v>
      </c>
      <c r="M687" s="18">
        <v>172.74</v>
      </c>
      <c r="O687" s="19">
        <f ca="1">IF('Stock Price'!$I$11="OK",B687/INDEX(B$5:B$1258,'Stock Price'!$I$9)-1,"")</f>
        <v>-6.5547061035217458E-2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-0.28605240912933227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147.19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42.19</v>
      </c>
      <c r="M688" s="18">
        <v>170.75</v>
      </c>
      <c r="O688" s="19">
        <f ca="1">IF('Stock Price'!$I$11="OK",B688/INDEX(B$5:B$1258,'Stock Price'!$I$9)-1,"")</f>
        <v>-7.764130843464101E-2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-0.2867286559594252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146.82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42.5</v>
      </c>
      <c r="M689" s="18">
        <v>171.15</v>
      </c>
      <c r="O689" s="19">
        <f ca="1">IF('Stock Price'!$I$11="OK",B689/INDEX(B$5:B$1258,'Stock Price'!$I$9)-1,"")</f>
        <v>-7.9959894723649727E-2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-0.2814877430262045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145.80000000000001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41.51</v>
      </c>
      <c r="M690" s="18">
        <v>168.99</v>
      </c>
      <c r="O690" s="19">
        <f ca="1">IF('Stock Price'!$I$11="OK",B690/INDEX(B$5:B$1258,'Stock Price'!$I$9)-1,"")</f>
        <v>-8.6351673141997765E-2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-0.29822485207100591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146.16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41.53</v>
      </c>
      <c r="M691" s="18">
        <v>171.52</v>
      </c>
      <c r="O691" s="19">
        <f ca="1">IF('Stock Price'!$I$11="OK",B691/INDEX(B$5:B$1258,'Stock Price'!$I$9)-1,"")</f>
        <v>-8.4095751347286751E-2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-0.29788672865595944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146.44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41.3</v>
      </c>
      <c r="M692" s="18">
        <v>170.37</v>
      </c>
      <c r="O692" s="19">
        <f ca="1">IF('Stock Price'!$I$11="OK",B692/INDEX(B$5:B$1258,'Stock Price'!$I$9)-1,"")</f>
        <v>-8.2341145506955815E-2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-0.30177514792899407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146.03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40.450000000000003</v>
      </c>
      <c r="M693" s="18">
        <v>165.96</v>
      </c>
      <c r="O693" s="19">
        <f ca="1">IF('Stock Price'!$I$11="OK",B693/INDEX(B$5:B$1258,'Stock Price'!$I$9)-1,"")</f>
        <v>-8.4910389773154571E-2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-0.31614539306846989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145.69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40.06</v>
      </c>
      <c r="M694" s="18">
        <v>163.84</v>
      </c>
      <c r="O694" s="19">
        <f ca="1">IF('Stock Price'!$I$11="OK",B694/INDEX(B$5:B$1258,'Stock Price'!$I$9)-1,"")</f>
        <v>-8.704098257927062E-2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-0.32273879966187657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146.47999999999999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39.659999999999997</v>
      </c>
      <c r="M695" s="18">
        <v>167.25</v>
      </c>
      <c r="O695" s="19">
        <f ca="1">IF('Stock Price'!$I$11="OK",B695/INDEX(B$5:B$1258,'Stock Price'!$I$9)-1,"")</f>
        <v>-8.2090487529765777E-2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-0.32950126796280643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145.47999999999999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39.99</v>
      </c>
      <c r="M696" s="18">
        <v>166.52</v>
      </c>
      <c r="O696" s="19">
        <f ca="1">IF('Stock Price'!$I$11="OK",B696/INDEX(B$5:B$1258,'Stock Price'!$I$9)-1,"")</f>
        <v>-8.835693695951885E-2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-0.32392223161453926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147.05000000000001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40.86</v>
      </c>
      <c r="M697" s="18">
        <v>168.05</v>
      </c>
      <c r="O697" s="19">
        <f ca="1">IF('Stock Price'!$I$11="OK",B697/INDEX(B$5:B$1258,'Stock Price'!$I$9)-1,"")</f>
        <v>-7.8518611354806422E-2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-0.30921386306001686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149.43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41.12</v>
      </c>
      <c r="M698" s="18">
        <v>168.14</v>
      </c>
      <c r="O698" s="19">
        <f ca="1">IF('Stock Price'!$I$11="OK",B698/INDEX(B$5:B$1258,'Stock Price'!$I$9)-1,"")</f>
        <v>-6.3604461711993965E-2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-0.30481825866441259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149.69999999999999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40.75</v>
      </c>
      <c r="M699" s="18">
        <v>169.91</v>
      </c>
      <c r="O699" s="19">
        <f ca="1">IF('Stock Price'!$I$11="OK",B699/INDEX(B$5:B$1258,'Stock Price'!$I$9)-1,"")</f>
        <v>-6.1912520365960844E-2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-0.31107354184277258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149.88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40.46</v>
      </c>
      <c r="M700" s="18">
        <v>170.28</v>
      </c>
      <c r="O700" s="19">
        <f ca="1">IF('Stock Price'!$I$11="OK",B700/INDEX(B$5:B$1258,'Stock Price'!$I$9)-1,"")</f>
        <v>-6.078455946860517E-2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-0.31597633136094672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149.24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40.15</v>
      </c>
      <c r="M701" s="18">
        <v>168.03</v>
      </c>
      <c r="O701" s="19">
        <f ca="1">IF('Stock Price'!$I$11="OK",B701/INDEX(B$5:B$1258,'Stock Price'!$I$9)-1,"")</f>
        <v>-6.479508710364712E-2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-0.32121724429416743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151.01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41.2</v>
      </c>
      <c r="M702" s="18">
        <v>169.2</v>
      </c>
      <c r="O702" s="19">
        <f ca="1">IF('Stock Price'!$I$11="OK",B702/INDEX(B$5:B$1258,'Stock Price'!$I$9)-1,"")</f>
        <v>-5.3703471612984166E-2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-0.30346576500422651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156.58000000000001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43.15</v>
      </c>
      <c r="M703" s="18">
        <v>175.27</v>
      </c>
      <c r="O703" s="19">
        <f ca="1">IF('Stock Price'!$I$11="OK",B703/INDEX(B$5:B$1258,'Stock Price'!$I$9)-1,"")</f>
        <v>-1.8799348289259332E-2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-0.27049873203719355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155.41999999999999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42.39</v>
      </c>
      <c r="M704" s="18">
        <v>171.14</v>
      </c>
      <c r="O704" s="19">
        <f ca="1">IF('Stock Price'!$I$11="OK",B704/INDEX(B$5:B$1258,'Stock Price'!$I$9)-1,"")</f>
        <v>-2.6068429627773004E-2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-0.28334742180896022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154.69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42.64</v>
      </c>
      <c r="M705" s="18">
        <v>172.32</v>
      </c>
      <c r="O705" s="19">
        <f ca="1">IF('Stock Price'!$I$11="OK",B705/INDEX(B$5:B$1258,'Stock Price'!$I$9)-1,"")</f>
        <v>-3.0642937711492735E-2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-0.27912087912087913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154.24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42.67</v>
      </c>
      <c r="M706" s="18">
        <v>173.61</v>
      </c>
      <c r="O706" s="19">
        <f ca="1">IF('Stock Price'!$I$11="OK",B706/INDEX(B$5:B$1258,'Stock Price'!$I$9)-1,"")</f>
        <v>-3.3462839954881529E-2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-0.27861369399830938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152.35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42.98</v>
      </c>
      <c r="M707" s="18">
        <v>173.15</v>
      </c>
      <c r="O707" s="19">
        <f ca="1">IF('Stock Price'!$I$11="OK",B707/INDEX(B$5:B$1258,'Stock Price'!$I$9)-1,"")</f>
        <v>-4.5306429377115043E-2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-0.27337278106508878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156.28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44.66</v>
      </c>
      <c r="M708" s="18">
        <v>176.21</v>
      </c>
      <c r="O708" s="19">
        <f ca="1">IF('Stock Price'!$I$11="OK",B708/INDEX(B$5:B$1258,'Stock Price'!$I$9)-1,"")</f>
        <v>-2.0679283118185343E-2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-0.24497041420118348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159.63999999999999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45.27</v>
      </c>
      <c r="M709" s="18">
        <v>182.17</v>
      </c>
      <c r="O709" s="19">
        <f ca="1">IF('Stock Price'!$I$11="OK",B709/INDEX(B$5:B$1258,'Stock Price'!$I$9)-1,"")</f>
        <v>3.7598696578511337E-4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-0.23465765004226535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160.63999999999999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50.45</v>
      </c>
      <c r="M710" s="18">
        <v>185.16</v>
      </c>
      <c r="O710" s="19">
        <f ca="1">IF('Stock Price'!$I$11="OK",B710/INDEX(B$5:B$1258,'Stock Price'!$I$9)-1,"")</f>
        <v>6.6424363955381871E-3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-0.14708368554522389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158.56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48.98</v>
      </c>
      <c r="M711" s="18">
        <v>181.94</v>
      </c>
      <c r="O711" s="19">
        <f ca="1">IF('Stock Price'!$I$11="OK",B711/INDEX(B$5:B$1258,'Stock Price'!$I$9)-1,"")</f>
        <v>-6.3917784183482595E-3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-0.17193575655114124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161.33000000000001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49.05</v>
      </c>
      <c r="M712" s="18">
        <v>186.78</v>
      </c>
      <c r="O712" s="19">
        <f ca="1">IF('Stock Price'!$I$11="OK",B712/INDEX(B$5:B$1258,'Stock Price'!$I$9)-1,"")</f>
        <v>1.0966286502067879E-2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-0.17075232459847844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157.85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47.56</v>
      </c>
      <c r="M713" s="18">
        <v>185.32</v>
      </c>
      <c r="O713" s="19">
        <f ca="1">IF('Stock Price'!$I$11="OK",B713/INDEX(B$5:B$1258,'Stock Price'!$I$9)-1,"")</f>
        <v>-1.0840957513473026E-2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-0.19594251901944204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160.76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48.17</v>
      </c>
      <c r="M714" s="18">
        <v>189.71</v>
      </c>
      <c r="O714" s="19">
        <f ca="1">IF('Stock Price'!$I$11="OK",B714/INDEX(B$5:B$1258,'Stock Price'!$I$9)-1,"")</f>
        <v>7.3944103271084138E-3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-0.18562975486052402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164.14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48.77</v>
      </c>
      <c r="M715" s="18">
        <v>189.29</v>
      </c>
      <c r="O715" s="19">
        <f ca="1">IF('Stock Price'!$I$11="OK",B715/INDEX(B$5:B$1258,'Stock Price'!$I$9)-1,"")</f>
        <v>2.8575009399673945E-2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-0.17548605240912929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161.25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47.59</v>
      </c>
      <c r="M716" s="18">
        <v>184.36</v>
      </c>
      <c r="O716" s="19">
        <f ca="1">IF('Stock Price'!$I$11="OK",B716/INDEX(B$5:B$1258,'Stock Price'!$I$9)-1,"")</f>
        <v>1.046497054768758E-2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-0.19543533389687229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158.97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47.31</v>
      </c>
      <c r="M717" s="18">
        <v>185.71</v>
      </c>
      <c r="O717" s="19">
        <f ca="1">IF('Stock Price'!$I$11="OK",B717/INDEX(B$5:B$1258,'Stock Price'!$I$9)-1,"")</f>
        <v>-3.8225341521495038E-3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-0.20016906170752324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158.9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46.5</v>
      </c>
      <c r="M718" s="18">
        <v>187.51</v>
      </c>
      <c r="O718" s="19">
        <f ca="1">IF('Stock Price'!$I$11="OK",B718/INDEX(B$5:B$1258,'Stock Price'!$I$9)-1,"")</f>
        <v>-4.261185612232099E-3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-0.21386306001690614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160.22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46.85</v>
      </c>
      <c r="M719" s="18">
        <v>190.4</v>
      </c>
      <c r="O719" s="19">
        <f ca="1">IF('Stock Price'!$I$11="OK",B719/INDEX(B$5:B$1258,'Stock Price'!$I$9)-1,"")</f>
        <v>4.0105276350419494E-3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-0.2079459002535925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160.62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46.72</v>
      </c>
      <c r="M720" s="18">
        <v>189.93</v>
      </c>
      <c r="O720" s="19">
        <f ca="1">IF('Stock Price'!$I$11="OK",B720/INDEX(B$5:B$1258,'Stock Price'!$I$9)-1,"")</f>
        <v>6.5171074069432233E-3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-0.2101437024513948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159.88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47.06</v>
      </c>
      <c r="M721" s="18">
        <v>190.18</v>
      </c>
      <c r="O721" s="19">
        <f ca="1">IF('Stock Price'!$I$11="OK",B721/INDEX(B$5:B$1258,'Stock Price'!$I$9)-1,"")</f>
        <v>1.8799348289257889E-3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-0.20439560439560434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158.38999999999999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49.06</v>
      </c>
      <c r="M722" s="18">
        <v>191.23</v>
      </c>
      <c r="O722" s="19">
        <f ca="1">IF('Stock Price'!$I$11="OK",B722/INDEX(B$5:B$1258,'Stock Price'!$I$9)-1,"")</f>
        <v>-7.4570748214063398E-3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-0.17058326289095516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158.47999999999999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48.41</v>
      </c>
      <c r="M723" s="18">
        <v>193</v>
      </c>
      <c r="O723" s="19">
        <f ca="1">IF('Stock Price'!$I$11="OK",B723/INDEX(B$5:B$1258,'Stock Price'!$I$9)-1,"")</f>
        <v>-6.8930943727285587E-3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-0.18157227387996622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159.09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49.11</v>
      </c>
      <c r="M724" s="18">
        <v>193.4</v>
      </c>
      <c r="O724" s="19">
        <f ca="1">IF('Stock Price'!$I$11="OK",B724/INDEX(B$5:B$1258,'Stock Price'!$I$9)-1,"")</f>
        <v>-3.070560220579055E-3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-0.16973795435333894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159.38999999999999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49.36</v>
      </c>
      <c r="M725" s="18">
        <v>193.9</v>
      </c>
      <c r="O725" s="19">
        <f ca="1">IF('Stock Price'!$I$11="OK",B725/INDEX(B$5:B$1258,'Stock Price'!$I$9)-1,"")</f>
        <v>-1.1906253916532661E-3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-0.16551141166525785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159.63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49.3</v>
      </c>
      <c r="M726" s="18">
        <v>196.87</v>
      </c>
      <c r="O726" s="19">
        <f ca="1">IF('Stock Price'!$I$11="OK",B726/INDEX(B$5:B$1258,'Stock Price'!$I$9)-1,"")</f>
        <v>3.1332247148752046E-4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-0.16652578191039735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160.16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48.98</v>
      </c>
      <c r="M727" s="18">
        <v>196.15</v>
      </c>
      <c r="O727" s="19">
        <f ca="1">IF('Stock Price'!$I$11="OK",B727/INDEX(B$5:B$1258,'Stock Price'!$I$9)-1,"")</f>
        <v>3.634540669256614E-3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-0.17193575655114124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161.43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48.44</v>
      </c>
      <c r="M728" s="18">
        <v>196.53</v>
      </c>
      <c r="O728" s="19">
        <f ca="1">IF('Stock Price'!$I$11="OK",B728/INDEX(B$5:B$1258,'Stock Price'!$I$9)-1,"")</f>
        <v>1.1592931445043142E-2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-0.18106508875739646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162.35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47.62</v>
      </c>
      <c r="M729" s="18">
        <v>196.37</v>
      </c>
      <c r="O729" s="19">
        <f ca="1">IF('Stock Price'!$I$11="OK",B729/INDEX(B$5:B$1258,'Stock Price'!$I$9)-1,"")</f>
        <v>1.7358064920415917E-2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-0.19492814877430265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164.13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48.11</v>
      </c>
      <c r="M730" s="18">
        <v>197.55</v>
      </c>
      <c r="O730" s="19">
        <f ca="1">IF('Stock Price'!$I$11="OK",B730/INDEX(B$5:B$1258,'Stock Price'!$I$9)-1,"")</f>
        <v>2.8512344905376574E-2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-0.18664412510566353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164.61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48.24</v>
      </c>
      <c r="M731" s="18">
        <v>197.44</v>
      </c>
      <c r="O731" s="19">
        <f ca="1">IF('Stock Price'!$I$11="OK",B731/INDEX(B$5:B$1258,'Stock Price'!$I$9)-1,"")</f>
        <v>3.1520240631658147E-2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-0.18444632290786134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162.94999999999999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48.12</v>
      </c>
      <c r="M732" s="18">
        <v>195.92</v>
      </c>
      <c r="O732" s="19">
        <f ca="1">IF('Stock Price'!$I$11="OK",B732/INDEX(B$5:B$1258,'Stock Price'!$I$9)-1,"")</f>
        <v>2.1117934578267716E-2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-0.18647506339814035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163.92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49.06</v>
      </c>
      <c r="M733" s="18">
        <v>195.4</v>
      </c>
      <c r="O733" s="19">
        <f ca="1">IF('Stock Price'!$I$11="OK",B733/INDEX(B$5:B$1258,'Stock Price'!$I$9)-1,"")</f>
        <v>2.7196390525128233E-2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-0.17058326289095516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164.23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49.72</v>
      </c>
      <c r="M734" s="18">
        <v>195.18</v>
      </c>
      <c r="O734" s="19">
        <f ca="1">IF('Stock Price'!$I$11="OK",B734/INDEX(B$5:B$1258,'Stock Price'!$I$9)-1,"")</f>
        <v>2.9138989848351837E-2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-0.15942519019442092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165.86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49.95</v>
      </c>
      <c r="M735" s="18">
        <v>196.31</v>
      </c>
      <c r="O735" s="19">
        <f ca="1">IF('Stock Price'!$I$11="OK",B735/INDEX(B$5:B$1258,'Stock Price'!$I$9)-1,"")</f>
        <v>3.935330241884949E-2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-0.15553677092138629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167.16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50.52</v>
      </c>
      <c r="M736" s="18">
        <v>197.69</v>
      </c>
      <c r="O736" s="19">
        <f ca="1">IF('Stock Price'!$I$11="OK",B736/INDEX(B$5:B$1258,'Stock Price'!$I$9)-1,"")</f>
        <v>4.7499686677528352E-2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-0.1459002535925612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167.36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49.96</v>
      </c>
      <c r="M737" s="18">
        <v>197.01</v>
      </c>
      <c r="O737" s="19">
        <f ca="1">IF('Stock Price'!$I$11="OK",B737/INDEX(B$5:B$1258,'Stock Price'!$I$9)-1,"")</f>
        <v>4.87529765634791E-2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-0.155367709213863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164.99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49.8</v>
      </c>
      <c r="M738" s="18">
        <v>192.86</v>
      </c>
      <c r="O738" s="19">
        <f ca="1">IF('Stock Price'!$I$11="OK",B738/INDEX(B$5:B$1258,'Stock Price'!$I$9)-1,"")</f>
        <v>3.3901491414964235E-2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-0.15807269653423506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164.38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48.7</v>
      </c>
      <c r="M739" s="18">
        <v>193.4</v>
      </c>
      <c r="O739" s="19">
        <f ca="1">IF('Stock Price'!$I$11="OK",B739/INDEX(B$5:B$1258,'Stock Price'!$I$9)-1,"")</f>
        <v>3.0078957262814843E-2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-0.17666948436179197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166.61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48.5</v>
      </c>
      <c r="M740" s="18">
        <v>196.42</v>
      </c>
      <c r="O740" s="19">
        <f ca="1">IF('Stock Price'!$I$11="OK",B740/INDEX(B$5:B$1258,'Stock Price'!$I$9)-1,"")</f>
        <v>4.4053139491164295E-2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-0.18005071851225696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167.38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49.28</v>
      </c>
      <c r="M741" s="18">
        <v>199.35</v>
      </c>
      <c r="O741" s="19">
        <f ca="1">IF('Stock Price'!$I$11="OK",B741/INDEX(B$5:B$1258,'Stock Price'!$I$9)-1,"")</f>
        <v>4.8878305552074064E-2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-0.16686390532544371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164.82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48.59</v>
      </c>
      <c r="M742" s="18">
        <v>194.59</v>
      </c>
      <c r="O742" s="19">
        <f ca="1">IF('Stock Price'!$I$11="OK",B742/INDEX(B$5:B$1258,'Stock Price'!$I$9)-1,"")</f>
        <v>3.2836195011906044E-2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-0.1785291631445477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164.64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48.24</v>
      </c>
      <c r="M743" s="18">
        <v>194.02</v>
      </c>
      <c r="O743" s="19">
        <f ca="1">IF('Stock Price'!$I$11="OK",B743/INDEX(B$5:B$1258,'Stock Price'!$I$9)-1,"")</f>
        <v>3.1708234114550482E-2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-0.18444632290786134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165.52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49.13</v>
      </c>
      <c r="M744" s="18">
        <v>194.21</v>
      </c>
      <c r="O744" s="19">
        <f ca="1">IF('Stock Price'!$I$11="OK",B744/INDEX(B$5:B$1258,'Stock Price'!$I$9)-1,"")</f>
        <v>3.7222709612733329E-2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-0.16939983093829236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166.99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49.99</v>
      </c>
      <c r="M745" s="18">
        <v>195.73</v>
      </c>
      <c r="O745" s="19">
        <f ca="1">IF('Stock Price'!$I$11="OK",B745/INDEX(B$5:B$1258,'Stock Price'!$I$9)-1,"")</f>
        <v>4.6434390274470383E-2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-0.15486052409129325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167.07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49.49</v>
      </c>
      <c r="M746" s="18">
        <v>193.45</v>
      </c>
      <c r="O746" s="19">
        <f ca="1">IF('Stock Price'!$I$11="OK",B746/INDEX(B$5:B$1258,'Stock Price'!$I$9)-1,"")</f>
        <v>4.6935706228850682E-2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-0.16331360946745554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166.15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49.74</v>
      </c>
      <c r="M747" s="18">
        <v>192.94</v>
      </c>
      <c r="O747" s="19">
        <f ca="1">IF('Stock Price'!$I$11="OK",B747/INDEX(B$5:B$1258,'Stock Price'!$I$9)-1,"")</f>
        <v>4.1170572753477908E-2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-0.15908706677937445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164.82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49.02</v>
      </c>
      <c r="M748" s="18">
        <v>193.62</v>
      </c>
      <c r="O748" s="19">
        <f ca="1">IF('Stock Price'!$I$11="OK",B748/INDEX(B$5:B$1258,'Stock Price'!$I$9)-1,"")</f>
        <v>3.2836195011906044E-2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-0.17125950972104809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164.16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49.41</v>
      </c>
      <c r="M749" s="18">
        <v>193.47</v>
      </c>
      <c r="O749" s="19">
        <f ca="1">IF('Stock Price'!$I$11="OK",B749/INDEX(B$5:B$1258,'Stock Price'!$I$9)-1,"")</f>
        <v>2.8700338388269131E-2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-0.16466610312764163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163.22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50.01</v>
      </c>
      <c r="M750" s="18">
        <v>193.83</v>
      </c>
      <c r="O750" s="19">
        <f ca="1">IF('Stock Price'!$I$11="OK",B750/INDEX(B$5:B$1258,'Stock Price'!$I$9)-1,"")</f>
        <v>2.2809875924301171E-2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-0.1545224006762469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162.78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50.94</v>
      </c>
      <c r="M751" s="18">
        <v>193.51</v>
      </c>
      <c r="O751" s="19">
        <f ca="1">IF('Stock Price'!$I$11="OK",B751/INDEX(B$5:B$1258,'Stock Price'!$I$9)-1,"")</f>
        <v>2.0052638175209747E-2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-0.13879966187658499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160.6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49.95</v>
      </c>
      <c r="M752" s="18">
        <v>191.26</v>
      </c>
      <c r="O752" s="19">
        <f ca="1">IF('Stock Price'!$I$11="OK",B752/INDEX(B$5:B$1258,'Stock Price'!$I$9)-1,"")</f>
        <v>6.3917784183480375E-3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-0.15553677092138629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161.38999999999999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50.12</v>
      </c>
      <c r="M753" s="18">
        <v>191.9</v>
      </c>
      <c r="O753" s="19">
        <f ca="1">IF('Stock Price'!$I$11="OK",B753/INDEX(B$5:B$1258,'Stock Price'!$I$9)-1,"")</f>
        <v>1.1342273467852992E-2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-0.15266272189349117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161.4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50.91</v>
      </c>
      <c r="M754" s="18">
        <v>194.79</v>
      </c>
      <c r="O754" s="19">
        <f ca="1">IF('Stock Price'!$I$11="OK",B754/INDEX(B$5:B$1258,'Stock Price'!$I$9)-1,"")</f>
        <v>1.1404937962150585E-2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-0.13930684699915474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162.06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51.74</v>
      </c>
      <c r="M755" s="18">
        <v>197.48</v>
      </c>
      <c r="O755" s="19">
        <f ca="1">IF('Stock Price'!$I$11="OK",B755/INDEX(B$5:B$1258,'Stock Price'!$I$9)-1,"")</f>
        <v>1.5540794585787721E-2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-0.12527472527472527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161.99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52.9</v>
      </c>
      <c r="M756" s="18">
        <v>196.96</v>
      </c>
      <c r="O756" s="19">
        <f ca="1">IF('Stock Price'!$I$11="OK",B756/INDEX(B$5:B$1258,'Stock Price'!$I$9)-1,"")</f>
        <v>1.5102143125705014E-2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-0.10566356720202874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161.16999999999999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53.76</v>
      </c>
      <c r="M757" s="18">
        <v>196.82</v>
      </c>
      <c r="O757" s="19">
        <f ca="1">IF('Stock Price'!$I$11="OK",B757/INDEX(B$5:B$1258,'Stock Price'!$I$9)-1,"")</f>
        <v>9.9636545933072806E-3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-9.1124260355029629E-2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160.5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54.2</v>
      </c>
      <c r="M758" s="18">
        <v>195.45</v>
      </c>
      <c r="O758" s="19">
        <f ca="1">IF('Stock Price'!$I$11="OK",B758/INDEX(B$5:B$1258,'Stock Price'!$I$9)-1,"")</f>
        <v>5.7651334753727745E-3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-8.368554522400673E-2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160.29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53.96</v>
      </c>
      <c r="M759" s="18">
        <v>194.29</v>
      </c>
      <c r="O759" s="19">
        <f ca="1">IF('Stock Price'!$I$11="OK",B759/INDEX(B$5:B$1258,'Stock Price'!$I$9)-1,"")</f>
        <v>4.4491790951246557E-3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-8.7743026204564645E-2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159.53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53.44</v>
      </c>
      <c r="M760" s="18">
        <v>193.61</v>
      </c>
      <c r="O760" s="19">
        <f ca="1">IF('Stock Price'!$I$11="OK",B760/INDEX(B$5:B$1258,'Stock Price'!$I$9)-1,"")</f>
        <v>-3.133224714877425E-4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-9.6534234995773516E-2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159.69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52.48</v>
      </c>
      <c r="M761" s="18">
        <v>193.01</v>
      </c>
      <c r="O761" s="19">
        <f ca="1">IF('Stock Price'!$I$11="OK",B761/INDEX(B$5:B$1258,'Stock Price'!$I$9)-1,"")</f>
        <v>6.8930943727285587E-4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-0.11276415891800506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160.65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52.8</v>
      </c>
      <c r="M762" s="18">
        <v>194.75</v>
      </c>
      <c r="O762" s="19">
        <f ca="1">IF('Stock Price'!$I$11="OK",B762/INDEX(B$5:B$1258,'Stock Price'!$I$9)-1,"")</f>
        <v>6.70510088983578E-3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-0.10735418427726118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160.51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52.4</v>
      </c>
      <c r="M763" s="18">
        <v>194.35</v>
      </c>
      <c r="O763" s="19">
        <f ca="1">IF('Stock Price'!$I$11="OK",B763/INDEX(B$5:B$1258,'Stock Price'!$I$9)-1,"")</f>
        <v>5.8277979696701454E-3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-0.11411665257819104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161.46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52.2</v>
      </c>
      <c r="M764" s="18">
        <v>194.19</v>
      </c>
      <c r="O764" s="19">
        <f ca="1">IF('Stock Price'!$I$11="OK",B764/INDEX(B$5:B$1258,'Stock Price'!$I$9)-1,"")</f>
        <v>1.1780924927935699E-2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-0.11749788672865591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161.6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52.67</v>
      </c>
      <c r="M765" s="18">
        <v>195.65</v>
      </c>
      <c r="O765" s="19">
        <f ca="1">IF('Stock Price'!$I$11="OK",B765/INDEX(B$5:B$1258,'Stock Price'!$I$9)-1,"")</f>
        <v>1.2658227848101111E-2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-0.10955198647506337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164.1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52.76</v>
      </c>
      <c r="M766" s="18">
        <v>191.86</v>
      </c>
      <c r="O766" s="19">
        <f ca="1">IF('Stock Price'!$I$11="OK",B766/INDEX(B$5:B$1258,'Stock Price'!$I$9)-1,"")</f>
        <v>2.8324351422483796E-2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-0.10803043110735422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164.28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53.37</v>
      </c>
      <c r="M767" s="18">
        <v>190.46</v>
      </c>
      <c r="O767" s="19">
        <f ca="1">IF('Stock Price'!$I$11="OK",B767/INDEX(B$5:B$1258,'Stock Price'!$I$9)-1,"")</f>
        <v>2.945231231983958E-2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-9.7717666948436199E-2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164.47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53.18</v>
      </c>
      <c r="M768" s="18">
        <v>188.57</v>
      </c>
      <c r="O768" s="19">
        <f ca="1">IF('Stock Price'!$I$11="OK",B768/INDEX(B$5:B$1258,'Stock Price'!$I$9)-1,"")</f>
        <v>3.0642937711492513E-2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-0.10092983939137778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165.12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53.22</v>
      </c>
      <c r="M769" s="18">
        <v>188.86</v>
      </c>
      <c r="O769" s="19">
        <f ca="1">IF('Stock Price'!$I$11="OK",B769/INDEX(B$5:B$1258,'Stock Price'!$I$9)-1,"")</f>
        <v>3.4716129840832055E-2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-0.10025359256128485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162.83000000000001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52.12</v>
      </c>
      <c r="M770" s="18">
        <v>186.54</v>
      </c>
      <c r="O770" s="19">
        <f ca="1">IF('Stock Price'!$I$11="OK",B770/INDEX(B$5:B$1258,'Stock Price'!$I$9)-1,"")</f>
        <v>2.036596064669749E-2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-0.11885038038884199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163.44999999999999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52.76</v>
      </c>
      <c r="M771" s="18">
        <v>188.76</v>
      </c>
      <c r="O771" s="19">
        <f ca="1">IF('Stock Price'!$I$11="OK",B771/INDEX(B$5:B$1258,'Stock Price'!$I$9)-1,"")</f>
        <v>2.4251159293144253E-2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-0.10803043110735422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165.86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53.06</v>
      </c>
      <c r="M772" s="18">
        <v>187.88</v>
      </c>
      <c r="O772" s="19">
        <f ca="1">IF('Stock Price'!$I$11="OK",B772/INDEX(B$5:B$1258,'Stock Price'!$I$9)-1,"")</f>
        <v>3.935330241884949E-2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-0.1029585798816568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163.66999999999999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52.92</v>
      </c>
      <c r="M773" s="18">
        <v>189.65</v>
      </c>
      <c r="O773" s="19">
        <f ca="1">IF('Stock Price'!$I$11="OK",B773/INDEX(B$5:B$1258,'Stock Price'!$I$9)-1,"")</f>
        <v>2.5629778167689965E-2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-0.10532544378698216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160.88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51.92</v>
      </c>
      <c r="M774" s="18">
        <v>187.85</v>
      </c>
      <c r="O774" s="19">
        <f ca="1">IF('Stock Price'!$I$11="OK",B774/INDEX(B$5:B$1258,'Stock Price'!$I$9)-1,"")</f>
        <v>8.1463842586788626E-3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-0.12223161453930675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161.6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52.64</v>
      </c>
      <c r="M775" s="18">
        <v>189.68</v>
      </c>
      <c r="O775" s="19">
        <f ca="1">IF('Stock Price'!$I$11="OK",B775/INDEX(B$5:B$1258,'Stock Price'!$I$9)-1,"")</f>
        <v>1.2658227848101111E-2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-0.11005917159763312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160.09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52.5</v>
      </c>
      <c r="M776" s="18">
        <v>189.45</v>
      </c>
      <c r="O776" s="19">
        <f ca="1">IF('Stock Price'!$I$11="OK",B776/INDEX(B$5:B$1258,'Stock Price'!$I$9)-1,"")</f>
        <v>3.1958892091741298E-3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-0.1124260355029586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160.61000000000001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52.66</v>
      </c>
      <c r="M777" s="18">
        <v>201.5</v>
      </c>
      <c r="O777" s="19">
        <f ca="1">IF('Stock Price'!$I$11="OK",B777/INDEX(B$5:B$1258,'Stock Price'!$I$9)-1,"")</f>
        <v>6.4544429126456304E-3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-0.10972104818258666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159.86000000000001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55.77</v>
      </c>
      <c r="M778" s="18">
        <v>203.87</v>
      </c>
      <c r="O778" s="19">
        <f ca="1">IF('Stock Price'!$I$11="OK",B778/INDEX(B$5:B$1258,'Stock Price'!$I$9)-1,"")</f>
        <v>1.7546058403308251E-3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-5.7142857142857051E-2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160.13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54.32</v>
      </c>
      <c r="M779" s="18">
        <v>203.55</v>
      </c>
      <c r="O779" s="19">
        <f ca="1">IF('Stock Price'!$I$11="OK",B779/INDEX(B$5:B$1258,'Stock Price'!$I$9)-1,"")</f>
        <v>3.4465471863640573E-3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-8.1656804733727828E-2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158.24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55.45</v>
      </c>
      <c r="M780" s="18">
        <v>200.47</v>
      </c>
      <c r="O780" s="19">
        <f ca="1">IF('Stock Price'!$I$11="OK",B780/INDEX(B$5:B$1258,'Stock Price'!$I$9)-1,"")</f>
        <v>-8.3970422358691232E-3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-6.2552831783600937E-2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158.35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55.95</v>
      </c>
      <c r="M781" s="18">
        <v>201.68</v>
      </c>
      <c r="O781" s="19">
        <f ca="1">IF('Stock Price'!$I$11="OK",B781/INDEX(B$5:B$1258,'Stock Price'!$I$9)-1,"")</f>
        <v>-7.7077327985963784E-3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-5.4099746407438642E-2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157.88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55.28</v>
      </c>
      <c r="M782" s="18">
        <v>201.2</v>
      </c>
      <c r="O782" s="19">
        <f ca="1">IF('Stock Price'!$I$11="OK",B782/INDEX(B$5:B$1258,'Stock Price'!$I$9)-1,"")</f>
        <v>-1.0652964030580359E-2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-6.5426880811496169E-2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156.72999999999999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54.71</v>
      </c>
      <c r="M783" s="18">
        <v>200.51</v>
      </c>
      <c r="O783" s="19">
        <f ca="1">IF('Stock Price'!$I$11="OK",B783/INDEX(B$5:B$1258,'Stock Price'!$I$9)-1,"")</f>
        <v>-1.7859380874796438E-2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-7.5063398140321147E-2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155.47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54.14</v>
      </c>
      <c r="M784" s="18">
        <v>199.5</v>
      </c>
      <c r="O784" s="19">
        <f ca="1">IF('Stock Price'!$I$11="OK",B784/INDEX(B$5:B$1258,'Stock Price'!$I$9)-1,"")</f>
        <v>-2.5755107156285373E-2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-8.4699915469146236E-2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155.04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59.82</v>
      </c>
      <c r="M785" s="18">
        <v>174.43</v>
      </c>
      <c r="O785" s="19">
        <f ca="1">IF('Stock Price'!$I$11="OK",B785/INDEX(B$5:B$1258,'Stock Price'!$I$9)-1,"")</f>
        <v>-2.8449680411079203E-2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1.1327134404057526E-2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152.63999999999999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59.02</v>
      </c>
      <c r="M786" s="18">
        <v>171.09</v>
      </c>
      <c r="O786" s="19">
        <f ca="1">IF('Stock Price'!$I$11="OK",B786/INDEX(B$5:B$1258,'Stock Price'!$I$9)-1,"")</f>
        <v>-4.3489159042486736E-2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-2.197802197802079E-3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153.24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58.41</v>
      </c>
      <c r="M787" s="18">
        <v>170.35</v>
      </c>
      <c r="O787" s="19">
        <f ca="1">IF('Stock Price'!$I$11="OK",B787/INDEX(B$5:B$1258,'Stock Price'!$I$9)-1,"")</f>
        <v>-3.9729289384634714E-2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-1.251056635672021E-2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151.87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58.5</v>
      </c>
      <c r="M788" s="18">
        <v>169.63</v>
      </c>
      <c r="O788" s="19">
        <f ca="1">IF('Stock Price'!$I$11="OK",B788/INDEX(B$5:B$1258,'Stock Price'!$I$9)-1,"")</f>
        <v>-4.8314325103396505E-2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-1.098901098901095E-2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154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56.22</v>
      </c>
      <c r="M789" s="18">
        <v>164.99</v>
      </c>
      <c r="O789" s="19">
        <f ca="1">IF('Stock Price'!$I$11="OK",B789/INDEX(B$5:B$1258,'Stock Price'!$I$9)-1,"")</f>
        <v>-3.4966787818022427E-2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-4.9535080304311085E-2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154.77000000000001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56.8</v>
      </c>
      <c r="M790" s="18">
        <v>166.28</v>
      </c>
      <c r="O790" s="19">
        <f ca="1">IF('Stock Price'!$I$11="OK",B790/INDEX(B$5:B$1258,'Stock Price'!$I$9)-1,"")</f>
        <v>-3.0141621757112436E-2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-3.9729501267962819E-2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153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58.23</v>
      </c>
      <c r="M791" s="18">
        <v>166.57</v>
      </c>
      <c r="O791" s="19">
        <f ca="1">IF('Stock Price'!$I$11="OK",B791/INDEX(B$5:B$1258,'Stock Price'!$I$9)-1,"")</f>
        <v>-4.12332372477755E-2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-1.5553677092138618E-2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153.11000000000001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57.88</v>
      </c>
      <c r="M792" s="18">
        <v>167.76</v>
      </c>
      <c r="O792" s="19">
        <f ca="1">IF('Stock Price'!$I$11="OK",B792/INDEX(B$5:B$1258,'Stock Price'!$I$9)-1,"")</f>
        <v>-4.0543927810502534E-2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-2.1470836855452147E-2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155.5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58.23</v>
      </c>
      <c r="M793" s="18">
        <v>171.73</v>
      </c>
      <c r="O793" s="19">
        <f ca="1">IF('Stock Price'!$I$11="OK",B793/INDEX(B$5:B$1258,'Stock Price'!$I$9)-1,"")</f>
        <v>-2.5567113673392705E-2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-1.5553677092138618E-2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155.16999999999999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58.87</v>
      </c>
      <c r="M794" s="18">
        <v>176.95</v>
      </c>
      <c r="O794" s="19">
        <f ca="1">IF('Stock Price'!$I$11="OK",B794/INDEX(B$5:B$1258,'Stock Price'!$I$9)-1,"")</f>
        <v>-2.7635041985211384E-2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-4.7337278106509562E-3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155.78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58.78</v>
      </c>
      <c r="M795" s="18">
        <v>177.06</v>
      </c>
      <c r="O795" s="19">
        <f ca="1">IF('Stock Price'!$I$11="OK",B795/INDEX(B$5:B$1258,'Stock Price'!$I$9)-1,"")</f>
        <v>-2.381250783306188E-2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-6.2552831783601048E-3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154.52000000000001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58.74</v>
      </c>
      <c r="M796" s="18">
        <v>181.14</v>
      </c>
      <c r="O796" s="19">
        <f ca="1">IF('Stock Price'!$I$11="OK",B796/INDEX(B$5:B$1258,'Stock Price'!$I$9)-1,"")</f>
        <v>-3.1708234114550704E-2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-6.9315300084530351E-3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155.4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59.27</v>
      </c>
      <c r="M797" s="18">
        <v>183.08</v>
      </c>
      <c r="O797" s="19">
        <f ca="1">IF('Stock Price'!$I$11="OK",B797/INDEX(B$5:B$1258,'Stock Price'!$I$9)-1,"")</f>
        <v>-2.6193758616367968E-2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2.0287404902790129E-3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155.01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59.22</v>
      </c>
      <c r="M798" s="18">
        <v>182.93</v>
      </c>
      <c r="O798" s="19">
        <f ca="1">IF('Stock Price'!$I$11="OK",B798/INDEX(B$5:B$1258,'Stock Price'!$I$9)-1,"")</f>
        <v>-2.863767389397176E-2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1.1834319526626835E-3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154.80000000000001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59.94</v>
      </c>
      <c r="M799" s="18">
        <v>181.77</v>
      </c>
      <c r="O799" s="19">
        <f ca="1">IF('Stock Price'!$I$11="OK",B799/INDEX(B$5:B$1258,'Stock Price'!$I$9)-1,"")</f>
        <v>-2.9953628274219879E-2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1.3355874894336317E-2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152.36000000000001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58.69</v>
      </c>
      <c r="M800" s="18">
        <v>181.5</v>
      </c>
      <c r="O800" s="19">
        <f ca="1">IF('Stock Price'!$I$11="OK",B800/INDEX(B$5:B$1258,'Stock Price'!$I$9)-1,"")</f>
        <v>-4.5243764882817339E-2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-7.7768385460693645E-3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150.47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58.37</v>
      </c>
      <c r="M801" s="18">
        <v>176.46</v>
      </c>
      <c r="O801" s="19">
        <f ca="1">IF('Stock Price'!$I$11="OK",B801/INDEX(B$5:B$1258,'Stock Price'!$I$9)-1,"")</f>
        <v>-5.7087354305050853E-2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-1.3186813186813251E-2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149.52000000000001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58.84</v>
      </c>
      <c r="M802" s="18">
        <v>176.17</v>
      </c>
      <c r="O802" s="19">
        <f ca="1">IF('Stock Price'!$I$11="OK",B802/INDEX(B$5:B$1258,'Stock Price'!$I$9)-1,"")</f>
        <v>-6.3040481263316184E-2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-5.2409129332205984E-3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149.31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59.38</v>
      </c>
      <c r="M803" s="18">
        <v>176.19</v>
      </c>
      <c r="O803" s="19">
        <f ca="1">IF('Stock Price'!$I$11="OK",B803/INDEX(B$5:B$1258,'Stock Price'!$I$9)-1,"")</f>
        <v>-6.4356435643564414E-2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3.8884192730346268E-3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149.6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58.71</v>
      </c>
      <c r="M804" s="18">
        <v>176.57</v>
      </c>
      <c r="O804" s="19">
        <f ca="1">IF('Stock Price'!$I$11="OK",B804/INDEX(B$5:B$1258,'Stock Price'!$I$9)-1,"")</f>
        <v>-6.2539165308936107E-2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-7.4387151310227884E-3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149.22999999999999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58.12</v>
      </c>
      <c r="M805" s="18">
        <v>175.67</v>
      </c>
      <c r="O805" s="19">
        <f ca="1">IF('Stock Price'!$I$11="OK",B805/INDEX(B$5:B$1258,'Stock Price'!$I$9)-1,"")</f>
        <v>-6.4857751597944713E-2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-1.7413355874894343E-2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146.63999999999999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56.65</v>
      </c>
      <c r="M806" s="18">
        <v>174.37</v>
      </c>
      <c r="O806" s="19">
        <f ca="1">IF('Stock Price'!$I$11="OK",B806/INDEX(B$5:B$1258,'Stock Price'!$I$9)-1,"")</f>
        <v>-8.1087855621005289E-2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-4.2265426880811474E-2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146.24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56.28</v>
      </c>
      <c r="M807" s="18">
        <v>173.19</v>
      </c>
      <c r="O807" s="19">
        <f ca="1">IF('Stock Price'!$I$11="OK",B807/INDEX(B$5:B$1258,'Stock Price'!$I$9)-1,"")</f>
        <v>-8.3594435392906341E-2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-4.8520710059171579E-2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146.62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55.78</v>
      </c>
      <c r="M808" s="18">
        <v>173.37</v>
      </c>
      <c r="O808" s="19">
        <f ca="1">IF('Stock Price'!$I$11="OK",B808/INDEX(B$5:B$1258,'Stock Price'!$I$9)-1,"")</f>
        <v>-8.1213184609600253E-2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-5.6973795435333874E-2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143.85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55.87</v>
      </c>
      <c r="M809" s="18">
        <v>171.63</v>
      </c>
      <c r="O809" s="19">
        <f ca="1">IF('Stock Price'!$I$11="OK",B809/INDEX(B$5:B$1258,'Stock Price'!$I$9)-1,"")</f>
        <v>-9.8571249530016392E-2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-5.5452240067624725E-2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146.41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57.65</v>
      </c>
      <c r="M810" s="18">
        <v>175.38</v>
      </c>
      <c r="O810" s="19">
        <f ca="1">IF('Stock Price'!$I$11="OK",B810/INDEX(B$5:B$1258,'Stock Price'!$I$9)-1,"")</f>
        <v>-8.2529138989848483E-2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-2.5359256128486884E-2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144.75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56.84</v>
      </c>
      <c r="M811" s="18">
        <v>173.02</v>
      </c>
      <c r="O811" s="19">
        <f ca="1">IF('Stock Price'!$I$11="OK",B811/INDEX(B$5:B$1258,'Stock Price'!$I$9)-1,"")</f>
        <v>-9.2931445043238581E-2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-3.9053254437869778E-2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143.58000000000001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56.3</v>
      </c>
      <c r="M812" s="18">
        <v>171.52</v>
      </c>
      <c r="O812" s="19">
        <f ca="1">IF('Stock Price'!$I$11="OK",B812/INDEX(B$5:B$1258,'Stock Price'!$I$9)-1,"")</f>
        <v>-0.10026319087604962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-4.8182586644125114E-2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144.47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57.33</v>
      </c>
      <c r="M813" s="18">
        <v>175.58</v>
      </c>
      <c r="O813" s="19">
        <f ca="1">IF('Stock Price'!$I$11="OK",B813/INDEX(B$5:B$1258,'Stock Price'!$I$9)-1,"")</f>
        <v>-9.4686050883569406E-2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-3.0769230769230771E-2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145.27000000000001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57.58</v>
      </c>
      <c r="M814" s="18">
        <v>178.39</v>
      </c>
      <c r="O814" s="19">
        <f ca="1">IF('Stock Price'!$I$11="OK",B814/INDEX(B$5:B$1258,'Stock Price'!$I$9)-1,"")</f>
        <v>-8.9672891339766858E-2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-2.6542688081149679E-2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145.85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57.76</v>
      </c>
      <c r="M815" s="18">
        <v>180</v>
      </c>
      <c r="O815" s="19">
        <f ca="1">IF('Stock Price'!$I$11="OK",B815/INDEX(B$5:B$1258,'Stock Price'!$I$9)-1,"")</f>
        <v>-8.6038350670510244E-2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-2.349957734573116E-2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145.58000000000001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58</v>
      </c>
      <c r="M816" s="18">
        <v>179.2</v>
      </c>
      <c r="O816" s="19">
        <f ca="1">IF('Stock Price'!$I$11="OK",B816/INDEX(B$5:B$1258,'Stock Price'!$I$9)-1,"")</f>
        <v>-8.7730292016543365E-2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-1.9442096365173245E-2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145.05000000000001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57.68</v>
      </c>
      <c r="M817" s="18">
        <v>178.01</v>
      </c>
      <c r="O817" s="19">
        <f ca="1">IF('Stock Price'!$I$11="OK",B817/INDEX(B$5:B$1258,'Stock Price'!$I$9)-1,"")</f>
        <v>-9.105151021431257E-2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-2.4852071005917131E-2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143.34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56.06</v>
      </c>
      <c r="M818" s="18">
        <v>176.2</v>
      </c>
      <c r="O818" s="19">
        <f ca="1">IF('Stock Price'!$I$11="OK",B818/INDEX(B$5:B$1258,'Stock Price'!$I$9)-1,"")</f>
        <v>-0.10176713873919041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-5.2240067624682918E-2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144.62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56.56</v>
      </c>
      <c r="M819" s="18">
        <v>177.7</v>
      </c>
      <c r="O819" s="19">
        <f ca="1">IF('Stock Price'!$I$11="OK",B819/INDEX(B$5:B$1258,'Stock Price'!$I$9)-1,"")</f>
        <v>-9.37460834691064E-2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-4.3786982248520623E-2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144.02000000000001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56.79</v>
      </c>
      <c r="M820" s="18">
        <v>179.44</v>
      </c>
      <c r="O820" s="19">
        <f ca="1">IF('Stock Price'!$I$11="OK",B820/INDEX(B$5:B$1258,'Stock Price'!$I$9)-1,"")</f>
        <v>-9.7505953126958311E-2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-3.9898562975485996E-2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144.19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56.57</v>
      </c>
      <c r="M821" s="18">
        <v>181.22</v>
      </c>
      <c r="O821" s="19">
        <f ca="1">IF('Stock Price'!$I$11="OK",B821/INDEX(B$5:B$1258,'Stock Price'!$I$9)-1,"")</f>
        <v>-9.6440656723900342E-2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-4.3617920540997446E-2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143.66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56.68</v>
      </c>
      <c r="M822" s="18">
        <v>180.1</v>
      </c>
      <c r="O822" s="19">
        <f ca="1">IF('Stock Price'!$I$11="OK",B822/INDEX(B$5:B$1258,'Stock Price'!$I$9)-1,"")</f>
        <v>-9.9761874921669436E-2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-4.1758241758241721E-2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146.22999999999999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57.14</v>
      </c>
      <c r="M823" s="18">
        <v>179.53</v>
      </c>
      <c r="O823" s="19">
        <f ca="1">IF('Stock Price'!$I$11="OK",B823/INDEX(B$5:B$1258,'Stock Price'!$I$9)-1,"")</f>
        <v>-8.3657099887204045E-2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-3.3981403212172356E-2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142.27000000000001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56.81</v>
      </c>
      <c r="M824" s="18">
        <v>178.5</v>
      </c>
      <c r="O824" s="19">
        <f ca="1">IF('Stock Price'!$I$11="OK",B824/INDEX(B$5:B$1258,'Stock Price'!$I$9)-1,"")</f>
        <v>-0.10847223962902619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-3.9560439560439531E-2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142.06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55.83</v>
      </c>
      <c r="M825" s="18">
        <v>175.17</v>
      </c>
      <c r="O825" s="19">
        <f ca="1">IF('Stock Price'!$I$11="OK",B825/INDEX(B$5:B$1258,'Stock Price'!$I$9)-1,"")</f>
        <v>-0.10978819400927442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-5.6128486897717655E-2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144.47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55.36</v>
      </c>
      <c r="M826" s="18">
        <v>176.74</v>
      </c>
      <c r="O826" s="19">
        <f ca="1">IF('Stock Price'!$I$11="OK",B826/INDEX(B$5:B$1258,'Stock Price'!$I$9)-1,"")</f>
        <v>-9.4686050883569406E-2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-6.4074387151310197E-2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144.75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55.74</v>
      </c>
      <c r="M827" s="18">
        <v>175.55</v>
      </c>
      <c r="O827" s="19">
        <f ca="1">IF('Stock Price'!$I$11="OK",B827/INDEX(B$5:B$1258,'Stock Price'!$I$9)-1,"")</f>
        <v>-9.2931445043238581E-2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-5.7650042265426804E-2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144.97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55.91</v>
      </c>
      <c r="M828" s="18">
        <v>171.35</v>
      </c>
      <c r="O828" s="19">
        <f ca="1">IF('Stock Price'!$I$11="OK",B828/INDEX(B$5:B$1258,'Stock Price'!$I$9)-1,"")</f>
        <v>-9.1552826168692869E-2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-5.4775993237531684E-2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147.77000000000001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56.38</v>
      </c>
      <c r="M829" s="18">
        <v>173.7</v>
      </c>
      <c r="O829" s="19">
        <f ca="1">IF('Stock Price'!$I$11="OK",B829/INDEX(B$5:B$1258,'Stock Price'!$I$9)-1,"")</f>
        <v>-7.4006767765384174E-2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-4.6830092983939031E-2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147.03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56.29</v>
      </c>
      <c r="M830" s="18">
        <v>171.56</v>
      </c>
      <c r="O830" s="19">
        <f ca="1">IF('Stock Price'!$I$11="OK",B830/INDEX(B$5:B$1258,'Stock Price'!$I$9)-1,"")</f>
        <v>-7.8643940343401497E-2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-4.8351648351648291E-2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148.15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57.04</v>
      </c>
      <c r="M831" s="18">
        <v>172.61</v>
      </c>
      <c r="O831" s="19">
        <f ca="1">IF('Stock Price'!$I$11="OK",B831/INDEX(B$5:B$1258,'Stock Price'!$I$9)-1,"")</f>
        <v>-7.1625516982077975E-2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-3.5672020287404904E-2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145.27000000000001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57.09</v>
      </c>
      <c r="M832" s="18">
        <v>169.2</v>
      </c>
      <c r="O832" s="19">
        <f ca="1">IF('Stock Price'!$I$11="OK",B832/INDEX(B$5:B$1258,'Stock Price'!$I$9)-1,"")</f>
        <v>-8.9672891339766858E-2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-3.4826711749788575E-2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146.63999999999999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59.14</v>
      </c>
      <c r="M833" s="18">
        <v>170.67</v>
      </c>
      <c r="O833" s="19">
        <f ca="1">IF('Stock Price'!$I$11="OK",B833/INDEX(B$5:B$1258,'Stock Price'!$I$9)-1,"")</f>
        <v>-8.1087855621005289E-2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-1.6906170752317706E-4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146.82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59.67</v>
      </c>
      <c r="M834" s="18">
        <v>170.3</v>
      </c>
      <c r="O834" s="19">
        <f ca="1">IF('Stock Price'!$I$11="OK",B834/INDEX(B$5:B$1258,'Stock Price'!$I$9)-1,"")</f>
        <v>-7.9959894723649727E-2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8.79120879120876E-3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152.88999999999999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60.6</v>
      </c>
      <c r="M835" s="18">
        <v>176.9</v>
      </c>
      <c r="O835" s="19">
        <f ca="1">IF('Stock Price'!$I$11="OK",B835/INDEX(B$5:B$1258,'Stock Price'!$I$9)-1,"")</f>
        <v>-4.1922546685048467E-2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2.4513947590870666E-2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150.38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58.76</v>
      </c>
      <c r="M836" s="18">
        <v>174.81</v>
      </c>
      <c r="O836" s="19">
        <f ca="1">IF('Stock Price'!$I$11="OK",B836/INDEX(B$5:B$1258,'Stock Price'!$I$9)-1,"")</f>
        <v>-5.7651334753728634E-2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-6.59340659340657E-3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151.15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59.05</v>
      </c>
      <c r="M837" s="18">
        <v>175.26</v>
      </c>
      <c r="O837" s="19">
        <f ca="1">IF('Stock Price'!$I$11="OK",B837/INDEX(B$5:B$1258,'Stock Price'!$I$9)-1,"")</f>
        <v>-5.2826168692818642E-2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-1.6906170752324368E-3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152.87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59.14</v>
      </c>
      <c r="M838" s="18">
        <v>175.65</v>
      </c>
      <c r="O838" s="19">
        <f ca="1">IF('Stock Price'!$I$11="OK",B838/INDEX(B$5:B$1258,'Stock Price'!$I$9)-1,"")</f>
        <v>-4.204787567364332E-2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-1.6906170752317706E-4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152.15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58.95</v>
      </c>
      <c r="M839" s="18">
        <v>183.9</v>
      </c>
      <c r="O839" s="19">
        <f ca="1">IF('Stock Price'!$I$11="OK",B839/INDEX(B$5:B$1258,'Stock Price'!$I$9)-1,"")</f>
        <v>-4.6559719263065569E-2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-3.3812341504648735E-3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151.87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59.95</v>
      </c>
      <c r="M840" s="18">
        <v>190.14</v>
      </c>
      <c r="O840" s="19">
        <f ca="1">IF('Stock Price'!$I$11="OK",B840/INDEX(B$5:B$1258,'Stock Price'!$I$9)-1,"")</f>
        <v>-4.8314325103396505E-2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1.3524936601859716E-2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153.49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59.12</v>
      </c>
      <c r="M841" s="18">
        <v>189.95</v>
      </c>
      <c r="O841" s="19">
        <f ca="1">IF('Stock Price'!$I$11="OK",B841/INDEX(B$5:B$1258,'Stock Price'!$I$9)-1,"")</f>
        <v>-3.8162677027196446E-2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-5.0718512256975323E-4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154.69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59.71</v>
      </c>
      <c r="M842" s="18">
        <v>191.75</v>
      </c>
      <c r="O842" s="19">
        <f ca="1">IF('Stock Price'!$I$11="OK",B842/INDEX(B$5:B$1258,'Stock Price'!$I$9)-1,"")</f>
        <v>-3.0642937711492735E-2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9.4674556213019123E-3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153.51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57.42</v>
      </c>
      <c r="M843" s="18">
        <v>192.97</v>
      </c>
      <c r="O843" s="19">
        <f ca="1">IF('Stock Price'!$I$11="OK",B843/INDEX(B$5:B$1258,'Stock Price'!$I$9)-1,"")</f>
        <v>-3.8037348038601482E-2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-2.9247675401521511E-2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153.12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56.85</v>
      </c>
      <c r="M844" s="18">
        <v>190.6</v>
      </c>
      <c r="O844" s="19">
        <f ca="1">IF('Stock Price'!$I$11="OK",B844/INDEX(B$5:B$1258,'Stock Price'!$I$9)-1,"")</f>
        <v>-4.0481263316205052E-2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-3.888419273034649E-2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154.24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55.53</v>
      </c>
      <c r="M845" s="18">
        <v>190.34</v>
      </c>
      <c r="O845" s="19">
        <f ca="1">IF('Stock Price'!$I$11="OK",B845/INDEX(B$5:B$1258,'Stock Price'!$I$9)-1,"")</f>
        <v>-3.3462839954881529E-2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-6.1200338123414966E-2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156.13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55.94</v>
      </c>
      <c r="M846" s="18">
        <v>191.83</v>
      </c>
      <c r="O846" s="19">
        <f ca="1">IF('Stock Price'!$I$11="OK",B846/INDEX(B$5:B$1258,'Stock Price'!$I$9)-1,"")</f>
        <v>-2.1619250532648349E-2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-5.4268808114961931E-2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155.26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56.15</v>
      </c>
      <c r="M847" s="18">
        <v>193</v>
      </c>
      <c r="O847" s="19">
        <f ca="1">IF('Stock Price'!$I$11="OK",B847/INDEX(B$5:B$1258,'Stock Price'!$I$9)-1,"")</f>
        <v>-2.7071061536533492E-2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-5.0718512256973769E-2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157.25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55.97</v>
      </c>
      <c r="M848" s="18">
        <v>193.45</v>
      </c>
      <c r="O848" s="19">
        <f ca="1">IF('Stock Price'!$I$11="OK",B848/INDEX(B$5:B$1258,'Stock Price'!$I$9)-1,"")</f>
        <v>-1.4600827171324826E-2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-5.3761622992392177E-2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156.15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53.9</v>
      </c>
      <c r="M849" s="18">
        <v>192.87</v>
      </c>
      <c r="O849" s="19">
        <f ca="1">IF('Stock Price'!$I$11="OK",B849/INDEX(B$5:B$1258,'Stock Price'!$I$9)-1,"")</f>
        <v>-2.1493921544053163E-2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-8.8757396449704151E-2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154.99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54.43</v>
      </c>
      <c r="M850" s="18">
        <v>196.25</v>
      </c>
      <c r="O850" s="19">
        <f ca="1">IF('Stock Price'!$I$11="OK",B850/INDEX(B$5:B$1258,'Stock Price'!$I$9)-1,"")</f>
        <v>-2.8763002882566724E-2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-7.9797125950972103E-2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157.88999999999999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54.98</v>
      </c>
      <c r="M851" s="18">
        <v>197.35</v>
      </c>
      <c r="O851" s="19">
        <f ca="1">IF('Stock Price'!$I$11="OK",B851/INDEX(B$5:B$1258,'Stock Price'!$I$9)-1,"")</f>
        <v>-1.0590299536282877E-2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-7.049873203719359E-2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159.68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55.79</v>
      </c>
      <c r="M852" s="18">
        <v>200.88</v>
      </c>
      <c r="O852" s="19">
        <f ca="1">IF('Stock Price'!$I$11="OK",B852/INDEX(B$5:B$1258,'Stock Price'!$I$9)-1,"")</f>
        <v>6.2664494297526296E-4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-5.6804733727810697E-2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162.30000000000001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55.83</v>
      </c>
      <c r="M853" s="18">
        <v>202.08</v>
      </c>
      <c r="O853" s="19">
        <f ca="1">IF('Stock Price'!$I$11="OK",B853/INDEX(B$5:B$1258,'Stock Price'!$I$9)-1,"")</f>
        <v>1.7044742448928396E-2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-5.6128486897717655E-2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163.74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57.88</v>
      </c>
      <c r="M854" s="18">
        <v>204.08</v>
      </c>
      <c r="O854" s="19">
        <f ca="1">IF('Stock Price'!$I$11="OK",B854/INDEX(B$5:B$1258,'Stock Price'!$I$9)-1,"")</f>
        <v>2.6068429627772893E-2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-2.1470836855452147E-2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166.09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58.21</v>
      </c>
      <c r="M855" s="18">
        <v>204.14</v>
      </c>
      <c r="O855" s="19">
        <f ca="1">IF('Stock Price'!$I$11="OK",B855/INDEX(B$5:B$1258,'Stock Price'!$I$9)-1,"")</f>
        <v>4.0794585787692572E-2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-1.5891800507185083E-2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163.08000000000001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57.38</v>
      </c>
      <c r="M856" s="18">
        <v>203.01</v>
      </c>
      <c r="O856" s="19">
        <f ca="1">IF('Stock Price'!$I$11="OK",B856/INDEX(B$5:B$1258,'Stock Price'!$I$9)-1,"")</f>
        <v>2.1932573004135758E-2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-2.9923922231614442E-2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163.72999999999999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58.8</v>
      </c>
      <c r="M857" s="18">
        <v>205.02</v>
      </c>
      <c r="O857" s="19">
        <f ca="1">IF('Stock Price'!$I$11="OK",B857/INDEX(B$5:B$1258,'Stock Price'!$I$9)-1,"")</f>
        <v>2.60057651334753E-2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-5.9171597633136397E-3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165.02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59.62</v>
      </c>
      <c r="M858" s="18">
        <v>209.03</v>
      </c>
      <c r="O858" s="19">
        <f ca="1">IF('Stock Price'!$I$11="OK",B858/INDEX(B$5:B$1258,'Stock Price'!$I$9)-1,"")</f>
        <v>3.4089484897856792E-2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7.9459002535926526E-3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167.28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59.87</v>
      </c>
      <c r="M859" s="18">
        <v>211.48</v>
      </c>
      <c r="O859" s="19">
        <f ca="1">IF('Stock Price'!$I$11="OK",B859/INDEX(B$5:B$1258,'Stock Price'!$I$9)-1,"")</f>
        <v>4.8251660609098801E-2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1.2172442941673633E-2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165.42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59.44</v>
      </c>
      <c r="M860" s="18">
        <v>207.76</v>
      </c>
      <c r="O860" s="19">
        <f ca="1">IF('Stock Price'!$I$11="OK",B860/INDEX(B$5:B$1258,'Stock Price'!$I$9)-1,"")</f>
        <v>3.6596064669758066E-2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4.9027895181741332E-3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165.12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59.82</v>
      </c>
      <c r="M861" s="18">
        <v>211.54</v>
      </c>
      <c r="O861" s="19">
        <f ca="1">IF('Stock Price'!$I$11="OK",B861/INDEX(B$5:B$1258,'Stock Price'!$I$9)-1,"")</f>
        <v>3.4716129840832055E-2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1.1327134404057526E-2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165.83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60.18</v>
      </c>
      <c r="M862" s="18">
        <v>210.75</v>
      </c>
      <c r="O862" s="19">
        <f ca="1">IF('Stock Price'!$I$11="OK",B862/INDEX(B$5:B$1258,'Stock Price'!$I$9)-1,"")</f>
        <v>3.9165308935956933E-2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1.7413355874894343E-2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166.69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61.09</v>
      </c>
      <c r="M863" s="18">
        <v>214.29</v>
      </c>
      <c r="O863" s="19">
        <f ca="1">IF('Stock Price'!$I$11="OK",B863/INDEX(B$5:B$1258,'Stock Price'!$I$9)-1,"")</f>
        <v>4.4554455445544372E-2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3.2797971259509895E-2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167.7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63.11</v>
      </c>
      <c r="M864" s="18">
        <v>216.66</v>
      </c>
      <c r="O864" s="19">
        <f ca="1">IF('Stock Price'!$I$11="OK",B864/INDEX(B$5:B$1258,'Stock Price'!$I$9)-1,"")</f>
        <v>5.0883569369595039E-2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6.6948436179205428E-2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165.86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61.51</v>
      </c>
      <c r="M865" s="18">
        <v>213.59</v>
      </c>
      <c r="O865" s="19">
        <f ca="1">IF('Stock Price'!$I$11="OK",B865/INDEX(B$5:B$1258,'Stock Price'!$I$9)-1,"")</f>
        <v>3.935330241884949E-2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3.9898562975485996E-2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162.85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59.81</v>
      </c>
      <c r="M866" s="18">
        <v>212.06</v>
      </c>
      <c r="O866" s="19">
        <f ca="1">IF('Stock Price'!$I$11="OK",B866/INDEX(B$5:B$1258,'Stock Price'!$I$9)-1,"")</f>
        <v>2.0491289635292453E-2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1.1158072696534349E-2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162.99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60.28</v>
      </c>
      <c r="M867" s="18">
        <v>211.55</v>
      </c>
      <c r="O867" s="19">
        <f ca="1">IF('Stock Price'!$I$11="OK",B867/INDEX(B$5:B$1258,'Stock Price'!$I$9)-1,"")</f>
        <v>2.1368592555458088E-2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1.910397295012678E-2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162.81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59.01</v>
      </c>
      <c r="M868" s="18">
        <v>211.77</v>
      </c>
      <c r="O868" s="19">
        <f ca="1">IF('Stock Price'!$I$11="OK",B868/INDEX(B$5:B$1258,'Stock Price'!$I$9)-1,"")</f>
        <v>2.0240631658102526E-2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-2.3668639053254781E-3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162.84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59.99</v>
      </c>
      <c r="M869" s="18">
        <v>214.47</v>
      </c>
      <c r="O869" s="19">
        <f ca="1">IF('Stock Price'!$I$11="OK",B869/INDEX(B$5:B$1258,'Stock Price'!$I$9)-1,"")</f>
        <v>2.0428625140995083E-2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1.4201183431952646E-2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164.25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59.9</v>
      </c>
      <c r="M870" s="18">
        <v>213.85</v>
      </c>
      <c r="O870" s="19">
        <f ca="1">IF('Stock Price'!$I$11="OK",B870/INDEX(B$5:B$1258,'Stock Price'!$I$9)-1,"")</f>
        <v>2.9264318836946801E-2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1.2679628064243387E-2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162.99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60.08</v>
      </c>
      <c r="M871" s="18">
        <v>212.25</v>
      </c>
      <c r="O871" s="19">
        <f ca="1">IF('Stock Price'!$I$11="OK",B871/INDEX(B$5:B$1258,'Stock Price'!$I$9)-1,"")</f>
        <v>2.1368592555458088E-2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1.5722738799661906E-2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163.02000000000001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60.42</v>
      </c>
      <c r="M872" s="18">
        <v>211.96</v>
      </c>
      <c r="O872" s="19">
        <f ca="1">IF('Stock Price'!$I$11="OK",B872/INDEX(B$5:B$1258,'Stock Price'!$I$9)-1,"")</f>
        <v>2.1556586038350645E-2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2.1470836855452369E-2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163.63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61.07</v>
      </c>
      <c r="M873" s="18">
        <v>210.01</v>
      </c>
      <c r="O873" s="19">
        <f ca="1">IF('Stock Price'!$I$11="OK",B873/INDEX(B$5:B$1258,'Stock Price'!$I$9)-1,"")</f>
        <v>2.5379120190500037E-2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3.2459847844463319E-2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163.29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61.05</v>
      </c>
      <c r="M874" s="18">
        <v>209.17</v>
      </c>
      <c r="O874" s="19">
        <f ca="1">IF('Stock Price'!$I$11="OK",B874/INDEX(B$5:B$1258,'Stock Price'!$I$9)-1,"")</f>
        <v>2.3248527384383877E-2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3.2121724429416743E-2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161.02000000000001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59.19</v>
      </c>
      <c r="M875" s="18">
        <v>201.34</v>
      </c>
      <c r="O875" s="19">
        <f ca="1">IF('Stock Price'!$I$11="OK",B875/INDEX(B$5:B$1258,'Stock Price'!$I$9)-1,"")</f>
        <v>9.0236871788444972E-3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6.762468300929303E-4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161.72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59.21</v>
      </c>
      <c r="M876" s="18">
        <v>201.3</v>
      </c>
      <c r="O876" s="19">
        <f ca="1">IF('Stock Price'!$I$11="OK",B876/INDEX(B$5:B$1258,'Stock Price'!$I$9)-1,"")</f>
        <v>1.341020177967156E-2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1.0143702451395065E-3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163.13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58.9</v>
      </c>
      <c r="M877" s="18">
        <v>202.72</v>
      </c>
      <c r="O877" s="19">
        <f ca="1">IF('Stock Price'!$I$11="OK",B877/INDEX(B$5:B$1258,'Stock Price'!$I$9)-1,"")</f>
        <v>2.2245895475623501E-2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-4.2265426880812029E-3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163.71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60.02</v>
      </c>
      <c r="M878" s="18">
        <v>205.29</v>
      </c>
      <c r="O878" s="19">
        <f ca="1">IF('Stock Price'!$I$11="OK",B878/INDEX(B$5:B$1258,'Stock Price'!$I$9)-1,"")</f>
        <v>2.5880436144880337E-2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1.47083685545224E-2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165.84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60.99</v>
      </c>
      <c r="M879" s="18">
        <v>209.52</v>
      </c>
      <c r="O879" s="19">
        <f ca="1">IF('Stock Price'!$I$11="OK",B879/INDEX(B$5:B$1258,'Stock Price'!$I$9)-1,"")</f>
        <v>3.9227973430254304E-2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3.1107354184277236E-2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153.25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59.55</v>
      </c>
      <c r="M880" s="18">
        <v>206.27</v>
      </c>
      <c r="O880" s="19">
        <f ca="1">IF('Stock Price'!$I$11="OK",B880/INDEX(B$5:B$1258,'Stock Price'!$I$9)-1,"")</f>
        <v>-3.9666624890337232E-2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6.762468300929747E-3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155.36000000000001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59.6</v>
      </c>
      <c r="M881" s="18">
        <v>205.19</v>
      </c>
      <c r="O881" s="19">
        <f ca="1">IF('Stock Price'!$I$11="OK",B881/INDEX(B$5:B$1258,'Stock Price'!$I$9)-1,"")</f>
        <v>-2.6444416593558118E-2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7.6077768385460764E-3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159.82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57.82</v>
      </c>
      <c r="M882" s="18">
        <v>201.64</v>
      </c>
      <c r="O882" s="19">
        <f ca="1">IF('Stock Price'!$I$11="OK",B882/INDEX(B$5:B$1258,'Stock Price'!$I$9)-1,"")</f>
        <v>1.5039478631406755E-3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-2.2485207100591653E-2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153.24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55.3</v>
      </c>
      <c r="M883" s="18">
        <v>186.96</v>
      </c>
      <c r="O883" s="19">
        <f ca="1">IF('Stock Price'!$I$11="OK",B883/INDEX(B$5:B$1258,'Stock Price'!$I$9)-1,"")</f>
        <v>-3.9729289384634714E-2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-6.5088757396449703E-2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150.62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55.19</v>
      </c>
      <c r="M884" s="18">
        <v>186.55</v>
      </c>
      <c r="O884" s="19">
        <f ca="1">IF('Stock Price'!$I$11="OK",B884/INDEX(B$5:B$1258,'Stock Price'!$I$9)-1,"")</f>
        <v>-5.6147386890587847E-2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-6.6948436179205428E-2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150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53.07</v>
      </c>
      <c r="M885" s="18">
        <v>175.67</v>
      </c>
      <c r="O885" s="19">
        <f ca="1">IF('Stock Price'!$I$11="OK",B885/INDEX(B$5:B$1258,'Stock Price'!$I$9)-1,"")</f>
        <v>-6.0032585537034833E-2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-0.10278951817413351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150.97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53.74</v>
      </c>
      <c r="M886" s="18">
        <v>179.84</v>
      </c>
      <c r="O886" s="19">
        <f ca="1">IF('Stock Price'!$I$11="OK",B886/INDEX(B$5:B$1258,'Stock Price'!$I$9)-1,"")</f>
        <v>-5.3954129590174316E-2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-9.1462383770075983E-2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148.69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50.46</v>
      </c>
      <c r="M887" s="18">
        <v>174.2</v>
      </c>
      <c r="O887" s="19">
        <f ca="1">IF('Stock Price'!$I$11="OK",B887/INDEX(B$5:B$1258,'Stock Price'!$I$9)-1,"")</f>
        <v>-6.8241634290011399E-2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-0.14691462383770071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151.72999999999999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50.71</v>
      </c>
      <c r="M888" s="18">
        <v>175.05</v>
      </c>
      <c r="O888" s="19">
        <f ca="1">IF('Stock Price'!$I$11="OK",B888/INDEX(B$5:B$1258,'Stock Price'!$I$9)-1,"")</f>
        <v>-4.9191628023562028E-2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-0.14268808114961962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154.36000000000001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51.34</v>
      </c>
      <c r="M889" s="18">
        <v>179.1</v>
      </c>
      <c r="O889" s="19">
        <f ca="1">IF('Stock Price'!$I$11="OK",B889/INDEX(B$5:B$1258,'Stock Price'!$I$9)-1,"")</f>
        <v>-3.2710866023311191E-2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-0.13203719357565502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153.62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50</v>
      </c>
      <c r="M890" s="18">
        <v>176.8</v>
      </c>
      <c r="O890" s="19">
        <f ca="1">IF('Stock Price'!$I$11="OK",B890/INDEX(B$5:B$1258,'Stock Price'!$I$9)-1,"")</f>
        <v>-3.7348038601328515E-2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-0.15469146238377007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153.91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49.36</v>
      </c>
      <c r="M891" s="18">
        <v>171.68</v>
      </c>
      <c r="O891" s="19">
        <f ca="1">IF('Stock Price'!$I$11="OK",B891/INDEX(B$5:B$1258,'Stock Price'!$I$9)-1,"")</f>
        <v>-3.5530768266700208E-2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-0.16551141166525785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157.47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49.23</v>
      </c>
      <c r="M892" s="18">
        <v>172.99</v>
      </c>
      <c r="O892" s="19">
        <f ca="1">IF('Stock Price'!$I$11="OK",B892/INDEX(B$5:B$1258,'Stock Price'!$I$9)-1,"")</f>
        <v>-1.3222208296779114E-2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-0.16770921386306004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156.91999999999999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48.94</v>
      </c>
      <c r="M893" s="18">
        <v>170.16</v>
      </c>
      <c r="O893" s="19">
        <f ca="1">IF('Stock Price'!$I$11="OK",B893/INDEX(B$5:B$1258,'Stock Price'!$I$9)-1,"")</f>
        <v>-1.6668755483143394E-2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-0.17261200338123417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157.75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49.82</v>
      </c>
      <c r="M894" s="18">
        <v>173.78</v>
      </c>
      <c r="O894" s="19">
        <f ca="1">IF('Stock Price'!$I$11="OK",B894/INDEX(B$5:B$1258,'Stock Price'!$I$9)-1,"")</f>
        <v>-1.1467602456448289E-2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-0.15773457311918848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155.38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48.53</v>
      </c>
      <c r="M895" s="18">
        <v>177.05</v>
      </c>
      <c r="O895" s="19">
        <f ca="1">IF('Stock Price'!$I$11="OK",B895/INDEX(B$5:B$1258,'Stock Price'!$I$9)-1,"")</f>
        <v>-2.6319087604963154E-2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-0.1795435333896872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154.93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48.69</v>
      </c>
      <c r="M896" s="18">
        <v>180.37</v>
      </c>
      <c r="O896" s="19">
        <f ca="1">IF('Stock Price'!$I$11="OK",B896/INDEX(B$5:B$1258,'Stock Price'!$I$9)-1,"")</f>
        <v>-2.9138989848351948E-2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-0.17683854606931537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154.58000000000001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47.9</v>
      </c>
      <c r="M897" s="18">
        <v>186.06</v>
      </c>
      <c r="O897" s="19">
        <f ca="1">IF('Stock Price'!$I$11="OK",B897/INDEX(B$5:B$1258,'Stock Price'!$I$9)-1,"")</f>
        <v>-3.133224714876548E-2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-0.19019442096365169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155.35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48.46</v>
      </c>
      <c r="M898" s="18">
        <v>192.34</v>
      </c>
      <c r="O898" s="19">
        <f ca="1">IF('Stock Price'!$I$11="OK",B898/INDEX(B$5:B$1258,'Stock Price'!$I$9)-1,"")</f>
        <v>-2.6507081087855711E-2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-0.18072696534234989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155.91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49.22</v>
      </c>
      <c r="M899" s="18">
        <v>193.51</v>
      </c>
      <c r="O899" s="19">
        <f ca="1">IF('Stock Price'!$I$11="OK",B899/INDEX(B$5:B$1258,'Stock Price'!$I$9)-1,"")</f>
        <v>-2.2997869407193949E-2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-0.16787827557058321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156.31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50.2</v>
      </c>
      <c r="M900" s="18">
        <v>195.1</v>
      </c>
      <c r="O900" s="19">
        <f ca="1">IF('Stock Price'!$I$11="OK",B900/INDEX(B$5:B$1258,'Stock Price'!$I$9)-1,"")</f>
        <v>-2.0491289635292675E-2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-0.15131022823330509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154.46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49.61</v>
      </c>
      <c r="M901" s="18">
        <v>193.34</v>
      </c>
      <c r="O901" s="19">
        <f ca="1">IF('Stock Price'!$I$11="OK",B901/INDEX(B$5:B$1258,'Stock Price'!$I$9)-1,"")</f>
        <v>-3.2084221080335928E-2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-0.16128486897717664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156.12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50.57</v>
      </c>
      <c r="M902" s="18">
        <v>198.47</v>
      </c>
      <c r="O902" s="19">
        <f ca="1">IF('Stock Price'!$I$11="OK",B902/INDEX(B$5:B$1258,'Stock Price'!$I$9)-1,"")</f>
        <v>-2.1681915026945831E-2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-0.14505494505494498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155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50.06</v>
      </c>
      <c r="M903" s="18">
        <v>196.07</v>
      </c>
      <c r="O903" s="19">
        <f ca="1">IF('Stock Price'!$I$11="OK",B903/INDEX(B$5:B$1258,'Stock Price'!$I$9)-1,"")</f>
        <v>-2.8700338388269242E-2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-0.15367709213863057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154.47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47.57</v>
      </c>
      <c r="M904" s="18">
        <v>187.15</v>
      </c>
      <c r="O904" s="19">
        <f ca="1">IF('Stock Price'!$I$11="OK",B904/INDEX(B$5:B$1258,'Stock Price'!$I$9)-1,"")</f>
        <v>-3.2021556586038447E-2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-0.19577345731191886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157.30000000000001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47.62</v>
      </c>
      <c r="M905" s="18">
        <v>188.09</v>
      </c>
      <c r="O905" s="19">
        <f ca="1">IF('Stock Price'!$I$11="OK",B905/INDEX(B$5:B$1258,'Stock Price'!$I$9)-1,"")</f>
        <v>-1.4287504699837084E-2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-0.19492814877430265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155.66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46.88</v>
      </c>
      <c r="M906" s="18">
        <v>185.58</v>
      </c>
      <c r="O906" s="19">
        <f ca="1">IF('Stock Price'!$I$11="OK",B906/INDEX(B$5:B$1258,'Stock Price'!$I$9)-1,"")</f>
        <v>-2.4564481764632218E-2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-0.20743871513102274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154.22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46.45</v>
      </c>
      <c r="M907" s="18">
        <v>184.6</v>
      </c>
      <c r="O907" s="19">
        <f ca="1">IF('Stock Price'!$I$11="OK",B907/INDEX(B$5:B$1258,'Stock Price'!$I$9)-1,"")</f>
        <v>-3.3588168943476715E-2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-0.21470836855452236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154.13999999999999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48.18</v>
      </c>
      <c r="M908" s="18">
        <v>190.07</v>
      </c>
      <c r="O908" s="19">
        <f ca="1">IF('Stock Price'!$I$11="OK",B908/INDEX(B$5:B$1258,'Stock Price'!$I$9)-1,"")</f>
        <v>-3.4089484897857014E-2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-0.18546069315300084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148.44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46.59</v>
      </c>
      <c r="M909" s="18">
        <v>188</v>
      </c>
      <c r="O909" s="19">
        <f ca="1">IF('Stock Price'!$I$11="OK",B909/INDEX(B$5:B$1258,'Stock Price'!$I$9)-1,"")</f>
        <v>-6.9808246647449668E-2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-0.21234150464919688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146.36000000000001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44.12</v>
      </c>
      <c r="M910" s="18">
        <v>177.44</v>
      </c>
      <c r="O910" s="19">
        <f ca="1">IF('Stock Price'!$I$11="OK",B910/INDEX(B$5:B$1258,'Stock Price'!$I$9)-1,"")</f>
        <v>-8.2842461461336003E-2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-0.25409974640743871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149.61000000000001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45.81</v>
      </c>
      <c r="M911" s="18">
        <v>181.68</v>
      </c>
      <c r="O911" s="19">
        <f ca="1">IF('Stock Price'!$I$11="OK",B911/INDEX(B$5:B$1258,'Stock Price'!$I$9)-1,"")</f>
        <v>-6.2476500814638403E-2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-0.22552831783601013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151.33000000000001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46.75</v>
      </c>
      <c r="M912" s="18">
        <v>184.02</v>
      </c>
      <c r="O912" s="19">
        <f ca="1">IF('Stock Price'!$I$11="OK",B912/INDEX(B$5:B$1258,'Stock Price'!$I$9)-1,"")</f>
        <v>-5.169820779546308E-2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-0.20963651732882504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152.49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47.22</v>
      </c>
      <c r="M913" s="18">
        <v>185.71</v>
      </c>
      <c r="O913" s="19">
        <f ca="1">IF('Stock Price'!$I$11="OK",B913/INDEX(B$5:B$1258,'Stock Price'!$I$9)-1,"")</f>
        <v>-4.4429126456949519E-2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-0.2016906170752325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153.66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47.87</v>
      </c>
      <c r="M914" s="18">
        <v>184.85</v>
      </c>
      <c r="O914" s="19">
        <f ca="1">IF('Stock Price'!$I$11="OK",B914/INDEX(B$5:B$1258,'Stock Price'!$I$9)-1,"")</f>
        <v>-3.7097380624138476E-2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-0.19070160608622144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153.18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47</v>
      </c>
      <c r="M915" s="18">
        <v>181.8</v>
      </c>
      <c r="O915" s="19">
        <f ca="1">IF('Stock Price'!$I$11="OK",B915/INDEX(B$5:B$1258,'Stock Price'!$I$9)-1,"")</f>
        <v>-4.0105276350419938E-2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-0.20540997464074384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152.61000000000001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47.03</v>
      </c>
      <c r="M916" s="18">
        <v>182.54</v>
      </c>
      <c r="O916" s="19">
        <f ca="1">IF('Stock Price'!$I$11="OK",B916/INDEX(B$5:B$1258,'Stock Price'!$I$9)-1,"")</f>
        <v>-4.367715252537907E-2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-0.20490278951817409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152.94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46.85</v>
      </c>
      <c r="M917" s="18">
        <v>183.26</v>
      </c>
      <c r="O917" s="19">
        <f ca="1">IF('Stock Price'!$I$11="OK",B917/INDEX(B$5:B$1258,'Stock Price'!$I$9)-1,"")</f>
        <v>-4.1609224213560725E-2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-0.2079459002535925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153.25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46.89</v>
      </c>
      <c r="M918" s="18">
        <v>185.72</v>
      </c>
      <c r="O918" s="19">
        <f ca="1">IF('Stock Price'!$I$11="OK",B918/INDEX(B$5:B$1258,'Stock Price'!$I$9)-1,"")</f>
        <v>-3.9666624890337232E-2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-0.20726965342349957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152.43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46.97</v>
      </c>
      <c r="M919" s="18">
        <v>183.09</v>
      </c>
      <c r="O919" s="19">
        <f ca="1">IF('Stock Price'!$I$11="OK",B919/INDEX(B$5:B$1258,'Stock Price'!$I$9)-1,"")</f>
        <v>-4.4805113422734744E-2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-0.2059171597633136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153.58000000000001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47.85</v>
      </c>
      <c r="M920" s="18">
        <v>185.62</v>
      </c>
      <c r="O920" s="19">
        <f ca="1">IF('Stock Price'!$I$11="OK",B920/INDEX(B$5:B$1258,'Stock Price'!$I$9)-1,"")</f>
        <v>-3.7598696578518553E-2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-0.19103972950126791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155.21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48.28</v>
      </c>
      <c r="M921" s="18">
        <v>186.11</v>
      </c>
      <c r="O921" s="19">
        <f ca="1">IF('Stock Price'!$I$11="OK",B921/INDEX(B$5:B$1258,'Stock Price'!$I$9)-1,"")</f>
        <v>-2.7384384008021123E-2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-0.1837700760777683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155.4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48.79</v>
      </c>
      <c r="M922" s="18">
        <v>186.99</v>
      </c>
      <c r="O922" s="19">
        <f ca="1">IF('Stock Price'!$I$11="OK",B922/INDEX(B$5:B$1258,'Stock Price'!$I$9)-1,"")</f>
        <v>-2.6193758616367968E-2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-0.17514792899408282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154.41999999999999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48.09</v>
      </c>
      <c r="M923" s="18">
        <v>187.25</v>
      </c>
      <c r="O923" s="19">
        <f ca="1">IF('Stock Price'!$I$11="OK",B923/INDEX(B$5:B$1258,'Stock Price'!$I$9)-1,"")</f>
        <v>-3.2334879057526189E-2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-0.18698224852070999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153.22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47.95</v>
      </c>
      <c r="M924" s="18">
        <v>187.34</v>
      </c>
      <c r="O924" s="19">
        <f ca="1">IF('Stock Price'!$I$11="OK",B924/INDEX(B$5:B$1258,'Stock Price'!$I$9)-1,"")</f>
        <v>-3.9854618373229789E-2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-0.18934911242603547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153.66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47.84</v>
      </c>
      <c r="M925" s="18">
        <v>187.47</v>
      </c>
      <c r="O925" s="19">
        <f ca="1">IF('Stock Price'!$I$11="OK",B925/INDEX(B$5:B$1258,'Stock Price'!$I$9)-1,"")</f>
        <v>-3.7097380624138476E-2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-0.19120879120879108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155.03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48.41</v>
      </c>
      <c r="M926" s="18">
        <v>189.83</v>
      </c>
      <c r="O926" s="19">
        <f ca="1">IF('Stock Price'!$I$11="OK",B926/INDEX(B$5:B$1258,'Stock Price'!$I$9)-1,"")</f>
        <v>-2.8512344905376685E-2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-0.18157227387996622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155.22999999999999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49</v>
      </c>
      <c r="M927" s="18">
        <v>189.16</v>
      </c>
      <c r="O927" s="19">
        <f ca="1">IF('Stock Price'!$I$11="OK",B927/INDEX(B$5:B$1258,'Stock Price'!$I$9)-1,"")</f>
        <v>-2.7259055019426159E-2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-0.17159763313609466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156.44999999999999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49.97</v>
      </c>
      <c r="M928" s="18">
        <v>189.5</v>
      </c>
      <c r="O928" s="19">
        <f ca="1">IF('Stock Price'!$I$11="OK",B928/INDEX(B$5:B$1258,'Stock Price'!$I$9)-1,"")</f>
        <v>-1.9613986715127374E-2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-0.15519864750633983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155.26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50.16</v>
      </c>
      <c r="M929" s="18">
        <v>191.5</v>
      </c>
      <c r="O929" s="19">
        <f ca="1">IF('Stock Price'!$I$11="OK",B929/INDEX(B$5:B$1258,'Stock Price'!$I$9)-1,"")</f>
        <v>-2.7071061536533492E-2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-0.15198647506339813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156.66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50.69</v>
      </c>
      <c r="M930" s="18">
        <v>192.42</v>
      </c>
      <c r="O930" s="19">
        <f ca="1">IF('Stock Price'!$I$11="OK",B930/INDEX(B$5:B$1258,'Stock Price'!$I$9)-1,"")</f>
        <v>-1.8298032334879144E-2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-0.14302620456466608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157.1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49.75</v>
      </c>
      <c r="M931" s="18">
        <v>191.08</v>
      </c>
      <c r="O931" s="19">
        <f ca="1">IF('Stock Price'!$I$11="OK",B931/INDEX(B$5:B$1258,'Stock Price'!$I$9)-1,"")</f>
        <v>-1.5540794585787832E-2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-0.15891800507185116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155.22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48.66</v>
      </c>
      <c r="M932" s="18">
        <v>190.86</v>
      </c>
      <c r="O932" s="19">
        <f ca="1">IF('Stock Price'!$I$11="OK",B932/INDEX(B$5:B$1258,'Stock Price'!$I$9)-1,"")</f>
        <v>-2.7321719513723641E-2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-0.17734573119188513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152.38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47.23</v>
      </c>
      <c r="M933" s="18">
        <v>185.48</v>
      </c>
      <c r="O933" s="19">
        <f ca="1">IF('Stock Price'!$I$11="OK",B933/INDEX(B$5:B$1258,'Stock Price'!$I$9)-1,"")</f>
        <v>-4.5118435894222486E-2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-0.20152155536770922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150.72999999999999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46.84</v>
      </c>
      <c r="M934" s="18">
        <v>185.49</v>
      </c>
      <c r="O934" s="19">
        <f ca="1">IF('Stock Price'!$I$11="OK",B934/INDEX(B$5:B$1258,'Stock Price'!$I$9)-1,"")</f>
        <v>-5.5458077453315102E-2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-0.20811496196111579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149.79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46.86</v>
      </c>
      <c r="M935" s="18">
        <v>185.3</v>
      </c>
      <c r="O935" s="19">
        <f ca="1">IF('Stock Price'!$I$11="OK",B935/INDEX(B$5:B$1258,'Stock Price'!$I$9)-1,"")</f>
        <v>-6.1348539917282952E-2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-0.20777683854606932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151.32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46.92</v>
      </c>
      <c r="M936" s="18">
        <v>183.76</v>
      </c>
      <c r="O936" s="19">
        <f ca="1">IF('Stock Price'!$I$11="OK",B936/INDEX(B$5:B$1258,'Stock Price'!$I$9)-1,"")</f>
        <v>-5.1760872289760784E-2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-0.20676246830092981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152.19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47.03</v>
      </c>
      <c r="M937" s="18">
        <v>185.55</v>
      </c>
      <c r="O937" s="19">
        <f ca="1">IF('Stock Price'!$I$11="OK",B937/INDEX(B$5:B$1258,'Stock Price'!$I$9)-1,"")</f>
        <v>-4.630906128587553E-2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-0.20490278951817409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152.28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46.68</v>
      </c>
      <c r="M938" s="18">
        <v>185.39</v>
      </c>
      <c r="O938" s="19">
        <f ca="1">IF('Stock Price'!$I$11="OK",B938/INDEX(B$5:B$1258,'Stock Price'!$I$9)-1,"")</f>
        <v>-4.5745080837197749E-2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-0.21081994928148773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152.01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46.65</v>
      </c>
      <c r="M939" s="18">
        <v>186.79</v>
      </c>
      <c r="O939" s="19">
        <f ca="1">IF('Stock Price'!$I$11="OK",B939/INDEX(B$5:B$1258,'Stock Price'!$I$9)-1,"")</f>
        <v>-4.7437022183231092E-2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-0.21132713440405748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152.41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46.35</v>
      </c>
      <c r="M940" s="18">
        <v>182.31</v>
      </c>
      <c r="O940" s="19">
        <f ca="1">IF('Stock Price'!$I$11="OK",B940/INDEX(B$5:B$1258,'Stock Price'!$I$9)-1,"")</f>
        <v>-4.4930442411329818E-2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-0.21639898562975479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152.75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46.29</v>
      </c>
      <c r="M941" s="18">
        <v>185.62</v>
      </c>
      <c r="O941" s="19">
        <f ca="1">IF('Stock Price'!$I$11="OK",B941/INDEX(B$5:B$1258,'Stock Price'!$I$9)-1,"")</f>
        <v>-4.2799849605213769E-2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-0.2174133558748943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155.91999999999999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47.51</v>
      </c>
      <c r="M942" s="18">
        <v>189.99</v>
      </c>
      <c r="O942" s="19">
        <f ca="1">IF('Stock Price'!$I$11="OK",B942/INDEX(B$5:B$1258,'Stock Price'!$I$9)-1,"")</f>
        <v>-2.2935204912896467E-2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-0.19678782755705837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155.56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47.63</v>
      </c>
      <c r="M943" s="18">
        <v>190.75</v>
      </c>
      <c r="O943" s="19">
        <f ca="1">IF('Stock Price'!$I$11="OK",B943/INDEX(B$5:B$1258,'Stock Price'!$I$9)-1,"")</f>
        <v>-2.5191126707607481E-2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-0.19475908706677936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156.01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46.92</v>
      </c>
      <c r="M944" s="18">
        <v>189.28</v>
      </c>
      <c r="O944" s="19">
        <f ca="1">IF('Stock Price'!$I$11="OK",B944/INDEX(B$5:B$1258,'Stock Price'!$I$9)-1,"")</f>
        <v>-2.2371224464218686E-2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-0.20676246830092981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155.27000000000001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46.49</v>
      </c>
      <c r="M945" s="18">
        <v>187.63</v>
      </c>
      <c r="O945" s="19">
        <f ca="1">IF('Stock Price'!$I$11="OK",B945/INDEX(B$5:B$1258,'Stock Price'!$I$9)-1,"")</f>
        <v>-2.7008397042235899E-2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-0.21403212172442931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155.79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47.04</v>
      </c>
      <c r="M946" s="18">
        <v>189.77</v>
      </c>
      <c r="O946" s="19">
        <f ca="1">IF('Stock Price'!$I$11="OK",B946/INDEX(B$5:B$1258,'Stock Price'!$I$9)-1,"")</f>
        <v>-2.3749843338764398E-2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-0.20473372781065091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156.28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47.66</v>
      </c>
      <c r="M947" s="18">
        <v>190.62</v>
      </c>
      <c r="O947" s="19">
        <f ca="1">IF('Stock Price'!$I$11="OK",B947/INDEX(B$5:B$1258,'Stock Price'!$I$9)-1,"")</f>
        <v>-2.0679283118185343E-2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-0.19425190194420972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157.69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48.52</v>
      </c>
      <c r="M948" s="18">
        <v>195</v>
      </c>
      <c r="O948" s="19">
        <f ca="1">IF('Stock Price'!$I$11="OK",B948/INDEX(B$5:B$1258,'Stock Price'!$I$9)-1,"")</f>
        <v>-1.1843589422233403E-2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-0.17971259509721038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156.9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46.86</v>
      </c>
      <c r="M949" s="18">
        <v>192.45</v>
      </c>
      <c r="O949" s="19">
        <f ca="1">IF('Stock Price'!$I$11="OK",B949/INDEX(B$5:B$1258,'Stock Price'!$I$9)-1,"")</f>
        <v>-1.6794084471738358E-2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-0.20777683854606932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156.82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47.34</v>
      </c>
      <c r="M950" s="18">
        <v>191.52</v>
      </c>
      <c r="O950" s="19">
        <f ca="1">IF('Stock Price'!$I$11="OK",B950/INDEX(B$5:B$1258,'Stock Price'!$I$9)-1,"")</f>
        <v>-1.7295400426118657E-2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-0.19966187658495338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155.16999999999999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46.43</v>
      </c>
      <c r="M951" s="18">
        <v>186.39</v>
      </c>
      <c r="O951" s="19">
        <f ca="1">IF('Stock Price'!$I$11="OK",B951/INDEX(B$5:B$1258,'Stock Price'!$I$9)-1,"")</f>
        <v>-2.7635041985211384E-2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-0.21504649196956893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164.78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47.17</v>
      </c>
      <c r="M952" s="18">
        <v>190.58</v>
      </c>
      <c r="O952" s="19">
        <f ca="1">IF('Stock Price'!$I$11="OK",B952/INDEX(B$5:B$1258,'Stock Price'!$I$9)-1,"")</f>
        <v>3.2585537034716117E-2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-0.20253592561284861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162.97999999999999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48.06</v>
      </c>
      <c r="M953" s="18">
        <v>191.4</v>
      </c>
      <c r="O953" s="19">
        <f ca="1">IF('Stock Price'!$I$11="OK",B953/INDEX(B$5:B$1258,'Stock Price'!$I$9)-1,"")</f>
        <v>2.1305928061160495E-2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-0.18748943364327975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163.69999999999999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47.36</v>
      </c>
      <c r="M954" s="18">
        <v>189.26</v>
      </c>
      <c r="O954" s="19">
        <f ca="1">IF('Stock Price'!$I$11="OK",B954/INDEX(B$5:B$1258,'Stock Price'!$I$9)-1,"")</f>
        <v>2.5817771650582522E-2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-0.19932375316990703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164.36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46.69</v>
      </c>
      <c r="M955" s="18">
        <v>184.85</v>
      </c>
      <c r="O955" s="19">
        <f ca="1">IF('Stock Price'!$I$11="OK",B955/INDEX(B$5:B$1258,'Stock Price'!$I$9)-1,"")</f>
        <v>2.9953628274219879E-2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-0.21065088757396455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167.93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48.02</v>
      </c>
      <c r="M956" s="18">
        <v>187.11</v>
      </c>
      <c r="O956" s="19">
        <f ca="1">IF('Stock Price'!$I$11="OK",B956/INDEX(B$5:B$1258,'Stock Price'!$I$9)-1,"")</f>
        <v>5.2324852738438343E-2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-0.18816568047337268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169.1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48.98</v>
      </c>
      <c r="M957" s="18">
        <v>190.55</v>
      </c>
      <c r="O957" s="19">
        <f ca="1">IF('Stock Price'!$I$11="OK",B957/INDEX(B$5:B$1258,'Stock Price'!$I$9)-1,"")</f>
        <v>5.9656598571249386E-2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-0.17193575655114124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169.56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48.94</v>
      </c>
      <c r="M958" s="18">
        <v>190.83</v>
      </c>
      <c r="O958" s="19">
        <f ca="1">IF('Stock Price'!$I$11="OK",B958/INDEX(B$5:B$1258,'Stock Price'!$I$9)-1,"")</f>
        <v>6.2539165308935996E-2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-0.17261200338123417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168.3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48.43</v>
      </c>
      <c r="M959" s="18">
        <v>190.28</v>
      </c>
      <c r="O959" s="19">
        <f ca="1">IF('Stock Price'!$I$11="OK",B959/INDEX(B$5:B$1258,'Stock Price'!$I$9)-1,"")</f>
        <v>5.464343902744706E-2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-0.18123415046491964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166.22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47.51</v>
      </c>
      <c r="M960" s="18">
        <v>188.52</v>
      </c>
      <c r="O960" s="19">
        <f ca="1">IF('Stock Price'!$I$11="OK",B960/INDEX(B$5:B$1258,'Stock Price'!$I$9)-1,"")</f>
        <v>4.1609224213560614E-2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-0.19678782755705837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168.11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46.86</v>
      </c>
      <c r="M961" s="18">
        <v>191.22</v>
      </c>
      <c r="O961" s="19">
        <f ca="1">IF('Stock Price'!$I$11="OK",B961/INDEX(B$5:B$1258,'Stock Price'!$I$9)-1,"")</f>
        <v>5.3452813635793905E-2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-0.20777683854606932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167.26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45.98</v>
      </c>
      <c r="M962" s="18">
        <v>189.31</v>
      </c>
      <c r="O962" s="19">
        <f ca="1">IF('Stock Price'!$I$11="OK",B962/INDEX(B$5:B$1258,'Stock Price'!$I$9)-1,"")</f>
        <v>4.8126331620503615E-2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-0.22265426880811501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164.74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43.31</v>
      </c>
      <c r="M963" s="18">
        <v>189.02</v>
      </c>
      <c r="O963" s="19">
        <f ca="1">IF('Stock Price'!$I$11="OK",B963/INDEX(B$5:B$1258,'Stock Price'!$I$9)-1,"")</f>
        <v>3.2334879057525967E-2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-0.2677937447168216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167.33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44.23</v>
      </c>
      <c r="M964" s="18">
        <v>195.22</v>
      </c>
      <c r="O964" s="19">
        <f ca="1">IF('Stock Price'!$I$11="OK",B964/INDEX(B$5:B$1258,'Stock Price'!$I$9)-1,"")</f>
        <v>4.8564983080586543E-2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-0.2522400676246831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171.04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45.4</v>
      </c>
      <c r="M965" s="18">
        <v>197.19</v>
      </c>
      <c r="O965" s="19">
        <f ca="1">IF('Stock Price'!$I$11="OK",B965/INDEX(B$5:B$1258,'Stock Price'!$I$9)-1,"")</f>
        <v>7.181351046497042E-2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-0.23245984784446327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170.74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45.85</v>
      </c>
      <c r="M966" s="18">
        <v>198.55</v>
      </c>
      <c r="O966" s="19">
        <f ca="1">IF('Stock Price'!$I$11="OK",B966/INDEX(B$5:B$1258,'Stock Price'!$I$9)-1,"")</f>
        <v>6.9933575636044631E-2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-0.22485207100591709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170.59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44.82</v>
      </c>
      <c r="M967" s="18">
        <v>196.3</v>
      </c>
      <c r="O967" s="19">
        <f ca="1">IF('Stock Price'!$I$11="OK",B967/INDEX(B$5:B$1258,'Stock Price'!$I$9)-1,"")</f>
        <v>6.8993608221581626E-2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-0.24226542688081143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171.53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45.36</v>
      </c>
      <c r="M968" s="18">
        <v>198.86</v>
      </c>
      <c r="O968" s="19">
        <f ca="1">IF('Stock Price'!$I$11="OK",B968/INDEX(B$5:B$1258,'Stock Price'!$I$9)-1,"")</f>
        <v>7.4884070685549586E-2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-0.2331360946745562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173.33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45.95</v>
      </c>
      <c r="M969" s="18">
        <v>198.05</v>
      </c>
      <c r="O969" s="19">
        <f ca="1">IF('Stock Price'!$I$11="OK",B969/INDEX(B$5:B$1258,'Stock Price'!$I$9)-1,"")</f>
        <v>8.6163679659105208E-2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-0.22316145393068465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173.82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45.93</v>
      </c>
      <c r="M970" s="18">
        <v>198.64</v>
      </c>
      <c r="O970" s="19">
        <f ca="1">IF('Stock Price'!$I$11="OK",B970/INDEX(B$5:B$1258,'Stock Price'!$I$9)-1,"")</f>
        <v>8.9234239879684152E-2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-0.22349957734573123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172.78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46.55</v>
      </c>
      <c r="M971" s="18">
        <v>198.64</v>
      </c>
      <c r="O971" s="19">
        <f ca="1">IF('Stock Price'!$I$11="OK",B971/INDEX(B$5:B$1258,'Stock Price'!$I$9)-1,"")</f>
        <v>8.2717132472740929E-2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-0.21301775147928992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174.42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47.85</v>
      </c>
      <c r="M972" s="18">
        <v>201.47</v>
      </c>
      <c r="O972" s="19">
        <f ca="1">IF('Stock Price'!$I$11="OK",B972/INDEX(B$5:B$1258,'Stock Price'!$I$9)-1,"")</f>
        <v>9.2994109537535952E-2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-0.19103972950126791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174.72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47.81</v>
      </c>
      <c r="M973" s="18">
        <v>204.68</v>
      </c>
      <c r="O973" s="19">
        <f ca="1">IF('Stock Price'!$I$11="OK",B973/INDEX(B$5:B$1258,'Stock Price'!$I$9)-1,"")</f>
        <v>9.4874044366461963E-2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-0.19171597633136084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176.64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48.44</v>
      </c>
      <c r="M974" s="18">
        <v>206.69</v>
      </c>
      <c r="O974" s="19">
        <f ca="1">IF('Stock Price'!$I$11="OK",B974/INDEX(B$5:B$1258,'Stock Price'!$I$9)-1,"")</f>
        <v>0.10690562727158781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-0.18106508875739646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176.25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48.19</v>
      </c>
      <c r="M975" s="18">
        <v>206.57</v>
      </c>
      <c r="O975" s="19">
        <f ca="1">IF('Stock Price'!$I$11="OK",B975/INDEX(B$5:B$1258,'Stock Price'!$I$9)-1,"")</f>
        <v>0.10446171199398413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-0.18529163144547767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177.8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48.34</v>
      </c>
      <c r="M976" s="18">
        <v>206.19</v>
      </c>
      <c r="O976" s="19">
        <f ca="1">IF('Stock Price'!$I$11="OK",B976/INDEX(B$5:B$1258,'Stock Price'!$I$9)-1,"")</f>
        <v>0.11417470861010148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-0.18275570583262879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178.84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48.26</v>
      </c>
      <c r="M977" s="18">
        <v>209.15</v>
      </c>
      <c r="O977" s="19">
        <f ca="1">IF('Stock Price'!$I$11="OK",B977/INDEX(B$5:B$1258,'Stock Price'!$I$9)-1,"")</f>
        <v>0.12069181601704471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-0.18410819949281487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178.93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48.43</v>
      </c>
      <c r="M978" s="18">
        <v>209.5</v>
      </c>
      <c r="O978" s="19">
        <f ca="1">IF('Stock Price'!$I$11="OK",B978/INDEX(B$5:B$1258,'Stock Price'!$I$9)-1,"")</f>
        <v>0.12125579646572238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-0.18123415046491964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179.29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47.92</v>
      </c>
      <c r="M979" s="18">
        <v>210.6</v>
      </c>
      <c r="O979" s="19">
        <f ca="1">IF('Stock Price'!$I$11="OK",B979/INDEX(B$5:B$1258,'Stock Price'!$I$9)-1,"")</f>
        <v>0.1235117182604335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-0.18985629754860522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178.41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47.14</v>
      </c>
      <c r="M980" s="18">
        <v>207.55</v>
      </c>
      <c r="O980" s="19">
        <f ca="1">IF('Stock Price'!$I$11="OK",B980/INDEX(B$5:B$1258,'Stock Price'!$I$9)-1,"")</f>
        <v>0.11799724276225088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-0.20304311073541836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176.49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47.21</v>
      </c>
      <c r="M981" s="18">
        <v>208.36</v>
      </c>
      <c r="O981" s="19">
        <f ca="1">IF('Stock Price'!$I$11="OK",B981/INDEX(B$5:B$1258,'Stock Price'!$I$9)-1,"")</f>
        <v>0.10596565985712503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-0.20185967878275568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176.79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47.63</v>
      </c>
      <c r="M982" s="18">
        <v>208.06</v>
      </c>
      <c r="O982" s="19">
        <f ca="1">IF('Stock Price'!$I$11="OK",B982/INDEX(B$5:B$1258,'Stock Price'!$I$9)-1,"")</f>
        <v>0.10784559468605082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-0.19475908706677936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175.45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46.88</v>
      </c>
      <c r="M983" s="18">
        <v>207.92</v>
      </c>
      <c r="O983" s="19">
        <f ca="1">IF('Stock Price'!$I$11="OK",B983/INDEX(B$5:B$1258,'Stock Price'!$I$9)-1,"")</f>
        <v>9.9448552450181582E-2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-0.20743871513102274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177.17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47.18</v>
      </c>
      <c r="M984" s="18">
        <v>210.4</v>
      </c>
      <c r="O984" s="19">
        <f ca="1">IF('Stock Price'!$I$11="OK",B984/INDEX(B$5:B$1258,'Stock Price'!$I$9)-1,"")</f>
        <v>0.1102268454693569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-0.20236686390532543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178.06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47.41</v>
      </c>
      <c r="M985" s="18">
        <v>211.92</v>
      </c>
      <c r="O985" s="19">
        <f ca="1">IF('Stock Price'!$I$11="OK",B985/INDEX(B$5:B$1258,'Stock Price'!$I$9)-1,"")</f>
        <v>0.11580398546183734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-0.19847844463229081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178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47.5</v>
      </c>
      <c r="M986" s="18">
        <v>211.86</v>
      </c>
      <c r="O986" s="19">
        <f ca="1">IF('Stock Price'!$I$11="OK",B986/INDEX(B$5:B$1258,'Stock Price'!$I$9)-1,"")</f>
        <v>0.11542799849605201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-0.19695688926458155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178.76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46.69</v>
      </c>
      <c r="M987" s="18">
        <v>213</v>
      </c>
      <c r="O987" s="19">
        <f ca="1">IF('Stock Price'!$I$11="OK",B987/INDEX(B$5:B$1258,'Stock Price'!$I$9)-1,"")</f>
        <v>0.12019050006266441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-0.21065088757396455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178.43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47.14</v>
      </c>
      <c r="M988" s="18">
        <v>212.56</v>
      </c>
      <c r="O988" s="19">
        <f ca="1">IF('Stock Price'!$I$11="OK",B988/INDEX(B$5:B$1258,'Stock Price'!$I$9)-1,"")</f>
        <v>0.11812257175084584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-0.20304311073541836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178.13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46.72</v>
      </c>
      <c r="M989" s="18">
        <v>209.79</v>
      </c>
      <c r="O989" s="19">
        <f ca="1">IF('Stock Price'!$I$11="OK",B989/INDEX(B$5:B$1258,'Stock Price'!$I$9)-1,"")</f>
        <v>0.11624263692191983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-0.2101437024513948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176.96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47.23</v>
      </c>
      <c r="M990" s="18">
        <v>210.42</v>
      </c>
      <c r="O990" s="19">
        <f ca="1">IF('Stock Price'!$I$11="OK",B990/INDEX(B$5:B$1258,'Stock Price'!$I$9)-1,"")</f>
        <v>0.10891089108910879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-0.20152155536770922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175.79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47.15</v>
      </c>
      <c r="M991" s="18">
        <v>211.64</v>
      </c>
      <c r="O991" s="19">
        <f ca="1">IF('Stock Price'!$I$11="OK",B991/INDEX(B$5:B$1258,'Stock Price'!$I$9)-1,"")</f>
        <v>0.10157914525629774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-0.20287404902789519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178.5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47.54</v>
      </c>
      <c r="M992" s="18">
        <v>220.22</v>
      </c>
      <c r="O992" s="19">
        <f ca="1">IF('Stock Price'!$I$11="OK",B992/INDEX(B$5:B$1258,'Stock Price'!$I$9)-1,"")</f>
        <v>0.11856122321092855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-0.19628064243448862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178.06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46.2</v>
      </c>
      <c r="M993" s="18">
        <v>218.34</v>
      </c>
      <c r="O993" s="19">
        <f ca="1">IF('Stock Price'!$I$11="OK",B993/INDEX(B$5:B$1258,'Stock Price'!$I$9)-1,"")</f>
        <v>0.11580398546183734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-0.21893491124260345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177.4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46.35</v>
      </c>
      <c r="M994" s="18">
        <v>217.61</v>
      </c>
      <c r="O994" s="19">
        <f ca="1">IF('Stock Price'!$I$11="OK",B994/INDEX(B$5:B$1258,'Stock Price'!$I$9)-1,"")</f>
        <v>0.11166812883820021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-0.21639898562975479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176.46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46.34</v>
      </c>
      <c r="M995" s="18">
        <v>216.26</v>
      </c>
      <c r="O995" s="19">
        <f ca="1">IF('Stock Price'!$I$11="OK",B995/INDEX(B$5:B$1258,'Stock Price'!$I$9)-1,"")</f>
        <v>0.10577766637423225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-0.21656804733727808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177.2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46.15</v>
      </c>
      <c r="M996" s="18">
        <v>220.81</v>
      </c>
      <c r="O996" s="19">
        <f ca="1">IF('Stock Price'!$I$11="OK",B996/INDEX(B$5:B$1258,'Stock Price'!$I$9)-1,"")</f>
        <v>0.11041483895224946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-0.21978021978021978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174.16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45.6</v>
      </c>
      <c r="M997" s="18">
        <v>221.99</v>
      </c>
      <c r="O997" s="19">
        <f ca="1">IF('Stock Price'!$I$11="OK",B997/INDEX(B$5:B$1258,'Stock Price'!$I$9)-1,"")</f>
        <v>9.136483268580009E-2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-0.22907861369399829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176.19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45.02</v>
      </c>
      <c r="M998" s="18">
        <v>222.47</v>
      </c>
      <c r="O998" s="19">
        <f ca="1">IF('Stock Price'!$I$11="OK",B998/INDEX(B$5:B$1258,'Stock Price'!$I$9)-1,"")</f>
        <v>0.10408572502819902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-0.23888419273034656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174.21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44.98</v>
      </c>
      <c r="M999" s="18">
        <v>222.59</v>
      </c>
      <c r="O999" s="19">
        <f ca="1">IF('Stock Price'!$I$11="OK",B999/INDEX(B$5:B$1258,'Stock Price'!$I$9)-1,"")</f>
        <v>9.1678155157287833E-2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-0.2395604395604396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176.58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44.91</v>
      </c>
      <c r="M1000" s="18">
        <v>222.61</v>
      </c>
      <c r="O1000" s="19">
        <f ca="1">IF('Stock Price'!$I$11="OK",B1000/INDEX(B$5:B$1258,'Stock Price'!$I$9)-1,"")</f>
        <v>0.1065296403058027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-0.24074387151310228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176.69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44.16</v>
      </c>
      <c r="M1001" s="18">
        <v>219.99</v>
      </c>
      <c r="O1001" s="19">
        <f ca="1">IF('Stock Price'!$I$11="OK",B1001/INDEX(B$5:B$1258,'Stock Price'!$I$9)-1,"")</f>
        <v>0.10721894974307555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-0.25342349957734578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177.73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43.41</v>
      </c>
      <c r="M1002" s="18">
        <v>218.54</v>
      </c>
      <c r="O1002" s="19">
        <f ca="1">IF('Stock Price'!$I$11="OK",B1002/INDEX(B$5:B$1258,'Stock Price'!$I$9)-1,"")</f>
        <v>0.11373605715001855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-0.26610312764158917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179.71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44.12</v>
      </c>
      <c r="M1003" s="18">
        <v>220.61</v>
      </c>
      <c r="O1003" s="19">
        <f ca="1">IF('Stock Price'!$I$11="OK",B1003/INDEX(B$5:B$1258,'Stock Price'!$I$9)-1,"")</f>
        <v>0.12614362702092996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-0.25409974640743871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181.62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44.15</v>
      </c>
      <c r="M1004" s="18">
        <v>223.16</v>
      </c>
      <c r="O1004" s="19">
        <f ca="1">IF('Stock Price'!$I$11="OK",B1004/INDEX(B$5:B$1258,'Stock Price'!$I$9)-1,"")</f>
        <v>0.13811254543175822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-0.25359256128486896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185.42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45.1</v>
      </c>
      <c r="M1005" s="18">
        <v>231.54</v>
      </c>
      <c r="O1005" s="19">
        <f ca="1">IF('Stock Price'!$I$11="OK",B1005/INDEX(B$5:B$1258,'Stock Price'!$I$9)-1,"")</f>
        <v>0.16192505326481998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-0.23753169907016058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186.05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47.43</v>
      </c>
      <c r="M1006" s="18">
        <v>244.38</v>
      </c>
      <c r="O1006" s="19">
        <f ca="1">IF('Stock Price'!$I$11="OK",B1006/INDEX(B$5:B$1258,'Stock Price'!$I$9)-1,"")</f>
        <v>0.16587291640556456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-0.19814032121724423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185.98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45.73</v>
      </c>
      <c r="M1007" s="18">
        <v>236.56</v>
      </c>
      <c r="O1007" s="19">
        <f ca="1">IF('Stock Price'!$I$11="OK",B1007/INDEX(B$5:B$1258,'Stock Price'!$I$9)-1,"")</f>
        <v>0.16543426494548163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-0.2268808114961961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188.64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45.45</v>
      </c>
      <c r="M1008" s="18">
        <v>233.91</v>
      </c>
      <c r="O1008" s="19">
        <f ca="1">IF('Stock Price'!$I$11="OK",B1008/INDEX(B$5:B$1258,'Stock Price'!$I$9)-1,"")</f>
        <v>0.18210302042862492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-0.23161453930684694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188.16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45.14</v>
      </c>
      <c r="M1009" s="18">
        <v>230.19</v>
      </c>
      <c r="O1009" s="19">
        <f ca="1">IF('Stock Price'!$I$11="OK",B1009/INDEX(B$5:B$1258,'Stock Price'!$I$9)-1,"")</f>
        <v>0.17909512470234357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-0.23685545224006754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188.89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44.66</v>
      </c>
      <c r="M1010" s="18">
        <v>232.83</v>
      </c>
      <c r="O1010" s="19">
        <f ca="1">IF('Stock Price'!$I$11="OK",B1010/INDEX(B$5:B$1258,'Stock Price'!$I$9)-1,"")</f>
        <v>0.18366963278606319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-0.24497041420118348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189.69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44.54</v>
      </c>
      <c r="M1011" s="18">
        <v>231.24</v>
      </c>
      <c r="O1011" s="19">
        <f ca="1">IF('Stock Price'!$I$11="OK",B1011/INDEX(B$5:B$1258,'Stock Price'!$I$9)-1,"")</f>
        <v>0.18868279232986573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-0.24699915469146239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191.08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44.68</v>
      </c>
      <c r="M1012" s="18">
        <v>230.69</v>
      </c>
      <c r="O1012" s="19">
        <f ca="1">IF('Stock Price'!$I$11="OK",B1012/INDEX(B$5:B$1258,'Stock Price'!$I$9)-1,"")</f>
        <v>0.19739315703722271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-0.24463229078613691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190.72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43.96</v>
      </c>
      <c r="M1013" s="18">
        <v>230.5</v>
      </c>
      <c r="O1013" s="19">
        <f ca="1">IF('Stock Price'!$I$11="OK",B1013/INDEX(B$5:B$1258,'Stock Price'!$I$9)-1,"")</f>
        <v>0.19513723524251159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-0.25680473372781065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190.9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43.54</v>
      </c>
      <c r="M1014" s="18">
        <v>230.3</v>
      </c>
      <c r="O1014" s="19">
        <f ca="1">IF('Stock Price'!$I$11="OK",B1014/INDEX(B$5:B$1258,'Stock Price'!$I$9)-1,"")</f>
        <v>0.19626519613986715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-0.26390532544378698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190.85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43.8</v>
      </c>
      <c r="M1015" s="18">
        <v>229.13</v>
      </c>
      <c r="O1015" s="19">
        <f ca="1">IF('Stock Price'!$I$11="OK",B1015/INDEX(B$5:B$1258,'Stock Price'!$I$9)-1,"")</f>
        <v>0.19595187366837941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-0.2595097210481826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191.17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43.61</v>
      </c>
      <c r="M1016" s="18">
        <v>226.22</v>
      </c>
      <c r="O1016" s="19">
        <f ca="1">IF('Stock Price'!$I$11="OK",B1016/INDEX(B$5:B$1258,'Stock Price'!$I$9)-1,"")</f>
        <v>0.19795713748590038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-0.26272189349112429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192.12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43.39</v>
      </c>
      <c r="M1017" s="18">
        <v>226.87</v>
      </c>
      <c r="O1017" s="19">
        <f ca="1">IF('Stock Price'!$I$11="OK",B1017/INDEX(B$5:B$1258,'Stock Price'!$I$9)-1,"")</f>
        <v>0.20391026444416593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-0.26644125105663563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193.22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43.63</v>
      </c>
      <c r="M1018" s="18">
        <v>229.57</v>
      </c>
      <c r="O1018" s="19">
        <f ca="1">IF('Stock Price'!$I$11="OK",B1018/INDEX(B$5:B$1258,'Stock Price'!$I$9)-1,"")</f>
        <v>0.21080335881689427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-0.26238377007607772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193.72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43.59</v>
      </c>
      <c r="M1019" s="18">
        <v>232.06</v>
      </c>
      <c r="O1019" s="19">
        <f ca="1">IF('Stock Price'!$I$11="OK",B1019/INDEX(B$5:B$1258,'Stock Price'!$I$9)-1,"")</f>
        <v>0.21393658353177081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-0.26306001690617065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191.88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44.54</v>
      </c>
      <c r="M1020" s="18">
        <v>231.39</v>
      </c>
      <c r="O1020" s="19">
        <f ca="1">IF('Stock Price'!$I$11="OK",B1020/INDEX(B$5:B$1258,'Stock Price'!$I$9)-1,"")</f>
        <v>0.20240631658102504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-0.24699915469146239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192.94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44.39</v>
      </c>
      <c r="M1021" s="18">
        <v>228.68</v>
      </c>
      <c r="O1021" s="19">
        <f ca="1">IF('Stock Price'!$I$11="OK",B1021/INDEX(B$5:B$1258,'Stock Price'!$I$9)-1,"")</f>
        <v>0.20904875297656345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-0.24953508030431104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192.47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43.83</v>
      </c>
      <c r="M1022" s="18">
        <v>228.25</v>
      </c>
      <c r="O1022" s="19">
        <f ca="1">IF('Stock Price'!$I$11="OK",B1022/INDEX(B$5:B$1258,'Stock Price'!$I$9)-1,"")</f>
        <v>0.20610352174457947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-0.25900253592561284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190.4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43.83</v>
      </c>
      <c r="M1023" s="18">
        <v>227.99</v>
      </c>
      <c r="O1023" s="19">
        <f ca="1">IF('Stock Price'!$I$11="OK",B1023/INDEX(B$5:B$1258,'Stock Price'!$I$9)-1,"")</f>
        <v>0.19313197142499061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-0.25900253592561284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190.3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43.39</v>
      </c>
      <c r="M1024" s="18">
        <v>228.03</v>
      </c>
      <c r="O1024" s="19">
        <f ca="1">IF('Stock Price'!$I$11="OK",B1024/INDEX(B$5:B$1258,'Stock Price'!$I$9)-1,"")</f>
        <v>0.19250532648201535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-0.26644125105663563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186.93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42.82</v>
      </c>
      <c r="M1025" s="18">
        <v>227.54</v>
      </c>
      <c r="O1025" s="19">
        <f ca="1">IF('Stock Price'!$I$11="OK",B1025/INDEX(B$5:B$1258,'Stock Price'!$I$9)-1,"")</f>
        <v>0.17138739190374719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-0.27607776838546072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186.6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42.6</v>
      </c>
      <c r="M1026" s="18">
        <v>225.14</v>
      </c>
      <c r="O1026" s="19">
        <f ca="1">IF('Stock Price'!$I$11="OK",B1026/INDEX(B$5:B$1258,'Stock Price'!$I$9)-1,"")</f>
        <v>0.16931946359192862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-0.27979712595097206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189.05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45.62</v>
      </c>
      <c r="M1027" s="18">
        <v>228.2</v>
      </c>
      <c r="O1027" s="19">
        <f ca="1">IF('Stock Price'!$I$11="OK",B1027/INDEX(B$5:B$1258,'Stock Price'!$I$9)-1,"")</f>
        <v>0.18467226469482378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-0.22874049027895182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188.87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46.07</v>
      </c>
      <c r="M1028" s="18">
        <v>218.04</v>
      </c>
      <c r="O1028" s="19">
        <f ca="1">IF('Stock Price'!$I$11="OK",B1028/INDEX(B$5:B$1258,'Stock Price'!$I$9)-1,"")</f>
        <v>0.18354430379746822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-0.22113271344040575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186.26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46.02</v>
      </c>
      <c r="M1029" s="18">
        <v>211.96</v>
      </c>
      <c r="O1029" s="19">
        <f ca="1">IF('Stock Price'!$I$11="OK",B1029/INDEX(B$5:B$1258,'Stock Price'!$I$9)-1,"")</f>
        <v>0.16718887078581268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-0.22197802197802186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186.86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45.59</v>
      </c>
      <c r="M1030" s="18">
        <v>215.89</v>
      </c>
      <c r="O1030" s="19">
        <f ca="1">IF('Stock Price'!$I$11="OK",B1030/INDEX(B$5:B$1258,'Stock Price'!$I$9)-1,"")</f>
        <v>0.1709487404436647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-0.22924767540152147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186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46.47</v>
      </c>
      <c r="M1031" s="18">
        <v>216.77</v>
      </c>
      <c r="O1031" s="19">
        <f ca="1">IF('Stock Price'!$I$11="OK",B1031/INDEX(B$5:B$1258,'Stock Price'!$I$9)-1,"")</f>
        <v>0.16555959393407682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-0.21437024513947589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186.97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46.63</v>
      </c>
      <c r="M1032" s="18">
        <v>219.04</v>
      </c>
      <c r="O1032" s="19">
        <f ca="1">IF('Stock Price'!$I$11="OK",B1032/INDEX(B$5:B$1258,'Stock Price'!$I$9)-1,"")</f>
        <v>0.17163804988093734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-0.21166525781910395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186.57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46.69</v>
      </c>
      <c r="M1033" s="18">
        <v>219.16</v>
      </c>
      <c r="O1033" s="19">
        <f ca="1">IF('Stock Price'!$I$11="OK",B1033/INDEX(B$5:B$1258,'Stock Price'!$I$9)-1,"")</f>
        <v>0.16913147010903606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-0.21065088757396455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188.41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47.26</v>
      </c>
      <c r="M1034" s="18">
        <v>218.71</v>
      </c>
      <c r="O1034" s="19">
        <f ca="1">IF('Stock Price'!$I$11="OK",B1034/INDEX(B$5:B$1258,'Stock Price'!$I$9)-1,"")</f>
        <v>0.18066173705978184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-0.20101437024513946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193.83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48.72</v>
      </c>
      <c r="M1035" s="18">
        <v>225.17</v>
      </c>
      <c r="O1035" s="19">
        <f ca="1">IF('Stock Price'!$I$11="OK",B1035/INDEX(B$5:B$1258,'Stock Price'!$I$9)-1,"")</f>
        <v>0.21462589296904366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-0.17633136094674551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194.39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49.08</v>
      </c>
      <c r="M1036" s="18">
        <v>233.23</v>
      </c>
      <c r="O1036" s="19">
        <f ca="1">IF('Stock Price'!$I$11="OK",B1036/INDEX(B$5:B$1258,'Stock Price'!$I$9)-1,"")</f>
        <v>0.21813510464970531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-0.17024513947590869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195.25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48.63</v>
      </c>
      <c r="M1037" s="18">
        <v>232.29</v>
      </c>
      <c r="O1037" s="19">
        <f ca="1">IF('Stock Price'!$I$11="OK",B1037/INDEX(B$5:B$1258,'Stock Price'!$I$9)-1,"")</f>
        <v>0.22352425115929297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-0.17785291631445477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195.93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46.65</v>
      </c>
      <c r="M1038" s="18">
        <v>232.36</v>
      </c>
      <c r="O1038" s="19">
        <f ca="1">IF('Stock Price'!$I$11="OK",B1038/INDEX(B$5:B$1258,'Stock Price'!$I$9)-1,"")</f>
        <v>0.2277854367715253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-0.21132713440405748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199.58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46.81</v>
      </c>
      <c r="M1039" s="18">
        <v>234</v>
      </c>
      <c r="O1039" s="19">
        <f ca="1">IF('Stock Price'!$I$11="OK",B1039/INDEX(B$5:B$1258,'Stock Price'!$I$9)-1,"")</f>
        <v>0.25065797719012406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-0.20862214708368554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200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47.06</v>
      </c>
      <c r="M1040" s="18">
        <v>233.87</v>
      </c>
      <c r="O1040" s="19">
        <f ca="1">IF('Stock Price'!$I$11="OK",B1040/INDEX(B$5:B$1258,'Stock Price'!$I$9)-1,"")</f>
        <v>0.2532898859506203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-0.20439560439560434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202.51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45.79</v>
      </c>
      <c r="M1041" s="18">
        <v>232.91</v>
      </c>
      <c r="O1041" s="19">
        <f ca="1">IF('Stock Price'!$I$11="OK",B1041/INDEX(B$5:B$1258,'Stock Price'!$I$9)-1,"")</f>
        <v>0.26901867401930057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-0.22586644125105659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203.07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45.94</v>
      </c>
      <c r="M1042" s="18">
        <v>229.45</v>
      </c>
      <c r="O1042" s="19">
        <f ca="1">IF('Stock Price'!$I$11="OK",B1042/INDEX(B$5:B$1258,'Stock Price'!$I$9)-1,"")</f>
        <v>0.27252788569996222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-0.22333051563820794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203.9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46.25</v>
      </c>
      <c r="M1043" s="18">
        <v>236.28</v>
      </c>
      <c r="O1043" s="19">
        <f ca="1">IF('Stock Price'!$I$11="OK",B1043/INDEX(B$5:B$1258,'Stock Price'!$I$9)-1,"")</f>
        <v>0.27772903872665733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-0.21808960270498734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206.05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47.76</v>
      </c>
      <c r="M1044" s="18">
        <v>229.51</v>
      </c>
      <c r="O1044" s="19">
        <f ca="1">IF('Stock Price'!$I$11="OK",B1044/INDEX(B$5:B$1258,'Stock Price'!$I$9)-1,"")</f>
        <v>0.2912019050006267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-0.19256128486897717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206.67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49.05</v>
      </c>
      <c r="M1045" s="18">
        <v>231.8</v>
      </c>
      <c r="O1045" s="19">
        <f ca="1">IF('Stock Price'!$I$11="OK",B1045/INDEX(B$5:B$1258,'Stock Price'!$I$9)-1,"")</f>
        <v>0.29508710364707347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-0.17075232459847844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207.56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49.25</v>
      </c>
      <c r="M1046" s="18">
        <v>227.66</v>
      </c>
      <c r="O1046" s="19">
        <f ca="1">IF('Stock Price'!$I$11="OK",B1046/INDEX(B$5:B$1258,'Stock Price'!$I$9)-1,"")</f>
        <v>0.30066424363955369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-0.16737109044801346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206.92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49.2</v>
      </c>
      <c r="M1047" s="18">
        <v>227.7</v>
      </c>
      <c r="O1047" s="19">
        <f ca="1">IF('Stock Price'!$I$11="OK",B1047/INDEX(B$5:B$1258,'Stock Price'!$I$9)-1,"")</f>
        <v>0.29665371600451174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-0.16821639898562968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205.34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49.18</v>
      </c>
      <c r="M1048" s="18">
        <v>225.11</v>
      </c>
      <c r="O1048" s="19">
        <f ca="1">IF('Stock Price'!$I$11="OK",B1048/INDEX(B$5:B$1258,'Stock Price'!$I$9)-1,"")</f>
        <v>0.28675272590550183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-0.16855452240067625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205.42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48.25</v>
      </c>
      <c r="M1049" s="18">
        <v>224.37</v>
      </c>
      <c r="O1049" s="19">
        <f ca="1">IF('Stock Price'!$I$11="OK",B1049/INDEX(B$5:B$1258,'Stock Price'!$I$9)-1,"")</f>
        <v>0.2872540418598819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-0.18427726120033805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205.33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50.96</v>
      </c>
      <c r="M1050" s="18">
        <v>230.24</v>
      </c>
      <c r="O1050" s="19">
        <f ca="1">IF('Stock Price'!$I$11="OK",B1050/INDEX(B$5:B$1258,'Stock Price'!$I$9)-1,"")</f>
        <v>0.28669006141120446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-0.13846153846153841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202.48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51.95</v>
      </c>
      <c r="M1051" s="18">
        <v>228.71</v>
      </c>
      <c r="O1051" s="19">
        <f ca="1">IF('Stock Price'!$I$11="OK",B1051/INDEX(B$5:B$1258,'Stock Price'!$I$9)-1,"")</f>
        <v>0.26883068053640802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-0.121724429416737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201.93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52.15</v>
      </c>
      <c r="M1052" s="18">
        <v>226.08</v>
      </c>
      <c r="O1052" s="19">
        <f ca="1">IF('Stock Price'!$I$11="OK",B1052/INDEX(B$5:B$1258,'Stock Price'!$I$9)-1,"")</f>
        <v>0.26538413335004374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-0.11834319526627224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201.62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51.67</v>
      </c>
      <c r="M1053" s="18">
        <v>223.12</v>
      </c>
      <c r="O1053" s="19">
        <f ca="1">IF('Stock Price'!$I$11="OK",B1053/INDEX(B$5:B$1258,'Stock Price'!$I$9)-1,"")</f>
        <v>0.26344153402682036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-0.12645815722738796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199.96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50.65</v>
      </c>
      <c r="M1054" s="18">
        <v>222.99</v>
      </c>
      <c r="O1054" s="19">
        <f ca="1">IF('Stock Price'!$I$11="OK",B1054/INDEX(B$5:B$1258,'Stock Price'!$I$9)-1,"")</f>
        <v>0.25303922797343015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-0.14370245139475912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206.54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51.21</v>
      </c>
      <c r="M1055" s="18">
        <v>225.18</v>
      </c>
      <c r="O1055" s="19">
        <f ca="1">IF('Stock Price'!$I$11="OK",B1055/INDEX(B$5:B$1258,'Stock Price'!$I$9)-1,"")</f>
        <v>0.29427246522120543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-0.13423499577345732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210.01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51.2</v>
      </c>
      <c r="M1056" s="18">
        <v>223.98</v>
      </c>
      <c r="O1056" s="19">
        <f ca="1">IF('Stock Price'!$I$11="OK",B1056/INDEX(B$5:B$1258,'Stock Price'!$I$9)-1,"")</f>
        <v>0.31601704474244885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-0.1344040574809805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211.58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52.41</v>
      </c>
      <c r="M1057" s="18">
        <v>223.32</v>
      </c>
      <c r="O1057" s="19">
        <f ca="1">IF('Stock Price'!$I$11="OK",B1057/INDEX(B$5:B$1258,'Stock Price'!$I$9)-1,"")</f>
        <v>0.32585537034716117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-0.11394759087066786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214.17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54.29</v>
      </c>
      <c r="M1058" s="18">
        <v>227.45</v>
      </c>
      <c r="O1058" s="19">
        <f ca="1">IF('Stock Price'!$I$11="OK",B1058/INDEX(B$5:B$1258,'Stock Price'!$I$9)-1,"")</f>
        <v>0.34208547437022174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-8.2163989856297581E-2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209.3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54.23</v>
      </c>
      <c r="M1059" s="18">
        <v>223.67</v>
      </c>
      <c r="O1059" s="19">
        <f ca="1">IF('Stock Price'!$I$11="OK",B1059/INDEX(B$5:B$1258,'Stock Price'!$I$9)-1,"")</f>
        <v>0.31156786564732419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-8.3178360101437088E-2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210.33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53.55</v>
      </c>
      <c r="M1060" s="18">
        <v>224.31</v>
      </c>
      <c r="O1060" s="19">
        <f ca="1">IF('Stock Price'!$I$11="OK",B1060/INDEX(B$5:B$1258,'Stock Price'!$I$9)-1,"")</f>
        <v>0.31802230855996982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-9.4674556213017791E-2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208.31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53.33</v>
      </c>
      <c r="M1061" s="18">
        <v>222.82</v>
      </c>
      <c r="O1061" s="19">
        <f ca="1">IF('Stock Price'!$I$11="OK",B1061/INDEX(B$5:B$1258,'Stock Price'!$I$9)-1,"")</f>
        <v>0.30536408071186849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-9.839391377852913E-2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206.37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54.19</v>
      </c>
      <c r="M1062" s="18">
        <v>226.82</v>
      </c>
      <c r="O1062" s="19">
        <f ca="1">IF('Stock Price'!$I$11="OK",B1062/INDEX(B$5:B$1258,'Stock Price'!$I$9)-1,"")</f>
        <v>0.29320716881814746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-8.3854606931530018E-2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207.32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54.66</v>
      </c>
      <c r="M1063" s="18">
        <v>227.91</v>
      </c>
      <c r="O1063" s="19">
        <f ca="1">IF('Stock Price'!$I$11="OK",B1063/INDEX(B$5:B$1258,'Stock Price'!$I$9)-1,"")</f>
        <v>0.29916029577641301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-7.5908706677937476E-2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205.78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54.28</v>
      </c>
      <c r="M1064" s="18">
        <v>228.79</v>
      </c>
      <c r="O1064" s="19">
        <f ca="1">IF('Stock Price'!$I$11="OK",B1064/INDEX(B$5:B$1258,'Stock Price'!$I$9)-1,"")</f>
        <v>0.28950996365459325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-8.2333051563820758E-2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207.78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54.71</v>
      </c>
      <c r="M1065" s="18">
        <v>229.89</v>
      </c>
      <c r="O1065" s="19">
        <f ca="1">IF('Stock Price'!$I$11="OK",B1065/INDEX(B$5:B$1258,'Stock Price'!$I$9)-1,"")</f>
        <v>0.3020428625140994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-7.5063398140321147E-2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207.63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54.64</v>
      </c>
      <c r="M1066" s="18">
        <v>229.98</v>
      </c>
      <c r="O1066" s="19">
        <f ca="1">IF('Stock Price'!$I$11="OK",B1066/INDEX(B$5:B$1258,'Stock Price'!$I$9)-1,"")</f>
        <v>0.30110289509963639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-7.6246830092983942E-2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207.56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54.11</v>
      </c>
      <c r="M1067" s="18">
        <v>230.84</v>
      </c>
      <c r="O1067" s="19">
        <f ca="1">IF('Stock Price'!$I$11="OK",B1067/INDEX(B$5:B$1258,'Stock Price'!$I$9)-1,"")</f>
        <v>0.30066424363955369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-8.520710059171599E-2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206.91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54.21</v>
      </c>
      <c r="M1068" s="18">
        <v>229.74</v>
      </c>
      <c r="O1068" s="19">
        <f ca="1">IF('Stock Price'!$I$11="OK",B1068/INDEX(B$5:B$1258,'Stock Price'!$I$9)-1,"")</f>
        <v>0.29659105151021414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-8.3516483516483442E-2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206.95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53.94</v>
      </c>
      <c r="M1069" s="18">
        <v>228.49</v>
      </c>
      <c r="O1069" s="19">
        <f ca="1">IF('Stock Price'!$I$11="OK",B1069/INDEX(B$5:B$1258,'Stock Price'!$I$9)-1,"")</f>
        <v>0.29684170948740429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-8.8081149619611221E-2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207.35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53.46</v>
      </c>
      <c r="M1070" s="18">
        <v>229.31</v>
      </c>
      <c r="O1070" s="19">
        <f ca="1">IF('Stock Price'!$I$11="OK",B1070/INDEX(B$5:B$1258,'Stock Price'!$I$9)-1,"")</f>
        <v>0.29934828925930557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-9.619611158072694E-2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204.31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53.06</v>
      </c>
      <c r="M1071" s="18">
        <v>220.18</v>
      </c>
      <c r="O1071" s="19">
        <f ca="1">IF('Stock Price'!$I$11="OK",B1071/INDEX(B$5:B$1258,'Stock Price'!$I$9)-1,"")</f>
        <v>0.2802982829928562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-0.1029585798816568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204.79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54.42</v>
      </c>
      <c r="M1072" s="18">
        <v>223.93</v>
      </c>
      <c r="O1072" s="19">
        <f ca="1">IF('Stock Price'!$I$11="OK",B1072/INDEX(B$5:B$1258,'Stock Price'!$I$9)-1,"")</f>
        <v>0.28330617871913755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-7.996618765849528E-2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207.49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56.72</v>
      </c>
      <c r="M1073" s="18">
        <v>233.42</v>
      </c>
      <c r="O1073" s="19">
        <f ca="1">IF('Stock Price'!$I$11="OK",B1073/INDEX(B$5:B$1258,'Stock Price'!$I$9)-1,"")</f>
        <v>0.30022559217947098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-4.1081994928148791E-2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205.75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55.9</v>
      </c>
      <c r="M1074" s="18">
        <v>224.13</v>
      </c>
      <c r="O1074" s="19">
        <f ca="1">IF('Stock Price'!$I$11="OK",B1074/INDEX(B$5:B$1258,'Stock Price'!$I$9)-1,"")</f>
        <v>0.28932197017170069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-5.4945054945054972E-2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204.39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55.86</v>
      </c>
      <c r="M1075" s="18">
        <v>220.08</v>
      </c>
      <c r="O1075" s="19">
        <f ca="1">IF('Stock Price'!$I$11="OK",B1075/INDEX(B$5:B$1258,'Stock Price'!$I$9)-1,"")</f>
        <v>0.28079959894723627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-5.5621301775147902E-2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209.72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55.77</v>
      </c>
      <c r="M1076" s="18">
        <v>220.04</v>
      </c>
      <c r="O1076" s="19">
        <f ca="1">IF('Stock Price'!$I$11="OK",B1076/INDEX(B$5:B$1258,'Stock Price'!$I$9)-1,"")</f>
        <v>0.31419977440782043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-5.7142857142857051E-2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213.65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55.92</v>
      </c>
      <c r="M1077" s="18">
        <v>220.75</v>
      </c>
      <c r="O1077" s="19">
        <f ca="1">IF('Stock Price'!$I$11="OK",B1077/INDEX(B$5:B$1258,'Stock Price'!$I$9)-1,"")</f>
        <v>0.33882692066675024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-5.4606931530008396E-2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218.55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57.02</v>
      </c>
      <c r="M1078" s="18">
        <v>221.89</v>
      </c>
      <c r="O1078" s="19">
        <f ca="1">IF('Stock Price'!$I$11="OK",B1078/INDEX(B$5:B$1258,'Stock Price'!$I$9)-1,"")</f>
        <v>0.36953252287254035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-3.6010143702451369E-2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219.57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56.62</v>
      </c>
      <c r="M1079" s="18">
        <v>216.75</v>
      </c>
      <c r="O1079" s="19">
        <f ca="1">IF('Stock Price'!$I$11="OK",B1079/INDEX(B$5:B$1258,'Stock Price'!$I$9)-1,"")</f>
        <v>0.37592430129088839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-4.2772612003381227E-2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218.66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55.26</v>
      </c>
      <c r="M1080" s="18">
        <v>214.35</v>
      </c>
      <c r="O1080" s="19">
        <f ca="1">IF('Stock Price'!$I$11="OK",B1080/INDEX(B$5:B$1258,'Stock Price'!$I$9)-1,"")</f>
        <v>0.3702218323098132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-6.5765004226542745E-2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218.21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54.22</v>
      </c>
      <c r="M1081" s="18">
        <v>214.04</v>
      </c>
      <c r="O1081" s="19">
        <f ca="1">IF('Stock Price'!$I$11="OK",B1081/INDEX(B$5:B$1258,'Stock Price'!$I$9)-1,"")</f>
        <v>0.36740193006642441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-8.3347421808960265E-2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218.01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54.5</v>
      </c>
      <c r="M1082" s="18">
        <v>216.15</v>
      </c>
      <c r="O1082" s="19">
        <f ca="1">IF('Stock Price'!$I$11="OK",B1082/INDEX(B$5:B$1258,'Stock Price'!$I$9)-1,"")</f>
        <v>0.36614864018047366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-7.8613693998309309E-2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218.49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54.94</v>
      </c>
      <c r="M1083" s="18">
        <v>218.11</v>
      </c>
      <c r="O1083" s="19">
        <f ca="1">IF('Stock Price'!$I$11="OK",B1083/INDEX(B$5:B$1258,'Stock Price'!$I$9)-1,"")</f>
        <v>0.36915653590675523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-7.1174978867286631E-2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220.14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54.65</v>
      </c>
      <c r="M1084" s="18">
        <v>219.26</v>
      </c>
      <c r="O1084" s="19">
        <f ca="1">IF('Stock Price'!$I$11="OK",B1084/INDEX(B$5:B$1258,'Stock Price'!$I$9)-1,"")</f>
        <v>0.37949617746584763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-7.6077768385460653E-2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221.49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54.6</v>
      </c>
      <c r="M1085" s="18">
        <v>220.77</v>
      </c>
      <c r="O1085" s="19">
        <f ca="1">IF('Stock Price'!$I$11="OK",B1085/INDEX(B$5:B$1258,'Stock Price'!$I$9)-1,"")</f>
        <v>0.38795588419601446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-7.6923076923076872E-2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224.44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55.56</v>
      </c>
      <c r="M1086" s="18">
        <v>223.93</v>
      </c>
      <c r="O1086" s="19">
        <f ca="1">IF('Stock Price'!$I$11="OK",B1086/INDEX(B$5:B$1258,'Stock Price'!$I$9)-1,"")</f>
        <v>0.40644191001378616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-6.0693153000845212E-2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227.72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54.62</v>
      </c>
      <c r="M1087" s="18">
        <v>218.67</v>
      </c>
      <c r="O1087" s="19">
        <f ca="1">IF('Stock Price'!$I$11="OK",B1087/INDEX(B$5:B$1258,'Stock Price'!$I$9)-1,"")</f>
        <v>0.4269958641433762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-7.6584953508030407E-2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227.29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54.28</v>
      </c>
      <c r="M1088" s="18">
        <v>220.43</v>
      </c>
      <c r="O1088" s="19">
        <f ca="1">IF('Stock Price'!$I$11="OK",B1088/INDEX(B$5:B$1258,'Stock Price'!$I$9)-1,"")</f>
        <v>0.42430129088858237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-8.2333051563820758E-2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227.25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55.05</v>
      </c>
      <c r="M1089" s="18">
        <v>223.01</v>
      </c>
      <c r="O1089" s="19">
        <f ca="1">IF('Stock Price'!$I$11="OK",B1089/INDEX(B$5:B$1258,'Stock Price'!$I$9)-1,"")</f>
        <v>0.42405063291139222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-6.9315300084530906E-2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230.75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55.89</v>
      </c>
      <c r="M1090" s="18">
        <v>225.64</v>
      </c>
      <c r="O1090" s="19">
        <f ca="1">IF('Stock Price'!$I$11="OK",B1090/INDEX(B$5:B$1258,'Stock Price'!$I$9)-1,"")</f>
        <v>0.4459832059155282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-5.5114116652578149E-2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233.1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55.99</v>
      </c>
      <c r="M1091" s="18">
        <v>225.66</v>
      </c>
      <c r="O1091" s="19">
        <f ca="1">IF('Stock Price'!$I$11="OK",B1091/INDEX(B$5:B$1258,'Stock Price'!$I$9)-1,"")</f>
        <v>0.46070936207544788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-5.3423499577345712E-2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234.47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57.62</v>
      </c>
      <c r="M1092" s="18">
        <v>217.11</v>
      </c>
      <c r="O1092" s="19">
        <f ca="1">IF('Stock Price'!$I$11="OK",B1092/INDEX(B$5:B$1258,'Stock Price'!$I$9)-1,"")</f>
        <v>0.46929439779420967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-2.5866441251056638E-2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237.79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59.52</v>
      </c>
      <c r="M1093" s="18">
        <v>219.02</v>
      </c>
      <c r="O1093" s="19">
        <f ca="1">IF('Stock Price'!$I$11="OK",B1093/INDEX(B$5:B$1258,'Stock Price'!$I$9)-1,"")</f>
        <v>0.49009900990098987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6.2552831783602159E-3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239.99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61.99</v>
      </c>
      <c r="M1094" s="18">
        <v>223.43</v>
      </c>
      <c r="O1094" s="19">
        <f ca="1">IF('Stock Price'!$I$11="OK",B1094/INDEX(B$5:B$1258,'Stock Price'!$I$9)-1,"")</f>
        <v>0.50388519864644676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4.8013524936601826E-2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238.64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60.77</v>
      </c>
      <c r="M1095" s="18">
        <v>223.26</v>
      </c>
      <c r="O1095" s="19">
        <f ca="1">IF('Stock Price'!$I$11="OK",B1095/INDEX(B$5:B$1258,'Stock Price'!$I$9)-1,"")</f>
        <v>0.49542549191627994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2.7387996618766008E-2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238.35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60.86</v>
      </c>
      <c r="M1096" s="18">
        <v>222.44</v>
      </c>
      <c r="O1096" s="19">
        <f ca="1">IF('Stock Price'!$I$11="OK",B1096/INDEX(B$5:B$1258,'Stock Price'!$I$9)-1,"")</f>
        <v>0.49360822158165174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2.8909551986475046E-2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240.86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59.93</v>
      </c>
      <c r="M1097" s="18">
        <v>220.89</v>
      </c>
      <c r="O1097" s="19">
        <f ca="1">IF('Stock Price'!$I$11="OK",B1097/INDEX(B$5:B$1258,'Stock Price'!$I$9)-1,"")</f>
        <v>0.50933700965033202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1.318681318681314E-2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244.55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59.86</v>
      </c>
      <c r="M1098" s="18">
        <v>227.5</v>
      </c>
      <c r="O1098" s="19">
        <f ca="1">IF('Stock Price'!$I$11="OK",B1098/INDEX(B$5:B$1258,'Stock Price'!$I$9)-1,"")</f>
        <v>0.53246020804612093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1.2003381234150456E-2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243.45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60.74</v>
      </c>
      <c r="M1099" s="18">
        <v>231.5</v>
      </c>
      <c r="O1099" s="19">
        <f ca="1">IF('Stock Price'!$I$11="OK",B1099/INDEX(B$5:B$1258,'Stock Price'!$I$9)-1,"")</f>
        <v>0.52556711367339237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2.6880811496196255E-2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243.33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60.35</v>
      </c>
      <c r="M1100" s="18">
        <v>232.86</v>
      </c>
      <c r="O1100" s="19">
        <f ca="1">IF('Stock Price'!$I$11="OK",B1100/INDEX(B$5:B$1258,'Stock Price'!$I$9)-1,"")</f>
        <v>0.52481513974182215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2.0287404902789463E-2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244.99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59.73</v>
      </c>
      <c r="M1101" s="18">
        <v>228.72</v>
      </c>
      <c r="O1101" s="19">
        <f ca="1">IF('Stock Price'!$I$11="OK",B1101/INDEX(B$5:B$1258,'Stock Price'!$I$9)-1,"")</f>
        <v>0.53521744579521235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9.8055790363482664E-3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246.91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60.3</v>
      </c>
      <c r="M1102" s="18">
        <v>224.35</v>
      </c>
      <c r="O1102" s="19">
        <f ca="1">IF('Stock Price'!$I$11="OK",B1102/INDEX(B$5:B$1258,'Stock Price'!$I$9)-1,"")</f>
        <v>0.5472490287003382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1.9442096365173356E-2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242.49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60.66</v>
      </c>
      <c r="M1103" s="18">
        <v>224.81</v>
      </c>
      <c r="O1103" s="19">
        <f ca="1">IF('Stock Price'!$I$11="OK",B1103/INDEX(B$5:B$1258,'Stock Price'!$I$9)-1,"")</f>
        <v>0.51955132222082967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2.5528317836010173E-2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245.84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61.25</v>
      </c>
      <c r="M1104" s="18">
        <v>229.48</v>
      </c>
      <c r="O1104" s="19">
        <f ca="1">IF('Stock Price'!$I$11="OK",B1104/INDEX(B$5:B$1258,'Stock Price'!$I$9)-1,"")</f>
        <v>0.54054392781050242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3.5502958579881616E-2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246.28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61.6</v>
      </c>
      <c r="M1105" s="18">
        <v>228.44</v>
      </c>
      <c r="O1105" s="19">
        <f ca="1">IF('Stock Price'!$I$11="OK",B1105/INDEX(B$5:B$1258,'Stock Price'!$I$9)-1,"")</f>
        <v>0.54330116555959385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4.1420118343195256E-2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245.17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61.3</v>
      </c>
      <c r="M1106" s="18">
        <v>226.92</v>
      </c>
      <c r="O1106" s="19">
        <f ca="1">IF('Stock Price'!$I$11="OK",B1106/INDEX(B$5:B$1258,'Stock Price'!$I$9)-1,"")</f>
        <v>0.53634540669256769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3.6348267117497945E-2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243.47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61.1</v>
      </c>
      <c r="M1107" s="18">
        <v>224.69</v>
      </c>
      <c r="O1107" s="19">
        <f ca="1">IF('Stock Price'!$I$11="OK",B1107/INDEX(B$5:B$1258,'Stock Price'!$I$9)-1,"")</f>
        <v>0.52569244266198756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3.2967032967033072E-2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248.43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62.37</v>
      </c>
      <c r="M1108" s="18">
        <v>232.08</v>
      </c>
      <c r="O1108" s="19">
        <f ca="1">IF('Stock Price'!$I$11="OK",B1108/INDEX(B$5:B$1258,'Stock Price'!$I$9)-1,"")</f>
        <v>0.556774031833563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5.4437869822485219E-2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248.56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62.34</v>
      </c>
      <c r="M1109" s="18">
        <v>234.26</v>
      </c>
      <c r="O1109" s="19">
        <f ca="1">IF('Stock Price'!$I$11="OK",B1109/INDEX(B$5:B$1258,'Stock Price'!$I$9)-1,"")</f>
        <v>0.55758867025943082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5.3930684699915465E-2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246.75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61.22</v>
      </c>
      <c r="M1110" s="18">
        <v>233.86</v>
      </c>
      <c r="O1110" s="19">
        <f ca="1">IF('Stock Price'!$I$11="OK",B1110/INDEX(B$5:B$1258,'Stock Price'!$I$9)-1,"")</f>
        <v>0.54624639679157783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3.4995773457311863E-2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245.3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62.33</v>
      </c>
      <c r="M1111" s="18">
        <v>236.19</v>
      </c>
      <c r="O1111" s="19">
        <f ca="1">IF('Stock Price'!$I$11="OK",B1111/INDEX(B$5:B$1258,'Stock Price'!$I$9)-1,"")</f>
        <v>0.53716004511843574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5.3761622992392288E-2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239.63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60.74</v>
      </c>
      <c r="M1112" s="18">
        <v>232.35</v>
      </c>
      <c r="O1112" s="19">
        <f ca="1">IF('Stock Price'!$I$11="OK",B1112/INDEX(B$5:B$1258,'Stock Price'!$I$9)-1,"")</f>
        <v>0.50162927685173564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2.6880811496196255E-2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240.4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60.29</v>
      </c>
      <c r="M1113" s="18">
        <v>230.11</v>
      </c>
      <c r="O1113" s="19">
        <f ca="1">IF('Stock Price'!$I$11="OK",B1113/INDEX(B$5:B$1258,'Stock Price'!$I$9)-1,"")</f>
        <v>0.50645444291264563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1.9273034657649957E-2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242.59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60.63</v>
      </c>
      <c r="M1114" s="18">
        <v>227.45</v>
      </c>
      <c r="O1114" s="19">
        <f ca="1">IF('Stock Price'!$I$11="OK",B1114/INDEX(B$5:B$1258,'Stock Price'!$I$9)-1,"")</f>
        <v>0.52017796716380493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2.5021132713440419E-2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243.71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60.13</v>
      </c>
      <c r="M1115" s="18">
        <v>227.01</v>
      </c>
      <c r="O1115" s="19">
        <f ca="1">IF('Stock Price'!$I$11="OK",B1115/INDEX(B$5:B$1258,'Stock Price'!$I$9)-1,"")</f>
        <v>0.52719639052512846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1.6568047337278236E-2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242.99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59.98</v>
      </c>
      <c r="M1116" s="18">
        <v>227.68</v>
      </c>
      <c r="O1116" s="19">
        <f ca="1">IF('Stock Price'!$I$11="OK",B1116/INDEX(B$5:B$1258,'Stock Price'!$I$9)-1,"")</f>
        <v>0.52268454693570621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1.4032121724429469E-2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242.04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58.95</v>
      </c>
      <c r="M1117" s="18">
        <v>225.37</v>
      </c>
      <c r="O1117" s="19">
        <f ca="1">IF('Stock Price'!$I$11="OK",B1117/INDEX(B$5:B$1258,'Stock Price'!$I$9)-1,"")</f>
        <v>0.51673141997744065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-3.3812341504648735E-3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241.52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59.08</v>
      </c>
      <c r="M1118" s="18">
        <v>219.68</v>
      </c>
      <c r="O1118" s="19">
        <f ca="1">IF('Stock Price'!$I$11="OK",B1118/INDEX(B$5:B$1258,'Stock Price'!$I$9)-1,"")</f>
        <v>0.51347286627396915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-1.1834319526626835E-3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243.19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59.71</v>
      </c>
      <c r="M1119" s="18">
        <v>221.45</v>
      </c>
      <c r="O1119" s="19">
        <f ca="1">IF('Stock Price'!$I$11="OK",B1119/INDEX(B$5:B$1258,'Stock Price'!$I$9)-1,"")</f>
        <v>0.52393783682165673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9.4674556213019123E-3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238.11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59.71</v>
      </c>
      <c r="M1120" s="18">
        <v>219.76</v>
      </c>
      <c r="O1120" s="19">
        <f ca="1">IF('Stock Price'!$I$11="OK",B1120/INDEX(B$5:B$1258,'Stock Price'!$I$9)-1,"")</f>
        <v>0.49210427371851106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9.4674556213019123E-3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237.28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59.37</v>
      </c>
      <c r="M1121" s="18">
        <v>208.34</v>
      </c>
      <c r="O1121" s="19">
        <f ca="1">IF('Stock Price'!$I$11="OK",B1121/INDEX(B$5:B$1258,'Stock Price'!$I$9)-1,"")</f>
        <v>0.48690312069181596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3.7193575655114497E-3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237.6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58.11</v>
      </c>
      <c r="M1122" s="18">
        <v>206.23</v>
      </c>
      <c r="O1122" s="19">
        <f ca="1">IF('Stock Price'!$I$11="OK",B1122/INDEX(B$5:B$1258,'Stock Price'!$I$9)-1,"")</f>
        <v>0.48890838450933694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-1.758241758241752E-2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235.37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57.48</v>
      </c>
      <c r="M1123" s="18">
        <v>205.07</v>
      </c>
      <c r="O1123" s="19">
        <f ca="1">IF('Stock Price'!$I$11="OK",B1123/INDEX(B$5:B$1258,'Stock Price'!$I$9)-1,"")</f>
        <v>0.47493420228098748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-2.8233305156382116E-2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235.42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57</v>
      </c>
      <c r="M1124" s="18">
        <v>204.93</v>
      </c>
      <c r="O1124" s="19">
        <f ca="1">IF('Stock Price'!$I$11="OK",B1124/INDEX(B$5:B$1258,'Stock Price'!$I$9)-1,"")</f>
        <v>0.475247524752475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-3.6348267117497834E-2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235.27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57.39</v>
      </c>
      <c r="M1125" s="18">
        <v>205.2</v>
      </c>
      <c r="O1125" s="19">
        <f ca="1">IF('Stock Price'!$I$11="OK",B1125/INDEX(B$5:B$1258,'Stock Price'!$I$9)-1,"")</f>
        <v>0.47430755733801222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-2.9754860524091264E-2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239.93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58.94</v>
      </c>
      <c r="M1126" s="18">
        <v>207.18</v>
      </c>
      <c r="O1126" s="19">
        <f ca="1">IF('Stock Price'!$I$11="OK",B1126/INDEX(B$5:B$1258,'Stock Price'!$I$9)-1,"")</f>
        <v>0.50350921168066165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-3.5502958579881616E-3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239.24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59.43</v>
      </c>
      <c r="M1127" s="18">
        <v>211.12</v>
      </c>
      <c r="O1127" s="19">
        <f ca="1">IF('Stock Price'!$I$11="OK",B1127/INDEX(B$5:B$1258,'Stock Price'!$I$9)-1,"")</f>
        <v>0.49918536157413196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4.7337278106509562E-3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240.45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58.54</v>
      </c>
      <c r="M1128" s="18">
        <v>209.4</v>
      </c>
      <c r="O1128" s="19">
        <f ca="1">IF('Stock Price'!$I$11="OK",B1128/INDEX(B$5:B$1258,'Stock Price'!$I$9)-1,"")</f>
        <v>0.50676776538413315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-1.031276415891802E-2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242.49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59.73</v>
      </c>
      <c r="M1129" s="18">
        <v>213.12</v>
      </c>
      <c r="O1129" s="19">
        <f ca="1">IF('Stock Price'!$I$11="OK",B1129/INDEX(B$5:B$1258,'Stock Price'!$I$9)-1,"")</f>
        <v>0.51955132222082967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9.8055790363482664E-3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244.44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60.65</v>
      </c>
      <c r="M1130" s="18">
        <v>217.49</v>
      </c>
      <c r="O1130" s="19">
        <f ca="1">IF('Stock Price'!$I$11="OK",B1130/INDEX(B$5:B$1258,'Stock Price'!$I$9)-1,"")</f>
        <v>0.53177089860884807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2.5359256128486996E-2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244.12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61.73</v>
      </c>
      <c r="M1131" s="18">
        <v>214.98</v>
      </c>
      <c r="O1131" s="19">
        <f ca="1">IF('Stock Price'!$I$11="OK",B1131/INDEX(B$5:B$1258,'Stock Price'!$I$9)-1,"")</f>
        <v>0.5297656347913271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4.3617920540997446E-2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243.04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59.6</v>
      </c>
      <c r="M1132" s="18">
        <v>208.84</v>
      </c>
      <c r="O1132" s="19">
        <f ca="1">IF('Stock Price'!$I$11="OK",B1132/INDEX(B$5:B$1258,'Stock Price'!$I$9)-1,"")</f>
        <v>0.52299786940719373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7.6077768385460764E-3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240.97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59.33</v>
      </c>
      <c r="M1133" s="18">
        <v>206.69</v>
      </c>
      <c r="O1133" s="19">
        <f ca="1">IF('Stock Price'!$I$11="OK",B1133/INDEX(B$5:B$1258,'Stock Price'!$I$9)-1,"")</f>
        <v>0.51002631908760487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3.0431107354185194E-3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238.41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57.67</v>
      </c>
      <c r="M1134" s="18">
        <v>206.37</v>
      </c>
      <c r="O1134" s="19">
        <f ca="1">IF('Stock Price'!$I$11="OK",B1134/INDEX(B$5:B$1258,'Stock Price'!$I$9)-1,"")</f>
        <v>0.49398420854743685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-2.5021132713440308E-2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241.3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59.2</v>
      </c>
      <c r="M1135" s="18">
        <v>211.59</v>
      </c>
      <c r="O1135" s="19">
        <f ca="1">IF('Stock Price'!$I$11="OK",B1135/INDEX(B$5:B$1258,'Stock Price'!$I$9)-1,"")</f>
        <v>0.51209424739942344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8.453085376163294E-4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241.31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59.47</v>
      </c>
      <c r="M1136" s="18">
        <v>212.4</v>
      </c>
      <c r="O1136" s="19">
        <f ca="1">IF('Stock Price'!$I$11="OK",B1136/INDEX(B$5:B$1258,'Stock Price'!$I$9)-1,"")</f>
        <v>0.51215691189372081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5.4099746407438865E-3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238.46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58.62</v>
      </c>
      <c r="M1137" s="18">
        <v>207.94</v>
      </c>
      <c r="O1137" s="19">
        <f ca="1">IF('Stock Price'!$I$11="OK",B1137/INDEX(B$5:B$1258,'Stock Price'!$I$9)-1,"")</f>
        <v>0.4942975310189246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-8.9602704987320481E-3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237.96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58.06</v>
      </c>
      <c r="M1138" s="18">
        <v>206.47</v>
      </c>
      <c r="O1138" s="19">
        <f ca="1">IF('Stock Price'!$I$11="OK",B1138/INDEX(B$5:B$1258,'Stock Price'!$I$9)-1,"")</f>
        <v>0.49116430630404806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-1.8427726120033738E-2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240.1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58.08</v>
      </c>
      <c r="M1139" s="18">
        <v>210.26</v>
      </c>
      <c r="O1139" s="19">
        <f ca="1">IF('Stock Price'!$I$11="OK",B1139/INDEX(B$5:B$1258,'Stock Price'!$I$9)-1,"")</f>
        <v>0.50457450808371962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-1.8089602704987273E-2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238.67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57.89</v>
      </c>
      <c r="M1140" s="18">
        <v>208.42</v>
      </c>
      <c r="O1140" s="19">
        <f ca="1">IF('Stock Price'!$I$11="OK",B1140/INDEX(B$5:B$1258,'Stock Price'!$I$9)-1,"")</f>
        <v>0.49561348539917272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-2.130177514792897E-2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234.54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58.96</v>
      </c>
      <c r="M1141" s="18">
        <v>208.99</v>
      </c>
      <c r="O1141" s="19">
        <f ca="1">IF('Stock Price'!$I$11="OK",B1141/INDEX(B$5:B$1258,'Stock Price'!$I$9)-1,"")</f>
        <v>0.46973304925429238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-3.2121724429415854E-3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234.18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60.17</v>
      </c>
      <c r="M1142" s="18">
        <v>208.38</v>
      </c>
      <c r="O1142" s="19">
        <f ca="1">IF('Stock Price'!$I$11="OK",B1142/INDEX(B$5:B$1258,'Stock Price'!$I$9)-1,"")</f>
        <v>0.46747712745958125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1.7244294167371166E-2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230.69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59.13</v>
      </c>
      <c r="M1143" s="18">
        <v>203.71</v>
      </c>
      <c r="O1143" s="19">
        <f ca="1">IF('Stock Price'!$I$11="OK",B1143/INDEX(B$5:B$1258,'Stock Price'!$I$9)-1,"")</f>
        <v>0.44560721894974287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-3.3812341504646515E-4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226.16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59.39</v>
      </c>
      <c r="M1144" s="18">
        <v>205.12</v>
      </c>
      <c r="O1144" s="19">
        <f ca="1">IF('Stock Price'!$I$11="OK",B1144/INDEX(B$5:B$1258,'Stock Price'!$I$9)-1,"")</f>
        <v>0.41722020303296148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4.0574809805580259E-3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226.1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58.8</v>
      </c>
      <c r="M1145" s="18">
        <v>200.5</v>
      </c>
      <c r="O1145" s="19">
        <f ca="1">IF('Stock Price'!$I$11="OK",B1145/INDEX(B$5:B$1258,'Stock Price'!$I$9)-1,"")</f>
        <v>0.41684421606717614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-5.9171597633136397E-3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230.65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59.02</v>
      </c>
      <c r="M1146" s="18">
        <v>200.95</v>
      </c>
      <c r="O1146" s="19">
        <f ca="1">IF('Stock Price'!$I$11="OK",B1146/INDEX(B$5:B$1258,'Stock Price'!$I$9)-1,"")</f>
        <v>0.44535656097255294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-2.197802197802079E-3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227.5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58.71</v>
      </c>
      <c r="M1147" s="18">
        <v>198.71</v>
      </c>
      <c r="O1147" s="19">
        <f ca="1">IF('Stock Price'!$I$11="OK",B1147/INDEX(B$5:B$1258,'Stock Price'!$I$9)-1,"")</f>
        <v>0.42561724526883049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-7.4387151310227884E-3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225.34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57.78</v>
      </c>
      <c r="M1148" s="18">
        <v>197.38</v>
      </c>
      <c r="O1148" s="19">
        <f ca="1">IF('Stock Price'!$I$11="OK",B1148/INDEX(B$5:B$1258,'Stock Price'!$I$9)-1,"")</f>
        <v>0.41208171450056397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-2.3161453930684694E-2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227.79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58.26</v>
      </c>
      <c r="M1149" s="18">
        <v>197.69</v>
      </c>
      <c r="O1149" s="19">
        <f ca="1">IF('Stock Price'!$I$11="OK",B1149/INDEX(B$5:B$1258,'Stock Price'!$I$9)-1,"")</f>
        <v>0.42743451560345891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-1.5046491969568865E-2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227.35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57.59</v>
      </c>
      <c r="M1150" s="18">
        <v>203.89</v>
      </c>
      <c r="O1150" s="19">
        <f ca="1">IF('Stock Price'!$I$11="OK",B1150/INDEX(B$5:B$1258,'Stock Price'!$I$9)-1,"")</f>
        <v>0.42467727785436749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-2.637362637362628E-2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229.85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60.59</v>
      </c>
      <c r="M1151" s="18">
        <v>211.32</v>
      </c>
      <c r="O1151" s="19">
        <f ca="1">IF('Stock Price'!$I$11="OK",B1151/INDEX(B$5:B$1258,'Stock Price'!$I$9)-1,"")</f>
        <v>0.44034340142875039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2.4344885883347489E-2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227.19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58.22</v>
      </c>
      <c r="M1152" s="18">
        <v>206.6</v>
      </c>
      <c r="O1152" s="19">
        <f ca="1">IF('Stock Price'!$I$11="OK",B1152/INDEX(B$5:B$1258,'Stock Price'!$I$9)-1,"")</f>
        <v>0.42367464594560711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-1.5722738799661906E-2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224.2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57.38</v>
      </c>
      <c r="M1153" s="18">
        <v>208.16</v>
      </c>
      <c r="O1153" s="19">
        <f ca="1">IF('Stock Price'!$I$11="OK",B1153/INDEX(B$5:B$1258,'Stock Price'!$I$9)-1,"")</f>
        <v>0.40493796215064526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-2.9923922231614442E-2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225.55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56.95</v>
      </c>
      <c r="M1154" s="18">
        <v>206.11</v>
      </c>
      <c r="O1154" s="19">
        <f ca="1">IF('Stock Price'!$I$11="OK",B1154/INDEX(B$5:B$1258,'Stock Price'!$I$9)-1,"")</f>
        <v>0.41339766888081209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-3.7193575655114053E-2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224.62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56.59</v>
      </c>
      <c r="M1155" s="18">
        <v>205.03</v>
      </c>
      <c r="O1155" s="19">
        <f ca="1">IF('Stock Price'!$I$11="OK",B1155/INDEX(B$5:B$1258,'Stock Price'!$I$9)-1,"")</f>
        <v>0.40756987091114172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-4.327979712595087E-2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222.51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56.25</v>
      </c>
      <c r="M1156" s="18">
        <v>202.71</v>
      </c>
      <c r="O1156" s="19">
        <f ca="1">IF('Stock Price'!$I$11="OK",B1156/INDEX(B$5:B$1258,'Stock Price'!$I$9)-1,"")</f>
        <v>0.39434766261436249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-4.9027895181741332E-2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221.32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56.16</v>
      </c>
      <c r="M1157" s="18">
        <v>201.55</v>
      </c>
      <c r="O1157" s="19">
        <f ca="1">IF('Stock Price'!$I$11="OK",B1157/INDEX(B$5:B$1258,'Stock Price'!$I$9)-1,"")</f>
        <v>0.38689058779295626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-5.0549450549450592E-2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221.43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55.67</v>
      </c>
      <c r="M1158" s="18">
        <v>202.78</v>
      </c>
      <c r="O1158" s="19">
        <f ca="1">IF('Stock Price'!$I$11="OK",B1158/INDEX(B$5:B$1258,'Stock Price'!$I$9)-1,"")</f>
        <v>0.38757989723022934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-5.8833474218089599E-2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224.26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56.45</v>
      </c>
      <c r="M1159" s="18">
        <v>207.86</v>
      </c>
      <c r="O1159" s="19">
        <f ca="1">IF('Stock Price'!$I$11="OK",B1159/INDEX(B$5:B$1258,'Stock Price'!$I$9)-1,"")</f>
        <v>0.40531394911643037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-4.5646661031276348E-2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230.42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56.39</v>
      </c>
      <c r="M1160" s="18">
        <v>208.5</v>
      </c>
      <c r="O1160" s="19">
        <f ca="1">IF('Stock Price'!$I$11="OK",B1160/INDEX(B$5:B$1258,'Stock Price'!$I$9)-1,"")</f>
        <v>0.44391527760370963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-4.6661031276415854E-2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230.8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56.77</v>
      </c>
      <c r="M1161" s="18">
        <v>210.77</v>
      </c>
      <c r="O1161" s="19">
        <f ca="1">IF('Stock Price'!$I$11="OK",B1161/INDEX(B$5:B$1258,'Stock Price'!$I$9)-1,"")</f>
        <v>0.44629652838701594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-4.0236686390532461E-2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226.71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57</v>
      </c>
      <c r="M1162" s="18">
        <v>210.39</v>
      </c>
      <c r="O1162" s="19">
        <f ca="1">IF('Stock Price'!$I$11="OK",B1162/INDEX(B$5:B$1258,'Stock Price'!$I$9)-1,"")</f>
        <v>0.42066675021932576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-3.6348267117497834E-2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228.92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57.31</v>
      </c>
      <c r="M1163" s="18">
        <v>209.41</v>
      </c>
      <c r="O1163" s="19">
        <f ca="1">IF('Stock Price'!$I$11="OK",B1163/INDEX(B$5:B$1258,'Stock Price'!$I$9)-1,"")</f>
        <v>0.4345156034590798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-3.1107354184277236E-2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230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58.31</v>
      </c>
      <c r="M1164" s="18">
        <v>213.76</v>
      </c>
      <c r="O1164" s="19">
        <f ca="1">IF('Stock Price'!$I$11="OK",B1164/INDEX(B$5:B$1258,'Stock Price'!$I$9)-1,"")</f>
        <v>0.4412833688432134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-1.4201183431952646E-2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229.32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58.54</v>
      </c>
      <c r="M1165" s="18">
        <v>212.3</v>
      </c>
      <c r="O1165" s="19">
        <f ca="1">IF('Stock Price'!$I$11="OK",B1165/INDEX(B$5:B$1258,'Stock Price'!$I$9)-1,"")</f>
        <v>0.43702218323098108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-1.031276415891802E-2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231.73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59.55</v>
      </c>
      <c r="M1166" s="18">
        <v>214.5</v>
      </c>
      <c r="O1166" s="19">
        <f ca="1">IF('Stock Price'!$I$11="OK",B1166/INDEX(B$5:B$1258,'Stock Price'!$I$9)-1,"")</f>
        <v>0.45212432635668609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6.762468300929747E-3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234.34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59.46</v>
      </c>
      <c r="M1167" s="18">
        <v>215.7</v>
      </c>
      <c r="O1167" s="19">
        <f ca="1">IF('Stock Price'!$I$11="OK",B1167/INDEX(B$5:B$1258,'Stock Price'!$I$9)-1,"")</f>
        <v>0.46847975936834185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5.2409129332207094E-3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230.18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58.03</v>
      </c>
      <c r="M1168" s="18">
        <v>213.12</v>
      </c>
      <c r="O1168" s="19">
        <f ca="1">IF('Stock Price'!$I$11="OK",B1168/INDEX(B$5:B$1258,'Stock Price'!$I$9)-1,"")</f>
        <v>0.44241132974056896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-1.8934911242603492E-2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231.29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57.52</v>
      </c>
      <c r="M1169" s="18">
        <v>215.4</v>
      </c>
      <c r="O1169" s="19">
        <f ca="1">IF('Stock Price'!$I$11="OK",B1169/INDEX(B$5:B$1258,'Stock Price'!$I$9)-1,"")</f>
        <v>0.44936708860759467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-2.7557058326289074E-2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230.8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56.91</v>
      </c>
      <c r="M1170" s="18">
        <v>218.63</v>
      </c>
      <c r="O1170" s="19">
        <f ca="1">IF('Stock Price'!$I$11="OK",B1170/INDEX(B$5:B$1258,'Stock Price'!$I$9)-1,"")</f>
        <v>0.44629652838701594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-3.7869822485207094E-2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225.33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57.18</v>
      </c>
      <c r="M1171" s="18">
        <v>217.72</v>
      </c>
      <c r="O1171" s="19">
        <f ca="1">IF('Stock Price'!$I$11="OK",B1171/INDEX(B$5:B$1258,'Stock Price'!$I$9)-1,"")</f>
        <v>0.41201905000626637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-3.3305156382079426E-2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223.51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54.95</v>
      </c>
      <c r="M1172" s="18">
        <v>212.93</v>
      </c>
      <c r="O1172" s="19">
        <f ca="1">IF('Stock Price'!$I$11="OK",B1172/INDEX(B$5:B$1258,'Stock Price'!$I$9)-1,"")</f>
        <v>0.40061411204411557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-7.1005917159763232E-2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222.89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54.46</v>
      </c>
      <c r="M1173" s="18">
        <v>215.4</v>
      </c>
      <c r="O1173" s="19">
        <f ca="1">IF('Stock Price'!$I$11="OK",B1173/INDEX(B$5:B$1258,'Stock Price'!$I$9)-1,"")</f>
        <v>0.39672891339766858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-7.928994082840235E-2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223.24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54.72</v>
      </c>
      <c r="M1174" s="18">
        <v>217.13</v>
      </c>
      <c r="O1174" s="19">
        <f ca="1">IF('Stock Price'!$I$11="OK",B1174/INDEX(B$5:B$1258,'Stock Price'!$I$9)-1,"")</f>
        <v>0.39892217069808233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-7.489433643279797E-2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228.17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56.6</v>
      </c>
      <c r="M1175" s="18">
        <v>224.94</v>
      </c>
      <c r="O1175" s="19">
        <f ca="1">IF('Stock Price'!$I$11="OK",B1175/INDEX(B$5:B$1258,'Stock Price'!$I$9)-1,"")</f>
        <v>0.429815766386765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-4.3110735418427693E-2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232.77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57.27</v>
      </c>
      <c r="M1176" s="18">
        <v>227.23</v>
      </c>
      <c r="O1176" s="19">
        <f ca="1">IF('Stock Price'!$I$11="OK",B1176/INDEX(B$5:B$1258,'Stock Price'!$I$9)-1,"")</f>
        <v>0.45864143376362954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-3.1783601014370166E-2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232.16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55.57</v>
      </c>
      <c r="M1177" s="18">
        <v>223.07</v>
      </c>
      <c r="O1177" s="19">
        <f ca="1">IF('Stock Price'!$I$11="OK",B1177/INDEX(B$5:B$1258,'Stock Price'!$I$9)-1,"")</f>
        <v>0.45481889961147992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-6.0524091293322035E-2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237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56.48</v>
      </c>
      <c r="M1178" s="18">
        <v>225.42</v>
      </c>
      <c r="O1178" s="19">
        <f ca="1">IF('Stock Price'!$I$11="OK",B1178/INDEX(B$5:B$1258,'Stock Price'!$I$9)-1,"")</f>
        <v>0.48514851485148514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-4.5139475908706705E-2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238.49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55.6</v>
      </c>
      <c r="M1179" s="18">
        <v>224.95</v>
      </c>
      <c r="O1179" s="19">
        <f ca="1">IF('Stock Price'!$I$11="OK",B1179/INDEX(B$5:B$1258,'Stock Price'!$I$9)-1,"")</f>
        <v>0.49448552450181715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-6.0016906170752282E-2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238.33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56.9</v>
      </c>
      <c r="M1180" s="18">
        <v>224.77</v>
      </c>
      <c r="O1180" s="19">
        <f ca="1">IF('Stock Price'!$I$11="OK",B1180/INDEX(B$5:B$1258,'Stock Price'!$I$9)-1,"")</f>
        <v>0.49348289259305678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-3.8038884192730382E-2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240.87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57.13</v>
      </c>
      <c r="M1181" s="18">
        <v>227.73</v>
      </c>
      <c r="O1181" s="19">
        <f ca="1">IF('Stock Price'!$I$11="OK",B1181/INDEX(B$5:B$1258,'Stock Price'!$I$9)-1,"")</f>
        <v>0.50939967414462961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-3.4150464919695644E-2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235.66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56.24</v>
      </c>
      <c r="M1182" s="18">
        <v>221.59</v>
      </c>
      <c r="O1182" s="19">
        <f ca="1">IF('Stock Price'!$I$11="OK",B1182/INDEX(B$5:B$1258,'Stock Price'!$I$9)-1,"")</f>
        <v>0.4767514726156159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-4.9196956889264509E-2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235.18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55.92</v>
      </c>
      <c r="M1183" s="18">
        <v>222.47</v>
      </c>
      <c r="O1183" s="19">
        <f ca="1">IF('Stock Price'!$I$11="OK",B1183/INDEX(B$5:B$1258,'Stock Price'!$I$9)-1,"")</f>
        <v>0.47374357688933433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-5.4606931530008396E-2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234.2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55.28</v>
      </c>
      <c r="M1184" s="18">
        <v>221.23</v>
      </c>
      <c r="O1184" s="19">
        <f ca="1">IF('Stock Price'!$I$11="OK",B1184/INDEX(B$5:B$1258,'Stock Price'!$I$9)-1,"")</f>
        <v>0.46760245644817622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-6.5426880811496169E-2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228.39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54</v>
      </c>
      <c r="M1185" s="18">
        <v>216.49</v>
      </c>
      <c r="O1185" s="19">
        <f ca="1">IF('Stock Price'!$I$11="OK",B1185/INDEX(B$5:B$1258,'Stock Price'!$I$9)-1,"")</f>
        <v>0.43119438526131071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-8.7066779374471714E-2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231.29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54.7</v>
      </c>
      <c r="M1186" s="18">
        <v>230.01</v>
      </c>
      <c r="O1186" s="19">
        <f ca="1">IF('Stock Price'!$I$11="OK",B1186/INDEX(B$5:B$1258,'Stock Price'!$I$9)-1,"")</f>
        <v>0.44936708860759467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-7.5232459847844435E-2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239.08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55.53</v>
      </c>
      <c r="M1187" s="18">
        <v>234.76</v>
      </c>
      <c r="O1187" s="19">
        <f ca="1">IF('Stock Price'!$I$11="OK",B1187/INDEX(B$5:B$1258,'Stock Price'!$I$9)-1,"")</f>
        <v>0.49818272966537158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-6.1200338123414966E-2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241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55</v>
      </c>
      <c r="M1188" s="18">
        <v>234.89</v>
      </c>
      <c r="O1188" s="19">
        <f ca="1">IF('Stock Price'!$I$11="OK",B1188/INDEX(B$5:B$1258,'Stock Price'!$I$9)-1,"")</f>
        <v>0.51021431257049743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-7.0160608622147014E-2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244.88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55.39</v>
      </c>
      <c r="M1189" s="18">
        <v>243.14</v>
      </c>
      <c r="O1189" s="19">
        <f ca="1">IF('Stock Price'!$I$11="OK",B1189/INDEX(B$5:B$1258,'Stock Price'!$I$9)-1,"")</f>
        <v>0.5345281363579395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-6.3567202028740444E-2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254.66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57.52</v>
      </c>
      <c r="M1190" s="18">
        <v>253.35</v>
      </c>
      <c r="O1190" s="19">
        <f ca="1">IF('Stock Price'!$I$11="OK",B1190/INDEX(B$5:B$1258,'Stock Price'!$I$9)-1,"")</f>
        <v>0.59581401178092475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-2.7557058326289074E-2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258.51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58.56</v>
      </c>
      <c r="M1191" s="18">
        <v>254.31</v>
      </c>
      <c r="O1191" s="19">
        <f ca="1">IF('Stock Price'!$I$11="OK",B1191/INDEX(B$5:B$1258,'Stock Price'!$I$9)-1,"")</f>
        <v>0.61993984208547426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-9.9746407438714435E-3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253.97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57.62</v>
      </c>
      <c r="M1192" s="18">
        <v>251.64</v>
      </c>
      <c r="O1192" s="19">
        <f ca="1">IF('Stock Price'!$I$11="OK",B1192/INDEX(B$5:B$1258,'Stock Price'!$I$9)-1,"")</f>
        <v>0.59149016167439505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-2.5866441251056638E-2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253.98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56.44</v>
      </c>
      <c r="M1193" s="18">
        <v>251.06</v>
      </c>
      <c r="O1193" s="19">
        <f ca="1">IF('Stock Price'!$I$11="OK",B1193/INDEX(B$5:B$1258,'Stock Price'!$I$9)-1,"")</f>
        <v>0.59155282616869265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-4.5815722738799636E-2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263.04000000000002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58.13</v>
      </c>
      <c r="M1194" s="18">
        <v>261.07</v>
      </c>
      <c r="O1194" s="19">
        <f ca="1">IF('Stock Price'!$I$11="OK",B1194/INDEX(B$5:B$1258,'Stock Price'!$I$9)-1,"")</f>
        <v>0.64832685800225587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-1.7244294167371055E-2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259.33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56.7</v>
      </c>
      <c r="M1195" s="18">
        <v>254.76</v>
      </c>
      <c r="O1195" s="19">
        <f ca="1">IF('Stock Price'!$I$11="OK",B1195/INDEX(B$5:B$1258,'Stock Price'!$I$9)-1,"")</f>
        <v>0.62507833061787177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-4.1420118343195145E-2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267.24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57.97</v>
      </c>
      <c r="M1196" s="18">
        <v>254.65</v>
      </c>
      <c r="O1196" s="19">
        <f ca="1">IF('Stock Price'!$I$11="OK",B1196/INDEX(B$5:B$1258,'Stock Price'!$I$9)-1,"")</f>
        <v>0.67464594560721891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-1.9949281487742998E-2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263.39999999999998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57.54</v>
      </c>
      <c r="M1197" s="18">
        <v>252.74</v>
      </c>
      <c r="O1197" s="19">
        <f ca="1">IF('Stock Price'!$I$11="OK",B1197/INDEX(B$5:B$1258,'Stock Price'!$I$9)-1,"")</f>
        <v>0.65058277979696677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-2.7218934911242609E-2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259.10000000000002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57.94</v>
      </c>
      <c r="M1198" s="18">
        <v>249.91</v>
      </c>
      <c r="O1198" s="19">
        <f ca="1">IF('Stock Price'!$I$11="OK",B1198/INDEX(B$5:B$1258,'Stock Price'!$I$9)-1,"")</f>
        <v>0.62363704724902869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-2.0456466610312751E-2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256.98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57.58</v>
      </c>
      <c r="M1199" s="18">
        <v>248.08</v>
      </c>
      <c r="O1199" s="19">
        <f ca="1">IF('Stock Price'!$I$11="OK",B1199/INDEX(B$5:B$1258,'Stock Price'!$I$9)-1,"")</f>
        <v>0.61035217445795209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-2.6542688081149679E-2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257.77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59.34</v>
      </c>
      <c r="M1200" s="18">
        <v>248</v>
      </c>
      <c r="O1200" s="19">
        <f ca="1">IF('Stock Price'!$I$11="OK",B1200/INDEX(B$5:B$1258,'Stock Price'!$I$9)-1,"")</f>
        <v>0.61530266950745682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3.2121724429416965E-3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253.85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56.95</v>
      </c>
      <c r="M1201" s="18">
        <v>244.78</v>
      </c>
      <c r="O1201" s="19">
        <f ca="1">IF('Stock Price'!$I$11="OK",B1201/INDEX(B$5:B$1258,'Stock Price'!$I$9)-1,"")</f>
        <v>0.59073818774282483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-3.7193575655114053E-2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247.02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58.72</v>
      </c>
      <c r="M1202" s="18">
        <v>244.11</v>
      </c>
      <c r="O1202" s="19">
        <f ca="1">IF('Stock Price'!$I$11="OK",B1202/INDEX(B$5:B$1258,'Stock Price'!$I$9)-1,"")</f>
        <v>0.54793833813761128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-7.2696534234996113E-3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249.97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60.51</v>
      </c>
      <c r="M1203" s="18">
        <v>254.39</v>
      </c>
      <c r="O1203" s="19">
        <f ca="1">IF('Stock Price'!$I$11="OK",B1203/INDEX(B$5:B$1258,'Stock Price'!$I$9)-1,"")</f>
        <v>0.56642436395538276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2.2992392223161406E-2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253.04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60.74</v>
      </c>
      <c r="M1204" s="18">
        <v>254.49</v>
      </c>
      <c r="O1204" s="19">
        <f ca="1">IF('Stock Price'!$I$11="OK",B1204/INDEX(B$5:B$1258,'Stock Price'!$I$9)-1,"")</f>
        <v>0.58566236370472469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2.6880811496196255E-2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248.82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60.16</v>
      </c>
      <c r="M1205" s="18">
        <v>253.38</v>
      </c>
      <c r="O1205" s="19">
        <f ca="1">IF('Stock Price'!$I$11="OK",B1205/INDEX(B$5:B$1258,'Stock Price'!$I$9)-1,"")</f>
        <v>0.55921794711116668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1.7075232459847767E-2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250.61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60.93</v>
      </c>
      <c r="M1206" s="18">
        <v>256.10000000000002</v>
      </c>
      <c r="O1206" s="19">
        <f ca="1">IF('Stock Price'!$I$11="OK",B1206/INDEX(B$5:B$1258,'Stock Price'!$I$9)-1,"")</f>
        <v>0.57043489159042493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3.009298393913773E-2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255.63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60.76</v>
      </c>
      <c r="M1207" s="18">
        <v>253.3</v>
      </c>
      <c r="O1207" s="19">
        <f ca="1">IF('Stock Price'!$I$11="OK",B1207/INDEX(B$5:B$1258,'Stock Price'!$I$9)-1,"")</f>
        <v>0.60189246772778526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2.7218934911242609E-2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259.27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61.51</v>
      </c>
      <c r="M1208" s="18">
        <v>256.92</v>
      </c>
      <c r="O1208" s="19">
        <f ca="1">IF('Stock Price'!$I$11="OK",B1208/INDEX(B$5:B$1258,'Stock Price'!$I$9)-1,"")</f>
        <v>0.62470234365208643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3.9898562975485996E-2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263.39999999999998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62.09</v>
      </c>
      <c r="M1209" s="18">
        <v>259.36</v>
      </c>
      <c r="O1209" s="19">
        <f ca="1">IF('Stock Price'!$I$11="OK",B1209/INDEX(B$5:B$1258,'Stock Price'!$I$9)-1,"")</f>
        <v>0.65058277979696677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4.9704142011834485E-2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265.95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62.56</v>
      </c>
      <c r="M1210" s="18">
        <v>256.91000000000003</v>
      </c>
      <c r="O1210" s="19">
        <f ca="1">IF('Stock Price'!$I$11="OK",B1210/INDEX(B$5:B$1258,'Stock Price'!$I$9)-1,"")</f>
        <v>0.6665622258428372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5.7650042265426915E-2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266.73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63.6</v>
      </c>
      <c r="M1211" s="18">
        <v>263.2</v>
      </c>
      <c r="O1211" s="19">
        <f ca="1">IF('Stock Price'!$I$11="OK",B1211/INDEX(B$5:B$1258,'Stock Price'!$I$9)-1,"")</f>
        <v>0.67145005639804478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7.5232459847844435E-2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265.52999999999997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63.1</v>
      </c>
      <c r="M1212" s="18">
        <v>263.3</v>
      </c>
      <c r="O1212" s="19">
        <f ca="1">IF('Stock Price'!$I$11="OK",B1212/INDEX(B$5:B$1258,'Stock Price'!$I$9)-1,"")</f>
        <v>0.66393031708234074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6.6779374471682251E-2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255.82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64.86</v>
      </c>
      <c r="M1213" s="18">
        <v>257.41000000000003</v>
      </c>
      <c r="O1213" s="19">
        <f ca="1">IF('Stock Price'!$I$11="OK",B1213/INDEX(B$5:B$1258,'Stock Price'!$I$9)-1,"")</f>
        <v>0.60308309311943842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9.6534234995773405E-2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256.35000000000002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65.31</v>
      </c>
      <c r="M1214" s="18">
        <v>250.94</v>
      </c>
      <c r="O1214" s="19">
        <f ca="1">IF('Stock Price'!$I$11="OK",B1214/INDEX(B$5:B$1258,'Stock Price'!$I$9)-1,"")</f>
        <v>0.60640431131720773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0.10414201183431948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254.41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65.47</v>
      </c>
      <c r="M1215" s="18">
        <v>245.1</v>
      </c>
      <c r="O1215" s="19">
        <f ca="1">IF('Stock Price'!$I$11="OK",B1215/INDEX(B$5:B$1258,'Stock Price'!$I$9)-1,"")</f>
        <v>0.59424739942348648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0.10684699915469142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254.93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65.89</v>
      </c>
      <c r="M1216" s="18">
        <v>243.8</v>
      </c>
      <c r="O1216" s="19">
        <f ca="1">IF('Stock Price'!$I$11="OK",B1216/INDEX(B$5:B$1258,'Stock Price'!$I$9)-1,"")</f>
        <v>0.5975059531269582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0.11394759087066775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257.58999999999997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63.63</v>
      </c>
      <c r="M1217" s="18">
        <v>246.2</v>
      </c>
      <c r="O1217" s="19">
        <f ca="1">IF('Stock Price'!$I$11="OK",B1217/INDEX(B$5:B$1258,'Stock Price'!$I$9)-1,"")</f>
        <v>0.61417470861010126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7.5739644970414188E-2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256.98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64.150000000000006</v>
      </c>
      <c r="M1218" s="18">
        <v>243.87</v>
      </c>
      <c r="O1218" s="19">
        <f ca="1">IF('Stock Price'!$I$11="OK",B1218/INDEX(B$5:B$1258,'Stock Price'!$I$9)-1,"")</f>
        <v>0.61035217445795209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8.453085376162317E-2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259.24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64.72</v>
      </c>
      <c r="M1219" s="18">
        <v>246.04</v>
      </c>
      <c r="O1219" s="19">
        <f ca="1">IF('Stock Price'!$I$11="OK",B1219/INDEX(B$5:B$1258,'Stock Price'!$I$9)-1,"")</f>
        <v>0.6245143501691941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9.4167371090448038E-2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261.81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64.84</v>
      </c>
      <c r="M1220" s="18">
        <v>247.97</v>
      </c>
      <c r="O1220" s="19">
        <f ca="1">IF('Stock Price'!$I$11="OK",B1220/INDEX(B$5:B$1258,'Stock Price'!$I$9)-1,"")</f>
        <v>0.64061912520365949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9.6196111580727051E-2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259.8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63.61</v>
      </c>
      <c r="M1221" s="18">
        <v>250.09</v>
      </c>
      <c r="O1221" s="19">
        <f ca="1">IF('Stock Price'!$I$11="OK",B1221/INDEX(B$5:B$1258,'Stock Price'!$I$9)-1,"")</f>
        <v>0.62802356184985575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7.5401521555367834E-2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260.86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63.7</v>
      </c>
      <c r="M1222" s="18">
        <v>248.76</v>
      </c>
      <c r="O1222" s="19">
        <f ca="1">IF('Stock Price'!$I$11="OK",B1222/INDEX(B$5:B$1258,'Stock Price'!$I$9)-1,"")</f>
        <v>0.63466599824539416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7.6923076923077094E-2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262.08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64.650000000000006</v>
      </c>
      <c r="M1223" s="18">
        <v>250.82</v>
      </c>
      <c r="O1223" s="19">
        <f ca="1">IF('Stock Price'!$I$11="OK",B1223/INDEX(B$5:B$1258,'Stock Price'!$I$9)-1,"")</f>
        <v>0.64231106654969272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9.2983939137785354E-2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260.35000000000002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63.83</v>
      </c>
      <c r="M1224" s="18">
        <v>249.46</v>
      </c>
      <c r="O1224" s="19">
        <f ca="1">IF('Stock Price'!$I$11="OK",B1224/INDEX(B$5:B$1258,'Stock Price'!$I$9)-1,"")</f>
        <v>0.63147010903622003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7.9120879120879062E-2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262.37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64.63</v>
      </c>
      <c r="M1225" s="18">
        <v>250.33</v>
      </c>
      <c r="O1225" s="19">
        <f ca="1">IF('Stock Price'!$I$11="OK",B1225/INDEX(B$5:B$1258,'Stock Price'!$I$9)-1,"")</f>
        <v>0.64412833688432114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9.2645815722738778E-2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271.11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66.05</v>
      </c>
      <c r="M1226" s="18">
        <v>258.92</v>
      </c>
      <c r="O1226" s="19">
        <f ca="1">IF('Stock Price'!$I$11="OK",B1226/INDEX(B$5:B$1258,'Stock Price'!$I$9)-1,"")</f>
        <v>0.69889710490036339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0.11665257819103969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273.41000000000003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67.61</v>
      </c>
      <c r="M1227" s="18">
        <v>265.97000000000003</v>
      </c>
      <c r="O1227" s="19">
        <f ca="1">IF('Stock Price'!$I$11="OK",B1227/INDEX(B$5:B$1258,'Stock Price'!$I$9)-1,"")</f>
        <v>0.71330993858879554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0.14302620456466619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267.37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65.47</v>
      </c>
      <c r="M1228" s="18">
        <v>261.83</v>
      </c>
      <c r="O1228" s="19">
        <f ca="1">IF('Stock Price'!$I$11="OK",B1228/INDEX(B$5:B$1258,'Stock Price'!$I$9)-1,"")</f>
        <v>0.67546058403308673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0.10684699915469142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270.24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67.010000000000005</v>
      </c>
      <c r="M1229" s="18">
        <v>264.95999999999998</v>
      </c>
      <c r="O1229" s="19">
        <f ca="1">IF('Stock Price'!$I$11="OK",B1229/INDEX(B$5:B$1258,'Stock Price'!$I$9)-1,"")</f>
        <v>0.69344529389647813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0.13288250211327135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273.04000000000002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67.28</v>
      </c>
      <c r="M1230" s="18">
        <v>264.52</v>
      </c>
      <c r="O1230" s="19">
        <f ca="1">IF('Stock Price'!$I$11="OK",B1230/INDEX(B$5:B$1258,'Stock Price'!$I$9)-1,"")</f>
        <v>0.71099135229978683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0.13744716821639913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273.14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67.92</v>
      </c>
      <c r="M1231" s="18">
        <v>265.79000000000002</v>
      </c>
      <c r="O1231" s="19">
        <f ca="1">IF('Stock Price'!$I$11="OK",B1231/INDEX(B$5:B$1258,'Stock Price'!$I$9)-1,"")</f>
        <v>0.71161799724276209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0.14826711749788668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270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67.569999999999993</v>
      </c>
      <c r="M1232" s="18">
        <v>262.89999999999998</v>
      </c>
      <c r="O1232" s="19">
        <f ca="1">IF('Stock Price'!$I$11="OK",B1232/INDEX(B$5:B$1258,'Stock Price'!$I$9)-1,"")</f>
        <v>0.69194134603333746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0.14234995773457304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265.77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66.95</v>
      </c>
      <c r="M1233" s="18">
        <v>258.14999999999998</v>
      </c>
      <c r="O1233" s="19">
        <f ca="1">IF('Stock Price'!$I$11="OK",B1233/INDEX(B$5:B$1258,'Stock Price'!$I$9)-1,"")</f>
        <v>0.66543426494548163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0.13186813186813184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268.04000000000002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66.58</v>
      </c>
      <c r="M1234" s="18">
        <v>255.48</v>
      </c>
      <c r="O1234" s="19">
        <f ca="1">IF('Stock Price'!$I$11="OK",B1234/INDEX(B$5:B$1258,'Stock Price'!$I$9)-1,"")</f>
        <v>0.67965910515102146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0.12561284868977185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265.85000000000002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66.81</v>
      </c>
      <c r="M1235" s="18">
        <v>256.42</v>
      </c>
      <c r="O1235" s="19">
        <f ca="1">IF('Stock Price'!$I$11="OK",B1235/INDEX(B$5:B$1258,'Stock Price'!$I$9)-1,"")</f>
        <v>0.66593558089986216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0.12950126796280648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271.19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66.92</v>
      </c>
      <c r="M1236" s="18">
        <v>259.99</v>
      </c>
      <c r="O1236" s="19">
        <f ca="1">IF('Stock Price'!$I$11="OK",B1236/INDEX(B$5:B$1258,'Stock Price'!$I$9)-1,"")</f>
        <v>0.69939842085474346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0.13136094674556209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275.20999999999998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67.66</v>
      </c>
      <c r="M1237" s="18">
        <v>261.72000000000003</v>
      </c>
      <c r="O1237" s="19">
        <f ca="1">IF('Stock Price'!$I$11="OK",B1237/INDEX(B$5:B$1258,'Stock Price'!$I$9)-1,"")</f>
        <v>0.72458954756235094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0.1438715131022823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278.43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68.09</v>
      </c>
      <c r="M1238" s="18">
        <v>260.20999999999998</v>
      </c>
      <c r="O1238" s="19">
        <f ca="1">IF('Stock Price'!$I$11="OK",B1238/INDEX(B$5:B$1258,'Stock Price'!$I$9)-1,"")</f>
        <v>0.7447675147261561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0.15114116652578202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275.23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66.819999999999993</v>
      </c>
      <c r="M1239" s="18">
        <v>256.45999999999998</v>
      </c>
      <c r="O1239" s="19">
        <f ca="1">IF('Stock Price'!$I$11="OK",B1239/INDEX(B$5:B$1258,'Stock Price'!$I$9)-1,"")</f>
        <v>0.72471487655094613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0.12967032967032965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269.12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64.69</v>
      </c>
      <c r="M1240" s="18">
        <v>248.78</v>
      </c>
      <c r="O1240" s="19">
        <f ca="1">IF('Stock Price'!$I$11="OK",B1240/INDEX(B$5:B$1258,'Stock Price'!$I$9)-1,"")</f>
        <v>0.68642687053515461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9.3660185967878284E-2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267.08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64.41</v>
      </c>
      <c r="M1241" s="18">
        <v>250.91</v>
      </c>
      <c r="O1241" s="19">
        <f ca="1">IF('Stock Price'!$I$11="OK",B1241/INDEX(B$5:B$1258,'Stock Price'!$I$9)-1,"")</f>
        <v>0.67364331369845831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8.8926458157227328E-2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266.35000000000002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63.75</v>
      </c>
      <c r="M1242" s="18">
        <v>255</v>
      </c>
      <c r="O1242" s="19">
        <f ca="1">IF('Stock Price'!$I$11="OK",B1242/INDEX(B$5:B$1258,'Stock Price'!$I$9)-1,"")</f>
        <v>0.66906880561473869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7.7768385460693201E-2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265.58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63.64</v>
      </c>
      <c r="M1243" s="18">
        <v>257.12</v>
      </c>
      <c r="O1243" s="19">
        <f ca="1">IF('Stock Price'!$I$11="OK",B1243/INDEX(B$5:B$1258,'Stock Price'!$I$9)-1,"")</f>
        <v>0.66424363955382848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7.5908706677937587E-2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266.32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64.099999999999994</v>
      </c>
      <c r="M1244" s="18">
        <v>261.77</v>
      </c>
      <c r="O1244" s="19">
        <f ca="1">IF('Stock Price'!$I$11="OK",B1244/INDEX(B$5:B$1258,'Stock Price'!$I$9)-1,"")</f>
        <v>0.66888081213184591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8.3685545224006619E-2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267.2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63.73</v>
      </c>
      <c r="M1245" s="18">
        <v>263.04000000000002</v>
      </c>
      <c r="O1245" s="19">
        <f ca="1">IF('Stock Price'!$I$11="OK",B1245/INDEX(B$5:B$1258,'Stock Price'!$I$9)-1,"")</f>
        <v>0.67439528763002854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7.7430262045646625E-2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267.27999999999997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63.6</v>
      </c>
      <c r="M1246" s="18">
        <v>262.51</v>
      </c>
      <c r="O1246" s="19">
        <f ca="1">IF('Stock Price'!$I$11="OK",B1246/INDEX(B$5:B$1258,'Stock Price'!$I$9)-1,"")</f>
        <v>0.67489660358440884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7.5232459847844435E-2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270.22000000000003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62.84</v>
      </c>
      <c r="M1247" s="18">
        <v>264.02</v>
      </c>
      <c r="O1247" s="19">
        <f ca="1">IF('Stock Price'!$I$11="OK",B1247/INDEX(B$5:B$1258,'Stock Price'!$I$9)-1,"")</f>
        <v>0.69331996490788317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6.2383770076077871E-2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269.99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63.06</v>
      </c>
      <c r="M1248" s="18">
        <v>263.95999999999998</v>
      </c>
      <c r="O1248" s="19">
        <f ca="1">IF('Stock Price'!$I$11="OK",B1248/INDEX(B$5:B$1258,'Stock Price'!$I$9)-1,"")</f>
        <v>0.69187868153903986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6.6103127641589321E-2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269.47000000000003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62.62</v>
      </c>
      <c r="M1249" s="18">
        <v>264.48</v>
      </c>
      <c r="O1249" s="19">
        <f ca="1">IF('Stock Price'!$I$11="OK",B1249/INDEX(B$5:B$1258,'Stock Price'!$I$9)-1,"")</f>
        <v>0.68862012783556836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5.8664412510566422E-2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269.19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62.25</v>
      </c>
      <c r="M1250" s="18">
        <v>265.20999999999998</v>
      </c>
      <c r="O1250" s="19">
        <f ca="1">IF('Stock Price'!$I$11="OK",B1250/INDEX(B$5:B$1258,'Stock Price'!$I$9)-1,"")</f>
        <v>0.68686552199523732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5.2409129332206206E-2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269.17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61.15</v>
      </c>
      <c r="M1251" s="18">
        <v>265.08</v>
      </c>
      <c r="O1251" s="19">
        <f ca="1">IF('Stock Price'!$I$11="OK",B1251/INDEX(B$5:B$1258,'Stock Price'!$I$9)-1,"")</f>
        <v>0.68674019300664235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3.3812341504649179E-2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270.68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61.5</v>
      </c>
      <c r="M1252" s="18">
        <v>265.12</v>
      </c>
      <c r="O1252" s="19">
        <f ca="1">IF('Stock Price'!$I$11="OK",B1252/INDEX(B$5:B$1258,'Stock Price'!$I$9)-1,"")</f>
        <v>0.69620253164556956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3.9729501267962819E-2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271.22000000000003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62.86</v>
      </c>
      <c r="M1253" s="18">
        <v>264.33999999999997</v>
      </c>
      <c r="O1253" s="19">
        <f ca="1">IF('Stock Price'!$I$11="OK",B1253/INDEX(B$5:B$1258,'Stock Price'!$I$9)-1,"")</f>
        <v>0.69958641433763624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6.2721893491124225E-2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271.95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63.88</v>
      </c>
      <c r="M1254" s="18">
        <v>266.27999999999997</v>
      </c>
      <c r="O1254" s="19">
        <f ca="1">IF('Stock Price'!$I$11="OK",B1254/INDEX(B$5:B$1258,'Stock Price'!$I$9)-1,"")</f>
        <v>0.70416092242135586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7.9966187658495391E-2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267.57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62.86</v>
      </c>
      <c r="M1255" s="18">
        <v>263.29000000000002</v>
      </c>
      <c r="O1255" s="19">
        <f ca="1">IF('Stock Price'!$I$11="OK",B1255/INDEX(B$5:B$1258,'Stock Price'!$I$9)-1,"")</f>
        <v>0.67671387391903726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6.2721893491124225E-2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264.74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62.4</v>
      </c>
      <c r="M1256" s="18">
        <v>261.58999999999997</v>
      </c>
      <c r="O1256" s="19">
        <f ca="1">IF('Stock Price'!$I$11="OK",B1256/INDEX(B$5:B$1258,'Stock Price'!$I$9)-1,"")</f>
        <v>0.65897982203283623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5.4945054945054972E-2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258.66000000000003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61.46</v>
      </c>
      <c r="M1257" s="18">
        <v>259.93</v>
      </c>
      <c r="O1257" s="19">
        <f ca="1">IF('Stock Price'!$I$11="OK",B1257/INDEX(B$5:B$1258,'Stock Price'!$I$9)-1,"")</f>
        <v>0.62087980949993726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3.9053254437869889E-2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256.02999999999997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61.15</v>
      </c>
      <c r="M1258" s="18">
        <v>262.82</v>
      </c>
      <c r="O1258" s="19">
        <f ca="1">IF('Stock Price'!$I$11="OK",B1258/INDEX(B$5:B$1258,'Stock Price'!$I$9)-1,"")</f>
        <v>0.60439904749968631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3.3812341504649179E-2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2026-10-05T16:26:34Z</dcterms:created>
  <dcterms:modified xsi:type="dcterms:W3CDTF">2026-10-05T18:22:33Z</dcterms:modified>
</cp:coreProperties>
</file>