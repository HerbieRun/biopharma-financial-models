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C056224D-933E-4D45-BBD3-8D6D122FB8C4}" xr6:coauthVersionLast="47" xr6:coauthVersionMax="47" xr10:uidLastSave="{00000000-0000-0000-0000-000000000000}"/>
  <bookViews>
    <workbookView xWindow="30555" yWindow="585" windowWidth="36810" windowHeight="14520" activeTab="1" xr2:uid="{2314A96E-9388-4DBA-8F91-54EEE06A9EE1}"/>
  </bookViews>
  <sheets>
    <sheet name="Stock Price" sheetId="1" r:id="rId1"/>
    <sheet name="Multiples" sheetId="3" r:id="rId2"/>
    <sheet name="Peer Data" sheetId="2" state="hidden" r:id="rId3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Data'!$Q$5:$Q$1258,MIN('Stock Price'!$I$9,1254)):INDEX('Peer Data'!$Q$5:$Q$1258,MAX('Stock Price'!$I$10,1))</definedName>
    <definedName name="PeerPct_BAYNr">INDEX('Peer Data'!$U$5:$U$1258,MIN('Stock Price'!$I$9,1254)):INDEX('Peer Data'!$U$5:$U$1258,MAX('Stock Price'!$I$10,1))</definedName>
    <definedName name="PeerPct_BMY">INDEX('Peer Data'!$X$5:$X$1258,MIN('Stock Price'!$I$9,1254)):INDEX('Peer Data'!$X$5:$X$1258,MAX('Stock Price'!$I$10,1))</definedName>
    <definedName name="PeerPct_GSK">INDEX('Peer Data'!$R$5:$R$1258,MIN('Stock Price'!$I$9,1254)):INDEX('Peer Data'!$R$5:$R$1258,MAX('Stock Price'!$I$10,1))</definedName>
    <definedName name="PeerPct_JnJ">INDEX('Peer Data'!$Y$5:$Y$1258,MIN('Stock Price'!$I$9,1254)):INDEX('Peer Data'!$Y$5:$Y$1258,MAX('Stock Price'!$I$10,1))</definedName>
    <definedName name="PeerPct_LLY">INDEX('Peer Data'!$W$5:$W$1258,MIN('Stock Price'!$I$9,1254)):INDEX('Peer Data'!$W$5:$W$1258,MAX('Stock Price'!$I$10,1))</definedName>
    <definedName name="PeerPct_MRK">INDEX('Peer Data'!$O$5:$O$1258,MIN('Stock Price'!$I$9,1254)):INDEX('Peer Data'!$O$5:$O$1258,MAX('Stock Price'!$I$10,1))</definedName>
    <definedName name="PeerPct_NVS">INDEX('Peer Data'!$P$5:$P$1258,MIN('Stock Price'!$I$9,1254)):INDEX('Peer Data'!$P$5:$P$1258,MAX('Stock Price'!$I$10,1))</definedName>
    <definedName name="PeerPct_PFE">INDEX('Peer Data'!$V$5:$V$1258,MIN('Stock Price'!$I$9,1254)):INDEX('Peer Data'!$V$5:$V$1258,MAX('Stock Price'!$I$10,1))</definedName>
    <definedName name="PeerPct_ROG">INDEX('Peer Data'!$S$5:$S$1258,MIN('Stock Price'!$I$9,1254)):INDEX('Peer Data'!$S$5:$S$1258,MAX('Stock Price'!$I$10,1))</definedName>
    <definedName name="PeerPct_SNY">INDEX('Peer Data'!$T$5:$T$1258,MIN('Stock Price'!$I$9,1254)):INDEX('Peer Data'!$T$5:$T$1258,MAX('Stock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4" i="3" l="1"/>
  <c r="L14" i="3"/>
  <c r="I30" i="3"/>
  <c r="E14" i="3" s="1"/>
  <c r="H30" i="3"/>
  <c r="C14" i="3" s="1"/>
  <c r="M13" i="3"/>
  <c r="L13" i="3"/>
  <c r="I29" i="3"/>
  <c r="P13" i="3" s="1"/>
  <c r="H29" i="3"/>
  <c r="C13" i="3" s="1"/>
  <c r="M12" i="3"/>
  <c r="L12" i="3"/>
  <c r="I28" i="3"/>
  <c r="P12" i="3" s="1"/>
  <c r="H28" i="3"/>
  <c r="C12" i="3" s="1"/>
  <c r="M11" i="3"/>
  <c r="L11" i="3"/>
  <c r="I27" i="3"/>
  <c r="P11" i="3" s="1"/>
  <c r="H27" i="3"/>
  <c r="C11" i="3" s="1"/>
  <c r="M10" i="3"/>
  <c r="L10" i="3"/>
  <c r="I26" i="3"/>
  <c r="E10" i="3" s="1"/>
  <c r="H26" i="3"/>
  <c r="C10" i="3" s="1"/>
  <c r="M9" i="3"/>
  <c r="L9" i="3"/>
  <c r="I25" i="3"/>
  <c r="P9" i="3" s="1"/>
  <c r="H25" i="3"/>
  <c r="C9" i="3" s="1"/>
  <c r="M8" i="3"/>
  <c r="L8" i="3"/>
  <c r="I24" i="3"/>
  <c r="P8" i="3" s="1"/>
  <c r="H24" i="3"/>
  <c r="C8" i="3" s="1"/>
  <c r="M7" i="3"/>
  <c r="L7" i="3"/>
  <c r="I23" i="3"/>
  <c r="P7" i="3" s="1"/>
  <c r="H23" i="3"/>
  <c r="C7" i="3" s="1"/>
  <c r="M6" i="3"/>
  <c r="L6" i="3"/>
  <c r="I22" i="3"/>
  <c r="E6" i="3" s="1"/>
  <c r="H22" i="3"/>
  <c r="C6" i="3" s="1"/>
  <c r="M5" i="3"/>
  <c r="L5" i="3"/>
  <c r="I21" i="3"/>
  <c r="P5" i="3" s="1"/>
  <c r="H21" i="3"/>
  <c r="C5" i="3" s="1"/>
  <c r="M4" i="3"/>
  <c r="L4" i="3"/>
  <c r="I20" i="3"/>
  <c r="P4" i="3" s="1"/>
  <c r="H20" i="3"/>
  <c r="C4" i="3" s="1"/>
  <c r="M3" i="3"/>
  <c r="M15" i="3" s="1"/>
  <c r="L3" i="3"/>
  <c r="L15" i="3" s="1"/>
  <c r="I19" i="3"/>
  <c r="P3" i="3" s="1"/>
  <c r="H19" i="3"/>
  <c r="C3" i="3" s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E8" i="3" l="1"/>
  <c r="G14" i="3"/>
  <c r="E7" i="3"/>
  <c r="G7" i="3" s="1"/>
  <c r="S7" i="3" s="1"/>
  <c r="E4" i="3"/>
  <c r="G4" i="3" s="1"/>
  <c r="S4" i="3" s="1"/>
  <c r="E12" i="3"/>
  <c r="G12" i="3" s="1"/>
  <c r="S12" i="3" s="1"/>
  <c r="E3" i="3"/>
  <c r="G3" i="3" s="1"/>
  <c r="S3" i="3" s="1"/>
  <c r="E11" i="3"/>
  <c r="G11" i="3" s="1"/>
  <c r="S11" i="3" s="1"/>
  <c r="N3" i="3"/>
  <c r="N6" i="3"/>
  <c r="N7" i="3"/>
  <c r="N10" i="3"/>
  <c r="N11" i="3"/>
  <c r="N14" i="3"/>
  <c r="R14" i="3" s="1"/>
  <c r="P6" i="3"/>
  <c r="P10" i="3"/>
  <c r="P14" i="3"/>
  <c r="G6" i="3"/>
  <c r="G10" i="3"/>
  <c r="E5" i="3"/>
  <c r="G5" i="3" s="1"/>
  <c r="S5" i="3" s="1"/>
  <c r="E9" i="3"/>
  <c r="G9" i="3" s="1"/>
  <c r="S9" i="3" s="1"/>
  <c r="E13" i="3"/>
  <c r="G13" i="3" s="1"/>
  <c r="S13" i="3" s="1"/>
  <c r="N4" i="3"/>
  <c r="N8" i="3"/>
  <c r="N12" i="3"/>
  <c r="N5" i="3"/>
  <c r="N9" i="3"/>
  <c r="N13" i="3"/>
  <c r="G8" i="3"/>
  <c r="S8" i="3" s="1"/>
  <c r="I11" i="1"/>
  <c r="R13" i="3" l="1"/>
  <c r="R7" i="3"/>
  <c r="S14" i="3"/>
  <c r="S10" i="3"/>
  <c r="R5" i="3"/>
  <c r="R10" i="3"/>
  <c r="R8" i="3"/>
  <c r="R6" i="3"/>
  <c r="R4" i="3"/>
  <c r="R11" i="3"/>
  <c r="R3" i="3"/>
  <c r="S6" i="3"/>
  <c r="S15" i="3" s="1"/>
  <c r="R9" i="3"/>
  <c r="R12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7" i="2"/>
  <c r="Z23" i="2"/>
  <c r="Z39" i="2"/>
  <c r="Z55" i="2"/>
  <c r="Z71" i="2"/>
  <c r="Z87" i="2"/>
  <c r="Z103" i="2"/>
  <c r="Z119" i="2"/>
  <c r="Z135" i="2"/>
  <c r="Z151" i="2"/>
  <c r="Z167" i="2"/>
  <c r="Z183" i="2"/>
  <c r="Z199" i="2"/>
  <c r="Z215" i="2"/>
  <c r="Z231" i="2"/>
  <c r="Z247" i="2"/>
  <c r="Z258" i="2"/>
  <c r="Z272" i="2"/>
  <c r="Z282" i="2"/>
  <c r="Z292" i="2"/>
  <c r="Z304" i="2"/>
  <c r="Z314" i="2"/>
  <c r="Z324" i="2"/>
  <c r="Z336" i="2"/>
  <c r="Z346" i="2"/>
  <c r="Z356" i="2"/>
  <c r="Z368" i="2"/>
  <c r="Z378" i="2"/>
  <c r="Z388" i="2"/>
  <c r="Z400" i="2"/>
  <c r="Z410" i="2"/>
  <c r="Z420" i="2"/>
  <c r="Z432" i="2"/>
  <c r="Z442" i="2"/>
  <c r="Z452" i="2"/>
  <c r="Z464" i="2"/>
  <c r="Z474" i="2"/>
  <c r="Z484" i="2"/>
  <c r="Z496" i="2"/>
  <c r="Z506" i="2"/>
  <c r="Z516" i="2"/>
  <c r="Z528" i="2"/>
  <c r="Z538" i="2"/>
  <c r="Z548" i="2"/>
  <c r="Z560" i="2"/>
  <c r="Z570" i="2"/>
  <c r="Z580" i="2"/>
  <c r="Z592" i="2"/>
  <c r="Z602" i="2"/>
  <c r="Z612" i="2"/>
  <c r="Z624" i="2"/>
  <c r="Z634" i="2"/>
  <c r="Z644" i="2"/>
  <c r="Z656" i="2"/>
  <c r="Z666" i="2"/>
  <c r="Z676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8" i="2"/>
  <c r="Z24" i="2"/>
  <c r="Z40" i="2"/>
  <c r="Z56" i="2"/>
  <c r="Z72" i="2"/>
  <c r="Z88" i="2"/>
  <c r="Z104" i="2"/>
  <c r="Z120" i="2"/>
  <c r="Z136" i="2"/>
  <c r="Z152" i="2"/>
  <c r="Z168" i="2"/>
  <c r="Z184" i="2"/>
  <c r="Z200" i="2"/>
  <c r="Z216" i="2"/>
  <c r="Z232" i="2"/>
  <c r="Z248" i="2"/>
  <c r="Z260" i="2"/>
  <c r="Z273" i="2"/>
  <c r="Z283" i="2"/>
  <c r="Z295" i="2"/>
  <c r="Z305" i="2"/>
  <c r="Z315" i="2"/>
  <c r="Z327" i="2"/>
  <c r="Z337" i="2"/>
  <c r="Z347" i="2"/>
  <c r="Z359" i="2"/>
  <c r="Z369" i="2"/>
  <c r="Z379" i="2"/>
  <c r="Z391" i="2"/>
  <c r="Z401" i="2"/>
  <c r="Z411" i="2"/>
  <c r="Z423" i="2"/>
  <c r="Z433" i="2"/>
  <c r="Z443" i="2"/>
  <c r="Z455" i="2"/>
  <c r="Z465" i="2"/>
  <c r="Z475" i="2"/>
  <c r="Z487" i="2"/>
  <c r="Z497" i="2"/>
  <c r="Z507" i="2"/>
  <c r="Z519" i="2"/>
  <c r="Z529" i="2"/>
  <c r="Z539" i="2"/>
  <c r="Z551" i="2"/>
  <c r="Z561" i="2"/>
  <c r="Z571" i="2"/>
  <c r="Z583" i="2"/>
  <c r="Z593" i="2"/>
  <c r="Z603" i="2"/>
  <c r="Z615" i="2"/>
  <c r="Z625" i="2"/>
  <c r="Z635" i="2"/>
  <c r="Z647" i="2"/>
  <c r="Z657" i="2"/>
  <c r="Z667" i="2"/>
  <c r="Z679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911" i="2"/>
  <c r="Z919" i="2"/>
  <c r="Z927" i="2"/>
  <c r="Z935" i="2"/>
  <c r="Z943" i="2"/>
  <c r="Z951" i="2"/>
  <c r="Z959" i="2"/>
  <c r="Z967" i="2"/>
  <c r="Z975" i="2"/>
  <c r="Z983" i="2"/>
  <c r="Z991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9" i="2"/>
  <c r="Z25" i="2"/>
  <c r="Z41" i="2"/>
  <c r="Z57" i="2"/>
  <c r="Z73" i="2"/>
  <c r="Z89" i="2"/>
  <c r="Z105" i="2"/>
  <c r="Z121" i="2"/>
  <c r="Z137" i="2"/>
  <c r="Z153" i="2"/>
  <c r="Z169" i="2"/>
  <c r="Z185" i="2"/>
  <c r="Z201" i="2"/>
  <c r="Z217" i="2"/>
  <c r="Z233" i="2"/>
  <c r="Z249" i="2"/>
  <c r="Z263" i="2"/>
  <c r="Z274" i="2"/>
  <c r="Z284" i="2"/>
  <c r="Z296" i="2"/>
  <c r="Z306" i="2"/>
  <c r="Z316" i="2"/>
  <c r="Z328" i="2"/>
  <c r="Z338" i="2"/>
  <c r="Z348" i="2"/>
  <c r="Z360" i="2"/>
  <c r="Z370" i="2"/>
  <c r="Z380" i="2"/>
  <c r="Z392" i="2"/>
  <c r="Z402" i="2"/>
  <c r="Z412" i="2"/>
  <c r="Z424" i="2"/>
  <c r="Z434" i="2"/>
  <c r="Z444" i="2"/>
  <c r="Z456" i="2"/>
  <c r="Z466" i="2"/>
  <c r="Z476" i="2"/>
  <c r="Z488" i="2"/>
  <c r="Z498" i="2"/>
  <c r="Z508" i="2"/>
  <c r="Z520" i="2"/>
  <c r="Z530" i="2"/>
  <c r="Z540" i="2"/>
  <c r="Z552" i="2"/>
  <c r="Z562" i="2"/>
  <c r="Z572" i="2"/>
  <c r="Z584" i="2"/>
  <c r="Z594" i="2"/>
  <c r="Z604" i="2"/>
  <c r="Z616" i="2"/>
  <c r="Z626" i="2"/>
  <c r="Z636" i="2"/>
  <c r="Z648" i="2"/>
  <c r="Z658" i="2"/>
  <c r="Z668" i="2"/>
  <c r="Z680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10" i="2"/>
  <c r="Z26" i="2"/>
  <c r="Z42" i="2"/>
  <c r="Z58" i="2"/>
  <c r="Z74" i="2"/>
  <c r="Z90" i="2"/>
  <c r="Z106" i="2"/>
  <c r="Z122" i="2"/>
  <c r="Z138" i="2"/>
  <c r="Z154" i="2"/>
  <c r="Z170" i="2"/>
  <c r="Z186" i="2"/>
  <c r="Z202" i="2"/>
  <c r="Z218" i="2"/>
  <c r="Z234" i="2"/>
  <c r="Z250" i="2"/>
  <c r="Z264" i="2"/>
  <c r="Z275" i="2"/>
  <c r="Z287" i="2"/>
  <c r="Z297" i="2"/>
  <c r="Z307" i="2"/>
  <c r="Z319" i="2"/>
  <c r="Z329" i="2"/>
  <c r="Z339" i="2"/>
  <c r="Z351" i="2"/>
  <c r="Z361" i="2"/>
  <c r="Z371" i="2"/>
  <c r="Z383" i="2"/>
  <c r="Z393" i="2"/>
  <c r="Z403" i="2"/>
  <c r="Z415" i="2"/>
  <c r="Z425" i="2"/>
  <c r="Z435" i="2"/>
  <c r="Z447" i="2"/>
  <c r="Z457" i="2"/>
  <c r="Z467" i="2"/>
  <c r="Z479" i="2"/>
  <c r="Z489" i="2"/>
  <c r="Z499" i="2"/>
  <c r="Z511" i="2"/>
  <c r="Z521" i="2"/>
  <c r="Z531" i="2"/>
  <c r="Z543" i="2"/>
  <c r="Z553" i="2"/>
  <c r="Z563" i="2"/>
  <c r="Z575" i="2"/>
  <c r="Z585" i="2"/>
  <c r="Z595" i="2"/>
  <c r="Z607" i="2"/>
  <c r="Z617" i="2"/>
  <c r="Z627" i="2"/>
  <c r="Z639" i="2"/>
  <c r="Z649" i="2"/>
  <c r="Z659" i="2"/>
  <c r="Z671" i="2"/>
  <c r="Z681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17" i="2"/>
  <c r="Z33" i="2"/>
  <c r="Z49" i="2"/>
  <c r="Z65" i="2"/>
  <c r="Z81" i="2"/>
  <c r="Z97" i="2"/>
  <c r="Z113" i="2"/>
  <c r="Z129" i="2"/>
  <c r="Z145" i="2"/>
  <c r="Z161" i="2"/>
  <c r="Z177" i="2"/>
  <c r="Z193" i="2"/>
  <c r="Z209" i="2"/>
  <c r="Z225" i="2"/>
  <c r="Z241" i="2"/>
  <c r="Z256" i="2"/>
  <c r="Z268" i="2"/>
  <c r="Z280" i="2"/>
  <c r="Z290" i="2"/>
  <c r="Z300" i="2"/>
  <c r="Z312" i="2"/>
  <c r="Z322" i="2"/>
  <c r="Z332" i="2"/>
  <c r="Z344" i="2"/>
  <c r="Z354" i="2"/>
  <c r="Z364" i="2"/>
  <c r="Z376" i="2"/>
  <c r="Z386" i="2"/>
  <c r="Z396" i="2"/>
  <c r="Z408" i="2"/>
  <c r="Z418" i="2"/>
  <c r="Z428" i="2"/>
  <c r="Z440" i="2"/>
  <c r="Z450" i="2"/>
  <c r="Z460" i="2"/>
  <c r="Z472" i="2"/>
  <c r="Z482" i="2"/>
  <c r="Z492" i="2"/>
  <c r="Z504" i="2"/>
  <c r="Z514" i="2"/>
  <c r="Z524" i="2"/>
  <c r="Z536" i="2"/>
  <c r="Z546" i="2"/>
  <c r="Z556" i="2"/>
  <c r="Z568" i="2"/>
  <c r="Z578" i="2"/>
  <c r="Z588" i="2"/>
  <c r="Z600" i="2"/>
  <c r="Z610" i="2"/>
  <c r="Z620" i="2"/>
  <c r="Z632" i="2"/>
  <c r="Z642" i="2"/>
  <c r="Z652" i="2"/>
  <c r="Z664" i="2"/>
  <c r="Z674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18" i="2"/>
  <c r="Z34" i="2"/>
  <c r="Z50" i="2"/>
  <c r="Z66" i="2"/>
  <c r="Z82" i="2"/>
  <c r="Z98" i="2"/>
  <c r="Z114" i="2"/>
  <c r="Z130" i="2"/>
  <c r="Z146" i="2"/>
  <c r="Z162" i="2"/>
  <c r="Z178" i="2"/>
  <c r="Z194" i="2"/>
  <c r="Z210" i="2"/>
  <c r="Z226" i="2"/>
  <c r="Z242" i="2"/>
  <c r="Z257" i="2"/>
  <c r="Z271" i="2"/>
  <c r="Z281" i="2"/>
  <c r="Z291" i="2"/>
  <c r="Z303" i="2"/>
  <c r="Z313" i="2"/>
  <c r="Z323" i="2"/>
  <c r="Z335" i="2"/>
  <c r="Z345" i="2"/>
  <c r="Z355" i="2"/>
  <c r="Z367" i="2"/>
  <c r="Z377" i="2"/>
  <c r="Z387" i="2"/>
  <c r="Z399" i="2"/>
  <c r="Z409" i="2"/>
  <c r="Z419" i="2"/>
  <c r="Z431" i="2"/>
  <c r="Z441" i="2"/>
  <c r="Z451" i="2"/>
  <c r="Z463" i="2"/>
  <c r="Z473" i="2"/>
  <c r="Z483" i="2"/>
  <c r="Z495" i="2"/>
  <c r="Z505" i="2"/>
  <c r="Z515" i="2"/>
  <c r="Z527" i="2"/>
  <c r="Z537" i="2"/>
  <c r="Z547" i="2"/>
  <c r="Z559" i="2"/>
  <c r="Z569" i="2"/>
  <c r="Z579" i="2"/>
  <c r="Z591" i="2"/>
  <c r="Z601" i="2"/>
  <c r="Z611" i="2"/>
  <c r="Z623" i="2"/>
  <c r="Z633" i="2"/>
  <c r="Z643" i="2"/>
  <c r="Z655" i="2"/>
  <c r="Z665" i="2"/>
  <c r="Z675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15" i="2"/>
  <c r="Z79" i="2"/>
  <c r="Z143" i="2"/>
  <c r="Z207" i="2"/>
  <c r="Z265" i="2"/>
  <c r="Z308" i="2"/>
  <c r="Z352" i="2"/>
  <c r="Z394" i="2"/>
  <c r="Z436" i="2"/>
  <c r="Z480" i="2"/>
  <c r="Z522" i="2"/>
  <c r="Z564" i="2"/>
  <c r="Z608" i="2"/>
  <c r="Z650" i="2"/>
  <c r="Z690" i="2"/>
  <c r="Z722" i="2"/>
  <c r="Z754" i="2"/>
  <c r="Z786" i="2"/>
  <c r="Z818" i="2"/>
  <c r="Z842" i="2"/>
  <c r="Z858" i="2"/>
  <c r="Z874" i="2"/>
  <c r="Z890" i="2"/>
  <c r="Z906" i="2"/>
  <c r="Z920" i="2"/>
  <c r="Z930" i="2"/>
  <c r="Z940" i="2"/>
  <c r="Z952" i="2"/>
  <c r="Z962" i="2"/>
  <c r="Z972" i="2"/>
  <c r="Z984" i="2"/>
  <c r="Z994" i="2"/>
  <c r="Z1004" i="2"/>
  <c r="Z1016" i="2"/>
  <c r="Z1026" i="2"/>
  <c r="Z1036" i="2"/>
  <c r="Z1048" i="2"/>
  <c r="Z1058" i="2"/>
  <c r="Z1068" i="2"/>
  <c r="Z1080" i="2"/>
  <c r="Z1090" i="2"/>
  <c r="Z1100" i="2"/>
  <c r="Z1112" i="2"/>
  <c r="Z1122" i="2"/>
  <c r="Z1132" i="2"/>
  <c r="Z1144" i="2"/>
  <c r="Z1154" i="2"/>
  <c r="Z1164" i="2"/>
  <c r="Z1172" i="2"/>
  <c r="Z1180" i="2"/>
  <c r="Z1188" i="2"/>
  <c r="Z1196" i="2"/>
  <c r="Z1204" i="2"/>
  <c r="Z1212" i="2"/>
  <c r="Z1220" i="2"/>
  <c r="Z1228" i="2"/>
  <c r="Z1236" i="2"/>
  <c r="Z1244" i="2"/>
  <c r="Z1252" i="2"/>
  <c r="Z95" i="2"/>
  <c r="Z1174" i="2"/>
  <c r="Z16" i="2"/>
  <c r="Z80" i="2"/>
  <c r="Z144" i="2"/>
  <c r="Z208" i="2"/>
  <c r="Z266" i="2"/>
  <c r="Z311" i="2"/>
  <c r="Z353" i="2"/>
  <c r="Z395" i="2"/>
  <c r="Z439" i="2"/>
  <c r="Z481" i="2"/>
  <c r="Z523" i="2"/>
  <c r="Z567" i="2"/>
  <c r="Z609" i="2"/>
  <c r="Z651" i="2"/>
  <c r="Z691" i="2"/>
  <c r="Z723" i="2"/>
  <c r="Z755" i="2"/>
  <c r="Z787" i="2"/>
  <c r="Z819" i="2"/>
  <c r="Z843" i="2"/>
  <c r="Z859" i="2"/>
  <c r="Z875" i="2"/>
  <c r="Z891" i="2"/>
  <c r="Z907" i="2"/>
  <c r="Z921" i="2"/>
  <c r="Z931" i="2"/>
  <c r="Z941" i="2"/>
  <c r="Z953" i="2"/>
  <c r="Z963" i="2"/>
  <c r="Z973" i="2"/>
  <c r="Z985" i="2"/>
  <c r="Z995" i="2"/>
  <c r="Z1005" i="2"/>
  <c r="Z1017" i="2"/>
  <c r="Z1027" i="2"/>
  <c r="Z1037" i="2"/>
  <c r="Z1049" i="2"/>
  <c r="Z1059" i="2"/>
  <c r="Z1069" i="2"/>
  <c r="Z1081" i="2"/>
  <c r="Z1091" i="2"/>
  <c r="Z1101" i="2"/>
  <c r="Z1113" i="2"/>
  <c r="Z1123" i="2"/>
  <c r="Z1133" i="2"/>
  <c r="Z1145" i="2"/>
  <c r="Z1155" i="2"/>
  <c r="Z1165" i="2"/>
  <c r="Z1173" i="2"/>
  <c r="Z1181" i="2"/>
  <c r="Z1189" i="2"/>
  <c r="Z1197" i="2"/>
  <c r="Z1205" i="2"/>
  <c r="Z1213" i="2"/>
  <c r="Z1221" i="2"/>
  <c r="Z1229" i="2"/>
  <c r="Z1237" i="2"/>
  <c r="Z1245" i="2"/>
  <c r="Z1253" i="2"/>
  <c r="Z31" i="2"/>
  <c r="Z1190" i="2"/>
  <c r="Z159" i="2"/>
  <c r="Z223" i="2"/>
  <c r="Z276" i="2"/>
  <c r="Z320" i="2"/>
  <c r="Z490" i="2"/>
  <c r="Z532" i="2"/>
  <c r="Z576" i="2"/>
  <c r="Z618" i="2"/>
  <c r="Z660" i="2"/>
  <c r="Z698" i="2"/>
  <c r="Z730" i="2"/>
  <c r="Z762" i="2"/>
  <c r="Z794" i="2"/>
  <c r="Z826" i="2"/>
  <c r="Z844" i="2"/>
  <c r="Z860" i="2"/>
  <c r="Z876" i="2"/>
  <c r="Z892" i="2"/>
  <c r="Z908" i="2"/>
  <c r="Z922" i="2"/>
  <c r="Z932" i="2"/>
  <c r="Z944" i="2"/>
  <c r="Z954" i="2"/>
  <c r="Z964" i="2"/>
  <c r="Z976" i="2"/>
  <c r="Z986" i="2"/>
  <c r="Z996" i="2"/>
  <c r="Z1008" i="2"/>
  <c r="Z1018" i="2"/>
  <c r="Z1028" i="2"/>
  <c r="Z1040" i="2"/>
  <c r="Z1050" i="2"/>
  <c r="Z1060" i="2"/>
  <c r="Z1072" i="2"/>
  <c r="Z1082" i="2"/>
  <c r="Z1092" i="2"/>
  <c r="Z1104" i="2"/>
  <c r="Z1114" i="2"/>
  <c r="Z1124" i="2"/>
  <c r="Z1136" i="2"/>
  <c r="Z1146" i="2"/>
  <c r="Z1156" i="2"/>
  <c r="Z1166" i="2"/>
  <c r="Z1182" i="2"/>
  <c r="Z1198" i="2"/>
  <c r="Z1206" i="2"/>
  <c r="Z1214" i="2"/>
  <c r="Z1222" i="2"/>
  <c r="Z1230" i="2"/>
  <c r="Z1254" i="2"/>
  <c r="Z32" i="2"/>
  <c r="Z96" i="2"/>
  <c r="Z160" i="2"/>
  <c r="Z224" i="2"/>
  <c r="Z279" i="2"/>
  <c r="Z321" i="2"/>
  <c r="Z363" i="2"/>
  <c r="Z407" i="2"/>
  <c r="Z449" i="2"/>
  <c r="Z491" i="2"/>
  <c r="Z535" i="2"/>
  <c r="Z577" i="2"/>
  <c r="Z619" i="2"/>
  <c r="Z663" i="2"/>
  <c r="Z699" i="2"/>
  <c r="Z731" i="2"/>
  <c r="Z763" i="2"/>
  <c r="Z795" i="2"/>
  <c r="Z827" i="2"/>
  <c r="Z845" i="2"/>
  <c r="Z861" i="2"/>
  <c r="Z877" i="2"/>
  <c r="Z893" i="2"/>
  <c r="Z909" i="2"/>
  <c r="Z923" i="2"/>
  <c r="Z933" i="2"/>
  <c r="Z945" i="2"/>
  <c r="Z955" i="2"/>
  <c r="Z965" i="2"/>
  <c r="Z977" i="2"/>
  <c r="Z987" i="2"/>
  <c r="Z997" i="2"/>
  <c r="Z1009" i="2"/>
  <c r="Z1019" i="2"/>
  <c r="Z1029" i="2"/>
  <c r="Z1041" i="2"/>
  <c r="Z1051" i="2"/>
  <c r="Z1061" i="2"/>
  <c r="Z1073" i="2"/>
  <c r="Z1083" i="2"/>
  <c r="Z1093" i="2"/>
  <c r="Z1105" i="2"/>
  <c r="Z1115" i="2"/>
  <c r="Z1125" i="2"/>
  <c r="Z1137" i="2"/>
  <c r="Z1147" i="2"/>
  <c r="Z1157" i="2"/>
  <c r="Z1167" i="2"/>
  <c r="Z1175" i="2"/>
  <c r="Z1183" i="2"/>
  <c r="Z1191" i="2"/>
  <c r="Z1199" i="2"/>
  <c r="Z1207" i="2"/>
  <c r="Z1215" i="2"/>
  <c r="Z1223" i="2"/>
  <c r="Z1231" i="2"/>
  <c r="Z1239" i="2"/>
  <c r="Z1247" i="2"/>
  <c r="Z1255" i="2"/>
  <c r="Z47" i="2"/>
  <c r="Z111" i="2"/>
  <c r="Z175" i="2"/>
  <c r="Z239" i="2"/>
  <c r="Z288" i="2"/>
  <c r="Z330" i="2"/>
  <c r="Z372" i="2"/>
  <c r="Z416" i="2"/>
  <c r="Z458" i="2"/>
  <c r="Z500" i="2"/>
  <c r="Z544" i="2"/>
  <c r="Z586" i="2"/>
  <c r="Z628" i="2"/>
  <c r="Z672" i="2"/>
  <c r="Z706" i="2"/>
  <c r="Z738" i="2"/>
  <c r="Z770" i="2"/>
  <c r="Z802" i="2"/>
  <c r="Z834" i="2"/>
  <c r="Z850" i="2"/>
  <c r="Z866" i="2"/>
  <c r="Z882" i="2"/>
  <c r="Z898" i="2"/>
  <c r="Z914" i="2"/>
  <c r="Z924" i="2"/>
  <c r="Z936" i="2"/>
  <c r="Z946" i="2"/>
  <c r="Z956" i="2"/>
  <c r="Z968" i="2"/>
  <c r="Z978" i="2"/>
  <c r="Z988" i="2"/>
  <c r="Z1000" i="2"/>
  <c r="Z1010" i="2"/>
  <c r="Z1020" i="2"/>
  <c r="Z1032" i="2"/>
  <c r="Z1042" i="2"/>
  <c r="Z1052" i="2"/>
  <c r="Z1064" i="2"/>
  <c r="Z1074" i="2"/>
  <c r="Z1084" i="2"/>
  <c r="Z1096" i="2"/>
  <c r="Z1106" i="2"/>
  <c r="Z1116" i="2"/>
  <c r="Z1128" i="2"/>
  <c r="Z1138" i="2"/>
  <c r="Z1148" i="2"/>
  <c r="Z1160" i="2"/>
  <c r="Z1168" i="2"/>
  <c r="Z1176" i="2"/>
  <c r="Z1184" i="2"/>
  <c r="Z1192" i="2"/>
  <c r="Z1200" i="2"/>
  <c r="Z1208" i="2"/>
  <c r="Z1216" i="2"/>
  <c r="Z1224" i="2"/>
  <c r="Z1232" i="2"/>
  <c r="Z1240" i="2"/>
  <c r="Z1248" i="2"/>
  <c r="Z1256" i="2"/>
  <c r="Z48" i="2"/>
  <c r="Z112" i="2"/>
  <c r="Z176" i="2"/>
  <c r="Z240" i="2"/>
  <c r="Z289" i="2"/>
  <c r="Z331" i="2"/>
  <c r="Z375" i="2"/>
  <c r="Z417" i="2"/>
  <c r="Z459" i="2"/>
  <c r="Z503" i="2"/>
  <c r="Z545" i="2"/>
  <c r="Z587" i="2"/>
  <c r="Z631" i="2"/>
  <c r="Z673" i="2"/>
  <c r="Z707" i="2"/>
  <c r="Z739" i="2"/>
  <c r="Z771" i="2"/>
  <c r="Z803" i="2"/>
  <c r="Z835" i="2"/>
  <c r="Z851" i="2"/>
  <c r="Z867" i="2"/>
  <c r="Z883" i="2"/>
  <c r="Z899" i="2"/>
  <c r="Z915" i="2"/>
  <c r="Z925" i="2"/>
  <c r="Z937" i="2"/>
  <c r="Z947" i="2"/>
  <c r="Z957" i="2"/>
  <c r="Z969" i="2"/>
  <c r="Z979" i="2"/>
  <c r="Z989" i="2"/>
  <c r="Z1001" i="2"/>
  <c r="Z1011" i="2"/>
  <c r="Z1021" i="2"/>
  <c r="Z1033" i="2"/>
  <c r="Z1043" i="2"/>
  <c r="Z1053" i="2"/>
  <c r="Z1065" i="2"/>
  <c r="Z1075" i="2"/>
  <c r="Z1085" i="2"/>
  <c r="Z1097" i="2"/>
  <c r="Z1107" i="2"/>
  <c r="Z1117" i="2"/>
  <c r="Z1129" i="2"/>
  <c r="Z1139" i="2"/>
  <c r="Z1149" i="2"/>
  <c r="Z1161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404" i="2"/>
  <c r="Z63" i="2"/>
  <c r="Z127" i="2"/>
  <c r="Z191" i="2"/>
  <c r="Z252" i="2"/>
  <c r="Z298" i="2"/>
  <c r="Z340" i="2"/>
  <c r="Z384" i="2"/>
  <c r="Z426" i="2"/>
  <c r="Z468" i="2"/>
  <c r="Z512" i="2"/>
  <c r="Z554" i="2"/>
  <c r="Z596" i="2"/>
  <c r="Z640" i="2"/>
  <c r="Z682" i="2"/>
  <c r="Z714" i="2"/>
  <c r="Z746" i="2"/>
  <c r="Z778" i="2"/>
  <c r="Z810" i="2"/>
  <c r="Z836" i="2"/>
  <c r="Z852" i="2"/>
  <c r="Z868" i="2"/>
  <c r="Z884" i="2"/>
  <c r="Z900" i="2"/>
  <c r="Z916" i="2"/>
  <c r="Z928" i="2"/>
  <c r="Z938" i="2"/>
  <c r="Z948" i="2"/>
  <c r="Z960" i="2"/>
  <c r="Z970" i="2"/>
  <c r="Z980" i="2"/>
  <c r="Z992" i="2"/>
  <c r="Z1002" i="2"/>
  <c r="Z1012" i="2"/>
  <c r="Z1024" i="2"/>
  <c r="Z1034" i="2"/>
  <c r="Z1044" i="2"/>
  <c r="Z1056" i="2"/>
  <c r="Z1066" i="2"/>
  <c r="Z1076" i="2"/>
  <c r="Z1088" i="2"/>
  <c r="Z1098" i="2"/>
  <c r="Z1108" i="2"/>
  <c r="Z1120" i="2"/>
  <c r="Z1130" i="2"/>
  <c r="Z1140" i="2"/>
  <c r="Z1152" i="2"/>
  <c r="Z1162" i="2"/>
  <c r="Z1170" i="2"/>
  <c r="Z1178" i="2"/>
  <c r="Z1186" i="2"/>
  <c r="Z1194" i="2"/>
  <c r="Z1202" i="2"/>
  <c r="Z1210" i="2"/>
  <c r="Z1218" i="2"/>
  <c r="Z1226" i="2"/>
  <c r="Z1234" i="2"/>
  <c r="Z1242" i="2"/>
  <c r="Z1250" i="2"/>
  <c r="Z1258" i="2"/>
  <c r="V60" i="1" s="1"/>
  <c r="AC16" i="2" s="1"/>
  <c r="Z448" i="2"/>
  <c r="Z1238" i="2"/>
  <c r="Z64" i="2"/>
  <c r="Z128" i="2"/>
  <c r="Z192" i="2"/>
  <c r="Z255" i="2"/>
  <c r="Z299" i="2"/>
  <c r="Z343" i="2"/>
  <c r="Z385" i="2"/>
  <c r="Z427" i="2"/>
  <c r="Z471" i="2"/>
  <c r="Z513" i="2"/>
  <c r="Z555" i="2"/>
  <c r="Z599" i="2"/>
  <c r="Z641" i="2"/>
  <c r="Z683" i="2"/>
  <c r="Z715" i="2"/>
  <c r="Z747" i="2"/>
  <c r="Z779" i="2"/>
  <c r="Z811" i="2"/>
  <c r="Z837" i="2"/>
  <c r="Z853" i="2"/>
  <c r="Z869" i="2"/>
  <c r="Z885" i="2"/>
  <c r="Z901" i="2"/>
  <c r="Z917" i="2"/>
  <c r="Z929" i="2"/>
  <c r="Z939" i="2"/>
  <c r="Z949" i="2"/>
  <c r="Z961" i="2"/>
  <c r="Z971" i="2"/>
  <c r="Z981" i="2"/>
  <c r="Z993" i="2"/>
  <c r="Z1003" i="2"/>
  <c r="Z1013" i="2"/>
  <c r="Z1025" i="2"/>
  <c r="Z1035" i="2"/>
  <c r="Z1045" i="2"/>
  <c r="Z1057" i="2"/>
  <c r="Z1067" i="2"/>
  <c r="Z1077" i="2"/>
  <c r="Z1089" i="2"/>
  <c r="Z1099" i="2"/>
  <c r="Z1109" i="2"/>
  <c r="Z1121" i="2"/>
  <c r="Z1131" i="2"/>
  <c r="Z1141" i="2"/>
  <c r="Z1153" i="2"/>
  <c r="Z1163" i="2"/>
  <c r="Z1171" i="2"/>
  <c r="Z1179" i="2"/>
  <c r="Z1187" i="2"/>
  <c r="Z1195" i="2"/>
  <c r="Z1203" i="2"/>
  <c r="Z1211" i="2"/>
  <c r="Z1219" i="2"/>
  <c r="Z1227" i="2"/>
  <c r="Z1235" i="2"/>
  <c r="Z1243" i="2"/>
  <c r="Z1251" i="2"/>
  <c r="Z362" i="2"/>
  <c r="Z1246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8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11" i="2"/>
  <c r="Y32" i="2"/>
  <c r="Y55" i="2"/>
  <c r="Y75" i="2"/>
  <c r="Y96" i="2"/>
  <c r="Y119" i="2"/>
  <c r="Y139" i="2"/>
  <c r="Y160" i="2"/>
  <c r="Y183" i="2"/>
  <c r="Y203" i="2"/>
  <c r="Y224" i="2"/>
  <c r="Y247" i="2"/>
  <c r="Y267" i="2"/>
  <c r="Y288" i="2"/>
  <c r="Y311" i="2"/>
  <c r="Y331" i="2"/>
  <c r="Y352" i="2"/>
  <c r="Y375" i="2"/>
  <c r="Y395" i="2"/>
  <c r="Y416" i="2"/>
  <c r="Y436" i="2"/>
  <c r="Y452" i="2"/>
  <c r="Y468" i="2"/>
  <c r="Y480" i="2"/>
  <c r="Y493" i="2"/>
  <c r="Y507" i="2"/>
  <c r="Y519" i="2"/>
  <c r="Y532" i="2"/>
  <c r="Y544" i="2"/>
  <c r="Y557" i="2"/>
  <c r="Y571" i="2"/>
  <c r="Y581" i="2"/>
  <c r="Y591" i="2"/>
  <c r="Y600" i="2"/>
  <c r="Y609" i="2"/>
  <c r="Y618" i="2"/>
  <c r="Y627" i="2"/>
  <c r="Y636" i="2"/>
  <c r="Y645" i="2"/>
  <c r="Y655" i="2"/>
  <c r="Y664" i="2"/>
  <c r="Y673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5" i="2"/>
  <c r="Y35" i="2"/>
  <c r="Y56" i="2"/>
  <c r="Y79" i="2"/>
  <c r="Y99" i="2"/>
  <c r="Y120" i="2"/>
  <c r="Y143" i="2"/>
  <c r="Y163" i="2"/>
  <c r="Y184" i="2"/>
  <c r="Y207" i="2"/>
  <c r="Y227" i="2"/>
  <c r="Y248" i="2"/>
  <c r="Y271" i="2"/>
  <c r="Y291" i="2"/>
  <c r="Y312" i="2"/>
  <c r="Y335" i="2"/>
  <c r="Y355" i="2"/>
  <c r="Y376" i="2"/>
  <c r="Y399" i="2"/>
  <c r="Y419" i="2"/>
  <c r="Y439" i="2"/>
  <c r="Y455" i="2"/>
  <c r="Y469" i="2"/>
  <c r="Y483" i="2"/>
  <c r="Y495" i="2"/>
  <c r="Y508" i="2"/>
  <c r="Y520" i="2"/>
  <c r="Y533" i="2"/>
  <c r="Y547" i="2"/>
  <c r="Y559" i="2"/>
  <c r="Y572" i="2"/>
  <c r="Y583" i="2"/>
  <c r="Y592" i="2"/>
  <c r="Y601" i="2"/>
  <c r="Y610" i="2"/>
  <c r="Y619" i="2"/>
  <c r="Y628" i="2"/>
  <c r="Y637" i="2"/>
  <c r="Y647" i="2"/>
  <c r="Y656" i="2"/>
  <c r="Y665" i="2"/>
  <c r="Y674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6" i="2"/>
  <c r="Y39" i="2"/>
  <c r="Y59" i="2"/>
  <c r="Y80" i="2"/>
  <c r="Y103" i="2"/>
  <c r="Y123" i="2"/>
  <c r="Y144" i="2"/>
  <c r="Y167" i="2"/>
  <c r="Y187" i="2"/>
  <c r="Y208" i="2"/>
  <c r="Y231" i="2"/>
  <c r="Y251" i="2"/>
  <c r="Y272" i="2"/>
  <c r="Y295" i="2"/>
  <c r="Y315" i="2"/>
  <c r="Y336" i="2"/>
  <c r="Y359" i="2"/>
  <c r="Y379" i="2"/>
  <c r="Y400" i="2"/>
  <c r="Y423" i="2"/>
  <c r="Y440" i="2"/>
  <c r="Y456" i="2"/>
  <c r="Y471" i="2"/>
  <c r="Y484" i="2"/>
  <c r="Y496" i="2"/>
  <c r="Y509" i="2"/>
  <c r="Y523" i="2"/>
  <c r="Y535" i="2"/>
  <c r="Y548" i="2"/>
  <c r="Y560" i="2"/>
  <c r="Y573" i="2"/>
  <c r="Y584" i="2"/>
  <c r="Y593" i="2"/>
  <c r="Y602" i="2"/>
  <c r="Y611" i="2"/>
  <c r="Y620" i="2"/>
  <c r="Y629" i="2"/>
  <c r="Y639" i="2"/>
  <c r="Y648" i="2"/>
  <c r="Y657" i="2"/>
  <c r="Y666" i="2"/>
  <c r="Y675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9" i="2"/>
  <c r="Y40" i="2"/>
  <c r="Y63" i="2"/>
  <c r="Y83" i="2"/>
  <c r="Y104" i="2"/>
  <c r="Y127" i="2"/>
  <c r="Y147" i="2"/>
  <c r="Y168" i="2"/>
  <c r="Y191" i="2"/>
  <c r="Y211" i="2"/>
  <c r="Y232" i="2"/>
  <c r="Y255" i="2"/>
  <c r="Y275" i="2"/>
  <c r="Y296" i="2"/>
  <c r="Y319" i="2"/>
  <c r="Y339" i="2"/>
  <c r="Y360" i="2"/>
  <c r="Y383" i="2"/>
  <c r="Y403" i="2"/>
  <c r="Y424" i="2"/>
  <c r="Y443" i="2"/>
  <c r="Y459" i="2"/>
  <c r="Y472" i="2"/>
  <c r="Y485" i="2"/>
  <c r="Y499" i="2"/>
  <c r="Y511" i="2"/>
  <c r="Y524" i="2"/>
  <c r="Y536" i="2"/>
  <c r="Y549" i="2"/>
  <c r="Y563" i="2"/>
  <c r="Y575" i="2"/>
  <c r="Y585" i="2"/>
  <c r="Y594" i="2"/>
  <c r="Y603" i="2"/>
  <c r="Y612" i="2"/>
  <c r="Y621" i="2"/>
  <c r="Y631" i="2"/>
  <c r="Y640" i="2"/>
  <c r="Y649" i="2"/>
  <c r="Y658" i="2"/>
  <c r="Y667" i="2"/>
  <c r="Y676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23" i="2"/>
  <c r="Y43" i="2"/>
  <c r="Y64" i="2"/>
  <c r="Y87" i="2"/>
  <c r="Y107" i="2"/>
  <c r="Y128" i="2"/>
  <c r="Y151" i="2"/>
  <c r="Y171" i="2"/>
  <c r="Y192" i="2"/>
  <c r="Y215" i="2"/>
  <c r="Y235" i="2"/>
  <c r="Y256" i="2"/>
  <c r="Y279" i="2"/>
  <c r="Y299" i="2"/>
  <c r="Y320" i="2"/>
  <c r="Y343" i="2"/>
  <c r="Y363" i="2"/>
  <c r="Y384" i="2"/>
  <c r="Y407" i="2"/>
  <c r="Y427" i="2"/>
  <c r="Y444" i="2"/>
  <c r="Y460" i="2"/>
  <c r="Y475" i="2"/>
  <c r="Y487" i="2"/>
  <c r="Y500" i="2"/>
  <c r="Y512" i="2"/>
  <c r="Y525" i="2"/>
  <c r="Y539" i="2"/>
  <c r="Y551" i="2"/>
  <c r="Y564" i="2"/>
  <c r="Y576" i="2"/>
  <c r="Y586" i="2"/>
  <c r="Y595" i="2"/>
  <c r="Y604" i="2"/>
  <c r="Y613" i="2"/>
  <c r="Y623" i="2"/>
  <c r="Y632" i="2"/>
  <c r="Y641" i="2"/>
  <c r="Y650" i="2"/>
  <c r="Y659" i="2"/>
  <c r="Y668" i="2"/>
  <c r="Y677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24" i="2"/>
  <c r="Y47" i="2"/>
  <c r="Y67" i="2"/>
  <c r="Y88" i="2"/>
  <c r="Y111" i="2"/>
  <c r="Y131" i="2"/>
  <c r="Y152" i="2"/>
  <c r="Y175" i="2"/>
  <c r="Y195" i="2"/>
  <c r="Y216" i="2"/>
  <c r="Y239" i="2"/>
  <c r="Y259" i="2"/>
  <c r="Y280" i="2"/>
  <c r="Y303" i="2"/>
  <c r="Y323" i="2"/>
  <c r="Y344" i="2"/>
  <c r="Y367" i="2"/>
  <c r="Y387" i="2"/>
  <c r="Y408" i="2"/>
  <c r="Y431" i="2"/>
  <c r="Y447" i="2"/>
  <c r="Y463" i="2"/>
  <c r="Y476" i="2"/>
  <c r="Y488" i="2"/>
  <c r="Y501" i="2"/>
  <c r="Y515" i="2"/>
  <c r="Y527" i="2"/>
  <c r="Y540" i="2"/>
  <c r="Y552" i="2"/>
  <c r="Y565" i="2"/>
  <c r="Y577" i="2"/>
  <c r="Y587" i="2"/>
  <c r="Y596" i="2"/>
  <c r="Y605" i="2"/>
  <c r="Y615" i="2"/>
  <c r="Y624" i="2"/>
  <c r="Y633" i="2"/>
  <c r="Y642" i="2"/>
  <c r="Y651" i="2"/>
  <c r="Y660" i="2"/>
  <c r="Y669" i="2"/>
  <c r="Y679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31" i="2"/>
  <c r="Y51" i="2"/>
  <c r="Y72" i="2"/>
  <c r="Y95" i="2"/>
  <c r="Y115" i="2"/>
  <c r="Y136" i="2"/>
  <c r="Y159" i="2"/>
  <c r="Y179" i="2"/>
  <c r="Y200" i="2"/>
  <c r="Y223" i="2"/>
  <c r="Y243" i="2"/>
  <c r="Y264" i="2"/>
  <c r="Y287" i="2"/>
  <c r="Y307" i="2"/>
  <c r="Y328" i="2"/>
  <c r="Y351" i="2"/>
  <c r="Y371" i="2"/>
  <c r="Y392" i="2"/>
  <c r="Y415" i="2"/>
  <c r="Y435" i="2"/>
  <c r="Y451" i="2"/>
  <c r="Y467" i="2"/>
  <c r="Y479" i="2"/>
  <c r="Y492" i="2"/>
  <c r="Y504" i="2"/>
  <c r="Y517" i="2"/>
  <c r="Y531" i="2"/>
  <c r="Y543" i="2"/>
  <c r="Y556" i="2"/>
  <c r="Y568" i="2"/>
  <c r="Y580" i="2"/>
  <c r="Y589" i="2"/>
  <c r="Y599" i="2"/>
  <c r="Y608" i="2"/>
  <c r="Y617" i="2"/>
  <c r="Y626" i="2"/>
  <c r="Y635" i="2"/>
  <c r="Y644" i="2"/>
  <c r="Y653" i="2"/>
  <c r="Y663" i="2"/>
  <c r="Y672" i="2"/>
  <c r="Y681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27" i="2"/>
  <c r="Y199" i="2"/>
  <c r="Y368" i="2"/>
  <c r="Y503" i="2"/>
  <c r="Y597" i="2"/>
  <c r="Y671" i="2"/>
  <c r="Y736" i="2"/>
  <c r="Y800" i="2"/>
  <c r="Y864" i="2"/>
  <c r="Y905" i="2"/>
  <c r="Y936" i="2"/>
  <c r="Y953" i="2"/>
  <c r="Y969" i="2"/>
  <c r="Y985" i="2"/>
  <c r="Y1001" i="2"/>
  <c r="Y1017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652" i="2"/>
  <c r="Y1028" i="2"/>
  <c r="Y1092" i="2"/>
  <c r="Y1140" i="2"/>
  <c r="Y1196" i="2"/>
  <c r="Y1228" i="2"/>
  <c r="Y48" i="2"/>
  <c r="Y219" i="2"/>
  <c r="Y391" i="2"/>
  <c r="Y516" i="2"/>
  <c r="Y607" i="2"/>
  <c r="Y680" i="2"/>
  <c r="Y744" i="2"/>
  <c r="Y808" i="2"/>
  <c r="Y872" i="2"/>
  <c r="Y912" i="2"/>
  <c r="Y937" i="2"/>
  <c r="Y958" i="2"/>
  <c r="Y974" i="2"/>
  <c r="Y990" i="2"/>
  <c r="Y1006" i="2"/>
  <c r="Y1022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720" i="2"/>
  <c r="Y71" i="2"/>
  <c r="Y240" i="2"/>
  <c r="Y411" i="2"/>
  <c r="Y528" i="2"/>
  <c r="Y616" i="2"/>
  <c r="Y688" i="2"/>
  <c r="Y752" i="2"/>
  <c r="Y816" i="2"/>
  <c r="Y880" i="2"/>
  <c r="Y913" i="2"/>
  <c r="Y942" i="2"/>
  <c r="Y959" i="2"/>
  <c r="Y975" i="2"/>
  <c r="Y991" i="2"/>
  <c r="Y1007" i="2"/>
  <c r="Y1023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91" i="2"/>
  <c r="Y263" i="2"/>
  <c r="Y432" i="2"/>
  <c r="Y541" i="2"/>
  <c r="Y625" i="2"/>
  <c r="Y696" i="2"/>
  <c r="Y760" i="2"/>
  <c r="Y824" i="2"/>
  <c r="Y888" i="2"/>
  <c r="Y920" i="2"/>
  <c r="Y944" i="2"/>
  <c r="Y960" i="2"/>
  <c r="Y976" i="2"/>
  <c r="Y992" i="2"/>
  <c r="Y1008" i="2"/>
  <c r="Y1024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477" i="2"/>
  <c r="Y1172" i="2"/>
  <c r="Y112" i="2"/>
  <c r="Y283" i="2"/>
  <c r="Y448" i="2"/>
  <c r="Y555" i="2"/>
  <c r="Y634" i="2"/>
  <c r="Y704" i="2"/>
  <c r="Y768" i="2"/>
  <c r="Y832" i="2"/>
  <c r="Y889" i="2"/>
  <c r="Y921" i="2"/>
  <c r="Y945" i="2"/>
  <c r="Y961" i="2"/>
  <c r="Y977" i="2"/>
  <c r="Y993" i="2"/>
  <c r="Y1009" i="2"/>
  <c r="Y1025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155" i="2"/>
  <c r="Y848" i="2"/>
  <c r="Y929" i="2"/>
  <c r="Y967" i="2"/>
  <c r="Y999" i="2"/>
  <c r="Y1036" i="2"/>
  <c r="Y1060" i="2"/>
  <c r="Y1076" i="2"/>
  <c r="Y1108" i="2"/>
  <c r="Y1132" i="2"/>
  <c r="Y1164" i="2"/>
  <c r="Y1204" i="2"/>
  <c r="Y1236" i="2"/>
  <c r="Y135" i="2"/>
  <c r="Y304" i="2"/>
  <c r="Y464" i="2"/>
  <c r="Y567" i="2"/>
  <c r="Y643" i="2"/>
  <c r="Y712" i="2"/>
  <c r="Y776" i="2"/>
  <c r="Y840" i="2"/>
  <c r="Y896" i="2"/>
  <c r="Y928" i="2"/>
  <c r="Y950" i="2"/>
  <c r="Y966" i="2"/>
  <c r="Y982" i="2"/>
  <c r="Y998" i="2"/>
  <c r="Y1014" i="2"/>
  <c r="Y1026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327" i="2"/>
  <c r="Y1052" i="2"/>
  <c r="Y1116" i="2"/>
  <c r="Y1148" i="2"/>
  <c r="Y1188" i="2"/>
  <c r="Y1220" i="2"/>
  <c r="Y1252" i="2"/>
  <c r="Y176" i="2"/>
  <c r="Y347" i="2"/>
  <c r="Y491" i="2"/>
  <c r="Y588" i="2"/>
  <c r="Y661" i="2"/>
  <c r="Y728" i="2"/>
  <c r="Y792" i="2"/>
  <c r="Y856" i="2"/>
  <c r="Y904" i="2"/>
  <c r="Y934" i="2"/>
  <c r="Y952" i="2"/>
  <c r="Y968" i="2"/>
  <c r="Y984" i="2"/>
  <c r="Y1000" i="2"/>
  <c r="Y1016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579" i="2"/>
  <c r="Y784" i="2"/>
  <c r="Y897" i="2"/>
  <c r="Y951" i="2"/>
  <c r="Y983" i="2"/>
  <c r="Y1015" i="2"/>
  <c r="Y1044" i="2"/>
  <c r="Y1068" i="2"/>
  <c r="Y1084" i="2"/>
  <c r="Y1100" i="2"/>
  <c r="Y1124" i="2"/>
  <c r="Y1156" i="2"/>
  <c r="Y1180" i="2"/>
  <c r="Y1212" i="2"/>
  <c r="Y1244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11" i="2"/>
  <c r="X75" i="2"/>
  <c r="X139" i="2"/>
  <c r="X203" i="2"/>
  <c r="X267" i="2"/>
  <c r="X331" i="2"/>
  <c r="X395" i="2"/>
  <c r="X459" i="2"/>
  <c r="X523" i="2"/>
  <c r="X579" i="2"/>
  <c r="X611" i="2"/>
  <c r="X635" i="2"/>
  <c r="X658" i="2"/>
  <c r="X676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19" i="2"/>
  <c r="X83" i="2"/>
  <c r="X147" i="2"/>
  <c r="X211" i="2"/>
  <c r="X275" i="2"/>
  <c r="X339" i="2"/>
  <c r="X403" i="2"/>
  <c r="X467" i="2"/>
  <c r="X531" i="2"/>
  <c r="X580" i="2"/>
  <c r="X612" i="2"/>
  <c r="X636" i="2"/>
  <c r="X659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27" i="2"/>
  <c r="X91" i="2"/>
  <c r="X155" i="2"/>
  <c r="X219" i="2"/>
  <c r="X283" i="2"/>
  <c r="X347" i="2"/>
  <c r="X411" i="2"/>
  <c r="X475" i="2"/>
  <c r="X539" i="2"/>
  <c r="X587" i="2"/>
  <c r="X619" i="2"/>
  <c r="X642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51" i="2"/>
  <c r="X115" i="2"/>
  <c r="X179" i="2"/>
  <c r="X243" i="2"/>
  <c r="X307" i="2"/>
  <c r="X371" i="2"/>
  <c r="X435" i="2"/>
  <c r="X499" i="2"/>
  <c r="X563" i="2"/>
  <c r="X596" i="2"/>
  <c r="X627" i="2"/>
  <c r="X650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59" i="2"/>
  <c r="X123" i="2"/>
  <c r="X187" i="2"/>
  <c r="X251" i="2"/>
  <c r="X315" i="2"/>
  <c r="X379" i="2"/>
  <c r="X443" i="2"/>
  <c r="X507" i="2"/>
  <c r="X571" i="2"/>
  <c r="X603" i="2"/>
  <c r="X628" i="2"/>
  <c r="X651" i="2"/>
  <c r="X674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35" i="2"/>
  <c r="X195" i="2"/>
  <c r="X363" i="2"/>
  <c r="X547" i="2"/>
  <c r="X634" i="2"/>
  <c r="X685" i="2"/>
  <c r="X708" i="2"/>
  <c r="X728" i="2"/>
  <c r="X749" i="2"/>
  <c r="X772" i="2"/>
  <c r="X792" i="2"/>
  <c r="X813" i="2"/>
  <c r="X836" i="2"/>
  <c r="X856" i="2"/>
  <c r="X877" i="2"/>
  <c r="X900" i="2"/>
  <c r="X920" i="2"/>
  <c r="X941" i="2"/>
  <c r="X964" i="2"/>
  <c r="X984" i="2"/>
  <c r="X1005" i="2"/>
  <c r="X1028" i="2"/>
  <c r="X1048" i="2"/>
  <c r="X1069" i="2"/>
  <c r="X1092" i="2"/>
  <c r="X1112" i="2"/>
  <c r="X1133" i="2"/>
  <c r="X1156" i="2"/>
  <c r="X1176" i="2"/>
  <c r="X1196" i="2"/>
  <c r="X1212" i="2"/>
  <c r="X1228" i="2"/>
  <c r="X1244" i="2"/>
  <c r="X752" i="2"/>
  <c r="X684" i="2"/>
  <c r="X43" i="2"/>
  <c r="X227" i="2"/>
  <c r="X387" i="2"/>
  <c r="X555" i="2"/>
  <c r="X643" i="2"/>
  <c r="X688" i="2"/>
  <c r="X709" i="2"/>
  <c r="X732" i="2"/>
  <c r="X773" i="2"/>
  <c r="X796" i="2"/>
  <c r="X816" i="2"/>
  <c r="X837" i="2"/>
  <c r="X860" i="2"/>
  <c r="X880" i="2"/>
  <c r="X901" i="2"/>
  <c r="X924" i="2"/>
  <c r="X944" i="2"/>
  <c r="X965" i="2"/>
  <c r="X988" i="2"/>
  <c r="X1008" i="2"/>
  <c r="X1029" i="2"/>
  <c r="X1052" i="2"/>
  <c r="X1072" i="2"/>
  <c r="X1093" i="2"/>
  <c r="X1116" i="2"/>
  <c r="X1136" i="2"/>
  <c r="X1157" i="2"/>
  <c r="X1180" i="2"/>
  <c r="X1197" i="2"/>
  <c r="X1213" i="2"/>
  <c r="X1229" i="2"/>
  <c r="X1245" i="2"/>
  <c r="X948" i="2"/>
  <c r="X626" i="2"/>
  <c r="X67" i="2"/>
  <c r="X235" i="2"/>
  <c r="X419" i="2"/>
  <c r="X572" i="2"/>
  <c r="X644" i="2"/>
  <c r="X692" i="2"/>
  <c r="X712" i="2"/>
  <c r="X733" i="2"/>
  <c r="X756" i="2"/>
  <c r="X776" i="2"/>
  <c r="X797" i="2"/>
  <c r="X820" i="2"/>
  <c r="X840" i="2"/>
  <c r="X861" i="2"/>
  <c r="X884" i="2"/>
  <c r="X904" i="2"/>
  <c r="X925" i="2"/>
  <c r="X968" i="2"/>
  <c r="X989" i="2"/>
  <c r="X1012" i="2"/>
  <c r="X1032" i="2"/>
  <c r="X1053" i="2"/>
  <c r="X1076" i="2"/>
  <c r="X1096" i="2"/>
  <c r="X1117" i="2"/>
  <c r="X1140" i="2"/>
  <c r="X1160" i="2"/>
  <c r="X1181" i="2"/>
  <c r="X1199" i="2"/>
  <c r="X1215" i="2"/>
  <c r="X1231" i="2"/>
  <c r="X1247" i="2"/>
  <c r="X515" i="2"/>
  <c r="X1208" i="2"/>
  <c r="X99" i="2"/>
  <c r="X259" i="2"/>
  <c r="X427" i="2"/>
  <c r="X588" i="2"/>
  <c r="X652" i="2"/>
  <c r="X693" i="2"/>
  <c r="X716" i="2"/>
  <c r="X736" i="2"/>
  <c r="X757" i="2"/>
  <c r="X780" i="2"/>
  <c r="X800" i="2"/>
  <c r="X821" i="2"/>
  <c r="X844" i="2"/>
  <c r="X864" i="2"/>
  <c r="X885" i="2"/>
  <c r="X908" i="2"/>
  <c r="X928" i="2"/>
  <c r="X949" i="2"/>
  <c r="X972" i="2"/>
  <c r="X992" i="2"/>
  <c r="X1013" i="2"/>
  <c r="X1036" i="2"/>
  <c r="X1056" i="2"/>
  <c r="X1077" i="2"/>
  <c r="X1100" i="2"/>
  <c r="X1120" i="2"/>
  <c r="X1141" i="2"/>
  <c r="X1164" i="2"/>
  <c r="X1184" i="2"/>
  <c r="X1200" i="2"/>
  <c r="X1216" i="2"/>
  <c r="X1232" i="2"/>
  <c r="X1248" i="2"/>
  <c r="X107" i="2"/>
  <c r="X291" i="2"/>
  <c r="X451" i="2"/>
  <c r="X595" i="2"/>
  <c r="X666" i="2"/>
  <c r="X696" i="2"/>
  <c r="X717" i="2"/>
  <c r="X740" i="2"/>
  <c r="X760" i="2"/>
  <c r="X781" i="2"/>
  <c r="X804" i="2"/>
  <c r="X824" i="2"/>
  <c r="X845" i="2"/>
  <c r="X868" i="2"/>
  <c r="X888" i="2"/>
  <c r="X909" i="2"/>
  <c r="X932" i="2"/>
  <c r="X952" i="2"/>
  <c r="X973" i="2"/>
  <c r="X996" i="2"/>
  <c r="X1016" i="2"/>
  <c r="X1037" i="2"/>
  <c r="X1060" i="2"/>
  <c r="X1080" i="2"/>
  <c r="X1101" i="2"/>
  <c r="X1124" i="2"/>
  <c r="X1144" i="2"/>
  <c r="X1165" i="2"/>
  <c r="X1188" i="2"/>
  <c r="X1204" i="2"/>
  <c r="X1220" i="2"/>
  <c r="X1236" i="2"/>
  <c r="X1252" i="2"/>
  <c r="X355" i="2"/>
  <c r="X1024" i="2"/>
  <c r="X1152" i="2"/>
  <c r="X1240" i="2"/>
  <c r="X131" i="2"/>
  <c r="X299" i="2"/>
  <c r="X483" i="2"/>
  <c r="X604" i="2"/>
  <c r="X667" i="2"/>
  <c r="X700" i="2"/>
  <c r="X720" i="2"/>
  <c r="X741" i="2"/>
  <c r="X764" i="2"/>
  <c r="X784" i="2"/>
  <c r="X805" i="2"/>
  <c r="X828" i="2"/>
  <c r="X848" i="2"/>
  <c r="X869" i="2"/>
  <c r="X892" i="2"/>
  <c r="X912" i="2"/>
  <c r="X933" i="2"/>
  <c r="X956" i="2"/>
  <c r="X976" i="2"/>
  <c r="X997" i="2"/>
  <c r="X1020" i="2"/>
  <c r="X1040" i="2"/>
  <c r="X1061" i="2"/>
  <c r="X1084" i="2"/>
  <c r="X1104" i="2"/>
  <c r="X1125" i="2"/>
  <c r="X1148" i="2"/>
  <c r="X1168" i="2"/>
  <c r="X1189" i="2"/>
  <c r="X1205" i="2"/>
  <c r="X1221" i="2"/>
  <c r="X1237" i="2"/>
  <c r="X1253" i="2"/>
  <c r="X163" i="2"/>
  <c r="X323" i="2"/>
  <c r="X491" i="2"/>
  <c r="X620" i="2"/>
  <c r="X675" i="2"/>
  <c r="X701" i="2"/>
  <c r="X724" i="2"/>
  <c r="X744" i="2"/>
  <c r="X765" i="2"/>
  <c r="X788" i="2"/>
  <c r="X808" i="2"/>
  <c r="X829" i="2"/>
  <c r="X852" i="2"/>
  <c r="X872" i="2"/>
  <c r="X893" i="2"/>
  <c r="X916" i="2"/>
  <c r="X936" i="2"/>
  <c r="X957" i="2"/>
  <c r="X980" i="2"/>
  <c r="X1000" i="2"/>
  <c r="X1021" i="2"/>
  <c r="X1044" i="2"/>
  <c r="X1064" i="2"/>
  <c r="X1085" i="2"/>
  <c r="X1108" i="2"/>
  <c r="X1128" i="2"/>
  <c r="X1149" i="2"/>
  <c r="X1172" i="2"/>
  <c r="X1191" i="2"/>
  <c r="X1207" i="2"/>
  <c r="X1223" i="2"/>
  <c r="X1239" i="2"/>
  <c r="X1255" i="2"/>
  <c r="X171" i="2"/>
  <c r="X704" i="2"/>
  <c r="X725" i="2"/>
  <c r="X748" i="2"/>
  <c r="X768" i="2"/>
  <c r="X789" i="2"/>
  <c r="X812" i="2"/>
  <c r="X832" i="2"/>
  <c r="X853" i="2"/>
  <c r="X876" i="2"/>
  <c r="X896" i="2"/>
  <c r="X917" i="2"/>
  <c r="X940" i="2"/>
  <c r="X960" i="2"/>
  <c r="X981" i="2"/>
  <c r="X1004" i="2"/>
  <c r="X1045" i="2"/>
  <c r="X1068" i="2"/>
  <c r="X1088" i="2"/>
  <c r="X1109" i="2"/>
  <c r="X1132" i="2"/>
  <c r="X1173" i="2"/>
  <c r="X1192" i="2"/>
  <c r="X1224" i="2"/>
  <c r="X1256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650" i="2"/>
  <c r="W658" i="2"/>
  <c r="W666" i="2"/>
  <c r="W674" i="2"/>
  <c r="W682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515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500" i="2"/>
  <c r="W540" i="2"/>
  <c r="W572" i="2"/>
  <c r="W604" i="2"/>
  <c r="W636" i="2"/>
  <c r="W668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444" i="2"/>
  <c r="W508" i="2"/>
  <c r="W547" i="2"/>
  <c r="W579" i="2"/>
  <c r="W611" i="2"/>
  <c r="W643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452" i="2"/>
  <c r="W516" i="2"/>
  <c r="W548" i="2"/>
  <c r="W580" i="2"/>
  <c r="W612" i="2"/>
  <c r="W644" i="2"/>
  <c r="W676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460" i="2"/>
  <c r="W523" i="2"/>
  <c r="W555" i="2"/>
  <c r="W587" i="2"/>
  <c r="W619" i="2"/>
  <c r="W651" i="2"/>
  <c r="W681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468" i="2"/>
  <c r="W524" i="2"/>
  <c r="W556" i="2"/>
  <c r="W588" i="2"/>
  <c r="W620" i="2"/>
  <c r="W652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476" i="2"/>
  <c r="W531" i="2"/>
  <c r="W563" i="2"/>
  <c r="W595" i="2"/>
  <c r="W627" i="2"/>
  <c r="W659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84" i="2"/>
  <c r="W532" i="2"/>
  <c r="W564" i="2"/>
  <c r="W596" i="2"/>
  <c r="W628" i="2"/>
  <c r="W660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492" i="2"/>
  <c r="W539" i="2"/>
  <c r="W571" i="2"/>
  <c r="W603" i="2"/>
  <c r="W635" i="2"/>
  <c r="W667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7" i="2"/>
  <c r="V39" i="2"/>
  <c r="V71" i="2"/>
  <c r="V103" i="2"/>
  <c r="V135" i="2"/>
  <c r="V167" i="2"/>
  <c r="V199" i="2"/>
  <c r="V231" i="2"/>
  <c r="V263" i="2"/>
  <c r="V288" i="2"/>
  <c r="V311" i="2"/>
  <c r="V332" i="2"/>
  <c r="V352" i="2"/>
  <c r="V375" i="2"/>
  <c r="V396" i="2"/>
  <c r="V416" i="2"/>
  <c r="V439" i="2"/>
  <c r="V460" i="2"/>
  <c r="V480" i="2"/>
  <c r="V496" i="2"/>
  <c r="V512" i="2"/>
  <c r="V528" i="2"/>
  <c r="V544" i="2"/>
  <c r="V560" i="2"/>
  <c r="V576" i="2"/>
  <c r="V592" i="2"/>
  <c r="V608" i="2"/>
  <c r="V624" i="2"/>
  <c r="V639" i="2"/>
  <c r="V649" i="2"/>
  <c r="V659" i="2"/>
  <c r="V671" i="2"/>
  <c r="V681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8" i="2"/>
  <c r="V40" i="2"/>
  <c r="V72" i="2"/>
  <c r="V104" i="2"/>
  <c r="V136" i="2"/>
  <c r="V168" i="2"/>
  <c r="V200" i="2"/>
  <c r="V232" i="2"/>
  <c r="V264" i="2"/>
  <c r="V292" i="2"/>
  <c r="V312" i="2"/>
  <c r="V335" i="2"/>
  <c r="V356" i="2"/>
  <c r="V376" i="2"/>
  <c r="V399" i="2"/>
  <c r="V420" i="2"/>
  <c r="V440" i="2"/>
  <c r="V463" i="2"/>
  <c r="V483" i="2"/>
  <c r="V499" i="2"/>
  <c r="V515" i="2"/>
  <c r="V531" i="2"/>
  <c r="V547" i="2"/>
  <c r="V563" i="2"/>
  <c r="V579" i="2"/>
  <c r="V595" i="2"/>
  <c r="V611" i="2"/>
  <c r="V627" i="2"/>
  <c r="V640" i="2"/>
  <c r="V650" i="2"/>
  <c r="V660" i="2"/>
  <c r="V672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5" i="2"/>
  <c r="V47" i="2"/>
  <c r="V79" i="2"/>
  <c r="V111" i="2"/>
  <c r="V143" i="2"/>
  <c r="V175" i="2"/>
  <c r="V207" i="2"/>
  <c r="V239" i="2"/>
  <c r="V271" i="2"/>
  <c r="V295" i="2"/>
  <c r="V316" i="2"/>
  <c r="V336" i="2"/>
  <c r="V359" i="2"/>
  <c r="V380" i="2"/>
  <c r="V400" i="2"/>
  <c r="V423" i="2"/>
  <c r="V444" i="2"/>
  <c r="V464" i="2"/>
  <c r="V484" i="2"/>
  <c r="V500" i="2"/>
  <c r="V516" i="2"/>
  <c r="V532" i="2"/>
  <c r="V548" i="2"/>
  <c r="V564" i="2"/>
  <c r="V580" i="2"/>
  <c r="V596" i="2"/>
  <c r="V612" i="2"/>
  <c r="V628" i="2"/>
  <c r="V641" i="2"/>
  <c r="V651" i="2"/>
  <c r="V663" i="2"/>
  <c r="V673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16" i="2"/>
  <c r="V48" i="2"/>
  <c r="V80" i="2"/>
  <c r="V112" i="2"/>
  <c r="V144" i="2"/>
  <c r="V176" i="2"/>
  <c r="V208" i="2"/>
  <c r="V240" i="2"/>
  <c r="V272" i="2"/>
  <c r="V296" i="2"/>
  <c r="V319" i="2"/>
  <c r="V340" i="2"/>
  <c r="V360" i="2"/>
  <c r="V383" i="2"/>
  <c r="V404" i="2"/>
  <c r="V424" i="2"/>
  <c r="V447" i="2"/>
  <c r="V468" i="2"/>
  <c r="V487" i="2"/>
  <c r="V503" i="2"/>
  <c r="V519" i="2"/>
  <c r="V535" i="2"/>
  <c r="V551" i="2"/>
  <c r="V567" i="2"/>
  <c r="V583" i="2"/>
  <c r="V599" i="2"/>
  <c r="V615" i="2"/>
  <c r="V631" i="2"/>
  <c r="V642" i="2"/>
  <c r="V652" i="2"/>
  <c r="V664" i="2"/>
  <c r="V674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31" i="2"/>
  <c r="V63" i="2"/>
  <c r="V95" i="2"/>
  <c r="V127" i="2"/>
  <c r="V159" i="2"/>
  <c r="V191" i="2"/>
  <c r="V223" i="2"/>
  <c r="V255" i="2"/>
  <c r="V284" i="2"/>
  <c r="V304" i="2"/>
  <c r="V327" i="2"/>
  <c r="V348" i="2"/>
  <c r="V368" i="2"/>
  <c r="V391" i="2"/>
  <c r="V412" i="2"/>
  <c r="V432" i="2"/>
  <c r="V455" i="2"/>
  <c r="V476" i="2"/>
  <c r="V492" i="2"/>
  <c r="V508" i="2"/>
  <c r="V524" i="2"/>
  <c r="V540" i="2"/>
  <c r="V556" i="2"/>
  <c r="V572" i="2"/>
  <c r="V588" i="2"/>
  <c r="V604" i="2"/>
  <c r="V620" i="2"/>
  <c r="V635" i="2"/>
  <c r="V647" i="2"/>
  <c r="V657" i="2"/>
  <c r="V667" i="2"/>
  <c r="V679" i="2"/>
  <c r="V687" i="2"/>
  <c r="V695" i="2"/>
  <c r="V703" i="2"/>
  <c r="V711" i="2"/>
  <c r="V719" i="2"/>
  <c r="V727" i="2"/>
  <c r="V735" i="2"/>
  <c r="V743" i="2"/>
  <c r="V751" i="2"/>
  <c r="V759" i="2"/>
  <c r="V32" i="2"/>
  <c r="V64" i="2"/>
  <c r="V96" i="2"/>
  <c r="V128" i="2"/>
  <c r="V160" i="2"/>
  <c r="V192" i="2"/>
  <c r="V224" i="2"/>
  <c r="V256" i="2"/>
  <c r="V287" i="2"/>
  <c r="V308" i="2"/>
  <c r="V328" i="2"/>
  <c r="V351" i="2"/>
  <c r="V372" i="2"/>
  <c r="V392" i="2"/>
  <c r="V415" i="2"/>
  <c r="V436" i="2"/>
  <c r="V456" i="2"/>
  <c r="V479" i="2"/>
  <c r="V495" i="2"/>
  <c r="V511" i="2"/>
  <c r="V527" i="2"/>
  <c r="V543" i="2"/>
  <c r="V559" i="2"/>
  <c r="V575" i="2"/>
  <c r="V591" i="2"/>
  <c r="V607" i="2"/>
  <c r="V623" i="2"/>
  <c r="V636" i="2"/>
  <c r="V648" i="2"/>
  <c r="V658" i="2"/>
  <c r="V668" i="2"/>
  <c r="V680" i="2"/>
  <c r="V688" i="2"/>
  <c r="V696" i="2"/>
  <c r="V704" i="2"/>
  <c r="V712" i="2"/>
  <c r="V23" i="2"/>
  <c r="V151" i="2"/>
  <c r="V279" i="2"/>
  <c r="V364" i="2"/>
  <c r="V448" i="2"/>
  <c r="V520" i="2"/>
  <c r="V584" i="2"/>
  <c r="V643" i="2"/>
  <c r="V685" i="2"/>
  <c r="V717" i="2"/>
  <c r="V736" i="2"/>
  <c r="V758" i="2"/>
  <c r="V775" i="2"/>
  <c r="V791" i="2"/>
  <c r="V807" i="2"/>
  <c r="V823" i="2"/>
  <c r="V839" i="2"/>
  <c r="V855" i="2"/>
  <c r="V871" i="2"/>
  <c r="V887" i="2"/>
  <c r="V903" i="2"/>
  <c r="V919" i="2"/>
  <c r="V935" i="2"/>
  <c r="V951" i="2"/>
  <c r="V967" i="2"/>
  <c r="V983" i="2"/>
  <c r="V995" i="2"/>
  <c r="V1005" i="2"/>
  <c r="V1015" i="2"/>
  <c r="V1027" i="2"/>
  <c r="V1037" i="2"/>
  <c r="V1047" i="2"/>
  <c r="V1059" i="2"/>
  <c r="V1069" i="2"/>
  <c r="V1079" i="2"/>
  <c r="V1091" i="2"/>
  <c r="V1101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24" i="2"/>
  <c r="V152" i="2"/>
  <c r="V280" i="2"/>
  <c r="V367" i="2"/>
  <c r="V452" i="2"/>
  <c r="V523" i="2"/>
  <c r="V587" i="2"/>
  <c r="V644" i="2"/>
  <c r="V686" i="2"/>
  <c r="V718" i="2"/>
  <c r="V741" i="2"/>
  <c r="V760" i="2"/>
  <c r="V776" i="2"/>
  <c r="V792" i="2"/>
  <c r="V808" i="2"/>
  <c r="V824" i="2"/>
  <c r="V840" i="2"/>
  <c r="V856" i="2"/>
  <c r="V872" i="2"/>
  <c r="V888" i="2"/>
  <c r="V904" i="2"/>
  <c r="V920" i="2"/>
  <c r="V936" i="2"/>
  <c r="V952" i="2"/>
  <c r="V968" i="2"/>
  <c r="V984" i="2"/>
  <c r="V996" i="2"/>
  <c r="V1006" i="2"/>
  <c r="V1016" i="2"/>
  <c r="V1028" i="2"/>
  <c r="V1038" i="2"/>
  <c r="V1048" i="2"/>
  <c r="V1060" i="2"/>
  <c r="V1070" i="2"/>
  <c r="V1080" i="2"/>
  <c r="V1092" i="2"/>
  <c r="V1102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55" i="2"/>
  <c r="V183" i="2"/>
  <c r="V300" i="2"/>
  <c r="V384" i="2"/>
  <c r="V471" i="2"/>
  <c r="V536" i="2"/>
  <c r="V600" i="2"/>
  <c r="V655" i="2"/>
  <c r="V693" i="2"/>
  <c r="V720" i="2"/>
  <c r="V742" i="2"/>
  <c r="V765" i="2"/>
  <c r="V781" i="2"/>
  <c r="V797" i="2"/>
  <c r="V813" i="2"/>
  <c r="V829" i="2"/>
  <c r="V845" i="2"/>
  <c r="V861" i="2"/>
  <c r="V877" i="2"/>
  <c r="V893" i="2"/>
  <c r="V909" i="2"/>
  <c r="V925" i="2"/>
  <c r="V941" i="2"/>
  <c r="V957" i="2"/>
  <c r="V973" i="2"/>
  <c r="V987" i="2"/>
  <c r="V997" i="2"/>
  <c r="V1007" i="2"/>
  <c r="V1019" i="2"/>
  <c r="V1029" i="2"/>
  <c r="V1039" i="2"/>
  <c r="V1051" i="2"/>
  <c r="V1061" i="2"/>
  <c r="V1071" i="2"/>
  <c r="V1083" i="2"/>
  <c r="V1093" i="2"/>
  <c r="V1103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6" i="2"/>
  <c r="V184" i="2"/>
  <c r="V303" i="2"/>
  <c r="V388" i="2"/>
  <c r="V472" i="2"/>
  <c r="V539" i="2"/>
  <c r="V603" i="2"/>
  <c r="V656" i="2"/>
  <c r="V694" i="2"/>
  <c r="V725" i="2"/>
  <c r="V744" i="2"/>
  <c r="V766" i="2"/>
  <c r="V782" i="2"/>
  <c r="V798" i="2"/>
  <c r="V814" i="2"/>
  <c r="V830" i="2"/>
  <c r="V846" i="2"/>
  <c r="V862" i="2"/>
  <c r="V878" i="2"/>
  <c r="V894" i="2"/>
  <c r="V910" i="2"/>
  <c r="V926" i="2"/>
  <c r="V942" i="2"/>
  <c r="V958" i="2"/>
  <c r="V974" i="2"/>
  <c r="V988" i="2"/>
  <c r="V998" i="2"/>
  <c r="V1008" i="2"/>
  <c r="V1020" i="2"/>
  <c r="V1030" i="2"/>
  <c r="V1040" i="2"/>
  <c r="V1052" i="2"/>
  <c r="V1062" i="2"/>
  <c r="V1072" i="2"/>
  <c r="V1084" i="2"/>
  <c r="V1094" i="2"/>
  <c r="V1104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87" i="2"/>
  <c r="V215" i="2"/>
  <c r="V320" i="2"/>
  <c r="V407" i="2"/>
  <c r="V488" i="2"/>
  <c r="V552" i="2"/>
  <c r="V616" i="2"/>
  <c r="V665" i="2"/>
  <c r="V701" i="2"/>
  <c r="V726" i="2"/>
  <c r="V749" i="2"/>
  <c r="V767" i="2"/>
  <c r="V783" i="2"/>
  <c r="V799" i="2"/>
  <c r="V815" i="2"/>
  <c r="V831" i="2"/>
  <c r="V847" i="2"/>
  <c r="V863" i="2"/>
  <c r="V879" i="2"/>
  <c r="V895" i="2"/>
  <c r="V911" i="2"/>
  <c r="V927" i="2"/>
  <c r="V943" i="2"/>
  <c r="V959" i="2"/>
  <c r="V975" i="2"/>
  <c r="V989" i="2"/>
  <c r="V999" i="2"/>
  <c r="V1011" i="2"/>
  <c r="V1021" i="2"/>
  <c r="V1031" i="2"/>
  <c r="V1043" i="2"/>
  <c r="V1053" i="2"/>
  <c r="V1063" i="2"/>
  <c r="V1075" i="2"/>
  <c r="V1085" i="2"/>
  <c r="V1095" i="2"/>
  <c r="V1105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88" i="2"/>
  <c r="V216" i="2"/>
  <c r="V324" i="2"/>
  <c r="V408" i="2"/>
  <c r="V491" i="2"/>
  <c r="V555" i="2"/>
  <c r="V619" i="2"/>
  <c r="V666" i="2"/>
  <c r="V702" i="2"/>
  <c r="V728" i="2"/>
  <c r="V750" i="2"/>
  <c r="V768" i="2"/>
  <c r="V784" i="2"/>
  <c r="V800" i="2"/>
  <c r="V816" i="2"/>
  <c r="V832" i="2"/>
  <c r="V848" i="2"/>
  <c r="V864" i="2"/>
  <c r="V880" i="2"/>
  <c r="V896" i="2"/>
  <c r="V912" i="2"/>
  <c r="V928" i="2"/>
  <c r="V944" i="2"/>
  <c r="V960" i="2"/>
  <c r="V976" i="2"/>
  <c r="V990" i="2"/>
  <c r="V1000" i="2"/>
  <c r="V1012" i="2"/>
  <c r="V1022" i="2"/>
  <c r="V1032" i="2"/>
  <c r="V1044" i="2"/>
  <c r="V1054" i="2"/>
  <c r="V1064" i="2"/>
  <c r="V1076" i="2"/>
  <c r="V1086" i="2"/>
  <c r="V1096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119" i="2"/>
  <c r="V247" i="2"/>
  <c r="V343" i="2"/>
  <c r="V428" i="2"/>
  <c r="V504" i="2"/>
  <c r="V568" i="2"/>
  <c r="V632" i="2"/>
  <c r="V675" i="2"/>
  <c r="V709" i="2"/>
  <c r="V733" i="2"/>
  <c r="V752" i="2"/>
  <c r="V773" i="2"/>
  <c r="V789" i="2"/>
  <c r="V805" i="2"/>
  <c r="V821" i="2"/>
  <c r="V837" i="2"/>
  <c r="V853" i="2"/>
  <c r="V869" i="2"/>
  <c r="V885" i="2"/>
  <c r="V901" i="2"/>
  <c r="V917" i="2"/>
  <c r="V933" i="2"/>
  <c r="V949" i="2"/>
  <c r="V965" i="2"/>
  <c r="V981" i="2"/>
  <c r="V991" i="2"/>
  <c r="V1003" i="2"/>
  <c r="V1013" i="2"/>
  <c r="V1023" i="2"/>
  <c r="V1035" i="2"/>
  <c r="V1045" i="2"/>
  <c r="V1055" i="2"/>
  <c r="V1067" i="2"/>
  <c r="V1077" i="2"/>
  <c r="V1087" i="2"/>
  <c r="V1099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120" i="2"/>
  <c r="V248" i="2"/>
  <c r="V344" i="2"/>
  <c r="V431" i="2"/>
  <c r="V507" i="2"/>
  <c r="V571" i="2"/>
  <c r="V633" i="2"/>
  <c r="V676" i="2"/>
  <c r="V710" i="2"/>
  <c r="V734" i="2"/>
  <c r="V757" i="2"/>
  <c r="V774" i="2"/>
  <c r="V790" i="2"/>
  <c r="V806" i="2"/>
  <c r="V822" i="2"/>
  <c r="V838" i="2"/>
  <c r="V854" i="2"/>
  <c r="V870" i="2"/>
  <c r="V886" i="2"/>
  <c r="V902" i="2"/>
  <c r="V918" i="2"/>
  <c r="V934" i="2"/>
  <c r="V950" i="2"/>
  <c r="V966" i="2"/>
  <c r="V982" i="2"/>
  <c r="V992" i="2"/>
  <c r="V1004" i="2"/>
  <c r="V1014" i="2"/>
  <c r="V1024" i="2"/>
  <c r="V1036" i="2"/>
  <c r="V1046" i="2"/>
  <c r="V1056" i="2"/>
  <c r="V1068" i="2"/>
  <c r="V1078" i="2"/>
  <c r="V1088" i="2"/>
  <c r="V1100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642" i="2"/>
  <c r="U650" i="2"/>
  <c r="U658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80" i="2"/>
  <c r="U443" i="2"/>
  <c r="U475" i="2"/>
  <c r="U507" i="2"/>
  <c r="U539" i="2"/>
  <c r="U571" i="2"/>
  <c r="U603" i="2"/>
  <c r="U635" i="2"/>
  <c r="U660" i="2"/>
  <c r="U675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54" i="2"/>
  <c r="U324" i="2"/>
  <c r="U388" i="2"/>
  <c r="U444" i="2"/>
  <c r="U476" i="2"/>
  <c r="U508" i="2"/>
  <c r="U540" i="2"/>
  <c r="U572" i="2"/>
  <c r="U604" i="2"/>
  <c r="U636" i="2"/>
  <c r="U665" i="2"/>
  <c r="U676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1239" i="2"/>
  <c r="U1247" i="2"/>
  <c r="U1255" i="2"/>
  <c r="U332" i="2"/>
  <c r="U396" i="2"/>
  <c r="U451" i="2"/>
  <c r="U483" i="2"/>
  <c r="U515" i="2"/>
  <c r="U547" i="2"/>
  <c r="U579" i="2"/>
  <c r="U611" i="2"/>
  <c r="U643" i="2"/>
  <c r="U666" i="2"/>
  <c r="U677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340" i="2"/>
  <c r="U404" i="2"/>
  <c r="U452" i="2"/>
  <c r="U484" i="2"/>
  <c r="U516" i="2"/>
  <c r="U548" i="2"/>
  <c r="U580" i="2"/>
  <c r="U612" i="2"/>
  <c r="U644" i="2"/>
  <c r="U667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348" i="2"/>
  <c r="U412" i="2"/>
  <c r="U459" i="2"/>
  <c r="U491" i="2"/>
  <c r="U523" i="2"/>
  <c r="U555" i="2"/>
  <c r="U587" i="2"/>
  <c r="U619" i="2"/>
  <c r="U651" i="2"/>
  <c r="U668" i="2"/>
  <c r="U682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1186" i="2"/>
  <c r="U1194" i="2"/>
  <c r="U1202" i="2"/>
  <c r="U1210" i="2"/>
  <c r="U1218" i="2"/>
  <c r="U1226" i="2"/>
  <c r="U1234" i="2"/>
  <c r="U1242" i="2"/>
  <c r="U1250" i="2"/>
  <c r="U1258" i="2"/>
  <c r="V55" i="1" s="1"/>
  <c r="AC11" i="2" s="1"/>
  <c r="U356" i="2"/>
  <c r="U420" i="2"/>
  <c r="U460" i="2"/>
  <c r="U492" i="2"/>
  <c r="U524" i="2"/>
  <c r="U556" i="2"/>
  <c r="U588" i="2"/>
  <c r="U620" i="2"/>
  <c r="U652" i="2"/>
  <c r="U669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1139" i="2"/>
  <c r="U1147" i="2"/>
  <c r="U1155" i="2"/>
  <c r="U1163" i="2"/>
  <c r="U1171" i="2"/>
  <c r="U1179" i="2"/>
  <c r="U1187" i="2"/>
  <c r="U1195" i="2"/>
  <c r="U1203" i="2"/>
  <c r="U1211" i="2"/>
  <c r="U1219" i="2"/>
  <c r="U1227" i="2"/>
  <c r="U1235" i="2"/>
  <c r="U1243" i="2"/>
  <c r="U1251" i="2"/>
  <c r="U364" i="2"/>
  <c r="U428" i="2"/>
  <c r="U467" i="2"/>
  <c r="U499" i="2"/>
  <c r="U531" i="2"/>
  <c r="U563" i="2"/>
  <c r="U595" i="2"/>
  <c r="U627" i="2"/>
  <c r="U657" i="2"/>
  <c r="U673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1172" i="2"/>
  <c r="U1180" i="2"/>
  <c r="U1188" i="2"/>
  <c r="U1196" i="2"/>
  <c r="U1204" i="2"/>
  <c r="U1212" i="2"/>
  <c r="U1220" i="2"/>
  <c r="U1228" i="2"/>
  <c r="U1236" i="2"/>
  <c r="U1244" i="2"/>
  <c r="U1252" i="2"/>
  <c r="U372" i="2"/>
  <c r="U436" i="2"/>
  <c r="U468" i="2"/>
  <c r="U500" i="2"/>
  <c r="U532" i="2"/>
  <c r="U564" i="2"/>
  <c r="U596" i="2"/>
  <c r="U628" i="2"/>
  <c r="U659" i="2"/>
  <c r="U674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1229" i="2"/>
  <c r="U1237" i="2"/>
  <c r="U1245" i="2"/>
  <c r="U1253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12" i="2"/>
  <c r="T76" i="2"/>
  <c r="T140" i="2"/>
  <c r="T204" i="2"/>
  <c r="T268" i="2"/>
  <c r="T332" i="2"/>
  <c r="T396" i="2"/>
  <c r="T460" i="2"/>
  <c r="T499" i="2"/>
  <c r="T531" i="2"/>
  <c r="T563" i="2"/>
  <c r="T595" i="2"/>
  <c r="T620" i="2"/>
  <c r="T636" i="2"/>
  <c r="T652" i="2"/>
  <c r="T668" i="2"/>
  <c r="T684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20" i="2"/>
  <c r="T84" i="2"/>
  <c r="T148" i="2"/>
  <c r="T212" i="2"/>
  <c r="T276" i="2"/>
  <c r="T340" i="2"/>
  <c r="T404" i="2"/>
  <c r="T468" i="2"/>
  <c r="T500" i="2"/>
  <c r="T532" i="2"/>
  <c r="T564" i="2"/>
  <c r="T596" i="2"/>
  <c r="T625" i="2"/>
  <c r="T641" i="2"/>
  <c r="T657" i="2"/>
  <c r="T673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17" i="2"/>
  <c r="T1125" i="2"/>
  <c r="T1133" i="2"/>
  <c r="T1141" i="2"/>
  <c r="T1149" i="2"/>
  <c r="T1157" i="2"/>
  <c r="T1165" i="2"/>
  <c r="T1173" i="2"/>
  <c r="T1181" i="2"/>
  <c r="T1189" i="2"/>
  <c r="T1197" i="2"/>
  <c r="T1205" i="2"/>
  <c r="T1213" i="2"/>
  <c r="T1221" i="2"/>
  <c r="T1229" i="2"/>
  <c r="T1237" i="2"/>
  <c r="T1245" i="2"/>
  <c r="T1253" i="2"/>
  <c r="T28" i="2"/>
  <c r="T92" i="2"/>
  <c r="T156" i="2"/>
  <c r="T220" i="2"/>
  <c r="T284" i="2"/>
  <c r="T348" i="2"/>
  <c r="T412" i="2"/>
  <c r="T475" i="2"/>
  <c r="T507" i="2"/>
  <c r="T539" i="2"/>
  <c r="T571" i="2"/>
  <c r="T603" i="2"/>
  <c r="T626" i="2"/>
  <c r="T642" i="2"/>
  <c r="T658" i="2"/>
  <c r="T674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36" i="2"/>
  <c r="T100" i="2"/>
  <c r="T164" i="2"/>
  <c r="T228" i="2"/>
  <c r="T292" i="2"/>
  <c r="T356" i="2"/>
  <c r="T420" i="2"/>
  <c r="T476" i="2"/>
  <c r="T508" i="2"/>
  <c r="T540" i="2"/>
  <c r="T572" i="2"/>
  <c r="T604" i="2"/>
  <c r="T627" i="2"/>
  <c r="T643" i="2"/>
  <c r="T659" i="2"/>
  <c r="T675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44" i="2"/>
  <c r="T108" i="2"/>
  <c r="T172" i="2"/>
  <c r="T236" i="2"/>
  <c r="T300" i="2"/>
  <c r="T364" i="2"/>
  <c r="T428" i="2"/>
  <c r="T483" i="2"/>
  <c r="T515" i="2"/>
  <c r="T547" i="2"/>
  <c r="T579" i="2"/>
  <c r="T611" i="2"/>
  <c r="T628" i="2"/>
  <c r="T644" i="2"/>
  <c r="T660" i="2"/>
  <c r="T676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840" i="2"/>
  <c r="T848" i="2"/>
  <c r="T856" i="2"/>
  <c r="T864" i="2"/>
  <c r="T872" i="2"/>
  <c r="T880" i="2"/>
  <c r="T888" i="2"/>
  <c r="T896" i="2"/>
  <c r="T904" i="2"/>
  <c r="T912" i="2"/>
  <c r="T920" i="2"/>
  <c r="T928" i="2"/>
  <c r="T936" i="2"/>
  <c r="T944" i="2"/>
  <c r="T952" i="2"/>
  <c r="T960" i="2"/>
  <c r="T968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52" i="2"/>
  <c r="T116" i="2"/>
  <c r="T180" i="2"/>
  <c r="T244" i="2"/>
  <c r="T308" i="2"/>
  <c r="T372" i="2"/>
  <c r="T436" i="2"/>
  <c r="T484" i="2"/>
  <c r="T516" i="2"/>
  <c r="T548" i="2"/>
  <c r="T580" i="2"/>
  <c r="T612" i="2"/>
  <c r="T633" i="2"/>
  <c r="T649" i="2"/>
  <c r="T665" i="2"/>
  <c r="T681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60" i="2"/>
  <c r="T124" i="2"/>
  <c r="T188" i="2"/>
  <c r="T252" i="2"/>
  <c r="T316" i="2"/>
  <c r="T380" i="2"/>
  <c r="T444" i="2"/>
  <c r="T491" i="2"/>
  <c r="T523" i="2"/>
  <c r="T555" i="2"/>
  <c r="T587" i="2"/>
  <c r="T617" i="2"/>
  <c r="T634" i="2"/>
  <c r="T650" i="2"/>
  <c r="T666" i="2"/>
  <c r="T682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68" i="2"/>
  <c r="T132" i="2"/>
  <c r="T556" i="2"/>
  <c r="T699" i="2"/>
  <c r="T763" i="2"/>
  <c r="T827" i="2"/>
  <c r="T891" i="2"/>
  <c r="T955" i="2"/>
  <c r="T1019" i="2"/>
  <c r="T1083" i="2"/>
  <c r="T1130" i="2"/>
  <c r="T1162" i="2"/>
  <c r="T1185" i="2"/>
  <c r="T1203" i="2"/>
  <c r="T1226" i="2"/>
  <c r="T1243" i="2"/>
  <c r="T619" i="2"/>
  <c r="T1233" i="2"/>
  <c r="T196" i="2"/>
  <c r="T588" i="2"/>
  <c r="T707" i="2"/>
  <c r="T771" i="2"/>
  <c r="T835" i="2"/>
  <c r="T899" i="2"/>
  <c r="T963" i="2"/>
  <c r="T1027" i="2"/>
  <c r="T1091" i="2"/>
  <c r="T1131" i="2"/>
  <c r="T1163" i="2"/>
  <c r="T1186" i="2"/>
  <c r="T1209" i="2"/>
  <c r="T1227" i="2"/>
  <c r="T1248" i="2"/>
  <c r="T260" i="2"/>
  <c r="T1210" i="2"/>
  <c r="T324" i="2"/>
  <c r="T635" i="2"/>
  <c r="T723" i="2"/>
  <c r="T787" i="2"/>
  <c r="T851" i="2"/>
  <c r="T915" i="2"/>
  <c r="T979" i="2"/>
  <c r="T1043" i="2"/>
  <c r="T1107" i="2"/>
  <c r="T1139" i="2"/>
  <c r="T1170" i="2"/>
  <c r="T1193" i="2"/>
  <c r="T1211" i="2"/>
  <c r="T1234" i="2"/>
  <c r="T1250" i="2"/>
  <c r="T907" i="2"/>
  <c r="T388" i="2"/>
  <c r="T651" i="2"/>
  <c r="T731" i="2"/>
  <c r="T795" i="2"/>
  <c r="T859" i="2"/>
  <c r="T923" i="2"/>
  <c r="T987" i="2"/>
  <c r="T1051" i="2"/>
  <c r="T1114" i="2"/>
  <c r="T1146" i="2"/>
  <c r="T1171" i="2"/>
  <c r="T1194" i="2"/>
  <c r="T1217" i="2"/>
  <c r="T1235" i="2"/>
  <c r="T1251" i="2"/>
  <c r="T843" i="2"/>
  <c r="T452" i="2"/>
  <c r="T667" i="2"/>
  <c r="T739" i="2"/>
  <c r="T803" i="2"/>
  <c r="T867" i="2"/>
  <c r="T931" i="2"/>
  <c r="T995" i="2"/>
  <c r="T1059" i="2"/>
  <c r="T1115" i="2"/>
  <c r="T1147" i="2"/>
  <c r="T1177" i="2"/>
  <c r="T1195" i="2"/>
  <c r="T1218" i="2"/>
  <c r="T1240" i="2"/>
  <c r="T1256" i="2"/>
  <c r="T492" i="2"/>
  <c r="T683" i="2"/>
  <c r="T747" i="2"/>
  <c r="T811" i="2"/>
  <c r="T875" i="2"/>
  <c r="T939" i="2"/>
  <c r="T1003" i="2"/>
  <c r="T1067" i="2"/>
  <c r="T1122" i="2"/>
  <c r="T1154" i="2"/>
  <c r="T1178" i="2"/>
  <c r="T1201" i="2"/>
  <c r="T1219" i="2"/>
  <c r="T1241" i="2"/>
  <c r="T1257" i="2"/>
  <c r="T779" i="2"/>
  <c r="T971" i="2"/>
  <c r="T1099" i="2"/>
  <c r="T1169" i="2"/>
  <c r="T1249" i="2"/>
  <c r="T524" i="2"/>
  <c r="T691" i="2"/>
  <c r="T755" i="2"/>
  <c r="T819" i="2"/>
  <c r="T883" i="2"/>
  <c r="T947" i="2"/>
  <c r="T1011" i="2"/>
  <c r="T1075" i="2"/>
  <c r="T1123" i="2"/>
  <c r="T1155" i="2"/>
  <c r="T1179" i="2"/>
  <c r="T1202" i="2"/>
  <c r="T1225" i="2"/>
  <c r="T1242" i="2"/>
  <c r="T1258" i="2"/>
  <c r="V54" i="1" s="1"/>
  <c r="AC10" i="2" s="1"/>
  <c r="T715" i="2"/>
  <c r="T1035" i="2"/>
  <c r="T1138" i="2"/>
  <c r="T1187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77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438" i="2"/>
  <c r="S446" i="2"/>
  <c r="S454" i="2"/>
  <c r="S462" i="2"/>
  <c r="S470" i="2"/>
  <c r="S478" i="2"/>
  <c r="S486" i="2"/>
  <c r="S494" i="2"/>
  <c r="S502" i="2"/>
  <c r="S510" i="2"/>
  <c r="S518" i="2"/>
  <c r="S526" i="2"/>
  <c r="S534" i="2"/>
  <c r="S542" i="2"/>
  <c r="S550" i="2"/>
  <c r="S558" i="2"/>
  <c r="S566" i="2"/>
  <c r="S574" i="2"/>
  <c r="S582" i="2"/>
  <c r="S590" i="2"/>
  <c r="S598" i="2"/>
  <c r="S606" i="2"/>
  <c r="S614" i="2"/>
  <c r="S622" i="2"/>
  <c r="S630" i="2"/>
  <c r="S638" i="2"/>
  <c r="S646" i="2"/>
  <c r="S654" i="2"/>
  <c r="S662" i="2"/>
  <c r="S670" i="2"/>
  <c r="S678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407" i="2"/>
  <c r="S415" i="2"/>
  <c r="S423" i="2"/>
  <c r="S431" i="2"/>
  <c r="S439" i="2"/>
  <c r="S447" i="2"/>
  <c r="S455" i="2"/>
  <c r="S463" i="2"/>
  <c r="S471" i="2"/>
  <c r="S479" i="2"/>
  <c r="S487" i="2"/>
  <c r="S495" i="2"/>
  <c r="S503" i="2"/>
  <c r="S511" i="2"/>
  <c r="S519" i="2"/>
  <c r="S527" i="2"/>
  <c r="S535" i="2"/>
  <c r="S543" i="2"/>
  <c r="S551" i="2"/>
  <c r="S559" i="2"/>
  <c r="S567" i="2"/>
  <c r="S575" i="2"/>
  <c r="S583" i="2"/>
  <c r="S591" i="2"/>
  <c r="S599" i="2"/>
  <c r="S607" i="2"/>
  <c r="S615" i="2"/>
  <c r="S623" i="2"/>
  <c r="S631" i="2"/>
  <c r="S639" i="2"/>
  <c r="S647" i="2"/>
  <c r="S655" i="2"/>
  <c r="S663" i="2"/>
  <c r="S671" i="2"/>
  <c r="S679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11" i="2"/>
  <c r="S75" i="2"/>
  <c r="S139" i="2"/>
  <c r="S203" i="2"/>
  <c r="S267" i="2"/>
  <c r="S315" i="2"/>
  <c r="S347" i="2"/>
  <c r="S372" i="2"/>
  <c r="S395" i="2"/>
  <c r="S418" i="2"/>
  <c r="S436" i="2"/>
  <c r="S459" i="2"/>
  <c r="S482" i="2"/>
  <c r="S500" i="2"/>
  <c r="S523" i="2"/>
  <c r="S546" i="2"/>
  <c r="S564" i="2"/>
  <c r="S587" i="2"/>
  <c r="S610" i="2"/>
  <c r="S628" i="2"/>
  <c r="S651" i="2"/>
  <c r="S674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871" i="2"/>
  <c r="S879" i="2"/>
  <c r="S887" i="2"/>
  <c r="S895" i="2"/>
  <c r="S903" i="2"/>
  <c r="S911" i="2"/>
  <c r="S919" i="2"/>
  <c r="S927" i="2"/>
  <c r="S935" i="2"/>
  <c r="S943" i="2"/>
  <c r="S951" i="2"/>
  <c r="S959" i="2"/>
  <c r="S967" i="2"/>
  <c r="S975" i="2"/>
  <c r="S983" i="2"/>
  <c r="S991" i="2"/>
  <c r="S999" i="2"/>
  <c r="S1007" i="2"/>
  <c r="S1015" i="2"/>
  <c r="S1023" i="2"/>
  <c r="S1031" i="2"/>
  <c r="S1039" i="2"/>
  <c r="S1047" i="2"/>
  <c r="S1055" i="2"/>
  <c r="S1063" i="2"/>
  <c r="S1071" i="2"/>
  <c r="S1079" i="2"/>
  <c r="S1087" i="2"/>
  <c r="S1095" i="2"/>
  <c r="S1103" i="2"/>
  <c r="S1111" i="2"/>
  <c r="S1119" i="2"/>
  <c r="S1127" i="2"/>
  <c r="S1135" i="2"/>
  <c r="S1143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19" i="2"/>
  <c r="S83" i="2"/>
  <c r="S147" i="2"/>
  <c r="S211" i="2"/>
  <c r="S275" i="2"/>
  <c r="S316" i="2"/>
  <c r="S348" i="2"/>
  <c r="S378" i="2"/>
  <c r="S396" i="2"/>
  <c r="S419" i="2"/>
  <c r="S442" i="2"/>
  <c r="S460" i="2"/>
  <c r="S483" i="2"/>
  <c r="S506" i="2"/>
  <c r="S524" i="2"/>
  <c r="S547" i="2"/>
  <c r="S570" i="2"/>
  <c r="S588" i="2"/>
  <c r="S611" i="2"/>
  <c r="S634" i="2"/>
  <c r="S652" i="2"/>
  <c r="S675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1056" i="2"/>
  <c r="S1064" i="2"/>
  <c r="S1072" i="2"/>
  <c r="S1080" i="2"/>
  <c r="S1088" i="2"/>
  <c r="S1096" i="2"/>
  <c r="S1104" i="2"/>
  <c r="S1112" i="2"/>
  <c r="S1120" i="2"/>
  <c r="S1128" i="2"/>
  <c r="S1136" i="2"/>
  <c r="S1144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27" i="2"/>
  <c r="S91" i="2"/>
  <c r="S155" i="2"/>
  <c r="S219" i="2"/>
  <c r="S283" i="2"/>
  <c r="S323" i="2"/>
  <c r="S355" i="2"/>
  <c r="S379" i="2"/>
  <c r="S402" i="2"/>
  <c r="S420" i="2"/>
  <c r="S443" i="2"/>
  <c r="S466" i="2"/>
  <c r="S484" i="2"/>
  <c r="S507" i="2"/>
  <c r="S530" i="2"/>
  <c r="S548" i="2"/>
  <c r="S571" i="2"/>
  <c r="S594" i="2"/>
  <c r="S612" i="2"/>
  <c r="S635" i="2"/>
  <c r="S658" i="2"/>
  <c r="S676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1097" i="2"/>
  <c r="S1105" i="2"/>
  <c r="S1113" i="2"/>
  <c r="S1121" i="2"/>
  <c r="S1129" i="2"/>
  <c r="S1137" i="2"/>
  <c r="S1145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35" i="2"/>
  <c r="S99" i="2"/>
  <c r="S163" i="2"/>
  <c r="S227" i="2"/>
  <c r="S291" i="2"/>
  <c r="S324" i="2"/>
  <c r="S356" i="2"/>
  <c r="S380" i="2"/>
  <c r="S403" i="2"/>
  <c r="S426" i="2"/>
  <c r="S444" i="2"/>
  <c r="S467" i="2"/>
  <c r="S490" i="2"/>
  <c r="S508" i="2"/>
  <c r="S531" i="2"/>
  <c r="S554" i="2"/>
  <c r="S572" i="2"/>
  <c r="S595" i="2"/>
  <c r="S618" i="2"/>
  <c r="S636" i="2"/>
  <c r="S659" i="2"/>
  <c r="S682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1018" i="2"/>
  <c r="S1026" i="2"/>
  <c r="S1034" i="2"/>
  <c r="S1042" i="2"/>
  <c r="S1050" i="2"/>
  <c r="S1058" i="2"/>
  <c r="S1066" i="2"/>
  <c r="S1074" i="2"/>
  <c r="S1082" i="2"/>
  <c r="S1090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43" i="2"/>
  <c r="S107" i="2"/>
  <c r="S171" i="2"/>
  <c r="S235" i="2"/>
  <c r="S299" i="2"/>
  <c r="S331" i="2"/>
  <c r="S363" i="2"/>
  <c r="S386" i="2"/>
  <c r="S404" i="2"/>
  <c r="S427" i="2"/>
  <c r="S450" i="2"/>
  <c r="S468" i="2"/>
  <c r="S491" i="2"/>
  <c r="S514" i="2"/>
  <c r="S532" i="2"/>
  <c r="S555" i="2"/>
  <c r="S578" i="2"/>
  <c r="S596" i="2"/>
  <c r="S619" i="2"/>
  <c r="S642" i="2"/>
  <c r="S660" i="2"/>
  <c r="S683" i="2"/>
  <c r="S691" i="2"/>
  <c r="S699" i="2"/>
  <c r="S707" i="2"/>
  <c r="S715" i="2"/>
  <c r="S723" i="2"/>
  <c r="S731" i="2"/>
  <c r="S739" i="2"/>
  <c r="S747" i="2"/>
  <c r="S755" i="2"/>
  <c r="S763" i="2"/>
  <c r="S771" i="2"/>
  <c r="S779" i="2"/>
  <c r="S787" i="2"/>
  <c r="S795" i="2"/>
  <c r="S803" i="2"/>
  <c r="S811" i="2"/>
  <c r="S819" i="2"/>
  <c r="S827" i="2"/>
  <c r="S835" i="2"/>
  <c r="S843" i="2"/>
  <c r="S851" i="2"/>
  <c r="S859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979" i="2"/>
  <c r="S987" i="2"/>
  <c r="S995" i="2"/>
  <c r="S1003" i="2"/>
  <c r="S1011" i="2"/>
  <c r="S1019" i="2"/>
  <c r="S1027" i="2"/>
  <c r="S1035" i="2"/>
  <c r="S1043" i="2"/>
  <c r="S1051" i="2"/>
  <c r="S1059" i="2"/>
  <c r="S1067" i="2"/>
  <c r="S1075" i="2"/>
  <c r="S1083" i="2"/>
  <c r="S1091" i="2"/>
  <c r="S1099" i="2"/>
  <c r="S1107" i="2"/>
  <c r="S1115" i="2"/>
  <c r="S1123" i="2"/>
  <c r="S1131" i="2"/>
  <c r="S1139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51" i="2"/>
  <c r="S115" i="2"/>
  <c r="S179" i="2"/>
  <c r="S243" i="2"/>
  <c r="S300" i="2"/>
  <c r="S332" i="2"/>
  <c r="S364" i="2"/>
  <c r="S387" i="2"/>
  <c r="S410" i="2"/>
  <c r="S428" i="2"/>
  <c r="S451" i="2"/>
  <c r="S474" i="2"/>
  <c r="S492" i="2"/>
  <c r="S515" i="2"/>
  <c r="S538" i="2"/>
  <c r="S556" i="2"/>
  <c r="S579" i="2"/>
  <c r="S602" i="2"/>
  <c r="S620" i="2"/>
  <c r="S643" i="2"/>
  <c r="S666" i="2"/>
  <c r="S684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860" i="2"/>
  <c r="S868" i="2"/>
  <c r="S876" i="2"/>
  <c r="S884" i="2"/>
  <c r="S892" i="2"/>
  <c r="S900" i="2"/>
  <c r="S908" i="2"/>
  <c r="S916" i="2"/>
  <c r="S924" i="2"/>
  <c r="S932" i="2"/>
  <c r="S940" i="2"/>
  <c r="S948" i="2"/>
  <c r="S956" i="2"/>
  <c r="S964" i="2"/>
  <c r="S972" i="2"/>
  <c r="S980" i="2"/>
  <c r="S988" i="2"/>
  <c r="S996" i="2"/>
  <c r="S1004" i="2"/>
  <c r="S1012" i="2"/>
  <c r="S1020" i="2"/>
  <c r="S1028" i="2"/>
  <c r="S1036" i="2"/>
  <c r="S1044" i="2"/>
  <c r="S1052" i="2"/>
  <c r="S1060" i="2"/>
  <c r="S1068" i="2"/>
  <c r="S1076" i="2"/>
  <c r="S1084" i="2"/>
  <c r="S1092" i="2"/>
  <c r="S1100" i="2"/>
  <c r="S1108" i="2"/>
  <c r="S1116" i="2"/>
  <c r="S1124" i="2"/>
  <c r="S1132" i="2"/>
  <c r="S1140" i="2"/>
  <c r="S1148" i="2"/>
  <c r="S1156" i="2"/>
  <c r="S1164" i="2"/>
  <c r="S1172" i="2"/>
  <c r="S1180" i="2"/>
  <c r="S1188" i="2"/>
  <c r="S59" i="2"/>
  <c r="S123" i="2"/>
  <c r="S187" i="2"/>
  <c r="S251" i="2"/>
  <c r="S307" i="2"/>
  <c r="S339" i="2"/>
  <c r="S370" i="2"/>
  <c r="S388" i="2"/>
  <c r="S411" i="2"/>
  <c r="S434" i="2"/>
  <c r="S452" i="2"/>
  <c r="S475" i="2"/>
  <c r="S498" i="2"/>
  <c r="S516" i="2"/>
  <c r="S539" i="2"/>
  <c r="S562" i="2"/>
  <c r="S580" i="2"/>
  <c r="S603" i="2"/>
  <c r="S626" i="2"/>
  <c r="S644" i="2"/>
  <c r="S667" i="2"/>
  <c r="S685" i="2"/>
  <c r="S693" i="2"/>
  <c r="S701" i="2"/>
  <c r="S709" i="2"/>
  <c r="S717" i="2"/>
  <c r="S725" i="2"/>
  <c r="S733" i="2"/>
  <c r="S741" i="2"/>
  <c r="S749" i="2"/>
  <c r="S757" i="2"/>
  <c r="S765" i="2"/>
  <c r="S773" i="2"/>
  <c r="S781" i="2"/>
  <c r="S789" i="2"/>
  <c r="S797" i="2"/>
  <c r="S805" i="2"/>
  <c r="S813" i="2"/>
  <c r="S821" i="2"/>
  <c r="S829" i="2"/>
  <c r="S837" i="2"/>
  <c r="S845" i="2"/>
  <c r="S853" i="2"/>
  <c r="S861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67" i="2"/>
  <c r="S412" i="2"/>
  <c r="S586" i="2"/>
  <c r="S710" i="2"/>
  <c r="S774" i="2"/>
  <c r="S838" i="2"/>
  <c r="S902" i="2"/>
  <c r="S966" i="2"/>
  <c r="S1030" i="2"/>
  <c r="S1093" i="2"/>
  <c r="S1125" i="2"/>
  <c r="S1157" i="2"/>
  <c r="S1189" i="2"/>
  <c r="S1212" i="2"/>
  <c r="S1230" i="2"/>
  <c r="S1253" i="2"/>
  <c r="S894" i="2"/>
  <c r="S131" i="2"/>
  <c r="S435" i="2"/>
  <c r="S604" i="2"/>
  <c r="S718" i="2"/>
  <c r="S782" i="2"/>
  <c r="S846" i="2"/>
  <c r="S910" i="2"/>
  <c r="S974" i="2"/>
  <c r="S1038" i="2"/>
  <c r="S1094" i="2"/>
  <c r="S1126" i="2"/>
  <c r="S1158" i="2"/>
  <c r="S1190" i="2"/>
  <c r="S1213" i="2"/>
  <c r="S1236" i="2"/>
  <c r="S1254" i="2"/>
  <c r="S958" i="2"/>
  <c r="S195" i="2"/>
  <c r="S458" i="2"/>
  <c r="S627" i="2"/>
  <c r="S726" i="2"/>
  <c r="S790" i="2"/>
  <c r="S854" i="2"/>
  <c r="S918" i="2"/>
  <c r="S982" i="2"/>
  <c r="S1046" i="2"/>
  <c r="S1101" i="2"/>
  <c r="S1133" i="2"/>
  <c r="S1165" i="2"/>
  <c r="S1196" i="2"/>
  <c r="S1214" i="2"/>
  <c r="S1237" i="2"/>
  <c r="S563" i="2"/>
  <c r="S1118" i="2"/>
  <c r="S259" i="2"/>
  <c r="S476" i="2"/>
  <c r="S650" i="2"/>
  <c r="S734" i="2"/>
  <c r="S798" i="2"/>
  <c r="S862" i="2"/>
  <c r="S926" i="2"/>
  <c r="S990" i="2"/>
  <c r="S1054" i="2"/>
  <c r="S1102" i="2"/>
  <c r="S1134" i="2"/>
  <c r="S1166" i="2"/>
  <c r="S1197" i="2"/>
  <c r="S1220" i="2"/>
  <c r="S1238" i="2"/>
  <c r="S394" i="2"/>
  <c r="S1206" i="2"/>
  <c r="S308" i="2"/>
  <c r="S499" i="2"/>
  <c r="S668" i="2"/>
  <c r="S742" i="2"/>
  <c r="S806" i="2"/>
  <c r="S870" i="2"/>
  <c r="S934" i="2"/>
  <c r="S998" i="2"/>
  <c r="S1062" i="2"/>
  <c r="S1109" i="2"/>
  <c r="S1141" i="2"/>
  <c r="S1173" i="2"/>
  <c r="S1198" i="2"/>
  <c r="S1221" i="2"/>
  <c r="S1244" i="2"/>
  <c r="S702" i="2"/>
  <c r="S1086" i="2"/>
  <c r="S1182" i="2"/>
  <c r="S1252" i="2"/>
  <c r="S340" i="2"/>
  <c r="S522" i="2"/>
  <c r="S686" i="2"/>
  <c r="S750" i="2"/>
  <c r="S814" i="2"/>
  <c r="S878" i="2"/>
  <c r="S942" i="2"/>
  <c r="S1006" i="2"/>
  <c r="S1070" i="2"/>
  <c r="S1110" i="2"/>
  <c r="S1142" i="2"/>
  <c r="S1174" i="2"/>
  <c r="S1204" i="2"/>
  <c r="S1222" i="2"/>
  <c r="S1245" i="2"/>
  <c r="S766" i="2"/>
  <c r="S1022" i="2"/>
  <c r="S1150" i="2"/>
  <c r="S1229" i="2"/>
  <c r="S371" i="2"/>
  <c r="S540" i="2"/>
  <c r="S694" i="2"/>
  <c r="S758" i="2"/>
  <c r="S822" i="2"/>
  <c r="S886" i="2"/>
  <c r="S950" i="2"/>
  <c r="S1014" i="2"/>
  <c r="S1078" i="2"/>
  <c r="S1117" i="2"/>
  <c r="S1149" i="2"/>
  <c r="S1181" i="2"/>
  <c r="S1205" i="2"/>
  <c r="S1228" i="2"/>
  <c r="S1246" i="2"/>
  <c r="S830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562" i="2"/>
  <c r="R570" i="2"/>
  <c r="R578" i="2"/>
  <c r="R586" i="2"/>
  <c r="R594" i="2"/>
  <c r="R602" i="2"/>
  <c r="R610" i="2"/>
  <c r="R618" i="2"/>
  <c r="R626" i="2"/>
  <c r="R634" i="2"/>
  <c r="R642" i="2"/>
  <c r="R650" i="2"/>
  <c r="R658" i="2"/>
  <c r="R666" i="2"/>
  <c r="R674" i="2"/>
  <c r="R682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11" i="2"/>
  <c r="R75" i="2"/>
  <c r="R139" i="2"/>
  <c r="R203" i="2"/>
  <c r="R267" i="2"/>
  <c r="R331" i="2"/>
  <c r="R363" i="2"/>
  <c r="R395" i="2"/>
  <c r="R427" i="2"/>
  <c r="R459" i="2"/>
  <c r="R491" i="2"/>
  <c r="R523" i="2"/>
  <c r="R555" i="2"/>
  <c r="R587" i="2"/>
  <c r="R619" i="2"/>
  <c r="R651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9" i="2"/>
  <c r="R83" i="2"/>
  <c r="R147" i="2"/>
  <c r="R211" i="2"/>
  <c r="R275" i="2"/>
  <c r="R332" i="2"/>
  <c r="R364" i="2"/>
  <c r="R396" i="2"/>
  <c r="R428" i="2"/>
  <c r="R460" i="2"/>
  <c r="R492" i="2"/>
  <c r="R524" i="2"/>
  <c r="R556" i="2"/>
  <c r="R588" i="2"/>
  <c r="R620" i="2"/>
  <c r="R652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27" i="2"/>
  <c r="R91" i="2"/>
  <c r="R155" i="2"/>
  <c r="R219" i="2"/>
  <c r="R283" i="2"/>
  <c r="R339" i="2"/>
  <c r="R371" i="2"/>
  <c r="R403" i="2"/>
  <c r="R435" i="2"/>
  <c r="R467" i="2"/>
  <c r="R499" i="2"/>
  <c r="R531" i="2"/>
  <c r="R563" i="2"/>
  <c r="R595" i="2"/>
  <c r="R627" i="2"/>
  <c r="R659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1045" i="2"/>
  <c r="R1053" i="2"/>
  <c r="R1061" i="2"/>
  <c r="R1069" i="2"/>
  <c r="R1077" i="2"/>
  <c r="R1085" i="2"/>
  <c r="R1093" i="2"/>
  <c r="R1101" i="2"/>
  <c r="R1109" i="2"/>
  <c r="R1117" i="2"/>
  <c r="R1125" i="2"/>
  <c r="R1133" i="2"/>
  <c r="R1141" i="2"/>
  <c r="R1149" i="2"/>
  <c r="R1157" i="2"/>
  <c r="R1165" i="2"/>
  <c r="R1173" i="2"/>
  <c r="R1181" i="2"/>
  <c r="R1189" i="2"/>
  <c r="R35" i="2"/>
  <c r="R99" i="2"/>
  <c r="R163" i="2"/>
  <c r="R227" i="2"/>
  <c r="R291" i="2"/>
  <c r="R340" i="2"/>
  <c r="R372" i="2"/>
  <c r="R404" i="2"/>
  <c r="R436" i="2"/>
  <c r="R468" i="2"/>
  <c r="R500" i="2"/>
  <c r="R532" i="2"/>
  <c r="R564" i="2"/>
  <c r="R596" i="2"/>
  <c r="R628" i="2"/>
  <c r="R660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998" i="2"/>
  <c r="R1006" i="2"/>
  <c r="R1014" i="2"/>
  <c r="R1022" i="2"/>
  <c r="R1030" i="2"/>
  <c r="R1038" i="2"/>
  <c r="R1046" i="2"/>
  <c r="R1054" i="2"/>
  <c r="R1062" i="2"/>
  <c r="R1070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43" i="2"/>
  <c r="R107" i="2"/>
  <c r="R171" i="2"/>
  <c r="R235" i="2"/>
  <c r="R299" i="2"/>
  <c r="R347" i="2"/>
  <c r="R379" i="2"/>
  <c r="R411" i="2"/>
  <c r="R443" i="2"/>
  <c r="R475" i="2"/>
  <c r="R507" i="2"/>
  <c r="R539" i="2"/>
  <c r="R571" i="2"/>
  <c r="R603" i="2"/>
  <c r="R635" i="2"/>
  <c r="R667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919" i="2"/>
  <c r="R927" i="2"/>
  <c r="R935" i="2"/>
  <c r="R943" i="2"/>
  <c r="R951" i="2"/>
  <c r="R959" i="2"/>
  <c r="R967" i="2"/>
  <c r="R975" i="2"/>
  <c r="R983" i="2"/>
  <c r="R991" i="2"/>
  <c r="R999" i="2"/>
  <c r="R1007" i="2"/>
  <c r="R1015" i="2"/>
  <c r="R51" i="2"/>
  <c r="R115" i="2"/>
  <c r="R179" i="2"/>
  <c r="R243" i="2"/>
  <c r="R307" i="2"/>
  <c r="R348" i="2"/>
  <c r="R380" i="2"/>
  <c r="R412" i="2"/>
  <c r="R444" i="2"/>
  <c r="R476" i="2"/>
  <c r="R508" i="2"/>
  <c r="R540" i="2"/>
  <c r="R572" i="2"/>
  <c r="R604" i="2"/>
  <c r="R636" i="2"/>
  <c r="R668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848" i="2"/>
  <c r="R856" i="2"/>
  <c r="R864" i="2"/>
  <c r="R872" i="2"/>
  <c r="R880" i="2"/>
  <c r="R888" i="2"/>
  <c r="R896" i="2"/>
  <c r="R904" i="2"/>
  <c r="R912" i="2"/>
  <c r="R920" i="2"/>
  <c r="R928" i="2"/>
  <c r="R936" i="2"/>
  <c r="R944" i="2"/>
  <c r="R952" i="2"/>
  <c r="R960" i="2"/>
  <c r="R59" i="2"/>
  <c r="R123" i="2"/>
  <c r="R187" i="2"/>
  <c r="R251" i="2"/>
  <c r="R315" i="2"/>
  <c r="R355" i="2"/>
  <c r="R387" i="2"/>
  <c r="R419" i="2"/>
  <c r="R451" i="2"/>
  <c r="R483" i="2"/>
  <c r="R515" i="2"/>
  <c r="R547" i="2"/>
  <c r="R579" i="2"/>
  <c r="R611" i="2"/>
  <c r="R643" i="2"/>
  <c r="R675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67" i="2"/>
  <c r="R452" i="2"/>
  <c r="R690" i="2"/>
  <c r="R754" i="2"/>
  <c r="R817" i="2"/>
  <c r="R849" i="2"/>
  <c r="R881" i="2"/>
  <c r="R913" i="2"/>
  <c r="R945" i="2"/>
  <c r="R970" i="2"/>
  <c r="R993" i="2"/>
  <c r="R1016" i="2"/>
  <c r="R1032" i="2"/>
  <c r="R1048" i="2"/>
  <c r="R1064" i="2"/>
  <c r="R1080" i="2"/>
  <c r="R1096" i="2"/>
  <c r="R1112" i="2"/>
  <c r="R1128" i="2"/>
  <c r="R1144" i="2"/>
  <c r="R1160" i="2"/>
  <c r="R1176" i="2"/>
  <c r="R1192" i="2"/>
  <c r="R1202" i="2"/>
  <c r="R1214" i="2"/>
  <c r="R1224" i="2"/>
  <c r="R1234" i="2"/>
  <c r="R1243" i="2"/>
  <c r="R1253" i="2"/>
  <c r="R746" i="2"/>
  <c r="R1047" i="2"/>
  <c r="R1159" i="2"/>
  <c r="R1233" i="2"/>
  <c r="R131" i="2"/>
  <c r="R484" i="2"/>
  <c r="R698" i="2"/>
  <c r="R762" i="2"/>
  <c r="R818" i="2"/>
  <c r="R850" i="2"/>
  <c r="R882" i="2"/>
  <c r="R914" i="2"/>
  <c r="R946" i="2"/>
  <c r="R976" i="2"/>
  <c r="R994" i="2"/>
  <c r="R1017" i="2"/>
  <c r="R1033" i="2"/>
  <c r="R1049" i="2"/>
  <c r="R1065" i="2"/>
  <c r="R1081" i="2"/>
  <c r="R1097" i="2"/>
  <c r="R1113" i="2"/>
  <c r="R1129" i="2"/>
  <c r="R1145" i="2"/>
  <c r="R1161" i="2"/>
  <c r="R1177" i="2"/>
  <c r="R1193" i="2"/>
  <c r="R1205" i="2"/>
  <c r="R1215" i="2"/>
  <c r="R1225" i="2"/>
  <c r="R1235" i="2"/>
  <c r="R1245" i="2"/>
  <c r="R1254" i="2"/>
  <c r="R676" i="2"/>
  <c r="R1095" i="2"/>
  <c r="R1191" i="2"/>
  <c r="R1242" i="2"/>
  <c r="R195" i="2"/>
  <c r="R516" i="2"/>
  <c r="R706" i="2"/>
  <c r="R770" i="2"/>
  <c r="R825" i="2"/>
  <c r="R857" i="2"/>
  <c r="R889" i="2"/>
  <c r="R921" i="2"/>
  <c r="R953" i="2"/>
  <c r="R977" i="2"/>
  <c r="R1000" i="2"/>
  <c r="R1018" i="2"/>
  <c r="R1034" i="2"/>
  <c r="R1050" i="2"/>
  <c r="R1066" i="2"/>
  <c r="R1082" i="2"/>
  <c r="R1098" i="2"/>
  <c r="R1114" i="2"/>
  <c r="R1130" i="2"/>
  <c r="R1146" i="2"/>
  <c r="R1162" i="2"/>
  <c r="R1178" i="2"/>
  <c r="R1194" i="2"/>
  <c r="R1206" i="2"/>
  <c r="R1216" i="2"/>
  <c r="R1226" i="2"/>
  <c r="R1237" i="2"/>
  <c r="R1246" i="2"/>
  <c r="R1255" i="2"/>
  <c r="R420" i="2"/>
  <c r="R259" i="2"/>
  <c r="R548" i="2"/>
  <c r="R714" i="2"/>
  <c r="R778" i="2"/>
  <c r="R826" i="2"/>
  <c r="R858" i="2"/>
  <c r="R890" i="2"/>
  <c r="R922" i="2"/>
  <c r="R954" i="2"/>
  <c r="R978" i="2"/>
  <c r="R1001" i="2"/>
  <c r="R1023" i="2"/>
  <c r="R1039" i="2"/>
  <c r="R1055" i="2"/>
  <c r="R1071" i="2"/>
  <c r="R1087" i="2"/>
  <c r="R1103" i="2"/>
  <c r="R1119" i="2"/>
  <c r="R1135" i="2"/>
  <c r="R1151" i="2"/>
  <c r="R1167" i="2"/>
  <c r="R1183" i="2"/>
  <c r="R1197" i="2"/>
  <c r="R1207" i="2"/>
  <c r="R1217" i="2"/>
  <c r="R1229" i="2"/>
  <c r="R1238" i="2"/>
  <c r="R1247" i="2"/>
  <c r="R1256" i="2"/>
  <c r="R323" i="2"/>
  <c r="R580" i="2"/>
  <c r="R722" i="2"/>
  <c r="R786" i="2"/>
  <c r="R833" i="2"/>
  <c r="R865" i="2"/>
  <c r="R897" i="2"/>
  <c r="R929" i="2"/>
  <c r="R961" i="2"/>
  <c r="R984" i="2"/>
  <c r="R1002" i="2"/>
  <c r="R1024" i="2"/>
  <c r="R1040" i="2"/>
  <c r="R1056" i="2"/>
  <c r="R1072" i="2"/>
  <c r="R1088" i="2"/>
  <c r="R1104" i="2"/>
  <c r="R1120" i="2"/>
  <c r="R1136" i="2"/>
  <c r="R1152" i="2"/>
  <c r="R1168" i="2"/>
  <c r="R1184" i="2"/>
  <c r="R1198" i="2"/>
  <c r="R1208" i="2"/>
  <c r="R1218" i="2"/>
  <c r="R1230" i="2"/>
  <c r="R1239" i="2"/>
  <c r="R1248" i="2"/>
  <c r="R1257" i="2"/>
  <c r="R874" i="2"/>
  <c r="R356" i="2"/>
  <c r="R612" i="2"/>
  <c r="R730" i="2"/>
  <c r="R794" i="2"/>
  <c r="R834" i="2"/>
  <c r="R866" i="2"/>
  <c r="R898" i="2"/>
  <c r="R930" i="2"/>
  <c r="R962" i="2"/>
  <c r="R985" i="2"/>
  <c r="R1008" i="2"/>
  <c r="R1025" i="2"/>
  <c r="R1041" i="2"/>
  <c r="R1057" i="2"/>
  <c r="R1073" i="2"/>
  <c r="R1089" i="2"/>
  <c r="R1105" i="2"/>
  <c r="R1121" i="2"/>
  <c r="R1137" i="2"/>
  <c r="R1153" i="2"/>
  <c r="R1169" i="2"/>
  <c r="R1185" i="2"/>
  <c r="R1199" i="2"/>
  <c r="R1209" i="2"/>
  <c r="R1221" i="2"/>
  <c r="R1231" i="2"/>
  <c r="R1240" i="2"/>
  <c r="R1249" i="2"/>
  <c r="R1258" i="2"/>
  <c r="V52" i="1" s="1"/>
  <c r="AC8" i="2" s="1"/>
  <c r="R842" i="2"/>
  <c r="R938" i="2"/>
  <c r="R992" i="2"/>
  <c r="R1031" i="2"/>
  <c r="R1079" i="2"/>
  <c r="R1111" i="2"/>
  <c r="R1143" i="2"/>
  <c r="R1201" i="2"/>
  <c r="R1223" i="2"/>
  <c r="R388" i="2"/>
  <c r="R644" i="2"/>
  <c r="R738" i="2"/>
  <c r="R802" i="2"/>
  <c r="R841" i="2"/>
  <c r="R873" i="2"/>
  <c r="R905" i="2"/>
  <c r="R937" i="2"/>
  <c r="R968" i="2"/>
  <c r="R986" i="2"/>
  <c r="R1009" i="2"/>
  <c r="R1026" i="2"/>
  <c r="R1042" i="2"/>
  <c r="R1058" i="2"/>
  <c r="R1074" i="2"/>
  <c r="R1090" i="2"/>
  <c r="R1106" i="2"/>
  <c r="R1122" i="2"/>
  <c r="R1138" i="2"/>
  <c r="R1154" i="2"/>
  <c r="R1170" i="2"/>
  <c r="R1186" i="2"/>
  <c r="R1200" i="2"/>
  <c r="R1210" i="2"/>
  <c r="R1222" i="2"/>
  <c r="R1232" i="2"/>
  <c r="R1241" i="2"/>
  <c r="R1250" i="2"/>
  <c r="R810" i="2"/>
  <c r="R906" i="2"/>
  <c r="R969" i="2"/>
  <c r="R1010" i="2"/>
  <c r="R1063" i="2"/>
  <c r="R1127" i="2"/>
  <c r="R1175" i="2"/>
  <c r="R1213" i="2"/>
  <c r="R1251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682" i="2"/>
  <c r="Q9" i="2"/>
  <c r="Q28" i="2"/>
  <c r="Q51" i="2"/>
  <c r="Q73" i="2"/>
  <c r="Q92" i="2"/>
  <c r="Q115" i="2"/>
  <c r="Q137" i="2"/>
  <c r="Q156" i="2"/>
  <c r="Q179" i="2"/>
  <c r="Q201" i="2"/>
  <c r="Q220" i="2"/>
  <c r="Q243" i="2"/>
  <c r="Q265" i="2"/>
  <c r="Q284" i="2"/>
  <c r="Q307" i="2"/>
  <c r="Q329" i="2"/>
  <c r="Q348" i="2"/>
  <c r="Q371" i="2"/>
  <c r="Q393" i="2"/>
  <c r="Q412" i="2"/>
  <c r="Q435" i="2"/>
  <c r="Q457" i="2"/>
  <c r="Q476" i="2"/>
  <c r="Q499" i="2"/>
  <c r="Q520" i="2"/>
  <c r="Q536" i="2"/>
  <c r="Q552" i="2"/>
  <c r="Q568" i="2"/>
  <c r="Q584" i="2"/>
  <c r="Q600" i="2"/>
  <c r="Q616" i="2"/>
  <c r="Q632" i="2"/>
  <c r="Q648" i="2"/>
  <c r="Q664" i="2"/>
  <c r="Q680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11" i="2"/>
  <c r="Q33" i="2"/>
  <c r="Q52" i="2"/>
  <c r="Q75" i="2"/>
  <c r="Q97" i="2"/>
  <c r="Q116" i="2"/>
  <c r="Q139" i="2"/>
  <c r="Q161" i="2"/>
  <c r="Q180" i="2"/>
  <c r="Q203" i="2"/>
  <c r="Q225" i="2"/>
  <c r="Q244" i="2"/>
  <c r="Q267" i="2"/>
  <c r="Q289" i="2"/>
  <c r="Q308" i="2"/>
  <c r="Q331" i="2"/>
  <c r="Q353" i="2"/>
  <c r="Q372" i="2"/>
  <c r="Q395" i="2"/>
  <c r="Q417" i="2"/>
  <c r="Q436" i="2"/>
  <c r="Q459" i="2"/>
  <c r="Q481" i="2"/>
  <c r="Q500" i="2"/>
  <c r="Q521" i="2"/>
  <c r="Q537" i="2"/>
  <c r="Q553" i="2"/>
  <c r="Q569" i="2"/>
  <c r="Q585" i="2"/>
  <c r="Q601" i="2"/>
  <c r="Q617" i="2"/>
  <c r="Q633" i="2"/>
  <c r="Q649" i="2"/>
  <c r="Q665" i="2"/>
  <c r="Q681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12" i="2"/>
  <c r="Q35" i="2"/>
  <c r="Q57" i="2"/>
  <c r="Q76" i="2"/>
  <c r="Q99" i="2"/>
  <c r="Q121" i="2"/>
  <c r="Q140" i="2"/>
  <c r="Q163" i="2"/>
  <c r="Q185" i="2"/>
  <c r="Q204" i="2"/>
  <c r="Q227" i="2"/>
  <c r="Q249" i="2"/>
  <c r="Q268" i="2"/>
  <c r="Q291" i="2"/>
  <c r="Q313" i="2"/>
  <c r="Q332" i="2"/>
  <c r="Q355" i="2"/>
  <c r="Q377" i="2"/>
  <c r="Q396" i="2"/>
  <c r="Q419" i="2"/>
  <c r="Q441" i="2"/>
  <c r="Q460" i="2"/>
  <c r="Q483" i="2"/>
  <c r="Q505" i="2"/>
  <c r="Q523" i="2"/>
  <c r="Q539" i="2"/>
  <c r="Q555" i="2"/>
  <c r="Q571" i="2"/>
  <c r="Q587" i="2"/>
  <c r="Q603" i="2"/>
  <c r="Q619" i="2"/>
  <c r="Q635" i="2"/>
  <c r="Q651" i="2"/>
  <c r="Q667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17" i="2"/>
  <c r="Q36" i="2"/>
  <c r="Q59" i="2"/>
  <c r="Q81" i="2"/>
  <c r="Q100" i="2"/>
  <c r="Q123" i="2"/>
  <c r="Q145" i="2"/>
  <c r="Q164" i="2"/>
  <c r="Q187" i="2"/>
  <c r="Q209" i="2"/>
  <c r="Q228" i="2"/>
  <c r="Q251" i="2"/>
  <c r="Q273" i="2"/>
  <c r="Q292" i="2"/>
  <c r="Q315" i="2"/>
  <c r="Q337" i="2"/>
  <c r="Q356" i="2"/>
  <c r="Q379" i="2"/>
  <c r="Q401" i="2"/>
  <c r="Q420" i="2"/>
  <c r="Q443" i="2"/>
  <c r="Q465" i="2"/>
  <c r="Q484" i="2"/>
  <c r="Q507" i="2"/>
  <c r="Q524" i="2"/>
  <c r="Q540" i="2"/>
  <c r="Q556" i="2"/>
  <c r="Q572" i="2"/>
  <c r="Q588" i="2"/>
  <c r="Q604" i="2"/>
  <c r="Q620" i="2"/>
  <c r="Q636" i="2"/>
  <c r="Q652" i="2"/>
  <c r="Q668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20" i="2"/>
  <c r="Q43" i="2"/>
  <c r="Q65" i="2"/>
  <c r="Q84" i="2"/>
  <c r="Q107" i="2"/>
  <c r="Q129" i="2"/>
  <c r="Q148" i="2"/>
  <c r="Q171" i="2"/>
  <c r="Q193" i="2"/>
  <c r="Q212" i="2"/>
  <c r="Q235" i="2"/>
  <c r="Q257" i="2"/>
  <c r="Q276" i="2"/>
  <c r="Q299" i="2"/>
  <c r="Q321" i="2"/>
  <c r="Q340" i="2"/>
  <c r="Q363" i="2"/>
  <c r="Q385" i="2"/>
  <c r="Q404" i="2"/>
  <c r="Q427" i="2"/>
  <c r="Q449" i="2"/>
  <c r="Q468" i="2"/>
  <c r="Q491" i="2"/>
  <c r="Q513" i="2"/>
  <c r="Q529" i="2"/>
  <c r="Q545" i="2"/>
  <c r="Q561" i="2"/>
  <c r="Q577" i="2"/>
  <c r="Q593" i="2"/>
  <c r="Q609" i="2"/>
  <c r="Q625" i="2"/>
  <c r="Q641" i="2"/>
  <c r="Q657" i="2"/>
  <c r="Q673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1118" i="2"/>
  <c r="Q1126" i="2"/>
  <c r="Q1134" i="2"/>
  <c r="Q1142" i="2"/>
  <c r="Q1150" i="2"/>
  <c r="Q1158" i="2"/>
  <c r="Q1166" i="2"/>
  <c r="Q1174" i="2"/>
  <c r="Q1182" i="2"/>
  <c r="Q1190" i="2"/>
  <c r="Q1198" i="2"/>
  <c r="Q1206" i="2"/>
  <c r="Q19" i="2"/>
  <c r="Q68" i="2"/>
  <c r="Q131" i="2"/>
  <c r="Q188" i="2"/>
  <c r="Q241" i="2"/>
  <c r="Q300" i="2"/>
  <c r="Q361" i="2"/>
  <c r="Q411" i="2"/>
  <c r="Q473" i="2"/>
  <c r="Q528" i="2"/>
  <c r="Q564" i="2"/>
  <c r="Q611" i="2"/>
  <c r="Q656" i="2"/>
  <c r="Q688" i="2"/>
  <c r="Q711" i="2"/>
  <c r="Q733" i="2"/>
  <c r="Q752" i="2"/>
  <c r="Q775" i="2"/>
  <c r="Q797" i="2"/>
  <c r="Q816" i="2"/>
  <c r="Q839" i="2"/>
  <c r="Q861" i="2"/>
  <c r="Q880" i="2"/>
  <c r="Q903" i="2"/>
  <c r="Q925" i="2"/>
  <c r="Q944" i="2"/>
  <c r="Q967" i="2"/>
  <c r="Q989" i="2"/>
  <c r="Q1008" i="2"/>
  <c r="Q1031" i="2"/>
  <c r="Q1053" i="2"/>
  <c r="Q1072" i="2"/>
  <c r="Q1093" i="2"/>
  <c r="Q1109" i="2"/>
  <c r="Q1125" i="2"/>
  <c r="Q1141" i="2"/>
  <c r="Q1157" i="2"/>
  <c r="Q1173" i="2"/>
  <c r="Q1189" i="2"/>
  <c r="Q1205" i="2"/>
  <c r="Q1220" i="2"/>
  <c r="Q1231" i="2"/>
  <c r="Q1245" i="2"/>
  <c r="Q1256" i="2"/>
  <c r="Q155" i="2"/>
  <c r="Q324" i="2"/>
  <c r="Q444" i="2"/>
  <c r="Q547" i="2"/>
  <c r="Q675" i="2"/>
  <c r="Q720" i="2"/>
  <c r="Q765" i="2"/>
  <c r="Q829" i="2"/>
  <c r="Q893" i="2"/>
  <c r="Q935" i="2"/>
  <c r="Q976" i="2"/>
  <c r="Q1063" i="2"/>
  <c r="Q1101" i="2"/>
  <c r="Q1133" i="2"/>
  <c r="Q1197" i="2"/>
  <c r="Q1238" i="2"/>
  <c r="Q177" i="2"/>
  <c r="Q644" i="2"/>
  <c r="Q751" i="2"/>
  <c r="Q837" i="2"/>
  <c r="Q965" i="2"/>
  <c r="Q1071" i="2"/>
  <c r="Q1156" i="2"/>
  <c r="Q1244" i="2"/>
  <c r="Q25" i="2"/>
  <c r="Q83" i="2"/>
  <c r="Q132" i="2"/>
  <c r="Q195" i="2"/>
  <c r="Q252" i="2"/>
  <c r="Q305" i="2"/>
  <c r="Q364" i="2"/>
  <c r="Q425" i="2"/>
  <c r="Q475" i="2"/>
  <c r="Q531" i="2"/>
  <c r="Q576" i="2"/>
  <c r="Q612" i="2"/>
  <c r="Q659" i="2"/>
  <c r="Q693" i="2"/>
  <c r="Q712" i="2"/>
  <c r="Q735" i="2"/>
  <c r="Q757" i="2"/>
  <c r="Q776" i="2"/>
  <c r="Q799" i="2"/>
  <c r="Q821" i="2"/>
  <c r="Q840" i="2"/>
  <c r="Q863" i="2"/>
  <c r="Q885" i="2"/>
  <c r="Q904" i="2"/>
  <c r="Q927" i="2"/>
  <c r="Q949" i="2"/>
  <c r="Q968" i="2"/>
  <c r="Q991" i="2"/>
  <c r="Q1013" i="2"/>
  <c r="Q1032" i="2"/>
  <c r="Q1055" i="2"/>
  <c r="Q1077" i="2"/>
  <c r="Q1095" i="2"/>
  <c r="Q1111" i="2"/>
  <c r="Q1127" i="2"/>
  <c r="Q1143" i="2"/>
  <c r="Q1159" i="2"/>
  <c r="Q1175" i="2"/>
  <c r="Q1191" i="2"/>
  <c r="Q1207" i="2"/>
  <c r="Q1221" i="2"/>
  <c r="Q1232" i="2"/>
  <c r="Q1246" i="2"/>
  <c r="Q44" i="2"/>
  <c r="Q848" i="2"/>
  <c r="Q1040" i="2"/>
  <c r="Q1165" i="2"/>
  <c r="Q1252" i="2"/>
  <c r="Q124" i="2"/>
  <c r="Q687" i="2"/>
  <c r="Q815" i="2"/>
  <c r="Q920" i="2"/>
  <c r="Q1029" i="2"/>
  <c r="Q1124" i="2"/>
  <c r="Q1188" i="2"/>
  <c r="Q1230" i="2"/>
  <c r="Q27" i="2"/>
  <c r="Q89" i="2"/>
  <c r="Q147" i="2"/>
  <c r="Q196" i="2"/>
  <c r="Q259" i="2"/>
  <c r="Q316" i="2"/>
  <c r="Q369" i="2"/>
  <c r="Q428" i="2"/>
  <c r="Q489" i="2"/>
  <c r="Q532" i="2"/>
  <c r="Q579" i="2"/>
  <c r="Q624" i="2"/>
  <c r="Q660" i="2"/>
  <c r="Q695" i="2"/>
  <c r="Q717" i="2"/>
  <c r="Q736" i="2"/>
  <c r="Q759" i="2"/>
  <c r="Q781" i="2"/>
  <c r="Q800" i="2"/>
  <c r="Q823" i="2"/>
  <c r="Q845" i="2"/>
  <c r="Q864" i="2"/>
  <c r="Q887" i="2"/>
  <c r="Q909" i="2"/>
  <c r="Q928" i="2"/>
  <c r="Q951" i="2"/>
  <c r="Q973" i="2"/>
  <c r="Q992" i="2"/>
  <c r="Q1015" i="2"/>
  <c r="Q1037" i="2"/>
  <c r="Q1056" i="2"/>
  <c r="Q1079" i="2"/>
  <c r="Q1096" i="2"/>
  <c r="Q1112" i="2"/>
  <c r="Q1128" i="2"/>
  <c r="Q1144" i="2"/>
  <c r="Q1160" i="2"/>
  <c r="Q1176" i="2"/>
  <c r="Q1192" i="2"/>
  <c r="Q1208" i="2"/>
  <c r="Q1222" i="2"/>
  <c r="Q1236" i="2"/>
  <c r="Q1247" i="2"/>
  <c r="Q105" i="2"/>
  <c r="Q807" i="2"/>
  <c r="Q999" i="2"/>
  <c r="Q1149" i="2"/>
  <c r="Q1224" i="2"/>
  <c r="Q236" i="2"/>
  <c r="Q608" i="2"/>
  <c r="Q773" i="2"/>
  <c r="Q901" i="2"/>
  <c r="Q1007" i="2"/>
  <c r="Q1092" i="2"/>
  <c r="Q1172" i="2"/>
  <c r="Q1255" i="2"/>
  <c r="Q41" i="2"/>
  <c r="Q91" i="2"/>
  <c r="Q153" i="2"/>
  <c r="Q211" i="2"/>
  <c r="Q260" i="2"/>
  <c r="Q323" i="2"/>
  <c r="Q380" i="2"/>
  <c r="Q433" i="2"/>
  <c r="Q492" i="2"/>
  <c r="Q544" i="2"/>
  <c r="Q580" i="2"/>
  <c r="Q627" i="2"/>
  <c r="Q672" i="2"/>
  <c r="Q696" i="2"/>
  <c r="Q719" i="2"/>
  <c r="Q741" i="2"/>
  <c r="Q760" i="2"/>
  <c r="Q783" i="2"/>
  <c r="Q805" i="2"/>
  <c r="Q824" i="2"/>
  <c r="Q847" i="2"/>
  <c r="Q869" i="2"/>
  <c r="Q888" i="2"/>
  <c r="Q911" i="2"/>
  <c r="Q933" i="2"/>
  <c r="Q952" i="2"/>
  <c r="Q975" i="2"/>
  <c r="Q997" i="2"/>
  <c r="Q1016" i="2"/>
  <c r="Q1039" i="2"/>
  <c r="Q1061" i="2"/>
  <c r="Q1080" i="2"/>
  <c r="Q1100" i="2"/>
  <c r="Q1116" i="2"/>
  <c r="Q1132" i="2"/>
  <c r="Q1148" i="2"/>
  <c r="Q1164" i="2"/>
  <c r="Q1180" i="2"/>
  <c r="Q1196" i="2"/>
  <c r="Q1212" i="2"/>
  <c r="Q1223" i="2"/>
  <c r="Q1237" i="2"/>
  <c r="Q1248" i="2"/>
  <c r="Q217" i="2"/>
  <c r="Q275" i="2"/>
  <c r="Q387" i="2"/>
  <c r="Q497" i="2"/>
  <c r="Q592" i="2"/>
  <c r="Q701" i="2"/>
  <c r="Q743" i="2"/>
  <c r="Q784" i="2"/>
  <c r="Q871" i="2"/>
  <c r="Q912" i="2"/>
  <c r="Q957" i="2"/>
  <c r="Q1021" i="2"/>
  <c r="Q1085" i="2"/>
  <c r="Q1117" i="2"/>
  <c r="Q1181" i="2"/>
  <c r="Q1213" i="2"/>
  <c r="Q297" i="2"/>
  <c r="Q516" i="2"/>
  <c r="Q728" i="2"/>
  <c r="Q856" i="2"/>
  <c r="Q984" i="2"/>
  <c r="Q1108" i="2"/>
  <c r="Q1216" i="2"/>
  <c r="Q628" i="2"/>
  <c r="Q49" i="2"/>
  <c r="Q108" i="2"/>
  <c r="Q169" i="2"/>
  <c r="Q219" i="2"/>
  <c r="Q281" i="2"/>
  <c r="Q339" i="2"/>
  <c r="Q388" i="2"/>
  <c r="Q451" i="2"/>
  <c r="Q508" i="2"/>
  <c r="Q548" i="2"/>
  <c r="Q595" i="2"/>
  <c r="Q640" i="2"/>
  <c r="Q676" i="2"/>
  <c r="Q703" i="2"/>
  <c r="Q725" i="2"/>
  <c r="Q744" i="2"/>
  <c r="Q767" i="2"/>
  <c r="Q789" i="2"/>
  <c r="Q808" i="2"/>
  <c r="Q831" i="2"/>
  <c r="Q853" i="2"/>
  <c r="Q872" i="2"/>
  <c r="Q895" i="2"/>
  <c r="Q917" i="2"/>
  <c r="Q936" i="2"/>
  <c r="Q959" i="2"/>
  <c r="Q981" i="2"/>
  <c r="Q1000" i="2"/>
  <c r="Q1023" i="2"/>
  <c r="Q1045" i="2"/>
  <c r="Q1064" i="2"/>
  <c r="Q1087" i="2"/>
  <c r="Q1103" i="2"/>
  <c r="Q1119" i="2"/>
  <c r="Q1135" i="2"/>
  <c r="Q1151" i="2"/>
  <c r="Q1167" i="2"/>
  <c r="Q1183" i="2"/>
  <c r="Q1199" i="2"/>
  <c r="Q1214" i="2"/>
  <c r="Q1228" i="2"/>
  <c r="Q1239" i="2"/>
  <c r="Q1253" i="2"/>
  <c r="Q60" i="2"/>
  <c r="Q113" i="2"/>
  <c r="Q172" i="2"/>
  <c r="Q233" i="2"/>
  <c r="Q283" i="2"/>
  <c r="Q345" i="2"/>
  <c r="Q403" i="2"/>
  <c r="Q452" i="2"/>
  <c r="Q515" i="2"/>
  <c r="Q560" i="2"/>
  <c r="Q596" i="2"/>
  <c r="Q643" i="2"/>
  <c r="Q685" i="2"/>
  <c r="Q704" i="2"/>
  <c r="Q727" i="2"/>
  <c r="Q749" i="2"/>
  <c r="Q768" i="2"/>
  <c r="Q791" i="2"/>
  <c r="Q813" i="2"/>
  <c r="Q832" i="2"/>
  <c r="Q855" i="2"/>
  <c r="Q877" i="2"/>
  <c r="Q896" i="2"/>
  <c r="Q919" i="2"/>
  <c r="Q941" i="2"/>
  <c r="Q960" i="2"/>
  <c r="Q983" i="2"/>
  <c r="Q1005" i="2"/>
  <c r="Q1024" i="2"/>
  <c r="Q1047" i="2"/>
  <c r="Q1069" i="2"/>
  <c r="Q1088" i="2"/>
  <c r="Q1104" i="2"/>
  <c r="Q1120" i="2"/>
  <c r="Q1136" i="2"/>
  <c r="Q1152" i="2"/>
  <c r="Q1168" i="2"/>
  <c r="Q1184" i="2"/>
  <c r="Q1200" i="2"/>
  <c r="Q1215" i="2"/>
  <c r="Q1229" i="2"/>
  <c r="Q1240" i="2"/>
  <c r="Q1254" i="2"/>
  <c r="Q67" i="2"/>
  <c r="Q347" i="2"/>
  <c r="Q409" i="2"/>
  <c r="Q467" i="2"/>
  <c r="Q563" i="2"/>
  <c r="Q709" i="2"/>
  <c r="Q792" i="2"/>
  <c r="Q879" i="2"/>
  <c r="Q943" i="2"/>
  <c r="Q1048" i="2"/>
  <c r="Q1140" i="2"/>
  <c r="Q1204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444" i="2"/>
  <c r="P452" i="2"/>
  <c r="P460" i="2"/>
  <c r="P468" i="2"/>
  <c r="P476" i="2"/>
  <c r="P484" i="2"/>
  <c r="P492" i="2"/>
  <c r="P500" i="2"/>
  <c r="P508" i="2"/>
  <c r="P516" i="2"/>
  <c r="P524" i="2"/>
  <c r="P532" i="2"/>
  <c r="P540" i="2"/>
  <c r="P548" i="2"/>
  <c r="P556" i="2"/>
  <c r="P564" i="2"/>
  <c r="P572" i="2"/>
  <c r="P10" i="2"/>
  <c r="P42" i="2"/>
  <c r="P74" i="2"/>
  <c r="P106" i="2"/>
  <c r="P138" i="2"/>
  <c r="P170" i="2"/>
  <c r="P190" i="2"/>
  <c r="P206" i="2"/>
  <c r="P222" i="2"/>
  <c r="P238" i="2"/>
  <c r="P254" i="2"/>
  <c r="P270" i="2"/>
  <c r="P286" i="2"/>
  <c r="P302" i="2"/>
  <c r="P318" i="2"/>
  <c r="P334" i="2"/>
  <c r="P350" i="2"/>
  <c r="P366" i="2"/>
  <c r="P382" i="2"/>
  <c r="P398" i="2"/>
  <c r="P414" i="2"/>
  <c r="P430" i="2"/>
  <c r="P446" i="2"/>
  <c r="P462" i="2"/>
  <c r="P478" i="2"/>
  <c r="P494" i="2"/>
  <c r="P510" i="2"/>
  <c r="P526" i="2"/>
  <c r="P542" i="2"/>
  <c r="P558" i="2"/>
  <c r="P574" i="2"/>
  <c r="P587" i="2"/>
  <c r="P599" i="2"/>
  <c r="P612" i="2"/>
  <c r="P626" i="2"/>
  <c r="P638" i="2"/>
  <c r="P651" i="2"/>
  <c r="P663" i="2"/>
  <c r="P674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9" i="2"/>
  <c r="P51" i="2"/>
  <c r="P83" i="2"/>
  <c r="P115" i="2"/>
  <c r="P147" i="2"/>
  <c r="P178" i="2"/>
  <c r="P195" i="2"/>
  <c r="P211" i="2"/>
  <c r="P227" i="2"/>
  <c r="P243" i="2"/>
  <c r="P259" i="2"/>
  <c r="P275" i="2"/>
  <c r="P291" i="2"/>
  <c r="P307" i="2"/>
  <c r="P323" i="2"/>
  <c r="P339" i="2"/>
  <c r="P355" i="2"/>
  <c r="P371" i="2"/>
  <c r="P387" i="2"/>
  <c r="P403" i="2"/>
  <c r="P419" i="2"/>
  <c r="P435" i="2"/>
  <c r="P451" i="2"/>
  <c r="P467" i="2"/>
  <c r="P483" i="2"/>
  <c r="P499" i="2"/>
  <c r="P515" i="2"/>
  <c r="P531" i="2"/>
  <c r="P547" i="2"/>
  <c r="P563" i="2"/>
  <c r="P579" i="2"/>
  <c r="P591" i="2"/>
  <c r="P604" i="2"/>
  <c r="P618" i="2"/>
  <c r="P630" i="2"/>
  <c r="P643" i="2"/>
  <c r="P655" i="2"/>
  <c r="P668" i="2"/>
  <c r="P678" i="2"/>
  <c r="P686" i="2"/>
  <c r="P694" i="2"/>
  <c r="P702" i="2"/>
  <c r="P710" i="2"/>
  <c r="P718" i="2"/>
  <c r="P726" i="2"/>
  <c r="P734" i="2"/>
  <c r="P742" i="2"/>
  <c r="P750" i="2"/>
  <c r="P758" i="2"/>
  <c r="P766" i="2"/>
  <c r="P774" i="2"/>
  <c r="P782" i="2"/>
  <c r="P790" i="2"/>
  <c r="P798" i="2"/>
  <c r="P806" i="2"/>
  <c r="P814" i="2"/>
  <c r="P822" i="2"/>
  <c r="P830" i="2"/>
  <c r="P838" i="2"/>
  <c r="P846" i="2"/>
  <c r="P854" i="2"/>
  <c r="P862" i="2"/>
  <c r="P870" i="2"/>
  <c r="P878" i="2"/>
  <c r="P886" i="2"/>
  <c r="P894" i="2"/>
  <c r="P902" i="2"/>
  <c r="P910" i="2"/>
  <c r="P918" i="2"/>
  <c r="P926" i="2"/>
  <c r="P934" i="2"/>
  <c r="P942" i="2"/>
  <c r="P950" i="2"/>
  <c r="P958" i="2"/>
  <c r="P966" i="2"/>
  <c r="P974" i="2"/>
  <c r="P982" i="2"/>
  <c r="P990" i="2"/>
  <c r="P998" i="2"/>
  <c r="P1006" i="2"/>
  <c r="P1014" i="2"/>
  <c r="P1022" i="2"/>
  <c r="P1030" i="2"/>
  <c r="P1038" i="2"/>
  <c r="P1046" i="2"/>
  <c r="P26" i="2"/>
  <c r="P58" i="2"/>
  <c r="P90" i="2"/>
  <c r="P122" i="2"/>
  <c r="P154" i="2"/>
  <c r="P179" i="2"/>
  <c r="P198" i="2"/>
  <c r="P214" i="2"/>
  <c r="P230" i="2"/>
  <c r="P246" i="2"/>
  <c r="P262" i="2"/>
  <c r="P278" i="2"/>
  <c r="P294" i="2"/>
  <c r="P310" i="2"/>
  <c r="P326" i="2"/>
  <c r="P342" i="2"/>
  <c r="P358" i="2"/>
  <c r="P374" i="2"/>
  <c r="P390" i="2"/>
  <c r="P406" i="2"/>
  <c r="P422" i="2"/>
  <c r="P438" i="2"/>
  <c r="P454" i="2"/>
  <c r="P470" i="2"/>
  <c r="P486" i="2"/>
  <c r="P502" i="2"/>
  <c r="P518" i="2"/>
  <c r="P534" i="2"/>
  <c r="P550" i="2"/>
  <c r="P566" i="2"/>
  <c r="P580" i="2"/>
  <c r="P594" i="2"/>
  <c r="P606" i="2"/>
  <c r="P619" i="2"/>
  <c r="P631" i="2"/>
  <c r="P644" i="2"/>
  <c r="P658" i="2"/>
  <c r="P670" i="2"/>
  <c r="P679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27" i="2"/>
  <c r="P59" i="2"/>
  <c r="P91" i="2"/>
  <c r="P123" i="2"/>
  <c r="P155" i="2"/>
  <c r="P183" i="2"/>
  <c r="P199" i="2"/>
  <c r="P215" i="2"/>
  <c r="P231" i="2"/>
  <c r="P247" i="2"/>
  <c r="P263" i="2"/>
  <c r="P279" i="2"/>
  <c r="P295" i="2"/>
  <c r="P311" i="2"/>
  <c r="P327" i="2"/>
  <c r="P343" i="2"/>
  <c r="P359" i="2"/>
  <c r="P375" i="2"/>
  <c r="P391" i="2"/>
  <c r="P407" i="2"/>
  <c r="P423" i="2"/>
  <c r="P439" i="2"/>
  <c r="P455" i="2"/>
  <c r="P471" i="2"/>
  <c r="P487" i="2"/>
  <c r="P503" i="2"/>
  <c r="P519" i="2"/>
  <c r="P535" i="2"/>
  <c r="P551" i="2"/>
  <c r="P567" i="2"/>
  <c r="P582" i="2"/>
  <c r="P595" i="2"/>
  <c r="P607" i="2"/>
  <c r="P620" i="2"/>
  <c r="P634" i="2"/>
  <c r="P646" i="2"/>
  <c r="P659" i="2"/>
  <c r="P671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11" i="2"/>
  <c r="P75" i="2"/>
  <c r="P139" i="2"/>
  <c r="P191" i="2"/>
  <c r="P223" i="2"/>
  <c r="P255" i="2"/>
  <c r="P287" i="2"/>
  <c r="P319" i="2"/>
  <c r="P351" i="2"/>
  <c r="P383" i="2"/>
  <c r="P415" i="2"/>
  <c r="P447" i="2"/>
  <c r="P479" i="2"/>
  <c r="P511" i="2"/>
  <c r="P543" i="2"/>
  <c r="P575" i="2"/>
  <c r="P602" i="2"/>
  <c r="P627" i="2"/>
  <c r="P652" i="2"/>
  <c r="P675" i="2"/>
  <c r="P692" i="2"/>
  <c r="P708" i="2"/>
  <c r="P724" i="2"/>
  <c r="P740" i="2"/>
  <c r="P756" i="2"/>
  <c r="P772" i="2"/>
  <c r="P788" i="2"/>
  <c r="P804" i="2"/>
  <c r="P820" i="2"/>
  <c r="P836" i="2"/>
  <c r="P852" i="2"/>
  <c r="P868" i="2"/>
  <c r="P884" i="2"/>
  <c r="P900" i="2"/>
  <c r="P913" i="2"/>
  <c r="P925" i="2"/>
  <c r="P938" i="2"/>
  <c r="P952" i="2"/>
  <c r="P964" i="2"/>
  <c r="P977" i="2"/>
  <c r="P989" i="2"/>
  <c r="P1002" i="2"/>
  <c r="P1016" i="2"/>
  <c r="P1028" i="2"/>
  <c r="P1041" i="2"/>
  <c r="P1053" i="2"/>
  <c r="P1062" i="2"/>
  <c r="P1071" i="2"/>
  <c r="P1080" i="2"/>
  <c r="P1089" i="2"/>
  <c r="P1098" i="2"/>
  <c r="P1108" i="2"/>
  <c r="P1117" i="2"/>
  <c r="P1126" i="2"/>
  <c r="P1135" i="2"/>
  <c r="P1144" i="2"/>
  <c r="P1153" i="2"/>
  <c r="P1162" i="2"/>
  <c r="P1172" i="2"/>
  <c r="P1181" i="2"/>
  <c r="P1190" i="2"/>
  <c r="P1199" i="2"/>
  <c r="P1207" i="2"/>
  <c r="P1215" i="2"/>
  <c r="P1223" i="2"/>
  <c r="P1231" i="2"/>
  <c r="P1239" i="2"/>
  <c r="P1247" i="2"/>
  <c r="P1255" i="2"/>
  <c r="P250" i="2"/>
  <c r="P18" i="2"/>
  <c r="P82" i="2"/>
  <c r="P146" i="2"/>
  <c r="P194" i="2"/>
  <c r="P226" i="2"/>
  <c r="P258" i="2"/>
  <c r="P290" i="2"/>
  <c r="P322" i="2"/>
  <c r="P354" i="2"/>
  <c r="P386" i="2"/>
  <c r="P418" i="2"/>
  <c r="P450" i="2"/>
  <c r="P482" i="2"/>
  <c r="P514" i="2"/>
  <c r="P546" i="2"/>
  <c r="P578" i="2"/>
  <c r="P603" i="2"/>
  <c r="P628" i="2"/>
  <c r="P654" i="2"/>
  <c r="P676" i="2"/>
  <c r="P693" i="2"/>
  <c r="P709" i="2"/>
  <c r="P725" i="2"/>
  <c r="P741" i="2"/>
  <c r="P757" i="2"/>
  <c r="P773" i="2"/>
  <c r="P789" i="2"/>
  <c r="P805" i="2"/>
  <c r="P821" i="2"/>
  <c r="P837" i="2"/>
  <c r="P853" i="2"/>
  <c r="P869" i="2"/>
  <c r="P885" i="2"/>
  <c r="P901" i="2"/>
  <c r="P914" i="2"/>
  <c r="P928" i="2"/>
  <c r="P940" i="2"/>
  <c r="P953" i="2"/>
  <c r="P965" i="2"/>
  <c r="P978" i="2"/>
  <c r="P992" i="2"/>
  <c r="P1004" i="2"/>
  <c r="P1017" i="2"/>
  <c r="P1029" i="2"/>
  <c r="P1042" i="2"/>
  <c r="P1054" i="2"/>
  <c r="P1063" i="2"/>
  <c r="P1072" i="2"/>
  <c r="P1081" i="2"/>
  <c r="P1090" i="2"/>
  <c r="P1100" i="2"/>
  <c r="P1109" i="2"/>
  <c r="P1118" i="2"/>
  <c r="P1127" i="2"/>
  <c r="P1136" i="2"/>
  <c r="P1145" i="2"/>
  <c r="P1154" i="2"/>
  <c r="P1164" i="2"/>
  <c r="P1173" i="2"/>
  <c r="P1182" i="2"/>
  <c r="P1191" i="2"/>
  <c r="P1200" i="2"/>
  <c r="P1208" i="2"/>
  <c r="P1216" i="2"/>
  <c r="P1224" i="2"/>
  <c r="P1232" i="2"/>
  <c r="P1240" i="2"/>
  <c r="P1248" i="2"/>
  <c r="P1256" i="2"/>
  <c r="P34" i="2"/>
  <c r="P98" i="2"/>
  <c r="P162" i="2"/>
  <c r="P202" i="2"/>
  <c r="P234" i="2"/>
  <c r="P266" i="2"/>
  <c r="P298" i="2"/>
  <c r="P330" i="2"/>
  <c r="P362" i="2"/>
  <c r="P394" i="2"/>
  <c r="P426" i="2"/>
  <c r="P458" i="2"/>
  <c r="P490" i="2"/>
  <c r="P522" i="2"/>
  <c r="P554" i="2"/>
  <c r="P583" i="2"/>
  <c r="P610" i="2"/>
  <c r="P635" i="2"/>
  <c r="P660" i="2"/>
  <c r="P681" i="2"/>
  <c r="P697" i="2"/>
  <c r="P713" i="2"/>
  <c r="P729" i="2"/>
  <c r="P745" i="2"/>
  <c r="P761" i="2"/>
  <c r="P777" i="2"/>
  <c r="P793" i="2"/>
  <c r="P809" i="2"/>
  <c r="P825" i="2"/>
  <c r="P841" i="2"/>
  <c r="P857" i="2"/>
  <c r="P873" i="2"/>
  <c r="P889" i="2"/>
  <c r="P904" i="2"/>
  <c r="P916" i="2"/>
  <c r="P929" i="2"/>
  <c r="P941" i="2"/>
  <c r="P954" i="2"/>
  <c r="P968" i="2"/>
  <c r="P980" i="2"/>
  <c r="P993" i="2"/>
  <c r="P1005" i="2"/>
  <c r="P1018" i="2"/>
  <c r="P1032" i="2"/>
  <c r="P1044" i="2"/>
  <c r="P1055" i="2"/>
  <c r="P1064" i="2"/>
  <c r="P1073" i="2"/>
  <c r="P1082" i="2"/>
  <c r="P1092" i="2"/>
  <c r="P1101" i="2"/>
  <c r="P1110" i="2"/>
  <c r="P1119" i="2"/>
  <c r="P1128" i="2"/>
  <c r="P1137" i="2"/>
  <c r="P1146" i="2"/>
  <c r="P1156" i="2"/>
  <c r="P1165" i="2"/>
  <c r="P1174" i="2"/>
  <c r="P1183" i="2"/>
  <c r="P1192" i="2"/>
  <c r="P1201" i="2"/>
  <c r="P1209" i="2"/>
  <c r="P1217" i="2"/>
  <c r="P1225" i="2"/>
  <c r="P1233" i="2"/>
  <c r="P1241" i="2"/>
  <c r="P1249" i="2"/>
  <c r="P1257" i="2"/>
  <c r="P35" i="2"/>
  <c r="P99" i="2"/>
  <c r="P163" i="2"/>
  <c r="P203" i="2"/>
  <c r="P235" i="2"/>
  <c r="P267" i="2"/>
  <c r="P299" i="2"/>
  <c r="P331" i="2"/>
  <c r="P363" i="2"/>
  <c r="P395" i="2"/>
  <c r="P427" i="2"/>
  <c r="P459" i="2"/>
  <c r="P491" i="2"/>
  <c r="P523" i="2"/>
  <c r="P555" i="2"/>
  <c r="P586" i="2"/>
  <c r="P611" i="2"/>
  <c r="P636" i="2"/>
  <c r="P662" i="2"/>
  <c r="P682" i="2"/>
  <c r="P698" i="2"/>
  <c r="P714" i="2"/>
  <c r="P730" i="2"/>
  <c r="P746" i="2"/>
  <c r="P762" i="2"/>
  <c r="P778" i="2"/>
  <c r="P794" i="2"/>
  <c r="P810" i="2"/>
  <c r="P826" i="2"/>
  <c r="P842" i="2"/>
  <c r="P858" i="2"/>
  <c r="P874" i="2"/>
  <c r="P890" i="2"/>
  <c r="P905" i="2"/>
  <c r="P917" i="2"/>
  <c r="P930" i="2"/>
  <c r="P944" i="2"/>
  <c r="P956" i="2"/>
  <c r="P969" i="2"/>
  <c r="P981" i="2"/>
  <c r="P994" i="2"/>
  <c r="P1008" i="2"/>
  <c r="P1020" i="2"/>
  <c r="P1033" i="2"/>
  <c r="P1045" i="2"/>
  <c r="P1056" i="2"/>
  <c r="P1065" i="2"/>
  <c r="P1074" i="2"/>
  <c r="P1084" i="2"/>
  <c r="P1093" i="2"/>
  <c r="P1102" i="2"/>
  <c r="P1111" i="2"/>
  <c r="P1120" i="2"/>
  <c r="P1129" i="2"/>
  <c r="P1138" i="2"/>
  <c r="P1148" i="2"/>
  <c r="P1157" i="2"/>
  <c r="P1166" i="2"/>
  <c r="P1175" i="2"/>
  <c r="P1184" i="2"/>
  <c r="P1193" i="2"/>
  <c r="P1202" i="2"/>
  <c r="P1210" i="2"/>
  <c r="P1218" i="2"/>
  <c r="P1226" i="2"/>
  <c r="P1234" i="2"/>
  <c r="P1242" i="2"/>
  <c r="P1250" i="2"/>
  <c r="P1258" i="2"/>
  <c r="V50" i="1" s="1"/>
  <c r="AC6" i="2" s="1"/>
  <c r="P130" i="2"/>
  <c r="P314" i="2"/>
  <c r="P346" i="2"/>
  <c r="P410" i="2"/>
  <c r="P474" i="2"/>
  <c r="P538" i="2"/>
  <c r="P596" i="2"/>
  <c r="P647" i="2"/>
  <c r="P689" i="2"/>
  <c r="P721" i="2"/>
  <c r="P753" i="2"/>
  <c r="P785" i="2"/>
  <c r="P817" i="2"/>
  <c r="P849" i="2"/>
  <c r="P881" i="2"/>
  <c r="P909" i="2"/>
  <c r="P936" i="2"/>
  <c r="P961" i="2"/>
  <c r="P43" i="2"/>
  <c r="P107" i="2"/>
  <c r="P171" i="2"/>
  <c r="P207" i="2"/>
  <c r="P239" i="2"/>
  <c r="P271" i="2"/>
  <c r="P303" i="2"/>
  <c r="P335" i="2"/>
  <c r="P367" i="2"/>
  <c r="P399" i="2"/>
  <c r="P431" i="2"/>
  <c r="P463" i="2"/>
  <c r="P495" i="2"/>
  <c r="P527" i="2"/>
  <c r="P559" i="2"/>
  <c r="P588" i="2"/>
  <c r="P614" i="2"/>
  <c r="P639" i="2"/>
  <c r="P666" i="2"/>
  <c r="P684" i="2"/>
  <c r="P700" i="2"/>
  <c r="P716" i="2"/>
  <c r="P732" i="2"/>
  <c r="P748" i="2"/>
  <c r="P764" i="2"/>
  <c r="P780" i="2"/>
  <c r="P796" i="2"/>
  <c r="P812" i="2"/>
  <c r="P828" i="2"/>
  <c r="P844" i="2"/>
  <c r="P860" i="2"/>
  <c r="P876" i="2"/>
  <c r="P892" i="2"/>
  <c r="P906" i="2"/>
  <c r="P920" i="2"/>
  <c r="P932" i="2"/>
  <c r="P945" i="2"/>
  <c r="P957" i="2"/>
  <c r="P970" i="2"/>
  <c r="P984" i="2"/>
  <c r="P996" i="2"/>
  <c r="P1009" i="2"/>
  <c r="P1021" i="2"/>
  <c r="P1034" i="2"/>
  <c r="P1048" i="2"/>
  <c r="P1057" i="2"/>
  <c r="P1066" i="2"/>
  <c r="P1076" i="2"/>
  <c r="P1085" i="2"/>
  <c r="P1094" i="2"/>
  <c r="P1103" i="2"/>
  <c r="P1112" i="2"/>
  <c r="P1121" i="2"/>
  <c r="P1130" i="2"/>
  <c r="P1140" i="2"/>
  <c r="P1149" i="2"/>
  <c r="P1158" i="2"/>
  <c r="P1167" i="2"/>
  <c r="P1176" i="2"/>
  <c r="P1185" i="2"/>
  <c r="P1194" i="2"/>
  <c r="P1203" i="2"/>
  <c r="P1211" i="2"/>
  <c r="P1219" i="2"/>
  <c r="P1227" i="2"/>
  <c r="P1235" i="2"/>
  <c r="P1243" i="2"/>
  <c r="P1251" i="2"/>
  <c r="P50" i="2"/>
  <c r="P114" i="2"/>
  <c r="P175" i="2"/>
  <c r="P210" i="2"/>
  <c r="P242" i="2"/>
  <c r="P274" i="2"/>
  <c r="P306" i="2"/>
  <c r="P338" i="2"/>
  <c r="P370" i="2"/>
  <c r="P402" i="2"/>
  <c r="P434" i="2"/>
  <c r="P466" i="2"/>
  <c r="P498" i="2"/>
  <c r="P530" i="2"/>
  <c r="P562" i="2"/>
  <c r="P590" i="2"/>
  <c r="P615" i="2"/>
  <c r="P642" i="2"/>
  <c r="P667" i="2"/>
  <c r="P685" i="2"/>
  <c r="P701" i="2"/>
  <c r="P717" i="2"/>
  <c r="P733" i="2"/>
  <c r="P749" i="2"/>
  <c r="P765" i="2"/>
  <c r="P781" i="2"/>
  <c r="P797" i="2"/>
  <c r="P813" i="2"/>
  <c r="P829" i="2"/>
  <c r="P845" i="2"/>
  <c r="P861" i="2"/>
  <c r="P877" i="2"/>
  <c r="P893" i="2"/>
  <c r="P908" i="2"/>
  <c r="P921" i="2"/>
  <c r="P933" i="2"/>
  <c r="P946" i="2"/>
  <c r="P960" i="2"/>
  <c r="P972" i="2"/>
  <c r="P985" i="2"/>
  <c r="P997" i="2"/>
  <c r="P1010" i="2"/>
  <c r="P1024" i="2"/>
  <c r="P1036" i="2"/>
  <c r="P1049" i="2"/>
  <c r="P1058" i="2"/>
  <c r="P1068" i="2"/>
  <c r="P1077" i="2"/>
  <c r="P1086" i="2"/>
  <c r="P1095" i="2"/>
  <c r="P1104" i="2"/>
  <c r="P1113" i="2"/>
  <c r="P1122" i="2"/>
  <c r="P1132" i="2"/>
  <c r="P1141" i="2"/>
  <c r="P1150" i="2"/>
  <c r="P1159" i="2"/>
  <c r="P1168" i="2"/>
  <c r="P1177" i="2"/>
  <c r="P1186" i="2"/>
  <c r="P1196" i="2"/>
  <c r="P1204" i="2"/>
  <c r="P1212" i="2"/>
  <c r="P1220" i="2"/>
  <c r="P1228" i="2"/>
  <c r="P1236" i="2"/>
  <c r="P1244" i="2"/>
  <c r="P1252" i="2"/>
  <c r="P66" i="2"/>
  <c r="P282" i="2"/>
  <c r="P378" i="2"/>
  <c r="P442" i="2"/>
  <c r="P506" i="2"/>
  <c r="P570" i="2"/>
  <c r="P622" i="2"/>
  <c r="P672" i="2"/>
  <c r="P705" i="2"/>
  <c r="P737" i="2"/>
  <c r="P769" i="2"/>
  <c r="P801" i="2"/>
  <c r="P833" i="2"/>
  <c r="P865" i="2"/>
  <c r="P897" i="2"/>
  <c r="P922" i="2"/>
  <c r="P948" i="2"/>
  <c r="P67" i="2"/>
  <c r="P315" i="2"/>
  <c r="P571" i="2"/>
  <c r="P738" i="2"/>
  <c r="P866" i="2"/>
  <c r="P973" i="2"/>
  <c r="P1025" i="2"/>
  <c r="P1069" i="2"/>
  <c r="P1105" i="2"/>
  <c r="P1142" i="2"/>
  <c r="P1178" i="2"/>
  <c r="P1213" i="2"/>
  <c r="P1245" i="2"/>
  <c r="P1013" i="2"/>
  <c r="P131" i="2"/>
  <c r="P347" i="2"/>
  <c r="P598" i="2"/>
  <c r="P754" i="2"/>
  <c r="P882" i="2"/>
  <c r="P976" i="2"/>
  <c r="P1026" i="2"/>
  <c r="P1070" i="2"/>
  <c r="P1106" i="2"/>
  <c r="P1143" i="2"/>
  <c r="P1180" i="2"/>
  <c r="P1214" i="2"/>
  <c r="P1246" i="2"/>
  <c r="P962" i="2"/>
  <c r="P186" i="2"/>
  <c r="P379" i="2"/>
  <c r="P623" i="2"/>
  <c r="P770" i="2"/>
  <c r="P898" i="2"/>
  <c r="P986" i="2"/>
  <c r="P1037" i="2"/>
  <c r="P1078" i="2"/>
  <c r="P1114" i="2"/>
  <c r="P1151" i="2"/>
  <c r="P1188" i="2"/>
  <c r="P1221" i="2"/>
  <c r="P1253" i="2"/>
  <c r="P706" i="2"/>
  <c r="P722" i="2"/>
  <c r="P187" i="2"/>
  <c r="P411" i="2"/>
  <c r="P650" i="2"/>
  <c r="P786" i="2"/>
  <c r="P912" i="2"/>
  <c r="P988" i="2"/>
  <c r="P1040" i="2"/>
  <c r="P1079" i="2"/>
  <c r="P1116" i="2"/>
  <c r="P1152" i="2"/>
  <c r="P1189" i="2"/>
  <c r="P1222" i="2"/>
  <c r="P1254" i="2"/>
  <c r="P507" i="2"/>
  <c r="P539" i="2"/>
  <c r="P1097" i="2"/>
  <c r="P1170" i="2"/>
  <c r="P1238" i="2"/>
  <c r="P218" i="2"/>
  <c r="P443" i="2"/>
  <c r="P673" i="2"/>
  <c r="P802" i="2"/>
  <c r="P924" i="2"/>
  <c r="P1000" i="2"/>
  <c r="P1050" i="2"/>
  <c r="P1087" i="2"/>
  <c r="P1124" i="2"/>
  <c r="P1160" i="2"/>
  <c r="P1197" i="2"/>
  <c r="P1229" i="2"/>
  <c r="P834" i="2"/>
  <c r="P850" i="2"/>
  <c r="P219" i="2"/>
  <c r="P475" i="2"/>
  <c r="P690" i="2"/>
  <c r="P818" i="2"/>
  <c r="P937" i="2"/>
  <c r="P1001" i="2"/>
  <c r="P1052" i="2"/>
  <c r="P1088" i="2"/>
  <c r="P1125" i="2"/>
  <c r="P1161" i="2"/>
  <c r="P1198" i="2"/>
  <c r="P1230" i="2"/>
  <c r="P251" i="2"/>
  <c r="P949" i="2"/>
  <c r="P1012" i="2"/>
  <c r="P1060" i="2"/>
  <c r="P1096" i="2"/>
  <c r="P1133" i="2"/>
  <c r="P1169" i="2"/>
  <c r="P1205" i="2"/>
  <c r="P1237" i="2"/>
  <c r="P283" i="2"/>
  <c r="P1061" i="2"/>
  <c r="P1134" i="2"/>
  <c r="P1206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8" i="2"/>
  <c r="O24" i="2"/>
  <c r="O40" i="2"/>
  <c r="O56" i="2"/>
  <c r="O72" i="2"/>
  <c r="O88" i="2"/>
  <c r="O104" i="2"/>
  <c r="O120" i="2"/>
  <c r="O136" i="2"/>
  <c r="O152" i="2"/>
  <c r="O168" i="2"/>
  <c r="O184" i="2"/>
  <c r="O200" i="2"/>
  <c r="O216" i="2"/>
  <c r="O232" i="2"/>
  <c r="O248" i="2"/>
  <c r="O264" i="2"/>
  <c r="O280" i="2"/>
  <c r="O296" i="2"/>
  <c r="O312" i="2"/>
  <c r="O328" i="2"/>
  <c r="O344" i="2"/>
  <c r="O360" i="2"/>
  <c r="O376" i="2"/>
  <c r="O392" i="2"/>
  <c r="O408" i="2"/>
  <c r="O424" i="2"/>
  <c r="O440" i="2"/>
  <c r="O456" i="2"/>
  <c r="O472" i="2"/>
  <c r="O488" i="2"/>
  <c r="O504" i="2"/>
  <c r="O520" i="2"/>
  <c r="O536" i="2"/>
  <c r="O552" i="2"/>
  <c r="O568" i="2"/>
  <c r="O584" i="2"/>
  <c r="O600" i="2"/>
  <c r="O616" i="2"/>
  <c r="O632" i="2"/>
  <c r="O648" i="2"/>
  <c r="O664" i="2"/>
  <c r="O680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73" i="2"/>
  <c r="O881" i="2"/>
  <c r="O889" i="2"/>
  <c r="O897" i="2"/>
  <c r="O905" i="2"/>
  <c r="O913" i="2"/>
  <c r="O921" i="2"/>
  <c r="O929" i="2"/>
  <c r="O937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9" i="2"/>
  <c r="O25" i="2"/>
  <c r="O41" i="2"/>
  <c r="O57" i="2"/>
  <c r="O73" i="2"/>
  <c r="O89" i="2"/>
  <c r="O105" i="2"/>
  <c r="O121" i="2"/>
  <c r="O137" i="2"/>
  <c r="O153" i="2"/>
  <c r="O169" i="2"/>
  <c r="O185" i="2"/>
  <c r="O201" i="2"/>
  <c r="O217" i="2"/>
  <c r="O233" i="2"/>
  <c r="O249" i="2"/>
  <c r="O265" i="2"/>
  <c r="O281" i="2"/>
  <c r="O297" i="2"/>
  <c r="O313" i="2"/>
  <c r="O329" i="2"/>
  <c r="O345" i="2"/>
  <c r="O361" i="2"/>
  <c r="O377" i="2"/>
  <c r="O393" i="2"/>
  <c r="O409" i="2"/>
  <c r="O425" i="2"/>
  <c r="O441" i="2"/>
  <c r="O457" i="2"/>
  <c r="O473" i="2"/>
  <c r="O489" i="2"/>
  <c r="O505" i="2"/>
  <c r="O521" i="2"/>
  <c r="O537" i="2"/>
  <c r="O553" i="2"/>
  <c r="O569" i="2"/>
  <c r="O585" i="2"/>
  <c r="O601" i="2"/>
  <c r="O617" i="2"/>
  <c r="O633" i="2"/>
  <c r="O649" i="2"/>
  <c r="O665" i="2"/>
  <c r="O681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1" i="2"/>
  <c r="O27" i="2"/>
  <c r="O43" i="2"/>
  <c r="O59" i="2"/>
  <c r="O75" i="2"/>
  <c r="O91" i="2"/>
  <c r="O107" i="2"/>
  <c r="O123" i="2"/>
  <c r="O139" i="2"/>
  <c r="O155" i="2"/>
  <c r="O171" i="2"/>
  <c r="O187" i="2"/>
  <c r="O203" i="2"/>
  <c r="O219" i="2"/>
  <c r="O235" i="2"/>
  <c r="O251" i="2"/>
  <c r="O267" i="2"/>
  <c r="O283" i="2"/>
  <c r="O299" i="2"/>
  <c r="O315" i="2"/>
  <c r="O331" i="2"/>
  <c r="O347" i="2"/>
  <c r="O363" i="2"/>
  <c r="O379" i="2"/>
  <c r="O395" i="2"/>
  <c r="O411" i="2"/>
  <c r="O427" i="2"/>
  <c r="O443" i="2"/>
  <c r="O459" i="2"/>
  <c r="O475" i="2"/>
  <c r="O491" i="2"/>
  <c r="O507" i="2"/>
  <c r="O523" i="2"/>
  <c r="O539" i="2"/>
  <c r="O555" i="2"/>
  <c r="O571" i="2"/>
  <c r="O587" i="2"/>
  <c r="O603" i="2"/>
  <c r="O619" i="2"/>
  <c r="O635" i="2"/>
  <c r="O651" i="2"/>
  <c r="O667" i="2"/>
  <c r="O683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12" i="2"/>
  <c r="O28" i="2"/>
  <c r="O44" i="2"/>
  <c r="O60" i="2"/>
  <c r="O76" i="2"/>
  <c r="O92" i="2"/>
  <c r="O108" i="2"/>
  <c r="O124" i="2"/>
  <c r="O140" i="2"/>
  <c r="O156" i="2"/>
  <c r="O172" i="2"/>
  <c r="O188" i="2"/>
  <c r="O204" i="2"/>
  <c r="O220" i="2"/>
  <c r="O236" i="2"/>
  <c r="O252" i="2"/>
  <c r="O268" i="2"/>
  <c r="O284" i="2"/>
  <c r="O300" i="2"/>
  <c r="O316" i="2"/>
  <c r="O332" i="2"/>
  <c r="O348" i="2"/>
  <c r="O364" i="2"/>
  <c r="O380" i="2"/>
  <c r="O396" i="2"/>
  <c r="O412" i="2"/>
  <c r="O428" i="2"/>
  <c r="O444" i="2"/>
  <c r="O460" i="2"/>
  <c r="O476" i="2"/>
  <c r="O492" i="2"/>
  <c r="O508" i="2"/>
  <c r="O524" i="2"/>
  <c r="O540" i="2"/>
  <c r="O556" i="2"/>
  <c r="O572" i="2"/>
  <c r="O588" i="2"/>
  <c r="O604" i="2"/>
  <c r="O620" i="2"/>
  <c r="O636" i="2"/>
  <c r="O652" i="2"/>
  <c r="O668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7" i="2"/>
  <c r="O33" i="2"/>
  <c r="O49" i="2"/>
  <c r="O65" i="2"/>
  <c r="O81" i="2"/>
  <c r="O97" i="2"/>
  <c r="O113" i="2"/>
  <c r="O129" i="2"/>
  <c r="O145" i="2"/>
  <c r="O161" i="2"/>
  <c r="O177" i="2"/>
  <c r="O193" i="2"/>
  <c r="O209" i="2"/>
  <c r="O225" i="2"/>
  <c r="O241" i="2"/>
  <c r="O257" i="2"/>
  <c r="O273" i="2"/>
  <c r="O289" i="2"/>
  <c r="O305" i="2"/>
  <c r="O321" i="2"/>
  <c r="O337" i="2"/>
  <c r="O353" i="2"/>
  <c r="O369" i="2"/>
  <c r="O385" i="2"/>
  <c r="O401" i="2"/>
  <c r="O417" i="2"/>
  <c r="O433" i="2"/>
  <c r="O449" i="2"/>
  <c r="O465" i="2"/>
  <c r="O481" i="2"/>
  <c r="O497" i="2"/>
  <c r="O513" i="2"/>
  <c r="O529" i="2"/>
  <c r="O545" i="2"/>
  <c r="O561" i="2"/>
  <c r="O577" i="2"/>
  <c r="O593" i="2"/>
  <c r="O609" i="2"/>
  <c r="O625" i="2"/>
  <c r="O641" i="2"/>
  <c r="O657" i="2"/>
  <c r="O673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6" i="2"/>
  <c r="O52" i="2"/>
  <c r="O99" i="2"/>
  <c r="O144" i="2"/>
  <c r="O180" i="2"/>
  <c r="O227" i="2"/>
  <c r="O272" i="2"/>
  <c r="O308" i="2"/>
  <c r="O355" i="2"/>
  <c r="O400" i="2"/>
  <c r="O436" i="2"/>
  <c r="O483" i="2"/>
  <c r="O528" i="2"/>
  <c r="O564" i="2"/>
  <c r="O611" i="2"/>
  <c r="O656" i="2"/>
  <c r="O688" i="2"/>
  <c r="O711" i="2"/>
  <c r="O733" i="2"/>
  <c r="O752" i="2"/>
  <c r="O775" i="2"/>
  <c r="O797" i="2"/>
  <c r="O816" i="2"/>
  <c r="O839" i="2"/>
  <c r="O861" i="2"/>
  <c r="O880" i="2"/>
  <c r="O903" i="2"/>
  <c r="O925" i="2"/>
  <c r="O944" i="2"/>
  <c r="O967" i="2"/>
  <c r="O989" i="2"/>
  <c r="O1008" i="2"/>
  <c r="O1029" i="2"/>
  <c r="O1044" i="2"/>
  <c r="O1055" i="2"/>
  <c r="O1069" i="2"/>
  <c r="O1080" i="2"/>
  <c r="O1094" i="2"/>
  <c r="O1108" i="2"/>
  <c r="O1119" i="2"/>
  <c r="O1133" i="2"/>
  <c r="O1144" i="2"/>
  <c r="O1158" i="2"/>
  <c r="O1172" i="2"/>
  <c r="O1183" i="2"/>
  <c r="O1197" i="2"/>
  <c r="O1208" i="2"/>
  <c r="O1222" i="2"/>
  <c r="O1236" i="2"/>
  <c r="O1247" i="2"/>
  <c r="O132" i="2"/>
  <c r="O224" i="2"/>
  <c r="O352" i="2"/>
  <c r="O435" i="2"/>
  <c r="O480" i="2"/>
  <c r="O563" i="2"/>
  <c r="O709" i="2"/>
  <c r="O751" i="2"/>
  <c r="O815" i="2"/>
  <c r="O901" i="2"/>
  <c r="O943" i="2"/>
  <c r="O984" i="2"/>
  <c r="O1054" i="2"/>
  <c r="O1079" i="2"/>
  <c r="O1104" i="2"/>
  <c r="O1157" i="2"/>
  <c r="O1182" i="2"/>
  <c r="O1232" i="2"/>
  <c r="O19" i="2"/>
  <c r="O64" i="2"/>
  <c r="O100" i="2"/>
  <c r="O147" i="2"/>
  <c r="O192" i="2"/>
  <c r="O228" i="2"/>
  <c r="O275" i="2"/>
  <c r="O320" i="2"/>
  <c r="O356" i="2"/>
  <c r="O403" i="2"/>
  <c r="O448" i="2"/>
  <c r="O484" i="2"/>
  <c r="O531" i="2"/>
  <c r="O576" i="2"/>
  <c r="O612" i="2"/>
  <c r="O659" i="2"/>
  <c r="O693" i="2"/>
  <c r="O712" i="2"/>
  <c r="O735" i="2"/>
  <c r="O757" i="2"/>
  <c r="O776" i="2"/>
  <c r="O799" i="2"/>
  <c r="O821" i="2"/>
  <c r="O840" i="2"/>
  <c r="O863" i="2"/>
  <c r="O885" i="2"/>
  <c r="O904" i="2"/>
  <c r="O927" i="2"/>
  <c r="O949" i="2"/>
  <c r="O968" i="2"/>
  <c r="O991" i="2"/>
  <c r="O1013" i="2"/>
  <c r="O1031" i="2"/>
  <c r="O1045" i="2"/>
  <c r="O1056" i="2"/>
  <c r="O1070" i="2"/>
  <c r="O1084" i="2"/>
  <c r="O1095" i="2"/>
  <c r="O1109" i="2"/>
  <c r="O1120" i="2"/>
  <c r="O1134" i="2"/>
  <c r="O1148" i="2"/>
  <c r="O1159" i="2"/>
  <c r="O1173" i="2"/>
  <c r="O1184" i="2"/>
  <c r="O1198" i="2"/>
  <c r="O1212" i="2"/>
  <c r="O1223" i="2"/>
  <c r="O1237" i="2"/>
  <c r="O1248" i="2"/>
  <c r="O179" i="2"/>
  <c r="O260" i="2"/>
  <c r="O307" i="2"/>
  <c r="O388" i="2"/>
  <c r="O516" i="2"/>
  <c r="O608" i="2"/>
  <c r="O728" i="2"/>
  <c r="O773" i="2"/>
  <c r="O792" i="2"/>
  <c r="O856" i="2"/>
  <c r="O920" i="2"/>
  <c r="O965" i="2"/>
  <c r="O1028" i="2"/>
  <c r="O1068" i="2"/>
  <c r="O1093" i="2"/>
  <c r="O1143" i="2"/>
  <c r="O1168" i="2"/>
  <c r="O1207" i="2"/>
  <c r="O1246" i="2"/>
  <c r="O20" i="2"/>
  <c r="O67" i="2"/>
  <c r="O112" i="2"/>
  <c r="O148" i="2"/>
  <c r="O195" i="2"/>
  <c r="O240" i="2"/>
  <c r="O276" i="2"/>
  <c r="O323" i="2"/>
  <c r="O368" i="2"/>
  <c r="O404" i="2"/>
  <c r="O451" i="2"/>
  <c r="O496" i="2"/>
  <c r="O532" i="2"/>
  <c r="O579" i="2"/>
  <c r="O624" i="2"/>
  <c r="O660" i="2"/>
  <c r="O695" i="2"/>
  <c r="O717" i="2"/>
  <c r="O736" i="2"/>
  <c r="O759" i="2"/>
  <c r="O781" i="2"/>
  <c r="O800" i="2"/>
  <c r="O823" i="2"/>
  <c r="O845" i="2"/>
  <c r="O864" i="2"/>
  <c r="O887" i="2"/>
  <c r="O909" i="2"/>
  <c r="O928" i="2"/>
  <c r="O951" i="2"/>
  <c r="O973" i="2"/>
  <c r="O992" i="2"/>
  <c r="O1015" i="2"/>
  <c r="O1032" i="2"/>
  <c r="O1046" i="2"/>
  <c r="O1060" i="2"/>
  <c r="O1071" i="2"/>
  <c r="O1085" i="2"/>
  <c r="O1096" i="2"/>
  <c r="O1110" i="2"/>
  <c r="O1124" i="2"/>
  <c r="O1135" i="2"/>
  <c r="O1149" i="2"/>
  <c r="O1160" i="2"/>
  <c r="O1174" i="2"/>
  <c r="O1188" i="2"/>
  <c r="O1199" i="2"/>
  <c r="O1213" i="2"/>
  <c r="O1224" i="2"/>
  <c r="O1238" i="2"/>
  <c r="O1252" i="2"/>
  <c r="O35" i="2"/>
  <c r="O116" i="2"/>
  <c r="O163" i="2"/>
  <c r="O208" i="2"/>
  <c r="O244" i="2"/>
  <c r="O291" i="2"/>
  <c r="O336" i="2"/>
  <c r="O372" i="2"/>
  <c r="O464" i="2"/>
  <c r="O500" i="2"/>
  <c r="O547" i="2"/>
  <c r="O628" i="2"/>
  <c r="O675" i="2"/>
  <c r="O720" i="2"/>
  <c r="O743" i="2"/>
  <c r="O784" i="2"/>
  <c r="O829" i="2"/>
  <c r="O871" i="2"/>
  <c r="O912" i="2"/>
  <c r="O957" i="2"/>
  <c r="O1021" i="2"/>
  <c r="O1048" i="2"/>
  <c r="O1076" i="2"/>
  <c r="O1112" i="2"/>
  <c r="O1140" i="2"/>
  <c r="O1165" i="2"/>
  <c r="O1204" i="2"/>
  <c r="O1229" i="2"/>
  <c r="O32" i="2"/>
  <c r="O68" i="2"/>
  <c r="O115" i="2"/>
  <c r="O160" i="2"/>
  <c r="O196" i="2"/>
  <c r="O243" i="2"/>
  <c r="O288" i="2"/>
  <c r="O324" i="2"/>
  <c r="O371" i="2"/>
  <c r="O416" i="2"/>
  <c r="O452" i="2"/>
  <c r="O499" i="2"/>
  <c r="O544" i="2"/>
  <c r="O580" i="2"/>
  <c r="O627" i="2"/>
  <c r="O672" i="2"/>
  <c r="O696" i="2"/>
  <c r="O719" i="2"/>
  <c r="O741" i="2"/>
  <c r="O760" i="2"/>
  <c r="O783" i="2"/>
  <c r="O805" i="2"/>
  <c r="O824" i="2"/>
  <c r="O847" i="2"/>
  <c r="O869" i="2"/>
  <c r="O888" i="2"/>
  <c r="O911" i="2"/>
  <c r="O933" i="2"/>
  <c r="O952" i="2"/>
  <c r="O975" i="2"/>
  <c r="O997" i="2"/>
  <c r="O1016" i="2"/>
  <c r="O1036" i="2"/>
  <c r="O1047" i="2"/>
  <c r="O1061" i="2"/>
  <c r="O1072" i="2"/>
  <c r="O1086" i="2"/>
  <c r="O1100" i="2"/>
  <c r="O1111" i="2"/>
  <c r="O1125" i="2"/>
  <c r="O1136" i="2"/>
  <c r="O1150" i="2"/>
  <c r="O1164" i="2"/>
  <c r="O1175" i="2"/>
  <c r="O1189" i="2"/>
  <c r="O1200" i="2"/>
  <c r="O1214" i="2"/>
  <c r="O1228" i="2"/>
  <c r="O1239" i="2"/>
  <c r="O1253" i="2"/>
  <c r="O80" i="2"/>
  <c r="O419" i="2"/>
  <c r="O592" i="2"/>
  <c r="O701" i="2"/>
  <c r="O765" i="2"/>
  <c r="O807" i="2"/>
  <c r="O848" i="2"/>
  <c r="O893" i="2"/>
  <c r="O935" i="2"/>
  <c r="O976" i="2"/>
  <c r="O999" i="2"/>
  <c r="O1037" i="2"/>
  <c r="O1062" i="2"/>
  <c r="O1087" i="2"/>
  <c r="O1101" i="2"/>
  <c r="O1126" i="2"/>
  <c r="O1151" i="2"/>
  <c r="O1176" i="2"/>
  <c r="O1190" i="2"/>
  <c r="O1215" i="2"/>
  <c r="O1240" i="2"/>
  <c r="O1254" i="2"/>
  <c r="O96" i="2"/>
  <c r="O687" i="2"/>
  <c r="O879" i="2"/>
  <c r="O1040" i="2"/>
  <c r="O1132" i="2"/>
  <c r="O1221" i="2"/>
  <c r="O36" i="2"/>
  <c r="O83" i="2"/>
  <c r="O128" i="2"/>
  <c r="O164" i="2"/>
  <c r="O211" i="2"/>
  <c r="O256" i="2"/>
  <c r="O292" i="2"/>
  <c r="O339" i="2"/>
  <c r="O384" i="2"/>
  <c r="O420" i="2"/>
  <c r="O467" i="2"/>
  <c r="O512" i="2"/>
  <c r="O548" i="2"/>
  <c r="O595" i="2"/>
  <c r="O640" i="2"/>
  <c r="O676" i="2"/>
  <c r="O703" i="2"/>
  <c r="O725" i="2"/>
  <c r="O744" i="2"/>
  <c r="O767" i="2"/>
  <c r="O789" i="2"/>
  <c r="O808" i="2"/>
  <c r="O831" i="2"/>
  <c r="O853" i="2"/>
  <c r="O872" i="2"/>
  <c r="O895" i="2"/>
  <c r="O917" i="2"/>
  <c r="O936" i="2"/>
  <c r="O959" i="2"/>
  <c r="O981" i="2"/>
  <c r="O1000" i="2"/>
  <c r="O1023" i="2"/>
  <c r="O1038" i="2"/>
  <c r="O1052" i="2"/>
  <c r="O1063" i="2"/>
  <c r="O1077" i="2"/>
  <c r="O1088" i="2"/>
  <c r="O1102" i="2"/>
  <c r="O1116" i="2"/>
  <c r="O1127" i="2"/>
  <c r="O1141" i="2"/>
  <c r="O1152" i="2"/>
  <c r="O1166" i="2"/>
  <c r="O1180" i="2"/>
  <c r="O1191" i="2"/>
  <c r="O1205" i="2"/>
  <c r="O1216" i="2"/>
  <c r="O1230" i="2"/>
  <c r="O1244" i="2"/>
  <c r="O1255" i="2"/>
  <c r="O48" i="2"/>
  <c r="O84" i="2"/>
  <c r="O131" i="2"/>
  <c r="O176" i="2"/>
  <c r="O212" i="2"/>
  <c r="O259" i="2"/>
  <c r="O304" i="2"/>
  <c r="O340" i="2"/>
  <c r="O387" i="2"/>
  <c r="O432" i="2"/>
  <c r="O468" i="2"/>
  <c r="O515" i="2"/>
  <c r="O560" i="2"/>
  <c r="O596" i="2"/>
  <c r="O643" i="2"/>
  <c r="O685" i="2"/>
  <c r="O704" i="2"/>
  <c r="O727" i="2"/>
  <c r="O749" i="2"/>
  <c r="O768" i="2"/>
  <c r="O791" i="2"/>
  <c r="O813" i="2"/>
  <c r="O832" i="2"/>
  <c r="O855" i="2"/>
  <c r="O877" i="2"/>
  <c r="O896" i="2"/>
  <c r="O919" i="2"/>
  <c r="O941" i="2"/>
  <c r="O960" i="2"/>
  <c r="O983" i="2"/>
  <c r="O1005" i="2"/>
  <c r="O1024" i="2"/>
  <c r="O1039" i="2"/>
  <c r="O1053" i="2"/>
  <c r="O1064" i="2"/>
  <c r="O1078" i="2"/>
  <c r="O1092" i="2"/>
  <c r="O1103" i="2"/>
  <c r="O1117" i="2"/>
  <c r="O1128" i="2"/>
  <c r="O1142" i="2"/>
  <c r="O1156" i="2"/>
  <c r="O1167" i="2"/>
  <c r="O1181" i="2"/>
  <c r="O1192" i="2"/>
  <c r="O1206" i="2"/>
  <c r="O1220" i="2"/>
  <c r="O1231" i="2"/>
  <c r="O1245" i="2"/>
  <c r="O1256" i="2"/>
  <c r="O51" i="2"/>
  <c r="O644" i="2"/>
  <c r="O837" i="2"/>
  <c r="O1007" i="2"/>
  <c r="O1118" i="2"/>
  <c r="O1196" i="2"/>
  <c r="I14" i="1"/>
  <c r="I15" i="1"/>
  <c r="I12" i="1"/>
  <c r="I13" i="1"/>
  <c r="R15" i="3" l="1"/>
  <c r="AL5" i="2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I12" i="2"/>
  <c r="AE13" i="2"/>
  <c r="AE12" i="2"/>
  <c r="AI11" i="2"/>
  <c r="AE11" i="2"/>
  <c r="AI10" i="2"/>
  <c r="AE10" i="2"/>
  <c r="AI9" i="2"/>
  <c r="AE9" i="2"/>
  <c r="AE8" i="2"/>
  <c r="AI8" i="2"/>
  <c r="AI7" i="2"/>
  <c r="AE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K15" i="2" l="1"/>
  <c r="AG10" i="2" l="1"/>
  <c r="AK14" i="2"/>
  <c r="AK13" i="2" l="1"/>
  <c r="AG8" i="2" l="1"/>
  <c r="AK12" i="2"/>
  <c r="AK11" i="2" l="1"/>
  <c r="AG9" i="2" l="1"/>
  <c r="AK10" i="2"/>
  <c r="AG12" i="2" s="1"/>
  <c r="AG7" i="2" l="1"/>
  <c r="AK9" i="2"/>
  <c r="AG14" i="2" s="1"/>
  <c r="AK8" i="2" l="1"/>
  <c r="AK7" i="2" l="1"/>
  <c r="AG11" i="2" s="1"/>
  <c r="AG6" i="2" l="1"/>
  <c r="AK6" i="2"/>
  <c r="AG15" i="2" s="1"/>
  <c r="AG16" i="2" l="1"/>
  <c r="AK5" i="2"/>
  <c r="AG13" i="2" l="1"/>
  <c r="AG5" i="2"/>
</calcChain>
</file>

<file path=xl/sharedStrings.xml><?xml version="1.0" encoding="utf-8"?>
<sst xmlns="http://schemas.openxmlformats.org/spreadsheetml/2006/main" count="277" uniqueCount="161">
  <si>
    <t>Merck &amp; Co., Inc. (MRK) - Daily Stock Price, Last 5 Years</t>
  </si>
  <si>
    <t>Source: Nasdaq historical quotes (nasdaq.com/market-activity/stocks/mrk),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</si>
  <si>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</si>
  <si>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</si>
  <si>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</si>
  <si>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</si>
  <si>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</si>
  <si>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</si>
  <si>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</si>
  <si>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</si>
  <si>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</si>
  <si>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</si>
  <si>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</si>
  <si>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</si>
  <si>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</si>
  <si>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</si>
  <si>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</si>
  <si>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</si>
  <si>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</si>
  <si>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</si>
  <si>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</si>
  <si>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</si>
  <si>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</si>
  <si>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</si>
  <si>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MRK trading days (last close on or before each date). Each stock's % change is in its own currency (BAYNr in EUR, others USD). % columns follow Start/End Date in 'Stock Price'!I4:I5.</t>
  </si>
  <si>
    <t>MRK Close</t>
  </si>
  <si>
    <t>MRK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</si>
  <si>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</si>
  <si>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</si>
  <si>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</si>
  <si>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</si>
  <si>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</si>
  <si>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</si>
  <si>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</si>
  <si>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</si>
  <si>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</si>
  <si>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</si>
  <si>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</si>
  <si>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</si>
  <si>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</si>
  <si>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</si>
  <si>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</si>
  <si>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</si>
  <si>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</si>
  <si>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</si>
  <si>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</si>
  <si>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</si>
  <si>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</si>
  <si>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</si>
  <si>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</si>
  <si>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</si>
  <si>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</si>
  <si>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MRK</t>
  </si>
  <si>
    <t>NVS</t>
  </si>
  <si>
    <t>AZN</t>
  </si>
  <si>
    <t>GSK</t>
  </si>
  <si>
    <t>ROG</t>
  </si>
  <si>
    <t>SNY</t>
  </si>
  <si>
    <t>BAYNr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</si>
  <si>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</si>
  <si>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</si>
  <si>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</si>
  <si>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</si>
  <si>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</si>
  <si>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</si>
  <si>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</si>
  <si>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</si>
  <si>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</si>
  <si>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</si>
  <si>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</si>
  <si>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</si>
  <si>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</si>
  <si>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</si>
  <si>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</si>
  <si>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</si>
  <si>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</si>
  <si>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Data source</t>
  </si>
  <si>
    <t>EPS (Forward FY2026)</t>
  </si>
  <si>
    <t>EPS (Forward FY2027)</t>
  </si>
  <si>
    <t>Average</t>
  </si>
  <si>
    <t>Market Cap ($bn, USD)</t>
  </si>
  <si>
    <t>Source</t>
  </si>
  <si>
    <t>EV ($bn, USD)</t>
  </si>
  <si>
    <t>Net Debt ($bn, USD)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</si>
  <si>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</si>
  <si>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</si>
  <si>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</si>
  <si>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</si>
  <si>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</si>
  <si>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</si>
  <si>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</si>
  <si>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</si>
  <si>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</si>
  <si>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</si>
  <si>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</si>
  <si>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</si>
  <si>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</si>
  <si>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</si>
  <si>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</si>
  <si>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</si>
  <si>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</si>
  <si>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</si>
  <si>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</si>
  <si>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</si>
  <si>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</si>
  <si>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</si>
  <si>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</si>
  <si>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</si>
  <si>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</si>
  <si>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</si>
  <si>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</si>
  <si>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</si>
  <si>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</si>
  <si>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</si>
  <si>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</si>
  <si>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BAYN.DE</t>
  </si>
  <si>
    <t>EUR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</si>
  <si>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</si>
  <si>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</si>
  <si>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</si>
  <si>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</si>
  <si>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</si>
  <si>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</si>
  <si>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</si>
  <si>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</si>
  <si>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GBP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</si>
  <si>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</si>
  <si>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</si>
  <si>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</si>
  <si>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</si>
  <si>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</si>
  <si>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JNJ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</si>
  <si>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</si>
  <si>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</si>
  <si>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</si>
  <si>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</si>
  <si>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</si>
  <si>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</si>
  <si>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</si>
  <si>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</si>
  <si>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</si>
  <si>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</si>
  <si>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</si>
  <si>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RHHBY</t>
  </si>
  <si>
    <t>CHF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</si>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</sst>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0.0000"/>
    <numFmt numFmtId="171" formatCode="&quot;$&quot;#,##0.0;\(&quot;$&quot;#,##0.0\);\-"/>
    <numFmt numFmtId="172" formatCode="0.0\x"/>
    <numFmt numFmtId="173" formatCode="#,##0.0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0" xfId="0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0" borderId="0" xfId="0" applyFont="1"/>
    <xf numFmtId="14" fontId="4" fillId="0" borderId="0" xfId="0" applyNumberFormat="1" applyFont="1"/>
    <xf numFmtId="170" fontId="4" fillId="0" borderId="0" xfId="0" applyNumberFormat="1" applyFont="1"/>
    <xf numFmtId="171" fontId="0" fillId="5" borderId="0" xfId="0" applyNumberFormat="1" applyFill="1" applyAlignment="1">
      <alignment horizontal="right"/>
    </xf>
    <xf numFmtId="171" fontId="0" fillId="5" borderId="0" xfId="0" applyNumberFormat="1" applyFill="1"/>
    <xf numFmtId="4" fontId="4" fillId="5" borderId="0" xfId="0" applyNumberFormat="1" applyFont="1" applyFill="1" applyAlignment="1">
      <alignment horizontal="right"/>
    </xf>
    <xf numFmtId="172" fontId="0" fillId="5" borderId="0" xfId="0" applyNumberFormat="1" applyFill="1" applyAlignment="1">
      <alignment horizontal="right"/>
    </xf>
    <xf numFmtId="173" fontId="4" fillId="0" borderId="0" xfId="0" applyNumberFormat="1" applyFont="1"/>
    <xf numFmtId="170" fontId="0" fillId="0" borderId="0" xfId="0" applyNumberFormat="1"/>
    <xf numFmtId="169" fontId="4" fillId="0" borderId="0" xfId="0" applyNumberFormat="1" applyFont="1"/>
    <xf numFmtId="172" fontId="1" fillId="5" borderId="0" xfId="0" applyNumberFormat="1" applyFont="1" applyFill="1" applyAlignment="1">
      <alignment horizontal="right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MRK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89"/>
                <c:pt idx="0">
                  <c:v>106.45</c:v>
                </c:pt>
                <c:pt idx="1">
                  <c:v>107.44</c:v>
                </c:pt>
                <c:pt idx="2">
                  <c:v>108.87</c:v>
                </c:pt>
                <c:pt idx="3">
                  <c:v>108.6</c:v>
                </c:pt>
                <c:pt idx="4">
                  <c:v>110.99</c:v>
                </c:pt>
                <c:pt idx="5">
                  <c:v>110.53</c:v>
                </c:pt>
                <c:pt idx="6">
                  <c:v>109.19</c:v>
                </c:pt>
                <c:pt idx="7">
                  <c:v>108.26</c:v>
                </c:pt>
                <c:pt idx="8">
                  <c:v>111.01</c:v>
                </c:pt>
                <c:pt idx="9">
                  <c:v>110.97</c:v>
                </c:pt>
                <c:pt idx="10">
                  <c:v>108.83</c:v>
                </c:pt>
                <c:pt idx="11">
                  <c:v>109.45</c:v>
                </c:pt>
                <c:pt idx="12">
                  <c:v>111.11</c:v>
                </c:pt>
                <c:pt idx="13">
                  <c:v>109.18</c:v>
                </c:pt>
                <c:pt idx="14">
                  <c:v>108.18</c:v>
                </c:pt>
                <c:pt idx="15">
                  <c:v>107.4</c:v>
                </c:pt>
                <c:pt idx="16">
                  <c:v>107.92</c:v>
                </c:pt>
                <c:pt idx="17">
                  <c:v>106.9</c:v>
                </c:pt>
                <c:pt idx="18">
                  <c:v>108.34</c:v>
                </c:pt>
                <c:pt idx="19">
                  <c:v>110.27</c:v>
                </c:pt>
                <c:pt idx="20">
                  <c:v>113.37</c:v>
                </c:pt>
                <c:pt idx="21">
                  <c:v>115.84</c:v>
                </c:pt>
                <c:pt idx="22">
                  <c:v>118.33</c:v>
                </c:pt>
                <c:pt idx="23">
                  <c:v>119.75</c:v>
                </c:pt>
                <c:pt idx="24">
                  <c:v>121.93</c:v>
                </c:pt>
                <c:pt idx="25">
                  <c:v>117.65</c:v>
                </c:pt>
                <c:pt idx="26">
                  <c:v>117.15</c:v>
                </c:pt>
                <c:pt idx="27">
                  <c:v>119.31</c:v>
                </c:pt>
                <c:pt idx="28">
                  <c:v>119.24</c:v>
                </c:pt>
                <c:pt idx="29">
                  <c:v>121.41</c:v>
                </c:pt>
                <c:pt idx="30">
                  <c:v>121.57</c:v>
                </c:pt>
                <c:pt idx="31">
                  <c:v>121.66</c:v>
                </c:pt>
                <c:pt idx="32">
                  <c:v>121.86</c:v>
                </c:pt>
                <c:pt idx="33">
                  <c:v>122.26</c:v>
                </c:pt>
                <c:pt idx="34">
                  <c:v>123.82</c:v>
                </c:pt>
                <c:pt idx="35">
                  <c:v>123.93</c:v>
                </c:pt>
                <c:pt idx="36">
                  <c:v>122.46</c:v>
                </c:pt>
                <c:pt idx="37">
                  <c:v>119.3</c:v>
                </c:pt>
                <c:pt idx="38">
                  <c:v>123.82</c:v>
                </c:pt>
                <c:pt idx="39">
                  <c:v>121.41</c:v>
                </c:pt>
                <c:pt idx="40">
                  <c:v>119.83</c:v>
                </c:pt>
                <c:pt idx="41">
                  <c:v>120.28</c:v>
                </c:pt>
                <c:pt idx="42">
                  <c:v>116.07</c:v>
                </c:pt>
                <c:pt idx="43">
                  <c:v>115.79</c:v>
                </c:pt>
                <c:pt idx="44">
                  <c:v>117.11</c:v>
                </c:pt>
                <c:pt idx="45">
                  <c:v>117.09</c:v>
                </c:pt>
                <c:pt idx="46">
                  <c:v>116.21</c:v>
                </c:pt>
                <c:pt idx="47">
                  <c:v>115.91</c:v>
                </c:pt>
                <c:pt idx="48">
                  <c:v>115.61</c:v>
                </c:pt>
                <c:pt idx="49">
                  <c:v>115.43</c:v>
                </c:pt>
                <c:pt idx="50">
                  <c:v>115.87</c:v>
                </c:pt>
                <c:pt idx="51">
                  <c:v>114.5</c:v>
                </c:pt>
                <c:pt idx="52">
                  <c:v>114.2</c:v>
                </c:pt>
                <c:pt idx="53">
                  <c:v>114.18</c:v>
                </c:pt>
                <c:pt idx="54">
                  <c:v>115.68</c:v>
                </c:pt>
                <c:pt idx="55">
                  <c:v>116.37</c:v>
                </c:pt>
                <c:pt idx="56">
                  <c:v>119.37</c:v>
                </c:pt>
                <c:pt idx="57">
                  <c:v>118.93</c:v>
                </c:pt>
                <c:pt idx="58">
                  <c:v>119.63</c:v>
                </c:pt>
                <c:pt idx="59">
                  <c:v>118.1</c:v>
                </c:pt>
                <c:pt idx="60">
                  <c:v>120.29</c:v>
                </c:pt>
                <c:pt idx="61">
                  <c:v>120.84</c:v>
                </c:pt>
                <c:pt idx="62">
                  <c:v>120.87</c:v>
                </c:pt>
                <c:pt idx="63">
                  <c:v>120.85</c:v>
                </c:pt>
                <c:pt idx="64">
                  <c:v>119.28</c:v>
                </c:pt>
                <c:pt idx="65">
                  <c:v>123.18</c:v>
                </c:pt>
                <c:pt idx="66">
                  <c:v>122.68</c:v>
                </c:pt>
                <c:pt idx="67">
                  <c:v>121.42</c:v>
                </c:pt>
                <c:pt idx="68">
                  <c:v>120.15</c:v>
                </c:pt>
                <c:pt idx="69">
                  <c:v>119.96</c:v>
                </c:pt>
                <c:pt idx="70">
                  <c:v>117.9</c:v>
                </c:pt>
                <c:pt idx="71">
                  <c:v>115.46</c:v>
                </c:pt>
                <c:pt idx="72">
                  <c:v>119.07</c:v>
                </c:pt>
                <c:pt idx="73">
                  <c:v>117.1</c:v>
                </c:pt>
                <c:pt idx="74">
                  <c:v>112.56</c:v>
                </c:pt>
                <c:pt idx="75">
                  <c:v>112.89</c:v>
                </c:pt>
                <c:pt idx="76">
                  <c:v>114.62</c:v>
                </c:pt>
                <c:pt idx="77">
                  <c:v>111.9</c:v>
                </c:pt>
                <c:pt idx="78">
                  <c:v>110.23</c:v>
                </c:pt>
                <c:pt idx="79">
                  <c:v>110.03</c:v>
                </c:pt>
                <c:pt idx="80">
                  <c:v>110.95</c:v>
                </c:pt>
                <c:pt idx="81">
                  <c:v>109.18</c:v>
                </c:pt>
                <c:pt idx="82">
                  <c:v>112.16</c:v>
                </c:pt>
                <c:pt idx="83">
                  <c:v>113.11</c:v>
                </c:pt>
                <c:pt idx="84">
                  <c:v>113.15</c:v>
                </c:pt>
                <c:pt idx="85">
                  <c:v>113.56</c:v>
                </c:pt>
                <c:pt idx="86">
                  <c:v>112.3</c:v>
                </c:pt>
                <c:pt idx="87">
                  <c:v>111.38</c:v>
                </c:pt>
                <c:pt idx="88">
                  <c:v>111.28</c:v>
                </c:pt>
                <c:pt idx="89">
                  <c:v>112.37</c:v>
                </c:pt>
                <c:pt idx="90">
                  <c:v>113.45</c:v>
                </c:pt>
                <c:pt idx="91">
                  <c:v>113.41</c:v>
                </c:pt>
                <c:pt idx="92">
                  <c:v>111.38</c:v>
                </c:pt>
                <c:pt idx="93">
                  <c:v>112.56</c:v>
                </c:pt>
                <c:pt idx="94">
                  <c:v>114.24</c:v>
                </c:pt>
                <c:pt idx="95">
                  <c:v>113</c:v>
                </c:pt>
                <c:pt idx="96">
                  <c:v>115.88</c:v>
                </c:pt>
                <c:pt idx="97">
                  <c:v>122.41</c:v>
                </c:pt>
                <c:pt idx="98">
                  <c:v>119.72</c:v>
                </c:pt>
                <c:pt idx="99">
                  <c:v>120.24</c:v>
                </c:pt>
                <c:pt idx="100">
                  <c:v>119.89</c:v>
                </c:pt>
                <c:pt idx="101">
                  <c:v>118.72</c:v>
                </c:pt>
                <c:pt idx="102">
                  <c:v>115.17</c:v>
                </c:pt>
                <c:pt idx="103">
                  <c:v>115.65</c:v>
                </c:pt>
                <c:pt idx="104">
                  <c:v>114.7</c:v>
                </c:pt>
                <c:pt idx="105">
                  <c:v>120.26</c:v>
                </c:pt>
                <c:pt idx="106">
                  <c:v>120.79</c:v>
                </c:pt>
                <c:pt idx="107">
                  <c:v>119.52</c:v>
                </c:pt>
                <c:pt idx="108">
                  <c:v>119.6</c:v>
                </c:pt>
                <c:pt idx="109">
                  <c:v>119.09</c:v>
                </c:pt>
                <c:pt idx="110">
                  <c:v>120.76</c:v>
                </c:pt>
                <c:pt idx="111">
                  <c:v>119.05</c:v>
                </c:pt>
                <c:pt idx="112">
                  <c:v>114.9</c:v>
                </c:pt>
                <c:pt idx="113">
                  <c:v>115.17</c:v>
                </c:pt>
                <c:pt idx="114">
                  <c:v>115.44</c:v>
                </c:pt>
                <c:pt idx="115">
                  <c:v>113.87</c:v>
                </c:pt>
                <c:pt idx="116">
                  <c:v>115.48</c:v>
                </c:pt>
                <c:pt idx="117">
                  <c:v>119.6</c:v>
                </c:pt>
                <c:pt idx="118">
                  <c:v>120.6</c:v>
                </c:pt>
                <c:pt idx="119">
                  <c:v>125.45</c:v>
                </c:pt>
                <c:pt idx="120">
                  <c:v>128.66</c:v>
                </c:pt>
                <c:pt idx="121">
                  <c:v>129.38</c:v>
                </c:pt>
                <c:pt idx="122">
                  <c:v>128.5</c:v>
                </c:pt>
                <c:pt idx="123">
                  <c:v>125.37</c:v>
                </c:pt>
                <c:pt idx="124">
                  <c:v>129.56</c:v>
                </c:pt>
                <c:pt idx="125">
                  <c:v>126.78</c:v>
                </c:pt>
                <c:pt idx="126">
                  <c:v>128.86000000000001</c:v>
                </c:pt>
                <c:pt idx="127">
                  <c:v>125.99</c:v>
                </c:pt>
                <c:pt idx="128">
                  <c:v>125.07</c:v>
                </c:pt>
                <c:pt idx="129">
                  <c:v>123.54</c:v>
                </c:pt>
                <c:pt idx="130">
                  <c:v>124.03</c:v>
                </c:pt>
                <c:pt idx="131">
                  <c:v>120.78</c:v>
                </c:pt>
                <c:pt idx="132">
                  <c:v>123.61</c:v>
                </c:pt>
                <c:pt idx="133">
                  <c:v>127.63</c:v>
                </c:pt>
                <c:pt idx="134">
                  <c:v>127.5</c:v>
                </c:pt>
                <c:pt idx="135">
                  <c:v>124.4</c:v>
                </c:pt>
                <c:pt idx="136">
                  <c:v>126.26</c:v>
                </c:pt>
                <c:pt idx="137">
                  <c:v>127.47</c:v>
                </c:pt>
                <c:pt idx="138">
                  <c:v>130.47999999999999</c:v>
                </c:pt>
                <c:pt idx="139">
                  <c:v>131.07</c:v>
                </c:pt>
                <c:pt idx="140">
                  <c:v>130.76</c:v>
                </c:pt>
                <c:pt idx="141">
                  <c:v>131.82</c:v>
                </c:pt>
                <c:pt idx="142">
                  <c:v>130.36000000000001</c:v>
                </c:pt>
                <c:pt idx="143">
                  <c:v>129.79</c:v>
                </c:pt>
                <c:pt idx="144">
                  <c:v>130.19999999999999</c:v>
                </c:pt>
                <c:pt idx="145">
                  <c:v>127.77</c:v>
                </c:pt>
                <c:pt idx="146">
                  <c:v>128</c:v>
                </c:pt>
                <c:pt idx="147">
                  <c:v>128.33000000000001</c:v>
                </c:pt>
                <c:pt idx="148">
                  <c:v>128.37</c:v>
                </c:pt>
                <c:pt idx="149">
                  <c:v>128.58000000000001</c:v>
                </c:pt>
                <c:pt idx="150">
                  <c:v>130.91999999999999</c:v>
                </c:pt>
                <c:pt idx="151">
                  <c:v>130.41999999999999</c:v>
                </c:pt>
                <c:pt idx="152">
                  <c:v>132.91999999999999</c:v>
                </c:pt>
                <c:pt idx="153">
                  <c:v>135.55000000000001</c:v>
                </c:pt>
                <c:pt idx="154">
                  <c:v>135.84</c:v>
                </c:pt>
                <c:pt idx="155">
                  <c:v>135.97</c:v>
                </c:pt>
                <c:pt idx="156">
                  <c:v>135.16999999999999</c:v>
                </c:pt>
                <c:pt idx="157">
                  <c:v>152.19999999999999</c:v>
                </c:pt>
                <c:pt idx="158">
                  <c:v>148.99</c:v>
                </c:pt>
                <c:pt idx="159">
                  <c:v>152.55000000000001</c:v>
                </c:pt>
                <c:pt idx="160">
                  <c:v>150.66</c:v>
                </c:pt>
                <c:pt idx="161">
                  <c:v>156.44999999999999</c:v>
                </c:pt>
                <c:pt idx="162">
                  <c:v>153.1</c:v>
                </c:pt>
                <c:pt idx="163">
                  <c:v>149.54</c:v>
                </c:pt>
                <c:pt idx="164">
                  <c:v>148.35</c:v>
                </c:pt>
                <c:pt idx="165">
                  <c:v>147.76</c:v>
                </c:pt>
                <c:pt idx="166">
                  <c:v>149.86000000000001</c:v>
                </c:pt>
                <c:pt idx="167">
                  <c:v>151.63999999999999</c:v>
                </c:pt>
                <c:pt idx="168">
                  <c:v>152.34</c:v>
                </c:pt>
                <c:pt idx="169">
                  <c:v>150.33000000000001</c:v>
                </c:pt>
                <c:pt idx="170">
                  <c:v>148.46</c:v>
                </c:pt>
                <c:pt idx="171">
                  <c:v>147.53</c:v>
                </c:pt>
                <c:pt idx="172">
                  <c:v>144.71</c:v>
                </c:pt>
                <c:pt idx="173">
                  <c:v>143.93</c:v>
                </c:pt>
                <c:pt idx="174">
                  <c:v>144.85</c:v>
                </c:pt>
                <c:pt idx="175">
                  <c:v>143.79</c:v>
                </c:pt>
                <c:pt idx="176">
                  <c:v>144.91</c:v>
                </c:pt>
                <c:pt idx="177">
                  <c:v>147.15</c:v>
                </c:pt>
                <c:pt idx="178">
                  <c:v>146.87</c:v>
                </c:pt>
                <c:pt idx="179">
                  <c:v>149.5</c:v>
                </c:pt>
                <c:pt idx="180">
                  <c:v>150.91</c:v>
                </c:pt>
                <c:pt idx="181">
                  <c:v>148.08000000000001</c:v>
                </c:pt>
                <c:pt idx="182">
                  <c:v>147.97999999999999</c:v>
                </c:pt>
                <c:pt idx="183">
                  <c:v>148.78</c:v>
                </c:pt>
                <c:pt idx="184">
                  <c:v>148.69</c:v>
                </c:pt>
                <c:pt idx="185">
                  <c:v>149.28</c:v>
                </c:pt>
                <c:pt idx="186">
                  <c:v>145.31</c:v>
                </c:pt>
                <c:pt idx="187">
                  <c:v>143.81</c:v>
                </c:pt>
                <c:pt idx="188">
                  <c:v>144.30000000000001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F-4E95-809B-3B8C654F0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2848575"/>
        <c:axId val="1583033424"/>
      </c:lineChart>
      <c:dateAx>
        <c:axId val="662848575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1583033424"/>
        <c:crosses val="autoZero"/>
        <c:auto val="0"/>
        <c:lblOffset val="100"/>
        <c:baseTimeUnit val="days"/>
      </c:dateAx>
      <c:valAx>
        <c:axId val="1583033424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66284857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89"/>
                <c:pt idx="0">
                  <c:v>0</c:v>
                </c:pt>
                <c:pt idx="1">
                  <c:v>-4.5474231268947118E-3</c:v>
                </c:pt>
                <c:pt idx="2">
                  <c:v>2.692363216399607E-2</c:v>
                </c:pt>
                <c:pt idx="3">
                  <c:v>2.4830373899234814E-2</c:v>
                </c:pt>
                <c:pt idx="4">
                  <c:v>2.1076945286560012E-2</c:v>
                </c:pt>
                <c:pt idx="5">
                  <c:v>2.1654395842356067E-2</c:v>
                </c:pt>
                <c:pt idx="6">
                  <c:v>2.3675472787642482E-2</c:v>
                </c:pt>
                <c:pt idx="7">
                  <c:v>2.2159665078677726E-2</c:v>
                </c:pt>
                <c:pt idx="8">
                  <c:v>5.500216543958425E-2</c:v>
                </c:pt>
                <c:pt idx="9">
                  <c:v>3.3275588277753787E-2</c:v>
                </c:pt>
                <c:pt idx="10">
                  <c:v>4.1865165295221773E-2</c:v>
                </c:pt>
                <c:pt idx="11">
                  <c:v>3.6379385015158139E-2</c:v>
                </c:pt>
                <c:pt idx="12">
                  <c:v>4.7423126894759804E-2</c:v>
                </c:pt>
                <c:pt idx="13">
                  <c:v>4.6629132380539895E-2</c:v>
                </c:pt>
                <c:pt idx="14">
                  <c:v>6.2075934748087258E-2</c:v>
                </c:pt>
                <c:pt idx="15">
                  <c:v>7.6367836004042289E-2</c:v>
                </c:pt>
                <c:pt idx="16">
                  <c:v>9.8744045041143425E-2</c:v>
                </c:pt>
                <c:pt idx="17">
                  <c:v>6.7345171069727261E-2</c:v>
                </c:pt>
                <c:pt idx="18">
                  <c:v>7.4852028295077311E-2</c:v>
                </c:pt>
                <c:pt idx="19">
                  <c:v>7.3191857947163319E-2</c:v>
                </c:pt>
                <c:pt idx="20">
                  <c:v>9.0226649343150056E-2</c:v>
                </c:pt>
                <c:pt idx="21">
                  <c:v>8.1709253645156688E-2</c:v>
                </c:pt>
                <c:pt idx="22">
                  <c:v>0.10372455608488518</c:v>
                </c:pt>
                <c:pt idx="23">
                  <c:v>0.11123141331023523</c:v>
                </c:pt>
                <c:pt idx="24">
                  <c:v>0.12906019922044165</c:v>
                </c:pt>
                <c:pt idx="25">
                  <c:v>0.13360762234733659</c:v>
                </c:pt>
                <c:pt idx="26">
                  <c:v>0.14190847408690632</c:v>
                </c:pt>
                <c:pt idx="27">
                  <c:v>0.15533419950916705</c:v>
                </c:pt>
                <c:pt idx="28">
                  <c:v>0.16341850729031338</c:v>
                </c:pt>
                <c:pt idx="29">
                  <c:v>0.17727732062942114</c:v>
                </c:pt>
                <c:pt idx="30">
                  <c:v>0.19943698570809865</c:v>
                </c:pt>
                <c:pt idx="31">
                  <c:v>0.1937346614696116</c:v>
                </c:pt>
                <c:pt idx="32">
                  <c:v>0.18319618882633182</c:v>
                </c:pt>
                <c:pt idx="33">
                  <c:v>0.17417352389201679</c:v>
                </c:pt>
                <c:pt idx="34">
                  <c:v>0.18882633174534424</c:v>
                </c:pt>
                <c:pt idx="35">
                  <c:v>0.20622202973870385</c:v>
                </c:pt>
                <c:pt idx="36">
                  <c:v>0.20434531543236623</c:v>
                </c:pt>
                <c:pt idx="37">
                  <c:v>0.19467301862278052</c:v>
                </c:pt>
                <c:pt idx="38">
                  <c:v>0.21712140897935628</c:v>
                </c:pt>
                <c:pt idx="39">
                  <c:v>0.20448967807131524</c:v>
                </c:pt>
                <c:pt idx="40">
                  <c:v>0.18507290313266944</c:v>
                </c:pt>
                <c:pt idx="41">
                  <c:v>0.19207449112169783</c:v>
                </c:pt>
                <c:pt idx="42">
                  <c:v>0.16219142485924642</c:v>
                </c:pt>
                <c:pt idx="43">
                  <c:v>0.15576728742601431</c:v>
                </c:pt>
                <c:pt idx="44">
                  <c:v>0.1750396997257111</c:v>
                </c:pt>
                <c:pt idx="45">
                  <c:v>0.16637794138876871</c:v>
                </c:pt>
                <c:pt idx="46">
                  <c:v>0.12458495741302156</c:v>
                </c:pt>
                <c:pt idx="47">
                  <c:v>0.11339685289447088</c:v>
                </c:pt>
                <c:pt idx="48">
                  <c:v>0.10755016601703482</c:v>
                </c:pt>
                <c:pt idx="49">
                  <c:v>0.11787209470189119</c:v>
                </c:pt>
                <c:pt idx="50">
                  <c:v>0.11772773206294218</c:v>
                </c:pt>
                <c:pt idx="51">
                  <c:v>8.1348347047784042E-2</c:v>
                </c:pt>
                <c:pt idx="52">
                  <c:v>6.9654973292911926E-2</c:v>
                </c:pt>
                <c:pt idx="53">
                  <c:v>5.4063808286415549E-2</c:v>
                </c:pt>
                <c:pt idx="54">
                  <c:v>6.8933160098166635E-2</c:v>
                </c:pt>
                <c:pt idx="55">
                  <c:v>7.2686588710841882E-2</c:v>
                </c:pt>
                <c:pt idx="56">
                  <c:v>8.8133391078389023E-2</c:v>
                </c:pt>
                <c:pt idx="57">
                  <c:v>8.0554352533564355E-2</c:v>
                </c:pt>
                <c:pt idx="58">
                  <c:v>6.9582791973437308E-2</c:v>
                </c:pt>
                <c:pt idx="59">
                  <c:v>8.5318319618882699E-2</c:v>
                </c:pt>
                <c:pt idx="60">
                  <c:v>0.10256965497329307</c:v>
                </c:pt>
                <c:pt idx="61">
                  <c:v>0.11938790241085617</c:v>
                </c:pt>
                <c:pt idx="62">
                  <c:v>0.1118088638660315</c:v>
                </c:pt>
                <c:pt idx="63">
                  <c:v>0.10321928684856374</c:v>
                </c:pt>
                <c:pt idx="64">
                  <c:v>9.1525913093691402E-2</c:v>
                </c:pt>
                <c:pt idx="65">
                  <c:v>0.11462393532553783</c:v>
                </c:pt>
                <c:pt idx="66">
                  <c:v>0.11924353977190716</c:v>
                </c:pt>
                <c:pt idx="67">
                  <c:v>0.11195322650498074</c:v>
                </c:pt>
                <c:pt idx="68">
                  <c:v>0.11498484192291047</c:v>
                </c:pt>
                <c:pt idx="69">
                  <c:v>0.10711707810018778</c:v>
                </c:pt>
                <c:pt idx="70">
                  <c:v>9.7733506568500328E-2</c:v>
                </c:pt>
                <c:pt idx="71">
                  <c:v>8.0770896491987765E-2</c:v>
                </c:pt>
                <c:pt idx="72">
                  <c:v>9.6939512054280419E-2</c:v>
                </c:pt>
                <c:pt idx="73">
                  <c:v>8.9865742745777411E-2</c:v>
                </c:pt>
                <c:pt idx="74">
                  <c:v>6.806698426447233E-2</c:v>
                </c:pt>
                <c:pt idx="75">
                  <c:v>6.3375198498628604E-2</c:v>
                </c:pt>
                <c:pt idx="76">
                  <c:v>6.4530099610220937E-2</c:v>
                </c:pt>
                <c:pt idx="77">
                  <c:v>5.0021654395842496E-2</c:v>
                </c:pt>
                <c:pt idx="78">
                  <c:v>4.0782445503103837E-2</c:v>
                </c:pt>
                <c:pt idx="79">
                  <c:v>5.0238198354265906E-2</c:v>
                </c:pt>
                <c:pt idx="80">
                  <c:v>3.1759780568788809E-2</c:v>
                </c:pt>
                <c:pt idx="81">
                  <c:v>6.7200808430778025E-2</c:v>
                </c:pt>
                <c:pt idx="82">
                  <c:v>5.7961599538039588E-2</c:v>
                </c:pt>
                <c:pt idx="83">
                  <c:v>4.3886242240508189E-2</c:v>
                </c:pt>
                <c:pt idx="84">
                  <c:v>5.0238198354265906E-2</c:v>
                </c:pt>
                <c:pt idx="85">
                  <c:v>7.0882055723978876E-2</c:v>
                </c:pt>
                <c:pt idx="86">
                  <c:v>4.9444203840046219E-2</c:v>
                </c:pt>
                <c:pt idx="87">
                  <c:v>5.4063808286415549E-2</c:v>
                </c:pt>
                <c:pt idx="88">
                  <c:v>4.8289302728453887E-2</c:v>
                </c:pt>
                <c:pt idx="89">
                  <c:v>6.9438429334488294E-2</c:v>
                </c:pt>
                <c:pt idx="90">
                  <c:v>8.0915259130937001E-2</c:v>
                </c:pt>
                <c:pt idx="91">
                  <c:v>8.1059621769886014E-2</c:v>
                </c:pt>
                <c:pt idx="92">
                  <c:v>6.8860978778692239E-2</c:v>
                </c:pt>
                <c:pt idx="93">
                  <c:v>7.658437996246592E-2</c:v>
                </c:pt>
                <c:pt idx="94">
                  <c:v>8.5895770174678754E-2</c:v>
                </c:pt>
                <c:pt idx="95">
                  <c:v>8.5967951494153372E-2</c:v>
                </c:pt>
                <c:pt idx="96">
                  <c:v>9.5423704345315441E-2</c:v>
                </c:pt>
                <c:pt idx="97">
                  <c:v>9.7228237332178447E-2</c:v>
                </c:pt>
                <c:pt idx="98">
                  <c:v>8.8494297675761668E-2</c:v>
                </c:pt>
                <c:pt idx="99">
                  <c:v>9.0804099898946333E-2</c:v>
                </c:pt>
                <c:pt idx="100">
                  <c:v>9.2825176844232749E-2</c:v>
                </c:pt>
                <c:pt idx="101">
                  <c:v>8.3946874548866735E-2</c:v>
                </c:pt>
                <c:pt idx="102">
                  <c:v>5.1537462104807474E-2</c:v>
                </c:pt>
                <c:pt idx="103">
                  <c:v>3.5657571820412848E-2</c:v>
                </c:pt>
                <c:pt idx="104">
                  <c:v>3.6956835570954194E-2</c:v>
                </c:pt>
                <c:pt idx="105">
                  <c:v>7.1170781001876904E-2</c:v>
                </c:pt>
                <c:pt idx="106">
                  <c:v>7.6656561281940316E-2</c:v>
                </c:pt>
                <c:pt idx="107">
                  <c:v>5.6878879745921651E-2</c:v>
                </c:pt>
                <c:pt idx="108">
                  <c:v>7.6367836004042289E-2</c:v>
                </c:pt>
                <c:pt idx="109">
                  <c:v>6.9149704056590267E-2</c:v>
                </c:pt>
                <c:pt idx="110">
                  <c:v>0.11101486935181182</c:v>
                </c:pt>
                <c:pt idx="111">
                  <c:v>0.10487945719647751</c:v>
                </c:pt>
                <c:pt idx="112">
                  <c:v>9.3980077955825081E-2</c:v>
                </c:pt>
                <c:pt idx="113">
                  <c:v>8.9432654828930369E-2</c:v>
                </c:pt>
                <c:pt idx="114">
                  <c:v>8.9071748231557724E-2</c:v>
                </c:pt>
                <c:pt idx="115">
                  <c:v>6.1642846831240217E-2</c:v>
                </c:pt>
                <c:pt idx="116">
                  <c:v>7.4996390934026325E-2</c:v>
                </c:pt>
                <c:pt idx="117">
                  <c:v>0.10711707810018778</c:v>
                </c:pt>
                <c:pt idx="118">
                  <c:v>0.10524036379385016</c:v>
                </c:pt>
                <c:pt idx="119">
                  <c:v>0.1196766276887542</c:v>
                </c:pt>
                <c:pt idx="120">
                  <c:v>0.12176988595351523</c:v>
                </c:pt>
                <c:pt idx="121">
                  <c:v>0.13750541359896062</c:v>
                </c:pt>
                <c:pt idx="122">
                  <c:v>0.1312256388046773</c:v>
                </c:pt>
                <c:pt idx="123">
                  <c:v>0.11260285838025119</c:v>
                </c:pt>
                <c:pt idx="124">
                  <c:v>0.15417929839757472</c:v>
                </c:pt>
                <c:pt idx="125">
                  <c:v>0.12234733650931151</c:v>
                </c:pt>
                <c:pt idx="126">
                  <c:v>0.13346325970838757</c:v>
                </c:pt>
                <c:pt idx="127">
                  <c:v>0.12003753428612662</c:v>
                </c:pt>
                <c:pt idx="128">
                  <c:v>0.11606756171502819</c:v>
                </c:pt>
                <c:pt idx="129">
                  <c:v>0.11195322650498074</c:v>
                </c:pt>
                <c:pt idx="130">
                  <c:v>0.10704489678071316</c:v>
                </c:pt>
                <c:pt idx="131">
                  <c:v>8.5318319618882699E-2</c:v>
                </c:pt>
                <c:pt idx="132">
                  <c:v>8.8494297675761668E-2</c:v>
                </c:pt>
                <c:pt idx="133">
                  <c:v>0.10242529233434383</c:v>
                </c:pt>
                <c:pt idx="134">
                  <c:v>0.10985996824021949</c:v>
                </c:pt>
                <c:pt idx="135">
                  <c:v>7.9543814060921036E-2</c:v>
                </c:pt>
                <c:pt idx="136">
                  <c:v>0.11065396275443917</c:v>
                </c:pt>
                <c:pt idx="137">
                  <c:v>0.10495163851595213</c:v>
                </c:pt>
                <c:pt idx="138">
                  <c:v>0.12703912227515524</c:v>
                </c:pt>
                <c:pt idx="139">
                  <c:v>0.11888263317453451</c:v>
                </c:pt>
                <c:pt idx="140">
                  <c:v>0.12682257831673183</c:v>
                </c:pt>
                <c:pt idx="141">
                  <c:v>0.15381839180020207</c:v>
                </c:pt>
                <c:pt idx="142">
                  <c:v>0.14645589721380126</c:v>
                </c:pt>
                <c:pt idx="143">
                  <c:v>0.14364082575429493</c:v>
                </c:pt>
                <c:pt idx="144">
                  <c:v>0.12711130359462985</c:v>
                </c:pt>
                <c:pt idx="145">
                  <c:v>0.10921033636494881</c:v>
                </c:pt>
                <c:pt idx="146">
                  <c:v>0.10632308358596809</c:v>
                </c:pt>
                <c:pt idx="147">
                  <c:v>0.11476829796448684</c:v>
                </c:pt>
                <c:pt idx="148">
                  <c:v>0.11310812761657285</c:v>
                </c:pt>
                <c:pt idx="149">
                  <c:v>0.1284105673451712</c:v>
                </c:pt>
                <c:pt idx="150">
                  <c:v>0.13173090804099896</c:v>
                </c:pt>
                <c:pt idx="151">
                  <c:v>0.11599538039555379</c:v>
                </c:pt>
                <c:pt idx="152">
                  <c:v>9.9465858235888494E-2</c:v>
                </c:pt>
                <c:pt idx="153">
                  <c:v>9.5134979067417413E-2</c:v>
                </c:pt>
                <c:pt idx="154">
                  <c:v>8.9071748231557724E-2</c:v>
                </c:pt>
                <c:pt idx="155">
                  <c:v>9.6939512054280419E-2</c:v>
                </c:pt>
                <c:pt idx="156">
                  <c:v>0.11556229247870675</c:v>
                </c:pt>
                <c:pt idx="157">
                  <c:v>0.15713873249603005</c:v>
                </c:pt>
                <c:pt idx="158">
                  <c:v>0.12776093546990053</c:v>
                </c:pt>
                <c:pt idx="159">
                  <c:v>0.14667244117222489</c:v>
                </c:pt>
                <c:pt idx="160">
                  <c:v>0.1406092103363652</c:v>
                </c:pt>
                <c:pt idx="161">
                  <c:v>0.15475674895337077</c:v>
                </c:pt>
                <c:pt idx="162">
                  <c:v>0.13714450700158798</c:v>
                </c:pt>
                <c:pt idx="163">
                  <c:v>0.11628410567345182</c:v>
                </c:pt>
                <c:pt idx="164">
                  <c:v>0.11022087483759213</c:v>
                </c:pt>
                <c:pt idx="165">
                  <c:v>9.7589143929551092E-2</c:v>
                </c:pt>
                <c:pt idx="166">
                  <c:v>0.16392377652663503</c:v>
                </c:pt>
                <c:pt idx="167">
                  <c:v>0.17265771618305203</c:v>
                </c:pt>
                <c:pt idx="168">
                  <c:v>0.17720513930994675</c:v>
                </c:pt>
                <c:pt idx="169">
                  <c:v>0.15482893027284561</c:v>
                </c:pt>
                <c:pt idx="170">
                  <c:v>-6.0632308358596898E-3</c:v>
                </c:pt>
                <c:pt idx="171">
                  <c:v>-7.6512198642991747E-3</c:v>
                </c:pt>
                <c:pt idx="172">
                  <c:v>-7.6512198642991747E-3</c:v>
                </c:pt>
                <c:pt idx="173">
                  <c:v>-9.9610220874837285E-3</c:v>
                </c:pt>
                <c:pt idx="174">
                  <c:v>3.2481593763535876E-3</c:v>
                </c:pt>
                <c:pt idx="175">
                  <c:v>5.7745055579627724E-4</c:v>
                </c:pt>
                <c:pt idx="176">
                  <c:v>1.1549011115923324E-3</c:v>
                </c:pt>
                <c:pt idx="177">
                  <c:v>1.7179154034935751E-2</c:v>
                </c:pt>
                <c:pt idx="178">
                  <c:v>1.3209181463837316E-2</c:v>
                </c:pt>
                <c:pt idx="179">
                  <c:v>1.7612241951782792E-2</c:v>
                </c:pt>
                <c:pt idx="180">
                  <c:v>1.9777681536018443E-2</c:v>
                </c:pt>
                <c:pt idx="181">
                  <c:v>3.0099610220875039E-2</c:v>
                </c:pt>
                <c:pt idx="182">
                  <c:v>3.6307203695683521E-2</c:v>
                </c:pt>
                <c:pt idx="183">
                  <c:v>4.9949473076367878E-2</c:v>
                </c:pt>
                <c:pt idx="184">
                  <c:v>6.0199220441749635E-2</c:v>
                </c:pt>
                <c:pt idx="185">
                  <c:v>5.1754006063230884E-2</c:v>
                </c:pt>
                <c:pt idx="186">
                  <c:v>2.9089071748231499E-2</c:v>
                </c:pt>
                <c:pt idx="187">
                  <c:v>1.8117511188104674E-2</c:v>
                </c:pt>
                <c:pt idx="188">
                  <c:v>1.7756604590732028E-2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24-4308-81A2-DFC5899E2BD3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-1.9805665799918049E-2</c:v>
                </c:pt>
                <c:pt idx="2">
                  <c:v>4.2780895032160871E-2</c:v>
                </c:pt>
                <c:pt idx="3">
                  <c:v>4.4341042835637001E-2</c:v>
                </c:pt>
                <c:pt idx="4">
                  <c:v>3.1887231421924067E-2</c:v>
                </c:pt>
                <c:pt idx="5">
                  <c:v>4.5490625427672127E-2</c:v>
                </c:pt>
                <c:pt idx="6">
                  <c:v>1.5354591487614533E-2</c:v>
                </c:pt>
                <c:pt idx="7">
                  <c:v>3.2763103872998522E-2</c:v>
                </c:pt>
                <c:pt idx="8">
                  <c:v>4.1357602299165075E-2</c:v>
                </c:pt>
                <c:pt idx="9">
                  <c:v>3.372108936636109E-2</c:v>
                </c:pt>
                <c:pt idx="10">
                  <c:v>4.6257013822362136E-2</c:v>
                </c:pt>
                <c:pt idx="11">
                  <c:v>2.8739564800874806E-3</c:v>
                </c:pt>
                <c:pt idx="12">
                  <c:v>-4.2014506637470972E-2</c:v>
                </c:pt>
                <c:pt idx="13">
                  <c:v>-1.7380593951005996E-2</c:v>
                </c:pt>
                <c:pt idx="14">
                  <c:v>-2.83289995894348E-2</c:v>
                </c:pt>
                <c:pt idx="15">
                  <c:v>-1.984398521965236E-2</c:v>
                </c:pt>
                <c:pt idx="16">
                  <c:v>2.9505953195565926E-2</c:v>
                </c:pt>
                <c:pt idx="17">
                  <c:v>2.8055289448474019E-2</c:v>
                </c:pt>
                <c:pt idx="18">
                  <c:v>2.7097303955110341E-3</c:v>
                </c:pt>
                <c:pt idx="19">
                  <c:v>2.4223347475023749E-2</c:v>
                </c:pt>
                <c:pt idx="20">
                  <c:v>3.1394553168194728E-2</c:v>
                </c:pt>
                <c:pt idx="21">
                  <c:v>9.0050636376077797E-3</c:v>
                </c:pt>
                <c:pt idx="22">
                  <c:v>2.6139318461748884E-2</c:v>
                </c:pt>
                <c:pt idx="23">
                  <c:v>2.4551799644176642E-2</c:v>
                </c:pt>
                <c:pt idx="24">
                  <c:v>5.668537019296549E-2</c:v>
                </c:pt>
                <c:pt idx="25">
                  <c:v>2.9204872040508922E-2</c:v>
                </c:pt>
                <c:pt idx="26">
                  <c:v>5.871082523607507E-2</c:v>
                </c:pt>
                <c:pt idx="27">
                  <c:v>0.12089776926235096</c:v>
                </c:pt>
                <c:pt idx="28">
                  <c:v>0.11958396058573961</c:v>
                </c:pt>
                <c:pt idx="29">
                  <c:v>0.12522238948953057</c:v>
                </c:pt>
                <c:pt idx="30">
                  <c:v>0.14673600656904329</c:v>
                </c:pt>
                <c:pt idx="31">
                  <c:v>0.14230190228547945</c:v>
                </c:pt>
                <c:pt idx="32">
                  <c:v>0.14202819214451901</c:v>
                </c:pt>
                <c:pt idx="33">
                  <c:v>0.11783221568359092</c:v>
                </c:pt>
                <c:pt idx="34">
                  <c:v>0.12188312576980964</c:v>
                </c:pt>
                <c:pt idx="35">
                  <c:v>0.13102504447789798</c:v>
                </c:pt>
                <c:pt idx="36">
                  <c:v>0.12653619816614192</c:v>
                </c:pt>
                <c:pt idx="37">
                  <c:v>0.1166278910633638</c:v>
                </c:pt>
                <c:pt idx="38">
                  <c:v>0.14109757766525233</c:v>
                </c:pt>
                <c:pt idx="39">
                  <c:v>0.11525934035856022</c:v>
                </c:pt>
                <c:pt idx="40">
                  <c:v>0.10447516080470765</c:v>
                </c:pt>
                <c:pt idx="41">
                  <c:v>0.10321609415628852</c:v>
                </c:pt>
                <c:pt idx="42">
                  <c:v>8.1264540851238465E-2</c:v>
                </c:pt>
                <c:pt idx="43">
                  <c:v>6.3199671547830683E-2</c:v>
                </c:pt>
                <c:pt idx="44">
                  <c:v>6.7195839605857177E-2</c:v>
                </c:pt>
                <c:pt idx="45">
                  <c:v>6.7414807718626069E-2</c:v>
                </c:pt>
                <c:pt idx="46">
                  <c:v>5.8218146982345731E-2</c:v>
                </c:pt>
                <c:pt idx="47">
                  <c:v>5.3784042698781898E-2</c:v>
                </c:pt>
                <c:pt idx="48">
                  <c:v>3.9551115368824385E-2</c:v>
                </c:pt>
                <c:pt idx="49">
                  <c:v>5.1101683317366753E-2</c:v>
                </c:pt>
                <c:pt idx="50">
                  <c:v>4.7160257287532481E-2</c:v>
                </c:pt>
                <c:pt idx="51">
                  <c:v>3.144929519638695E-2</c:v>
                </c:pt>
                <c:pt idx="52">
                  <c:v>3.4241138634186319E-2</c:v>
                </c:pt>
                <c:pt idx="53">
                  <c:v>5.0636376077732859E-3</c:v>
                </c:pt>
                <c:pt idx="54">
                  <c:v>7.6365129328039849E-3</c:v>
                </c:pt>
                <c:pt idx="55">
                  <c:v>1.6997399753660769E-2</c:v>
                </c:pt>
                <c:pt idx="56">
                  <c:v>2.4442315587792418E-2</c:v>
                </c:pt>
                <c:pt idx="57">
                  <c:v>3.9687970439303832E-3</c:v>
                </c:pt>
                <c:pt idx="58">
                  <c:v>3.144929519638695E-2</c:v>
                </c:pt>
                <c:pt idx="59">
                  <c:v>6.133844258929777E-2</c:v>
                </c:pt>
                <c:pt idx="60">
                  <c:v>7.9622280005474222E-2</c:v>
                </c:pt>
                <c:pt idx="61">
                  <c:v>9.8836731900916908E-2</c:v>
                </c:pt>
                <c:pt idx="62">
                  <c:v>0.11394553168194888</c:v>
                </c:pt>
                <c:pt idx="63">
                  <c:v>0.11033255782126727</c:v>
                </c:pt>
                <c:pt idx="64">
                  <c:v>9.9274668126454024E-2</c:v>
                </c:pt>
                <c:pt idx="65">
                  <c:v>0.11821540988093604</c:v>
                </c:pt>
                <c:pt idx="66">
                  <c:v>0.12215683591077053</c:v>
                </c:pt>
                <c:pt idx="67">
                  <c:v>0.11690160120432447</c:v>
                </c:pt>
                <c:pt idx="68">
                  <c:v>0.10710277815793079</c:v>
                </c:pt>
                <c:pt idx="69">
                  <c:v>0.1188175721910496</c:v>
                </c:pt>
                <c:pt idx="70">
                  <c:v>0.10146434925413983</c:v>
                </c:pt>
                <c:pt idx="71">
                  <c:v>9.7413439167921112E-2</c:v>
                </c:pt>
                <c:pt idx="72">
                  <c:v>0.12111673737511963</c:v>
                </c:pt>
                <c:pt idx="73">
                  <c:v>9.8617763788148238E-2</c:v>
                </c:pt>
                <c:pt idx="74">
                  <c:v>7.1739427945805234E-2</c:v>
                </c:pt>
                <c:pt idx="75">
                  <c:v>6.642945121116739E-2</c:v>
                </c:pt>
                <c:pt idx="76">
                  <c:v>5.2689202134938995E-2</c:v>
                </c:pt>
                <c:pt idx="77">
                  <c:v>3.8729984945942153E-2</c:v>
                </c:pt>
                <c:pt idx="78">
                  <c:v>2.6467770630901777E-2</c:v>
                </c:pt>
                <c:pt idx="79">
                  <c:v>2.1924182290953942E-2</c:v>
                </c:pt>
                <c:pt idx="80">
                  <c:v>1.3822362118516285E-2</c:v>
                </c:pt>
                <c:pt idx="81">
                  <c:v>2.5701382236211767E-2</c:v>
                </c:pt>
                <c:pt idx="82">
                  <c:v>1.1304228821677809E-2</c:v>
                </c:pt>
                <c:pt idx="83">
                  <c:v>4.2972492130832762E-3</c:v>
                </c:pt>
                <c:pt idx="84">
                  <c:v>-7.8554810455727653E-3</c:v>
                </c:pt>
                <c:pt idx="85">
                  <c:v>1.2289585329136266E-2</c:v>
                </c:pt>
                <c:pt idx="86">
                  <c:v>-8.4850143697823288E-4</c:v>
                </c:pt>
                <c:pt idx="87">
                  <c:v>9.5798549336234551E-4</c:v>
                </c:pt>
                <c:pt idx="88">
                  <c:v>-4.4614752976597227E-3</c:v>
                </c:pt>
                <c:pt idx="89">
                  <c:v>1.0209388257834906E-2</c:v>
                </c:pt>
                <c:pt idx="90">
                  <c:v>2.7617353222936902E-2</c:v>
                </c:pt>
                <c:pt idx="91">
                  <c:v>1.2508553441904935E-2</c:v>
                </c:pt>
                <c:pt idx="92">
                  <c:v>-5.994252087039853E-3</c:v>
                </c:pt>
                <c:pt idx="93">
                  <c:v>6.8153825099217524E-3</c:v>
                </c:pt>
                <c:pt idx="94">
                  <c:v>1.0756808539756246E-2</c:v>
                </c:pt>
                <c:pt idx="95">
                  <c:v>2.6194060489941107E-2</c:v>
                </c:pt>
                <c:pt idx="96">
                  <c:v>3.8729984945942153E-2</c:v>
                </c:pt>
                <c:pt idx="97">
                  <c:v>2.3840153277678855E-2</c:v>
                </c:pt>
                <c:pt idx="98">
                  <c:v>2.4716025728753088E-2</c:v>
                </c:pt>
                <c:pt idx="99">
                  <c:v>1.6285753387162982E-2</c:v>
                </c:pt>
                <c:pt idx="100">
                  <c:v>1.4534008485014294E-2</c:v>
                </c:pt>
                <c:pt idx="101">
                  <c:v>1.6395237443547206E-2</c:v>
                </c:pt>
                <c:pt idx="102">
                  <c:v>-1.623101135897087E-2</c:v>
                </c:pt>
                <c:pt idx="103">
                  <c:v>-2.8602709730395581E-2</c:v>
                </c:pt>
                <c:pt idx="104">
                  <c:v>-3.500752702887644E-2</c:v>
                </c:pt>
                <c:pt idx="105">
                  <c:v>-4.7899274668126157E-3</c:v>
                </c:pt>
                <c:pt idx="106">
                  <c:v>1.7928014232927225E-2</c:v>
                </c:pt>
                <c:pt idx="107">
                  <c:v>-6.1584781716162995E-3</c:v>
                </c:pt>
                <c:pt idx="108">
                  <c:v>4.1330231285068297E-3</c:v>
                </c:pt>
                <c:pt idx="109">
                  <c:v>-2.03366634733817E-2</c:v>
                </c:pt>
                <c:pt idx="110">
                  <c:v>-2.1623101135898048E-3</c:v>
                </c:pt>
                <c:pt idx="111">
                  <c:v>-2.1486246065416825E-2</c:v>
                </c:pt>
                <c:pt idx="112">
                  <c:v>-2.9588066237854149E-2</c:v>
                </c:pt>
                <c:pt idx="113">
                  <c:v>-2.1705214178185273E-2</c:v>
                </c:pt>
                <c:pt idx="114">
                  <c:v>-2.6194060489941329E-2</c:v>
                </c:pt>
                <c:pt idx="115">
                  <c:v>-4.2397700834815977E-2</c:v>
                </c:pt>
                <c:pt idx="116">
                  <c:v>-3.4186396605994318E-2</c:v>
                </c:pt>
                <c:pt idx="117">
                  <c:v>-9.0598056657998915E-3</c:v>
                </c:pt>
                <c:pt idx="118">
                  <c:v>1.8885999726290237E-3</c:v>
                </c:pt>
                <c:pt idx="119">
                  <c:v>1.6449979471739429E-2</c:v>
                </c:pt>
                <c:pt idx="120">
                  <c:v>3.1394553168194728E-2</c:v>
                </c:pt>
                <c:pt idx="121">
                  <c:v>4.5299028328999569E-2</c:v>
                </c:pt>
                <c:pt idx="122">
                  <c:v>3.8018338579444366E-2</c:v>
                </c:pt>
                <c:pt idx="123">
                  <c:v>6.4869303407690815E-3</c:v>
                </c:pt>
                <c:pt idx="124">
                  <c:v>6.8290680169700302E-2</c:v>
                </c:pt>
                <c:pt idx="125">
                  <c:v>4.0974408101820181E-2</c:v>
                </c:pt>
                <c:pt idx="126">
                  <c:v>5.7178048446694829E-2</c:v>
                </c:pt>
                <c:pt idx="127">
                  <c:v>3.6157109620911454E-2</c:v>
                </c:pt>
                <c:pt idx="128">
                  <c:v>-2.290953879841251E-2</c:v>
                </c:pt>
                <c:pt idx="129">
                  <c:v>-6.0572054194607872E-2</c:v>
                </c:pt>
                <c:pt idx="130">
                  <c:v>-7.2286848227726908E-2</c:v>
                </c:pt>
                <c:pt idx="131">
                  <c:v>-9.9493636239222694E-2</c:v>
                </c:pt>
                <c:pt idx="132">
                  <c:v>-7.8308471328862761E-2</c:v>
                </c:pt>
                <c:pt idx="133">
                  <c:v>-7.3272204735185587E-2</c:v>
                </c:pt>
                <c:pt idx="134">
                  <c:v>-7.5407143834679058E-2</c:v>
                </c:pt>
                <c:pt idx="135">
                  <c:v>-9.9384152182838359E-2</c:v>
                </c:pt>
                <c:pt idx="136">
                  <c:v>-7.2998494594224805E-2</c:v>
                </c:pt>
                <c:pt idx="137">
                  <c:v>-7.0863555494731223E-2</c:v>
                </c:pt>
                <c:pt idx="138">
                  <c:v>-7.8855891610784212E-2</c:v>
                </c:pt>
                <c:pt idx="139">
                  <c:v>-7.3436430819762033E-2</c:v>
                </c:pt>
                <c:pt idx="140">
                  <c:v>-7.1356233748460562E-2</c:v>
                </c:pt>
                <c:pt idx="141">
                  <c:v>-5.5809497741891478E-2</c:v>
                </c:pt>
                <c:pt idx="142">
                  <c:v>-5.1320651430135533E-2</c:v>
                </c:pt>
                <c:pt idx="143">
                  <c:v>-6.205008895579589E-2</c:v>
                </c:pt>
                <c:pt idx="144">
                  <c:v>-7.1356233748460562E-2</c:v>
                </c:pt>
                <c:pt idx="145">
                  <c:v>-0.13524018064869314</c:v>
                </c:pt>
                <c:pt idx="146">
                  <c:v>-0.14810455727384697</c:v>
                </c:pt>
                <c:pt idx="147">
                  <c:v>-0.11591624469686612</c:v>
                </c:pt>
                <c:pt idx="148">
                  <c:v>-0.11827015190912837</c:v>
                </c:pt>
                <c:pt idx="149">
                  <c:v>-0.11635418092240335</c:v>
                </c:pt>
                <c:pt idx="150">
                  <c:v>-0.1136718215409882</c:v>
                </c:pt>
                <c:pt idx="151">
                  <c:v>-0.13097030244970587</c:v>
                </c:pt>
                <c:pt idx="152">
                  <c:v>-0.13233885315450944</c:v>
                </c:pt>
                <c:pt idx="153">
                  <c:v>-0.13923634870671964</c:v>
                </c:pt>
                <c:pt idx="154">
                  <c:v>-0.14356096893389914</c:v>
                </c:pt>
                <c:pt idx="155">
                  <c:v>-0.14115231969344477</c:v>
                </c:pt>
                <c:pt idx="156">
                  <c:v>-0.12358012864376633</c:v>
                </c:pt>
                <c:pt idx="157">
                  <c:v>-9.7030244970576329E-2</c:v>
                </c:pt>
                <c:pt idx="158">
                  <c:v>-9.9548378267414805E-2</c:v>
                </c:pt>
                <c:pt idx="159">
                  <c:v>-9.139181606678537E-2</c:v>
                </c:pt>
                <c:pt idx="160">
                  <c:v>-8.7395648008758764E-2</c:v>
                </c:pt>
                <c:pt idx="161">
                  <c:v>-7.1246749692076117E-2</c:v>
                </c:pt>
                <c:pt idx="162">
                  <c:v>-8.9804297249213128E-2</c:v>
                </c:pt>
                <c:pt idx="163">
                  <c:v>-9.9384152182838359E-2</c:v>
                </c:pt>
                <c:pt idx="164">
                  <c:v>-0.10934720131380882</c:v>
                </c:pt>
                <c:pt idx="165">
                  <c:v>-0.11246749692076097</c:v>
                </c:pt>
                <c:pt idx="166">
                  <c:v>-0.11060626796222806</c:v>
                </c:pt>
                <c:pt idx="167">
                  <c:v>-0.11520459833036822</c:v>
                </c:pt>
                <c:pt idx="168">
                  <c:v>-9.8015601478034786E-2</c:v>
                </c:pt>
                <c:pt idx="169">
                  <c:v>-0.10934720131380882</c:v>
                </c:pt>
                <c:pt idx="170">
                  <c:v>-0.12390858081291922</c:v>
                </c:pt>
                <c:pt idx="171">
                  <c:v>-0.14087860955248399</c:v>
                </c:pt>
                <c:pt idx="172">
                  <c:v>-0.12609826194060503</c:v>
                </c:pt>
                <c:pt idx="173">
                  <c:v>-0.12319693444642132</c:v>
                </c:pt>
                <c:pt idx="174">
                  <c:v>-0.10343506226905708</c:v>
                </c:pt>
                <c:pt idx="175">
                  <c:v>-0.1140002737101411</c:v>
                </c:pt>
                <c:pt idx="176">
                  <c:v>-0.10830710277815803</c:v>
                </c:pt>
                <c:pt idx="177">
                  <c:v>-9.0515943615711136E-2</c:v>
                </c:pt>
                <c:pt idx="178">
                  <c:v>-9.0844395784863807E-2</c:v>
                </c:pt>
                <c:pt idx="179">
                  <c:v>-7.9786506090050779E-2</c:v>
                </c:pt>
                <c:pt idx="180">
                  <c:v>-7.8308471328862761E-2</c:v>
                </c:pt>
                <c:pt idx="181">
                  <c:v>-0.10589845353770355</c:v>
                </c:pt>
                <c:pt idx="182">
                  <c:v>-9.9165184070069801E-2</c:v>
                </c:pt>
                <c:pt idx="183">
                  <c:v>-8.8107294375256551E-2</c:v>
                </c:pt>
                <c:pt idx="184">
                  <c:v>-9.0461201587518802E-2</c:v>
                </c:pt>
                <c:pt idx="185">
                  <c:v>-0.10108115505679482</c:v>
                </c:pt>
                <c:pt idx="186">
                  <c:v>-0.11608047078144257</c:v>
                </c:pt>
                <c:pt idx="187">
                  <c:v>-0.13671821540988105</c:v>
                </c:pt>
                <c:pt idx="188">
                  <c:v>-0.14109757766525255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24-4308-81A2-DFC5899E2BD3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-1.2290953052589093E-2</c:v>
                </c:pt>
                <c:pt idx="2">
                  <c:v>1.8738666129357151E-2</c:v>
                </c:pt>
                <c:pt idx="3">
                  <c:v>1.9947612331251197E-2</c:v>
                </c:pt>
                <c:pt idx="4">
                  <c:v>1.1887970985291041E-2</c:v>
                </c:pt>
                <c:pt idx="5">
                  <c:v>1.5313318557324207E-2</c:v>
                </c:pt>
                <c:pt idx="6">
                  <c:v>1.5313318557324207E-2</c:v>
                </c:pt>
                <c:pt idx="7">
                  <c:v>5.440257908523094E-3</c:v>
                </c:pt>
                <c:pt idx="8">
                  <c:v>2.3372959903284141E-2</c:v>
                </c:pt>
                <c:pt idx="9">
                  <c:v>-1.0276042716099276E-2</c:v>
                </c:pt>
                <c:pt idx="10">
                  <c:v>-2.8410235744509404E-2</c:v>
                </c:pt>
                <c:pt idx="11">
                  <c:v>-3.9895224662502615E-2</c:v>
                </c:pt>
                <c:pt idx="12">
                  <c:v>-3.1432601249244407E-2</c:v>
                </c:pt>
                <c:pt idx="13">
                  <c:v>-1.9746121297602337E-2</c:v>
                </c:pt>
                <c:pt idx="14">
                  <c:v>-9.6715696151522534E-3</c:v>
                </c:pt>
                <c:pt idx="15">
                  <c:v>1.3902881321781191E-2</c:v>
                </c:pt>
                <c:pt idx="16">
                  <c:v>2.3574450936933111E-2</c:v>
                </c:pt>
                <c:pt idx="17">
                  <c:v>9.4700785815031718E-3</c:v>
                </c:pt>
                <c:pt idx="18">
                  <c:v>2.0753576465847079E-2</c:v>
                </c:pt>
                <c:pt idx="19">
                  <c:v>3.9693733628853423E-2</c:v>
                </c:pt>
                <c:pt idx="20">
                  <c:v>5.722345355631675E-2</c:v>
                </c:pt>
                <c:pt idx="21">
                  <c:v>7.4753173483780078E-2</c:v>
                </c:pt>
                <c:pt idx="22">
                  <c:v>0.15313318557324185</c:v>
                </c:pt>
                <c:pt idx="23">
                  <c:v>0.19222244610114858</c:v>
                </c:pt>
                <c:pt idx="24">
                  <c:v>0.21358049566794257</c:v>
                </c:pt>
                <c:pt idx="25">
                  <c:v>0.18899858956276439</c:v>
                </c:pt>
                <c:pt idx="26">
                  <c:v>0.18517025992343328</c:v>
                </c:pt>
                <c:pt idx="27">
                  <c:v>0.17852105581301636</c:v>
                </c:pt>
                <c:pt idx="28">
                  <c:v>0.17952851098126121</c:v>
                </c:pt>
                <c:pt idx="29">
                  <c:v>0.1873866612935724</c:v>
                </c:pt>
                <c:pt idx="30">
                  <c:v>0.22647592182147891</c:v>
                </c:pt>
                <c:pt idx="31">
                  <c:v>0.23272214386459789</c:v>
                </c:pt>
                <c:pt idx="32">
                  <c:v>0.22607293975418097</c:v>
                </c:pt>
                <c:pt idx="33">
                  <c:v>0.19927463227886366</c:v>
                </c:pt>
                <c:pt idx="34">
                  <c:v>0.19403586540398932</c:v>
                </c:pt>
                <c:pt idx="35">
                  <c:v>0.19121499093290328</c:v>
                </c:pt>
                <c:pt idx="36">
                  <c:v>0.1996776143461616</c:v>
                </c:pt>
                <c:pt idx="37">
                  <c:v>0.17005843239975826</c:v>
                </c:pt>
                <c:pt idx="38">
                  <c:v>0.19141648196655248</c:v>
                </c:pt>
                <c:pt idx="39">
                  <c:v>0.17449123514003628</c:v>
                </c:pt>
                <c:pt idx="40">
                  <c:v>0.14990932903485787</c:v>
                </c:pt>
                <c:pt idx="41">
                  <c:v>0.14507354422728169</c:v>
                </c:pt>
                <c:pt idx="42">
                  <c:v>0.1136409429780374</c:v>
                </c:pt>
                <c:pt idx="43">
                  <c:v>9.8327624420713189E-2</c:v>
                </c:pt>
                <c:pt idx="44">
                  <c:v>0.11847672778561336</c:v>
                </c:pt>
                <c:pt idx="45">
                  <c:v>0.11464839814628247</c:v>
                </c:pt>
                <c:pt idx="46">
                  <c:v>0.1112230505742493</c:v>
                </c:pt>
                <c:pt idx="47">
                  <c:v>9.3693330646786199E-2</c:v>
                </c:pt>
                <c:pt idx="48">
                  <c:v>7.5760628652024931E-2</c:v>
                </c:pt>
                <c:pt idx="49">
                  <c:v>8.3417287930687145E-2</c:v>
                </c:pt>
                <c:pt idx="50">
                  <c:v>7.6163610719322872E-2</c:v>
                </c:pt>
                <c:pt idx="51">
                  <c:v>4.8962321176707624E-2</c:v>
                </c:pt>
                <c:pt idx="52">
                  <c:v>5.52085432198266E-2</c:v>
                </c:pt>
                <c:pt idx="53">
                  <c:v>4.4529518436429605E-2</c:v>
                </c:pt>
                <c:pt idx="54">
                  <c:v>4.7551883941164608E-2</c:v>
                </c:pt>
                <c:pt idx="55">
                  <c:v>6.6895023171468893E-2</c:v>
                </c:pt>
                <c:pt idx="56">
                  <c:v>0.1021559540600443</c:v>
                </c:pt>
                <c:pt idx="57">
                  <c:v>8.6842635502720089E-2</c:v>
                </c:pt>
                <c:pt idx="58">
                  <c:v>8.4827725166230161E-2</c:v>
                </c:pt>
                <c:pt idx="59">
                  <c:v>9.2685875478541124E-2</c:v>
                </c:pt>
                <c:pt idx="60">
                  <c:v>0.11202901470884541</c:v>
                </c:pt>
                <c:pt idx="61">
                  <c:v>0.12814829740076572</c:v>
                </c:pt>
                <c:pt idx="62">
                  <c:v>0.14225266975619566</c:v>
                </c:pt>
                <c:pt idx="63">
                  <c:v>0.13580495667942771</c:v>
                </c:pt>
                <c:pt idx="64">
                  <c:v>0.12512593189603072</c:v>
                </c:pt>
                <c:pt idx="65">
                  <c:v>0.15595406004432788</c:v>
                </c:pt>
                <c:pt idx="66">
                  <c:v>0.1759016723755793</c:v>
                </c:pt>
                <c:pt idx="67">
                  <c:v>0.1728793068708443</c:v>
                </c:pt>
                <c:pt idx="68">
                  <c:v>0.18758815232722137</c:v>
                </c:pt>
                <c:pt idx="69">
                  <c:v>0.19242393713479733</c:v>
                </c:pt>
                <c:pt idx="70">
                  <c:v>0.16481966552488414</c:v>
                </c:pt>
                <c:pt idx="71">
                  <c:v>0.15111827523675192</c:v>
                </c:pt>
                <c:pt idx="72">
                  <c:v>0.17570018134193033</c:v>
                </c:pt>
                <c:pt idx="73">
                  <c:v>0.15555107797702994</c:v>
                </c:pt>
                <c:pt idx="74">
                  <c:v>0.13076768083820256</c:v>
                </c:pt>
                <c:pt idx="75">
                  <c:v>0.12230505742494469</c:v>
                </c:pt>
                <c:pt idx="76">
                  <c:v>0.12089462018940167</c:v>
                </c:pt>
                <c:pt idx="77">
                  <c:v>9.6917187185170173E-2</c:v>
                </c:pt>
                <c:pt idx="78">
                  <c:v>9.2484384444892154E-2</c:v>
                </c:pt>
                <c:pt idx="79">
                  <c:v>9.7521660286117084E-2</c:v>
                </c:pt>
                <c:pt idx="80">
                  <c:v>3.5663912955873345E-2</c:v>
                </c:pt>
                <c:pt idx="81">
                  <c:v>5.3999597017932777E-2</c:v>
                </c:pt>
                <c:pt idx="82">
                  <c:v>3.9895224662502393E-2</c:v>
                </c:pt>
                <c:pt idx="83">
                  <c:v>2.5589361273423261E-2</c:v>
                </c:pt>
                <c:pt idx="84">
                  <c:v>1.5111827523675236E-2</c:v>
                </c:pt>
                <c:pt idx="85">
                  <c:v>1.8134193028410239E-2</c:v>
                </c:pt>
                <c:pt idx="86">
                  <c:v>1.7529719927463105E-2</c:v>
                </c:pt>
                <c:pt idx="87">
                  <c:v>1.5716300624622148E-2</c:v>
                </c:pt>
                <c:pt idx="88">
                  <c:v>3.6268386056821367E-3</c:v>
                </c:pt>
                <c:pt idx="89">
                  <c:v>2.5589361273423261E-2</c:v>
                </c:pt>
                <c:pt idx="90">
                  <c:v>2.7402780576264441E-2</c:v>
                </c:pt>
                <c:pt idx="91">
                  <c:v>2.6798307475317307E-2</c:v>
                </c:pt>
                <c:pt idx="92">
                  <c:v>8.0596413459588234E-4</c:v>
                </c:pt>
                <c:pt idx="93">
                  <c:v>1.2693935119887145E-2</c:v>
                </c:pt>
                <c:pt idx="94">
                  <c:v>2.8611726778158264E-2</c:v>
                </c:pt>
                <c:pt idx="95">
                  <c:v>2.317146886963517E-2</c:v>
                </c:pt>
                <c:pt idx="96">
                  <c:v>3.8283296393310406E-2</c:v>
                </c:pt>
                <c:pt idx="97">
                  <c:v>3.5260930888575404E-2</c:v>
                </c:pt>
                <c:pt idx="98">
                  <c:v>3.7678823292363495E-2</c:v>
                </c:pt>
                <c:pt idx="99">
                  <c:v>3.9290751561555481E-2</c:v>
                </c:pt>
                <c:pt idx="100">
                  <c:v>3.2440056417489371E-2</c:v>
                </c:pt>
                <c:pt idx="101">
                  <c:v>1.833568406205921E-2</c:v>
                </c:pt>
                <c:pt idx="102">
                  <c:v>-6.4477130767680579E-3</c:v>
                </c:pt>
                <c:pt idx="103">
                  <c:v>-1.2693935119887256E-2</c:v>
                </c:pt>
                <c:pt idx="104">
                  <c:v>1.8134193028409573E-3</c:v>
                </c:pt>
                <c:pt idx="105">
                  <c:v>3.3044529518436505E-2</c:v>
                </c:pt>
                <c:pt idx="106">
                  <c:v>3.8081805359661436E-2</c:v>
                </c:pt>
                <c:pt idx="107">
                  <c:v>2.0350594398549138E-2</c:v>
                </c:pt>
                <c:pt idx="108">
                  <c:v>3.2641547451138342E-2</c:v>
                </c:pt>
                <c:pt idx="109">
                  <c:v>3.1029619181946355E-2</c:v>
                </c:pt>
                <c:pt idx="110">
                  <c:v>6.5081603868627713E-2</c:v>
                </c:pt>
                <c:pt idx="111">
                  <c:v>6.870844247430985E-2</c:v>
                </c:pt>
                <c:pt idx="112">
                  <c:v>5.2387668748740568E-2</c:v>
                </c:pt>
                <c:pt idx="113">
                  <c:v>5.2186177715091597E-2</c:v>
                </c:pt>
                <c:pt idx="114">
                  <c:v>5.0775740479548581E-2</c:v>
                </c:pt>
                <c:pt idx="115">
                  <c:v>2.0955067499496272E-2</c:v>
                </c:pt>
                <c:pt idx="116">
                  <c:v>2.2365504735039288E-2</c:v>
                </c:pt>
                <c:pt idx="117">
                  <c:v>4.9163812210356594E-2</c:v>
                </c:pt>
                <c:pt idx="118">
                  <c:v>2.9417690912754368E-2</c:v>
                </c:pt>
                <c:pt idx="119">
                  <c:v>4.5536973604674458E-2</c:v>
                </c:pt>
                <c:pt idx="120">
                  <c:v>5.7827926657263662E-2</c:v>
                </c:pt>
                <c:pt idx="121">
                  <c:v>6.407414870038286E-2</c:v>
                </c:pt>
                <c:pt idx="122">
                  <c:v>5.6215998388071675E-2</c:v>
                </c:pt>
                <c:pt idx="123">
                  <c:v>3.3649002619383417E-2</c:v>
                </c:pt>
                <c:pt idx="124">
                  <c:v>8.1200886560548025E-2</c:v>
                </c:pt>
                <c:pt idx="125">
                  <c:v>6.9715897642554925E-2</c:v>
                </c:pt>
                <c:pt idx="126">
                  <c:v>7.4350191416481914E-2</c:v>
                </c:pt>
                <c:pt idx="127">
                  <c:v>5.8230908724561825E-2</c:v>
                </c:pt>
                <c:pt idx="128">
                  <c:v>5.722345355631675E-2</c:v>
                </c:pt>
                <c:pt idx="129">
                  <c:v>6.3469675599435726E-2</c:v>
                </c:pt>
                <c:pt idx="130">
                  <c:v>5.3596614950634613E-2</c:v>
                </c:pt>
                <c:pt idx="131">
                  <c:v>3.2641547451138342E-2</c:v>
                </c:pt>
                <c:pt idx="132">
                  <c:v>3.667136812411842E-2</c:v>
                </c:pt>
                <c:pt idx="133">
                  <c:v>6.3268184565786756E-2</c:v>
                </c:pt>
                <c:pt idx="134">
                  <c:v>4.2917590167237396E-2</c:v>
                </c:pt>
                <c:pt idx="135">
                  <c:v>8.2611323796091263E-3</c:v>
                </c:pt>
                <c:pt idx="136">
                  <c:v>2.317146886963517E-2</c:v>
                </c:pt>
                <c:pt idx="137">
                  <c:v>2.2768486802337229E-2</c:v>
                </c:pt>
                <c:pt idx="138">
                  <c:v>2.2365504735039288E-2</c:v>
                </c:pt>
                <c:pt idx="139">
                  <c:v>3.4656457787628492E-2</c:v>
                </c:pt>
                <c:pt idx="140">
                  <c:v>4.7350392907515415E-2</c:v>
                </c:pt>
                <c:pt idx="141">
                  <c:v>8.22083417287931E-2</c:v>
                </c:pt>
                <c:pt idx="142">
                  <c:v>7.2335281079991764E-2</c:v>
                </c:pt>
                <c:pt idx="143">
                  <c:v>4.9163812210356594E-2</c:v>
                </c:pt>
                <c:pt idx="144">
                  <c:v>4.150715293169438E-2</c:v>
                </c:pt>
                <c:pt idx="145">
                  <c:v>3.7880314326012465E-2</c:v>
                </c:pt>
                <c:pt idx="146">
                  <c:v>3.8283296393310406E-2</c:v>
                </c:pt>
                <c:pt idx="147">
                  <c:v>3.687285915776739E-2</c:v>
                </c:pt>
                <c:pt idx="148">
                  <c:v>5.1178722546846744E-2</c:v>
                </c:pt>
                <c:pt idx="149">
                  <c:v>6.7096514205117863E-2</c:v>
                </c:pt>
                <c:pt idx="150">
                  <c:v>5.0977231513197552E-2</c:v>
                </c:pt>
                <c:pt idx="151">
                  <c:v>2.5589361273423261E-2</c:v>
                </c:pt>
                <c:pt idx="152">
                  <c:v>1.3499899254483028E-2</c:v>
                </c:pt>
                <c:pt idx="153">
                  <c:v>1.6522264759218253E-2</c:v>
                </c:pt>
                <c:pt idx="154">
                  <c:v>-2.2164013701390095E-3</c:v>
                </c:pt>
                <c:pt idx="155">
                  <c:v>1.3096917187185086E-2</c:v>
                </c:pt>
                <c:pt idx="156">
                  <c:v>3.0626637114648414E-2</c:v>
                </c:pt>
                <c:pt idx="157">
                  <c:v>6.5484585935925876E-2</c:v>
                </c:pt>
                <c:pt idx="158">
                  <c:v>4.6947410840217474E-2</c:v>
                </c:pt>
                <c:pt idx="159">
                  <c:v>5.6014507354422705E-2</c:v>
                </c:pt>
                <c:pt idx="160">
                  <c:v>4.3320572234535559E-2</c:v>
                </c:pt>
                <c:pt idx="161">
                  <c:v>4.9163812210356594E-2</c:v>
                </c:pt>
                <c:pt idx="162">
                  <c:v>3.6268386056820479E-2</c:v>
                </c:pt>
                <c:pt idx="163">
                  <c:v>1.2895426153536116E-2</c:v>
                </c:pt>
                <c:pt idx="164">
                  <c:v>2.3977433004231274E-2</c:v>
                </c:pt>
                <c:pt idx="165">
                  <c:v>1.2492444086238175E-2</c:v>
                </c:pt>
                <c:pt idx="166">
                  <c:v>2.0753576465847079E-2</c:v>
                </c:pt>
                <c:pt idx="167">
                  <c:v>1.632077372556906E-2</c:v>
                </c:pt>
                <c:pt idx="168">
                  <c:v>2.4984888172476127E-2</c:v>
                </c:pt>
                <c:pt idx="169">
                  <c:v>5.2387668748741234E-3</c:v>
                </c:pt>
                <c:pt idx="170">
                  <c:v>-2.1962522667741347E-2</c:v>
                </c:pt>
                <c:pt idx="171">
                  <c:v>-2.0149103364900278E-2</c:v>
                </c:pt>
                <c:pt idx="172">
                  <c:v>-3.0425146080999443E-2</c:v>
                </c:pt>
                <c:pt idx="173">
                  <c:v>-3.0223655047350362E-2</c:v>
                </c:pt>
                <c:pt idx="174">
                  <c:v>8.4626234132580969E-3</c:v>
                </c:pt>
                <c:pt idx="175">
                  <c:v>7.6566592786619925E-3</c:v>
                </c:pt>
                <c:pt idx="176">
                  <c:v>1.3298408220834057E-2</c:v>
                </c:pt>
                <c:pt idx="177">
                  <c:v>2.8813217811807457E-2</c:v>
                </c:pt>
                <c:pt idx="178">
                  <c:v>1.1887970985291041E-2</c:v>
                </c:pt>
                <c:pt idx="179">
                  <c:v>2.9216199879105398E-2</c:v>
                </c:pt>
                <c:pt idx="180">
                  <c:v>2.1962522667741124E-2</c:v>
                </c:pt>
                <c:pt idx="181">
                  <c:v>1.6119282691919867E-3</c:v>
                </c:pt>
                <c:pt idx="182">
                  <c:v>4.0298206729794117E-4</c:v>
                </c:pt>
                <c:pt idx="183">
                  <c:v>-7.8581503123110741E-3</c:v>
                </c:pt>
                <c:pt idx="184">
                  <c:v>1.4104372355430161E-3</c:v>
                </c:pt>
                <c:pt idx="185">
                  <c:v>-5.6417489421720646E-3</c:v>
                </c:pt>
                <c:pt idx="186">
                  <c:v>-2.9417690912754368E-2</c:v>
                </c:pt>
                <c:pt idx="187">
                  <c:v>-4.9365303244005676E-2</c:v>
                </c:pt>
                <c:pt idx="188">
                  <c:v>-5.2387668748740679E-2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24-4308-81A2-DFC5899E2BD3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-1.554907677356776E-3</c:v>
                </c:pt>
                <c:pt idx="2">
                  <c:v>3.10981535471333E-3</c:v>
                </c:pt>
                <c:pt idx="3">
                  <c:v>3.16812439261418E-2</c:v>
                </c:pt>
                <c:pt idx="4">
                  <c:v>2.5655976676384862E-2</c:v>
                </c:pt>
                <c:pt idx="5">
                  <c:v>3.790087463556846E-2</c:v>
                </c:pt>
                <c:pt idx="6">
                  <c:v>3.4013605442176909E-2</c:v>
                </c:pt>
                <c:pt idx="7">
                  <c:v>3.6734693877551017E-2</c:v>
                </c:pt>
                <c:pt idx="8">
                  <c:v>4.8785228377065115E-2</c:v>
                </c:pt>
                <c:pt idx="9">
                  <c:v>5.1895043731778223E-2</c:v>
                </c:pt>
                <c:pt idx="10">
                  <c:v>5.4421768707482832E-2</c:v>
                </c:pt>
                <c:pt idx="11">
                  <c:v>5.7920310981535383E-2</c:v>
                </c:pt>
                <c:pt idx="12">
                  <c:v>5.5004859086491775E-2</c:v>
                </c:pt>
                <c:pt idx="13">
                  <c:v>6.4917395529640265E-2</c:v>
                </c:pt>
                <c:pt idx="14">
                  <c:v>7.3469387755101812E-2</c:v>
                </c:pt>
                <c:pt idx="15">
                  <c:v>9.0767735665694849E-2</c:v>
                </c:pt>
                <c:pt idx="16">
                  <c:v>0.101846452866861</c:v>
                </c:pt>
                <c:pt idx="17">
                  <c:v>5.7142857142857162E-2</c:v>
                </c:pt>
                <c:pt idx="18">
                  <c:v>0.10826044703595716</c:v>
                </c:pt>
                <c:pt idx="19">
                  <c:v>0.10301263362487845</c:v>
                </c:pt>
                <c:pt idx="20">
                  <c:v>0.11020408163265305</c:v>
                </c:pt>
                <c:pt idx="21">
                  <c:v>9.9708454810495617E-2</c:v>
                </c:pt>
                <c:pt idx="22">
                  <c:v>0.11292517006802716</c:v>
                </c:pt>
                <c:pt idx="23">
                  <c:v>0.11020408163265305</c:v>
                </c:pt>
                <c:pt idx="24">
                  <c:v>0.12147716229348893</c:v>
                </c:pt>
                <c:pt idx="25">
                  <c:v>0.11000971817298333</c:v>
                </c:pt>
                <c:pt idx="26">
                  <c:v>0.10456754130223511</c:v>
                </c:pt>
                <c:pt idx="27">
                  <c:v>0.12322643343051509</c:v>
                </c:pt>
                <c:pt idx="28">
                  <c:v>0.13916423712342074</c:v>
                </c:pt>
                <c:pt idx="29">
                  <c:v>0.13722060252672486</c:v>
                </c:pt>
                <c:pt idx="30">
                  <c:v>0.16812439261418843</c:v>
                </c:pt>
                <c:pt idx="31">
                  <c:v>0.16015549076773561</c:v>
                </c:pt>
                <c:pt idx="32">
                  <c:v>0.1502429543245869</c:v>
                </c:pt>
                <c:pt idx="33">
                  <c:v>0.15354713313896973</c:v>
                </c:pt>
                <c:pt idx="34">
                  <c:v>0.16559766763848383</c:v>
                </c:pt>
                <c:pt idx="35">
                  <c:v>0.17745383867832842</c:v>
                </c:pt>
                <c:pt idx="36">
                  <c:v>0.15607385811467434</c:v>
                </c:pt>
                <c:pt idx="37">
                  <c:v>0.14732750242954329</c:v>
                </c:pt>
                <c:pt idx="38">
                  <c:v>0.1574344023323615</c:v>
                </c:pt>
                <c:pt idx="39">
                  <c:v>0.12478134110787154</c:v>
                </c:pt>
                <c:pt idx="40">
                  <c:v>0.12244897959183665</c:v>
                </c:pt>
                <c:pt idx="41">
                  <c:v>0.12458697764820204</c:v>
                </c:pt>
                <c:pt idx="42">
                  <c:v>5.3255587949465388E-2</c:v>
                </c:pt>
                <c:pt idx="43">
                  <c:v>7.6579203109815364E-2</c:v>
                </c:pt>
                <c:pt idx="44">
                  <c:v>6.2196307094266157E-2</c:v>
                </c:pt>
                <c:pt idx="45">
                  <c:v>3.8678328474246682E-2</c:v>
                </c:pt>
                <c:pt idx="46">
                  <c:v>3.790087463556846E-2</c:v>
                </c:pt>
                <c:pt idx="47">
                  <c:v>9.3294460641399901E-3</c:v>
                </c:pt>
                <c:pt idx="48">
                  <c:v>-2.5850340136054473E-2</c:v>
                </c:pt>
                <c:pt idx="49">
                  <c:v>1.554907677356665E-3</c:v>
                </c:pt>
                <c:pt idx="50">
                  <c:v>-9.1350826044704903E-3</c:v>
                </c:pt>
                <c:pt idx="51">
                  <c:v>-4.3343051506316899E-2</c:v>
                </c:pt>
                <c:pt idx="52">
                  <c:v>-5.9086491739553049E-2</c:v>
                </c:pt>
                <c:pt idx="53">
                  <c:v>-7.8911564625850361E-2</c:v>
                </c:pt>
                <c:pt idx="54">
                  <c:v>-6.4917395529640487E-2</c:v>
                </c:pt>
                <c:pt idx="55">
                  <c:v>-6.6472303206997152E-2</c:v>
                </c:pt>
                <c:pt idx="56">
                  <c:v>-4.8590864917395504E-2</c:v>
                </c:pt>
                <c:pt idx="57">
                  <c:v>-5.3061224489795999E-2</c:v>
                </c:pt>
                <c:pt idx="58">
                  <c:v>-6.1030126336248824E-2</c:v>
                </c:pt>
                <c:pt idx="59">
                  <c:v>-5.0728862973760891E-2</c:v>
                </c:pt>
                <c:pt idx="60">
                  <c:v>-3.3819241982507298E-2</c:v>
                </c:pt>
                <c:pt idx="61">
                  <c:v>-2.0408163265306256E-2</c:v>
                </c:pt>
                <c:pt idx="62">
                  <c:v>-3.1098153547133189E-2</c:v>
                </c:pt>
                <c:pt idx="63">
                  <c:v>-2.8571428571428692E-2</c:v>
                </c:pt>
                <c:pt idx="64">
                  <c:v>-4.081632653061229E-2</c:v>
                </c:pt>
                <c:pt idx="65">
                  <c:v>-2.6627793974732805E-2</c:v>
                </c:pt>
                <c:pt idx="66">
                  <c:v>-2.2157434402332421E-2</c:v>
                </c:pt>
                <c:pt idx="67">
                  <c:v>-2.7405247813411138E-2</c:v>
                </c:pt>
                <c:pt idx="68">
                  <c:v>-1.4771622934888318E-2</c:v>
                </c:pt>
                <c:pt idx="69">
                  <c:v>-8.1632653061224358E-3</c:v>
                </c:pt>
                <c:pt idx="70">
                  <c:v>-8.9407191448007683E-3</c:v>
                </c:pt>
                <c:pt idx="71">
                  <c:v>-2.9543245869776524E-2</c:v>
                </c:pt>
                <c:pt idx="72">
                  <c:v>-3.4985422740524408E-3</c:v>
                </c:pt>
                <c:pt idx="73">
                  <c:v>-2.3323615160351086E-3</c:v>
                </c:pt>
                <c:pt idx="74">
                  <c:v>-2.9543245869776524E-2</c:v>
                </c:pt>
                <c:pt idx="75">
                  <c:v>-4.8590864917396059E-3</c:v>
                </c:pt>
                <c:pt idx="76">
                  <c:v>7.968901846452825E-3</c:v>
                </c:pt>
                <c:pt idx="77">
                  <c:v>3.6929057337220517E-3</c:v>
                </c:pt>
                <c:pt idx="78">
                  <c:v>-4.4703595724004952E-3</c:v>
                </c:pt>
                <c:pt idx="79">
                  <c:v>-7.968901846452936E-3</c:v>
                </c:pt>
                <c:pt idx="80">
                  <c:v>-1.9825072886297423E-2</c:v>
                </c:pt>
                <c:pt idx="81">
                  <c:v>-1.1078717201166155E-2</c:v>
                </c:pt>
                <c:pt idx="82">
                  <c:v>-8.7463556851312685E-3</c:v>
                </c:pt>
                <c:pt idx="83">
                  <c:v>-2.2740524781341143E-2</c:v>
                </c:pt>
                <c:pt idx="84">
                  <c:v>-1.1856171039844488E-2</c:v>
                </c:pt>
                <c:pt idx="85">
                  <c:v>3.4985422740525518E-3</c:v>
                </c:pt>
                <c:pt idx="86">
                  <c:v>-1.6715257531584093E-2</c:v>
                </c:pt>
                <c:pt idx="87">
                  <c:v>-6.9970845481049926E-3</c:v>
                </c:pt>
                <c:pt idx="88">
                  <c:v>-7.7745383867844353E-4</c:v>
                </c:pt>
                <c:pt idx="89">
                  <c:v>-5.2478134110788277E-3</c:v>
                </c:pt>
                <c:pt idx="90">
                  <c:v>-3.6929057337221627E-3</c:v>
                </c:pt>
                <c:pt idx="91">
                  <c:v>-3.10981535471333E-3</c:v>
                </c:pt>
                <c:pt idx="92">
                  <c:v>-6.9970845481049926E-3</c:v>
                </c:pt>
                <c:pt idx="93">
                  <c:v>-6.8027210884353817E-3</c:v>
                </c:pt>
                <c:pt idx="94">
                  <c:v>7.968901846452825E-3</c:v>
                </c:pt>
                <c:pt idx="95">
                  <c:v>9.52380952380949E-3</c:v>
                </c:pt>
                <c:pt idx="96">
                  <c:v>2.4489795918367196E-2</c:v>
                </c:pt>
                <c:pt idx="97">
                  <c:v>3.6734693877551017E-2</c:v>
                </c:pt>
                <c:pt idx="98">
                  <c:v>2.235179786200181E-2</c:v>
                </c:pt>
                <c:pt idx="99">
                  <c:v>1.9825072886297201E-2</c:v>
                </c:pt>
                <c:pt idx="100">
                  <c:v>1.7687074829931815E-2</c:v>
                </c:pt>
                <c:pt idx="101">
                  <c:v>1.8464528668610258E-2</c:v>
                </c:pt>
                <c:pt idx="102">
                  <c:v>-2.3906705539358697E-2</c:v>
                </c:pt>
                <c:pt idx="103">
                  <c:v>-4.6258503401360618E-2</c:v>
                </c:pt>
                <c:pt idx="104">
                  <c:v>-4.7619047619047672E-2</c:v>
                </c:pt>
                <c:pt idx="105">
                  <c:v>2.3323615160348865E-3</c:v>
                </c:pt>
                <c:pt idx="106">
                  <c:v>5.8309037900872163E-4</c:v>
                </c:pt>
                <c:pt idx="107">
                  <c:v>-1.7492711370262537E-2</c:v>
                </c:pt>
                <c:pt idx="108">
                  <c:v>-2.3712342079689086E-2</c:v>
                </c:pt>
                <c:pt idx="109">
                  <c:v>-2.0019436345967034E-2</c:v>
                </c:pt>
                <c:pt idx="110">
                  <c:v>-1.9436345966958868E-3</c:v>
                </c:pt>
                <c:pt idx="111">
                  <c:v>3.8872691933915515E-3</c:v>
                </c:pt>
                <c:pt idx="112">
                  <c:v>-8.5519922254616576E-3</c:v>
                </c:pt>
                <c:pt idx="113">
                  <c:v>-6.2196307094266601E-3</c:v>
                </c:pt>
                <c:pt idx="114">
                  <c:v>-7.5801749271137142E-3</c:v>
                </c:pt>
                <c:pt idx="115">
                  <c:v>-3.3236151603498576E-2</c:v>
                </c:pt>
                <c:pt idx="116">
                  <c:v>-4.5286686103012785E-2</c:v>
                </c:pt>
                <c:pt idx="117">
                  <c:v>-2.1379980563654088E-2</c:v>
                </c:pt>
                <c:pt idx="118">
                  <c:v>-4.2759961127308843E-3</c:v>
                </c:pt>
                <c:pt idx="119">
                  <c:v>7.968901846452825E-3</c:v>
                </c:pt>
                <c:pt idx="120">
                  <c:v>5.6365403304179384E-3</c:v>
                </c:pt>
                <c:pt idx="121">
                  <c:v>2.1963070942662588E-2</c:v>
                </c:pt>
                <c:pt idx="122">
                  <c:v>-1.9436345966958868E-3</c:v>
                </c:pt>
                <c:pt idx="123">
                  <c:v>-2.196307094266281E-2</c:v>
                </c:pt>
                <c:pt idx="124">
                  <c:v>3.0903790087463578E-2</c:v>
                </c:pt>
                <c:pt idx="125">
                  <c:v>2.7210884353741083E-3</c:v>
                </c:pt>
                <c:pt idx="126">
                  <c:v>1.3994169096209985E-2</c:v>
                </c:pt>
                <c:pt idx="127">
                  <c:v>6.0252672497569382E-3</c:v>
                </c:pt>
                <c:pt idx="128">
                  <c:v>1.1078717201166155E-2</c:v>
                </c:pt>
                <c:pt idx="129">
                  <c:v>8.7463556851310464E-3</c:v>
                </c:pt>
                <c:pt idx="130">
                  <c:v>-1.8464528668610369E-2</c:v>
                </c:pt>
                <c:pt idx="131">
                  <c:v>-2.5072886297376251E-2</c:v>
                </c:pt>
                <c:pt idx="132">
                  <c:v>-5.2478134110788277E-3</c:v>
                </c:pt>
                <c:pt idx="133">
                  <c:v>0</c:v>
                </c:pt>
                <c:pt idx="134">
                  <c:v>2.9154518950436081E-3</c:v>
                </c:pt>
                <c:pt idx="135">
                  <c:v>-8.7463556851312685E-3</c:v>
                </c:pt>
                <c:pt idx="136">
                  <c:v>-6.0252672497570492E-3</c:v>
                </c:pt>
                <c:pt idx="137">
                  <c:v>4.8590864917394949E-3</c:v>
                </c:pt>
                <c:pt idx="138">
                  <c:v>4.8007774538386672E-2</c:v>
                </c:pt>
                <c:pt idx="139">
                  <c:v>6.31681243926141E-2</c:v>
                </c:pt>
                <c:pt idx="140">
                  <c:v>6.4528668610301265E-2</c:v>
                </c:pt>
                <c:pt idx="141">
                  <c:v>9.8542274052478174E-2</c:v>
                </c:pt>
                <c:pt idx="142">
                  <c:v>6.8415937803692817E-2</c:v>
                </c:pt>
                <c:pt idx="143">
                  <c:v>7.4246841593780477E-2</c:v>
                </c:pt>
                <c:pt idx="144">
                  <c:v>6.2585034013605378E-2</c:v>
                </c:pt>
                <c:pt idx="145">
                  <c:v>7.0553935860058203E-2</c:v>
                </c:pt>
                <c:pt idx="146">
                  <c:v>7.7162293488824085E-2</c:v>
                </c:pt>
                <c:pt idx="147">
                  <c:v>9.6404275996112565E-2</c:v>
                </c:pt>
                <c:pt idx="148">
                  <c:v>9.1739552964042792E-2</c:v>
                </c:pt>
                <c:pt idx="149">
                  <c:v>0.11292517006802716</c:v>
                </c:pt>
                <c:pt idx="150">
                  <c:v>0.11622934888240999</c:v>
                </c:pt>
                <c:pt idx="151">
                  <c:v>0.10048590864917384</c:v>
                </c:pt>
                <c:pt idx="152">
                  <c:v>9.8347910592808452E-2</c:v>
                </c:pt>
                <c:pt idx="153">
                  <c:v>7.852283770651125E-2</c:v>
                </c:pt>
                <c:pt idx="154">
                  <c:v>5.966958211856177E-2</c:v>
                </c:pt>
                <c:pt idx="155">
                  <c:v>6.1418853255587935E-2</c:v>
                </c:pt>
                <c:pt idx="156">
                  <c:v>7.9300291545189472E-2</c:v>
                </c:pt>
                <c:pt idx="157">
                  <c:v>0.13119533527696792</c:v>
                </c:pt>
                <c:pt idx="158">
                  <c:v>0.11273080660835766</c:v>
                </c:pt>
                <c:pt idx="159">
                  <c:v>0.12925170068027203</c:v>
                </c:pt>
                <c:pt idx="160">
                  <c:v>0.11700680272108843</c:v>
                </c:pt>
                <c:pt idx="161">
                  <c:v>0.13644314868804663</c:v>
                </c:pt>
                <c:pt idx="162">
                  <c:v>0.10573372206025256</c:v>
                </c:pt>
                <c:pt idx="163">
                  <c:v>9.6015549076773565E-2</c:v>
                </c:pt>
                <c:pt idx="164">
                  <c:v>7.269193391642359E-2</c:v>
                </c:pt>
                <c:pt idx="165">
                  <c:v>4.3731778425655898E-2</c:v>
                </c:pt>
                <c:pt idx="166">
                  <c:v>3.1875607385811522E-2</c:v>
                </c:pt>
                <c:pt idx="167">
                  <c:v>4.6258503401360507E-2</c:v>
                </c:pt>
                <c:pt idx="168">
                  <c:v>7.3275024295432312E-2</c:v>
                </c:pt>
                <c:pt idx="169">
                  <c:v>6.8415937803692817E-2</c:v>
                </c:pt>
                <c:pt idx="170">
                  <c:v>5.0923226433430502E-2</c:v>
                </c:pt>
                <c:pt idx="171">
                  <c:v>3.7512147716229238E-2</c:v>
                </c:pt>
                <c:pt idx="172">
                  <c:v>3.3819241982507187E-2</c:v>
                </c:pt>
                <c:pt idx="173">
                  <c:v>2.526724975704564E-2</c:v>
                </c:pt>
                <c:pt idx="174">
                  <c:v>6.5111758989309987E-2</c:v>
                </c:pt>
                <c:pt idx="175">
                  <c:v>6.8027210884353817E-2</c:v>
                </c:pt>
                <c:pt idx="176">
                  <c:v>7.1914480077745369E-2</c:v>
                </c:pt>
                <c:pt idx="177">
                  <c:v>6.1807580174927157E-2</c:v>
                </c:pt>
                <c:pt idx="178">
                  <c:v>5.2478134110787167E-2</c:v>
                </c:pt>
                <c:pt idx="179">
                  <c:v>7.4829931972788977E-2</c:v>
                </c:pt>
                <c:pt idx="180">
                  <c:v>8.1827016520893858E-2</c:v>
                </c:pt>
                <c:pt idx="181">
                  <c:v>7.0165208940719204E-2</c:v>
                </c:pt>
                <c:pt idx="182">
                  <c:v>6.5111758989309987E-2</c:v>
                </c:pt>
                <c:pt idx="183">
                  <c:v>5.8309037900874605E-2</c:v>
                </c:pt>
                <c:pt idx="184">
                  <c:v>3.7317784256559738E-2</c:v>
                </c:pt>
                <c:pt idx="185">
                  <c:v>1.5549076773566428E-2</c:v>
                </c:pt>
                <c:pt idx="186">
                  <c:v>8.3576287657920467E-3</c:v>
                </c:pt>
                <c:pt idx="187">
                  <c:v>1.7492711370262315E-2</c:v>
                </c:pt>
                <c:pt idx="188">
                  <c:v>1.5549076773566428E-2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824-4308-81A2-DFC5899E2BD3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-1.4928467758656416E-2</c:v>
                </c:pt>
                <c:pt idx="2">
                  <c:v>-1.2440389798878959E-3</c:v>
                </c:pt>
                <c:pt idx="3">
                  <c:v>2.9027576197386828E-3</c:v>
                </c:pt>
                <c:pt idx="4">
                  <c:v>-2.0733982998132339E-3</c:v>
                </c:pt>
                <c:pt idx="5">
                  <c:v>1.6587186398507203E-2</c:v>
                </c:pt>
                <c:pt idx="6">
                  <c:v>-1.3062409288824295E-2</c:v>
                </c:pt>
                <c:pt idx="7">
                  <c:v>-2.1356002488077785E-2</c:v>
                </c:pt>
                <c:pt idx="8">
                  <c:v>-7.0495542193654837E-3</c:v>
                </c:pt>
                <c:pt idx="9">
                  <c:v>-1.5757827078581754E-2</c:v>
                </c:pt>
                <c:pt idx="10">
                  <c:v>-3.4003732116939522E-2</c:v>
                </c:pt>
                <c:pt idx="11">
                  <c:v>-5.1627617665353398E-2</c:v>
                </c:pt>
                <c:pt idx="12">
                  <c:v>-4.2504665146174569E-2</c:v>
                </c:pt>
                <c:pt idx="13">
                  <c:v>-3.5869790586771644E-2</c:v>
                </c:pt>
                <c:pt idx="14">
                  <c:v>-2.1356002488077785E-2</c:v>
                </c:pt>
                <c:pt idx="15">
                  <c:v>-1.8660584698320548E-2</c:v>
                </c:pt>
                <c:pt idx="16">
                  <c:v>-1.5343147418618974E-2</c:v>
                </c:pt>
                <c:pt idx="17">
                  <c:v>-5.1005598175409395E-2</c:v>
                </c:pt>
                <c:pt idx="18">
                  <c:v>-4.2089985486211789E-2</c:v>
                </c:pt>
                <c:pt idx="19">
                  <c:v>-2.4673439767779359E-2</c:v>
                </c:pt>
                <c:pt idx="20">
                  <c:v>-1.9904623678208444E-2</c:v>
                </c:pt>
                <c:pt idx="21">
                  <c:v>-1.5343147418618974E-2</c:v>
                </c:pt>
                <c:pt idx="22">
                  <c:v>-3.1100974497200173E-3</c:v>
                </c:pt>
                <c:pt idx="23">
                  <c:v>-1.5343147418618974E-2</c:v>
                </c:pt>
                <c:pt idx="24">
                  <c:v>-8.2935931992536016E-3</c:v>
                </c:pt>
                <c:pt idx="25">
                  <c:v>8.2935931992556E-4</c:v>
                </c:pt>
                <c:pt idx="26">
                  <c:v>8.2935931992536016E-3</c:v>
                </c:pt>
                <c:pt idx="27">
                  <c:v>2.1148662658096784E-2</c:v>
                </c:pt>
                <c:pt idx="28">
                  <c:v>-2.4880779597760694E-2</c:v>
                </c:pt>
                <c:pt idx="29">
                  <c:v>-4.6029442255857367E-2</c:v>
                </c:pt>
                <c:pt idx="30">
                  <c:v>-3.7321169396640985E-2</c:v>
                </c:pt>
                <c:pt idx="31">
                  <c:v>-4.3334024466099907E-2</c:v>
                </c:pt>
                <c:pt idx="32">
                  <c:v>-1.7623885548413765E-2</c:v>
                </c:pt>
                <c:pt idx="33">
                  <c:v>-3.0478955007256836E-2</c:v>
                </c:pt>
                <c:pt idx="34">
                  <c:v>-2.0941322828115227E-2</c:v>
                </c:pt>
                <c:pt idx="35">
                  <c:v>-1.9075264358283106E-2</c:v>
                </c:pt>
                <c:pt idx="36">
                  <c:v>-1.3269749118805629E-2</c:v>
                </c:pt>
                <c:pt idx="37">
                  <c:v>2.4880779597762359E-3</c:v>
                </c:pt>
                <c:pt idx="38">
                  <c:v>8.9156126891976051E-3</c:v>
                </c:pt>
                <c:pt idx="39">
                  <c:v>-1.1818370308936399E-2</c:v>
                </c:pt>
                <c:pt idx="40">
                  <c:v>-3.6491810076715647E-2</c:v>
                </c:pt>
                <c:pt idx="41">
                  <c:v>-4.1675305826249232E-2</c:v>
                </c:pt>
                <c:pt idx="42">
                  <c:v>-6.6970765083972594E-2</c:v>
                </c:pt>
                <c:pt idx="43">
                  <c:v>-7.6301057433132868E-2</c:v>
                </c:pt>
                <c:pt idx="44">
                  <c:v>-8.0447854032759558E-2</c:v>
                </c:pt>
                <c:pt idx="45">
                  <c:v>-8.8326767572050602E-2</c:v>
                </c:pt>
                <c:pt idx="46">
                  <c:v>-8.8948787061994605E-2</c:v>
                </c:pt>
                <c:pt idx="47">
                  <c:v>-9.5376321791415974E-2</c:v>
                </c:pt>
                <c:pt idx="48">
                  <c:v>-9.5998341281360089E-2</c:v>
                </c:pt>
                <c:pt idx="49">
                  <c:v>-8.8119427742069267E-2</c:v>
                </c:pt>
                <c:pt idx="50">
                  <c:v>-8.646070910221848E-2</c:v>
                </c:pt>
                <c:pt idx="51">
                  <c:v>-9.3717603151565299E-2</c:v>
                </c:pt>
                <c:pt idx="52">
                  <c:v>-5.9921210864607E-2</c:v>
                </c:pt>
                <c:pt idx="53">
                  <c:v>-7.5264358283226085E-2</c:v>
                </c:pt>
                <c:pt idx="54">
                  <c:v>-7.1739581173543288E-2</c:v>
                </c:pt>
                <c:pt idx="55">
                  <c:v>-6.40680074642338E-2</c:v>
                </c:pt>
                <c:pt idx="56">
                  <c:v>-4.5614762595894587E-2</c:v>
                </c:pt>
                <c:pt idx="57">
                  <c:v>-3.338171262699563E-2</c:v>
                </c:pt>
                <c:pt idx="58">
                  <c:v>-3.0064275347294167E-2</c:v>
                </c:pt>
                <c:pt idx="59">
                  <c:v>-3.1308314327182174E-2</c:v>
                </c:pt>
                <c:pt idx="60">
                  <c:v>-1.0366991499066724E-3</c:v>
                </c:pt>
                <c:pt idx="61">
                  <c:v>-1.0366991499066947E-2</c:v>
                </c:pt>
                <c:pt idx="62">
                  <c:v>-7.0495542193654837E-3</c:v>
                </c:pt>
                <c:pt idx="63">
                  <c:v>-1.3062409288824295E-2</c:v>
                </c:pt>
                <c:pt idx="64">
                  <c:v>-2.9027576197387495E-2</c:v>
                </c:pt>
                <c:pt idx="65">
                  <c:v>-2.2600041467965903E-2</c:v>
                </c:pt>
                <c:pt idx="66">
                  <c:v>-2.3844080447854021E-2</c:v>
                </c:pt>
                <c:pt idx="67">
                  <c:v>-3.0478955007256836E-2</c:v>
                </c:pt>
                <c:pt idx="68">
                  <c:v>-2.6332158407630035E-2</c:v>
                </c:pt>
                <c:pt idx="69">
                  <c:v>-1.2233049968898957E-2</c:v>
                </c:pt>
                <c:pt idx="70">
                  <c:v>-4.3541364296080243E-3</c:v>
                </c:pt>
                <c:pt idx="71">
                  <c:v>-1.0574331329048281E-2</c:v>
                </c:pt>
                <c:pt idx="72">
                  <c:v>-3.5247771096826863E-3</c:v>
                </c:pt>
                <c:pt idx="73">
                  <c:v>-4.9761559195520277E-3</c:v>
                </c:pt>
                <c:pt idx="74">
                  <c:v>-2.2807381297947238E-2</c:v>
                </c:pt>
                <c:pt idx="75">
                  <c:v>-2.7576197387518153E-2</c:v>
                </c:pt>
                <c:pt idx="76">
                  <c:v>-1.4513788098693636E-2</c:v>
                </c:pt>
                <c:pt idx="77">
                  <c:v>-3.0064275347294167E-2</c:v>
                </c:pt>
                <c:pt idx="78">
                  <c:v>-4.8310180385652046E-2</c:v>
                </c:pt>
                <c:pt idx="79">
                  <c:v>-4.7273481235745263E-2</c:v>
                </c:pt>
                <c:pt idx="80">
                  <c:v>-4.5614762595894587E-2</c:v>
                </c:pt>
                <c:pt idx="81">
                  <c:v>-3.4211071946920968E-2</c:v>
                </c:pt>
                <c:pt idx="82">
                  <c:v>-4.4578063445987914E-2</c:v>
                </c:pt>
                <c:pt idx="83">
                  <c:v>-0.10118183703089356</c:v>
                </c:pt>
                <c:pt idx="84">
                  <c:v>-0.10097449720091223</c:v>
                </c:pt>
                <c:pt idx="85">
                  <c:v>-9.2473564171677292E-2</c:v>
                </c:pt>
                <c:pt idx="86">
                  <c:v>-0.10470661414057636</c:v>
                </c:pt>
                <c:pt idx="87">
                  <c:v>-0.1020111963508189</c:v>
                </c:pt>
                <c:pt idx="88">
                  <c:v>-0.11880572257930744</c:v>
                </c:pt>
                <c:pt idx="89">
                  <c:v>-0.11134148869997917</c:v>
                </c:pt>
                <c:pt idx="90">
                  <c:v>-0.12046444121915811</c:v>
                </c:pt>
                <c:pt idx="91">
                  <c:v>-0.11154882852996051</c:v>
                </c:pt>
                <c:pt idx="92">
                  <c:v>-0.11486626580966197</c:v>
                </c:pt>
                <c:pt idx="93">
                  <c:v>-9.7242380261248096E-2</c:v>
                </c:pt>
                <c:pt idx="94">
                  <c:v>-9.7035040431266872E-2</c:v>
                </c:pt>
                <c:pt idx="95">
                  <c:v>-7.3812979473356743E-2</c:v>
                </c:pt>
                <c:pt idx="96">
                  <c:v>-6.862948372382327E-2</c:v>
                </c:pt>
                <c:pt idx="97">
                  <c:v>-8.1691893012647676E-2</c:v>
                </c:pt>
                <c:pt idx="98">
                  <c:v>-8.459465063238647E-2</c:v>
                </c:pt>
                <c:pt idx="99">
                  <c:v>-7.8789135392908882E-2</c:v>
                </c:pt>
                <c:pt idx="100">
                  <c:v>-8.1691893012647676E-2</c:v>
                </c:pt>
                <c:pt idx="101">
                  <c:v>-9.4546962471490636E-2</c:v>
                </c:pt>
                <c:pt idx="102">
                  <c:v>-0.10926809040016583</c:v>
                </c:pt>
                <c:pt idx="103">
                  <c:v>-0.11258552767986729</c:v>
                </c:pt>
                <c:pt idx="104">
                  <c:v>-0.1215011403690649</c:v>
                </c:pt>
                <c:pt idx="105">
                  <c:v>-7.9825834542815555E-2</c:v>
                </c:pt>
                <c:pt idx="106">
                  <c:v>-6.6556085424009814E-2</c:v>
                </c:pt>
                <c:pt idx="107">
                  <c:v>-9.0192826041882501E-2</c:v>
                </c:pt>
                <c:pt idx="108">
                  <c:v>-7.2568940493468848E-2</c:v>
                </c:pt>
                <c:pt idx="109">
                  <c:v>-9.6620360771304092E-2</c:v>
                </c:pt>
                <c:pt idx="110">
                  <c:v>-8.5424009952311808E-2</c:v>
                </c:pt>
                <c:pt idx="111">
                  <c:v>-8.2521252332573014E-2</c:v>
                </c:pt>
                <c:pt idx="112">
                  <c:v>-9.1851544681733399E-2</c:v>
                </c:pt>
                <c:pt idx="113">
                  <c:v>-8.6668048932199926E-2</c:v>
                </c:pt>
                <c:pt idx="114">
                  <c:v>-0.11880572257930744</c:v>
                </c:pt>
                <c:pt idx="115">
                  <c:v>-0.12129380053908345</c:v>
                </c:pt>
                <c:pt idx="116">
                  <c:v>-0.13373419033796385</c:v>
                </c:pt>
                <c:pt idx="117">
                  <c:v>-0.13746630727762799</c:v>
                </c:pt>
                <c:pt idx="118">
                  <c:v>-0.14306448268712413</c:v>
                </c:pt>
                <c:pt idx="119">
                  <c:v>-0.1333195106780013</c:v>
                </c:pt>
                <c:pt idx="120">
                  <c:v>-0.10947543023014705</c:v>
                </c:pt>
                <c:pt idx="121">
                  <c:v>-9.9523118391042886E-2</c:v>
                </c:pt>
                <c:pt idx="122">
                  <c:v>-0.11548828529960609</c:v>
                </c:pt>
                <c:pt idx="123">
                  <c:v>-0.13684428778768387</c:v>
                </c:pt>
                <c:pt idx="124">
                  <c:v>-0.10512129380053914</c:v>
                </c:pt>
                <c:pt idx="125">
                  <c:v>-0.11652498444951276</c:v>
                </c:pt>
                <c:pt idx="126">
                  <c:v>-0.10885341074020316</c:v>
                </c:pt>
                <c:pt idx="127">
                  <c:v>-0.11300020733982985</c:v>
                </c:pt>
                <c:pt idx="128">
                  <c:v>-8.9778146381919943E-2</c:v>
                </c:pt>
                <c:pt idx="129">
                  <c:v>-9.8071739581173434E-2</c:v>
                </c:pt>
                <c:pt idx="130">
                  <c:v>-8.7704748082106487E-2</c:v>
                </c:pt>
                <c:pt idx="131">
                  <c:v>-0.10470661414057636</c:v>
                </c:pt>
                <c:pt idx="132">
                  <c:v>-9.4339622641509413E-2</c:v>
                </c:pt>
                <c:pt idx="133">
                  <c:v>-8.3350611652498352E-2</c:v>
                </c:pt>
                <c:pt idx="134">
                  <c:v>-7.4020319303338189E-2</c:v>
                </c:pt>
                <c:pt idx="135">
                  <c:v>-8.8119427742069267E-2</c:v>
                </c:pt>
                <c:pt idx="136">
                  <c:v>-9.2888243831639961E-2</c:v>
                </c:pt>
                <c:pt idx="137">
                  <c:v>-9.2058884511714623E-2</c:v>
                </c:pt>
                <c:pt idx="138">
                  <c:v>-0.10097449720091223</c:v>
                </c:pt>
                <c:pt idx="139">
                  <c:v>-0.10118183703089356</c:v>
                </c:pt>
                <c:pt idx="140">
                  <c:v>-8.7704748082106487E-2</c:v>
                </c:pt>
                <c:pt idx="141">
                  <c:v>-5.577441426498031E-2</c:v>
                </c:pt>
                <c:pt idx="142">
                  <c:v>-7.0080862533692612E-2</c:v>
                </c:pt>
                <c:pt idx="143">
                  <c:v>-0.11071946921003517</c:v>
                </c:pt>
                <c:pt idx="144">
                  <c:v>-0.10678001244038982</c:v>
                </c:pt>
                <c:pt idx="145">
                  <c:v>-0.10947543023014705</c:v>
                </c:pt>
                <c:pt idx="146">
                  <c:v>-0.11507360563964331</c:v>
                </c:pt>
                <c:pt idx="147">
                  <c:v>-0.11300020733982985</c:v>
                </c:pt>
                <c:pt idx="148">
                  <c:v>-0.11071946921003517</c:v>
                </c:pt>
                <c:pt idx="149">
                  <c:v>-9.8901098901098772E-2</c:v>
                </c:pt>
                <c:pt idx="150">
                  <c:v>-9.8486419241136214E-2</c:v>
                </c:pt>
                <c:pt idx="151">
                  <c:v>-9.6827700601285427E-2</c:v>
                </c:pt>
                <c:pt idx="152">
                  <c:v>-9.3717603151565299E-2</c:v>
                </c:pt>
                <c:pt idx="153">
                  <c:v>-9.2266224341695957E-2</c:v>
                </c:pt>
                <c:pt idx="154">
                  <c:v>-9.3510263321584075E-2</c:v>
                </c:pt>
                <c:pt idx="155">
                  <c:v>-7.9203815052871662E-2</c:v>
                </c:pt>
                <c:pt idx="156">
                  <c:v>-6.7592784573916598E-2</c:v>
                </c:pt>
                <c:pt idx="157">
                  <c:v>-4.9761559195521388E-2</c:v>
                </c:pt>
                <c:pt idx="158">
                  <c:v>-6.3860667634252466E-2</c:v>
                </c:pt>
                <c:pt idx="159">
                  <c:v>-4.9346879535558719E-2</c:v>
                </c:pt>
                <c:pt idx="160">
                  <c:v>-5.2664316815260181E-2</c:v>
                </c:pt>
                <c:pt idx="161">
                  <c:v>-4.5822102425875921E-2</c:v>
                </c:pt>
                <c:pt idx="162">
                  <c:v>-5.8262492224756324E-2</c:v>
                </c:pt>
                <c:pt idx="163">
                  <c:v>-7.0288202363673946E-2</c:v>
                </c:pt>
                <c:pt idx="164">
                  <c:v>-7.0702882023636726E-2</c:v>
                </c:pt>
                <c:pt idx="165">
                  <c:v>-8.0240514202778335E-2</c:v>
                </c:pt>
                <c:pt idx="166">
                  <c:v>-8.0033174372797E-2</c:v>
                </c:pt>
                <c:pt idx="167">
                  <c:v>-7.7959776072983544E-2</c:v>
                </c:pt>
                <c:pt idx="168">
                  <c:v>-8.0862533692722338E-2</c:v>
                </c:pt>
                <c:pt idx="169">
                  <c:v>-8.2728592162554349E-2</c:v>
                </c:pt>
                <c:pt idx="170">
                  <c:v>-0.1052249637155297</c:v>
                </c:pt>
                <c:pt idx="171">
                  <c:v>-0.11154882852996051</c:v>
                </c:pt>
                <c:pt idx="172">
                  <c:v>-0.11424424631971797</c:v>
                </c:pt>
                <c:pt idx="173">
                  <c:v>-0.11320754716981118</c:v>
                </c:pt>
                <c:pt idx="174">
                  <c:v>-0.10159651669085634</c:v>
                </c:pt>
                <c:pt idx="175">
                  <c:v>-0.12087912087912089</c:v>
                </c:pt>
                <c:pt idx="176">
                  <c:v>-0.11693966410947532</c:v>
                </c:pt>
                <c:pt idx="177">
                  <c:v>-0.1055359734605017</c:v>
                </c:pt>
                <c:pt idx="178">
                  <c:v>-0.11922040223927022</c:v>
                </c:pt>
                <c:pt idx="179">
                  <c:v>-0.11880572257930744</c:v>
                </c:pt>
                <c:pt idx="180">
                  <c:v>-0.1185983827493261</c:v>
                </c:pt>
                <c:pt idx="181">
                  <c:v>-0.13622226829773998</c:v>
                </c:pt>
                <c:pt idx="182">
                  <c:v>-0.1511507360563964</c:v>
                </c:pt>
                <c:pt idx="183">
                  <c:v>-0.1476259589467136</c:v>
                </c:pt>
                <c:pt idx="184">
                  <c:v>-0.14617458013684426</c:v>
                </c:pt>
                <c:pt idx="185">
                  <c:v>-0.15529753265602309</c:v>
                </c:pt>
                <c:pt idx="186">
                  <c:v>-0.14513788098693758</c:v>
                </c:pt>
                <c:pt idx="187">
                  <c:v>-0.15674891146589254</c:v>
                </c:pt>
                <c:pt idx="188">
                  <c:v>-0.17229939871449296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824-4308-81A2-DFC5899E2BD3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89"/>
                <c:pt idx="0">
                  <c:v>0</c:v>
                </c:pt>
                <c:pt idx="1">
                  <c:v>5.2631578947368585E-3</c:v>
                </c:pt>
                <c:pt idx="2">
                  <c:v>1.0526315789474161E-3</c:v>
                </c:pt>
                <c:pt idx="3">
                  <c:v>8.9473684210528148E-3</c:v>
                </c:pt>
                <c:pt idx="4">
                  <c:v>4.039473684210515E-2</c:v>
                </c:pt>
                <c:pt idx="5">
                  <c:v>2.3157894736842266E-2</c:v>
                </c:pt>
                <c:pt idx="6">
                  <c:v>4.4999999999999929E-2</c:v>
                </c:pt>
                <c:pt idx="7">
                  <c:v>2.486842105263154E-2</c:v>
                </c:pt>
                <c:pt idx="8">
                  <c:v>9.6578947368421098E-2</c:v>
                </c:pt>
                <c:pt idx="9">
                  <c:v>0.10776315789473689</c:v>
                </c:pt>
                <c:pt idx="10">
                  <c:v>9.2500000000000027E-2</c:v>
                </c:pt>
                <c:pt idx="11">
                  <c:v>0.12934210526315781</c:v>
                </c:pt>
                <c:pt idx="12">
                  <c:v>0.1232894736842105</c:v>
                </c:pt>
                <c:pt idx="13">
                  <c:v>0.16223684210526312</c:v>
                </c:pt>
                <c:pt idx="14">
                  <c:v>0.1725000000000001</c:v>
                </c:pt>
                <c:pt idx="15">
                  <c:v>0.22013157894736857</c:v>
                </c:pt>
                <c:pt idx="16">
                  <c:v>0.22986842105263161</c:v>
                </c:pt>
                <c:pt idx="17">
                  <c:v>0.1892105263157895</c:v>
                </c:pt>
                <c:pt idx="18">
                  <c:v>0.15828947368421065</c:v>
                </c:pt>
                <c:pt idx="19">
                  <c:v>0.17263157894736847</c:v>
                </c:pt>
                <c:pt idx="20">
                  <c:v>0.18434210526315797</c:v>
                </c:pt>
                <c:pt idx="21">
                  <c:v>0.19131578947368433</c:v>
                </c:pt>
                <c:pt idx="22">
                  <c:v>0.18815789473684208</c:v>
                </c:pt>
                <c:pt idx="23">
                  <c:v>0.17934210526315786</c:v>
                </c:pt>
                <c:pt idx="24">
                  <c:v>0.20526315789473681</c:v>
                </c:pt>
                <c:pt idx="25">
                  <c:v>0.21789473684210536</c:v>
                </c:pt>
                <c:pt idx="26">
                  <c:v>0.21500000000000008</c:v>
                </c:pt>
                <c:pt idx="27">
                  <c:v>0.21381578947368429</c:v>
                </c:pt>
                <c:pt idx="28">
                  <c:v>0.20236842105263153</c:v>
                </c:pt>
                <c:pt idx="29">
                  <c:v>0.21013157894736834</c:v>
                </c:pt>
                <c:pt idx="30">
                  <c:v>0.29776315789473684</c:v>
                </c:pt>
                <c:pt idx="31">
                  <c:v>0.20552631578947378</c:v>
                </c:pt>
                <c:pt idx="32">
                  <c:v>0.19934210526315788</c:v>
                </c:pt>
                <c:pt idx="33">
                  <c:v>0.1494736842105262</c:v>
                </c:pt>
                <c:pt idx="34">
                  <c:v>0.12631578947368416</c:v>
                </c:pt>
                <c:pt idx="35">
                  <c:v>0.11421052631578954</c:v>
                </c:pt>
                <c:pt idx="36">
                  <c:v>0.12065789473684219</c:v>
                </c:pt>
                <c:pt idx="37">
                  <c:v>0.10118421052631565</c:v>
                </c:pt>
                <c:pt idx="38">
                  <c:v>0.10552631578947369</c:v>
                </c:pt>
                <c:pt idx="39">
                  <c:v>6.8684210526315681E-2</c:v>
                </c:pt>
                <c:pt idx="40">
                  <c:v>8.1578947368421417E-3</c:v>
                </c:pt>
                <c:pt idx="41">
                  <c:v>-1.5789473684210575E-2</c:v>
                </c:pt>
                <c:pt idx="42">
                  <c:v>-5.921052631578938E-3</c:v>
                </c:pt>
                <c:pt idx="43">
                  <c:v>-4.2368421052631611E-2</c:v>
                </c:pt>
                <c:pt idx="44">
                  <c:v>-1.078947368421046E-2</c:v>
                </c:pt>
                <c:pt idx="45">
                  <c:v>4.2763157894736947E-2</c:v>
                </c:pt>
                <c:pt idx="46">
                  <c:v>5.3026315789473699E-2</c:v>
                </c:pt>
                <c:pt idx="47">
                  <c:v>2.9736842105263284E-2</c:v>
                </c:pt>
                <c:pt idx="48">
                  <c:v>1.6710526315789398E-2</c:v>
                </c:pt>
                <c:pt idx="49">
                  <c:v>5.500000000000016E-2</c:v>
                </c:pt>
                <c:pt idx="50">
                  <c:v>5.8157894736842186E-2</c:v>
                </c:pt>
                <c:pt idx="51">
                  <c:v>4.0263157894736779E-2</c:v>
                </c:pt>
                <c:pt idx="52">
                  <c:v>1.2236842105263213E-2</c:v>
                </c:pt>
                <c:pt idx="53">
                  <c:v>1.013157894736838E-2</c:v>
                </c:pt>
                <c:pt idx="54">
                  <c:v>1.2236842105263213E-2</c:v>
                </c:pt>
                <c:pt idx="55">
                  <c:v>-6.8421052631578716E-3</c:v>
                </c:pt>
                <c:pt idx="56">
                  <c:v>3.4210526315789913E-3</c:v>
                </c:pt>
                <c:pt idx="57">
                  <c:v>7.2368421052630971E-3</c:v>
                </c:pt>
                <c:pt idx="58">
                  <c:v>6.8421052631577606E-3</c:v>
                </c:pt>
                <c:pt idx="59">
                  <c:v>2.8026315789473566E-2</c:v>
                </c:pt>
                <c:pt idx="60">
                  <c:v>3.6447368421052673E-2</c:v>
                </c:pt>
                <c:pt idx="61">
                  <c:v>5.5789473684210389E-2</c:v>
                </c:pt>
                <c:pt idx="62">
                  <c:v>4.4605263157894814E-2</c:v>
                </c:pt>
                <c:pt idx="63">
                  <c:v>4.4605263157894814E-2</c:v>
                </c:pt>
                <c:pt idx="64">
                  <c:v>3.3421052631579018E-2</c:v>
                </c:pt>
                <c:pt idx="65">
                  <c:v>6.526315789473669E-2</c:v>
                </c:pt>
                <c:pt idx="66">
                  <c:v>6.4473684210526461E-2</c:v>
                </c:pt>
                <c:pt idx="67">
                  <c:v>5.5789473684210389E-2</c:v>
                </c:pt>
                <c:pt idx="68">
                  <c:v>7.3421052631578831E-2</c:v>
                </c:pt>
                <c:pt idx="69">
                  <c:v>6.8684210526315681E-2</c:v>
                </c:pt>
                <c:pt idx="70">
                  <c:v>7.2105263157894894E-2</c:v>
                </c:pt>
                <c:pt idx="71">
                  <c:v>7.0789473684210513E-2</c:v>
                </c:pt>
                <c:pt idx="72">
                  <c:v>8.1578947368421195E-2</c:v>
                </c:pt>
                <c:pt idx="73">
                  <c:v>8.8421052631578956E-2</c:v>
                </c:pt>
                <c:pt idx="74">
                  <c:v>5.1842105263157912E-2</c:v>
                </c:pt>
                <c:pt idx="75">
                  <c:v>5.8947368421052637E-2</c:v>
                </c:pt>
                <c:pt idx="76">
                  <c:v>5.3684210526315779E-2</c:v>
                </c:pt>
                <c:pt idx="77">
                  <c:v>1.3157894736842035E-2</c:v>
                </c:pt>
                <c:pt idx="78">
                  <c:v>1.0000000000000009E-2</c:v>
                </c:pt>
                <c:pt idx="79">
                  <c:v>-3.6315789473684301E-2</c:v>
                </c:pt>
                <c:pt idx="80">
                  <c:v>-4.0789473684210487E-2</c:v>
                </c:pt>
                <c:pt idx="81">
                  <c:v>1.3157894736841591E-3</c:v>
                </c:pt>
                <c:pt idx="82">
                  <c:v>1.3157894736841591E-3</c:v>
                </c:pt>
                <c:pt idx="83">
                  <c:v>-1.5789473684210575E-2</c:v>
                </c:pt>
                <c:pt idx="84">
                  <c:v>-2.6315789473684292E-3</c:v>
                </c:pt>
                <c:pt idx="85">
                  <c:v>1.3421052631579E-2</c:v>
                </c:pt>
                <c:pt idx="86">
                  <c:v>-1.5000000000000013E-2</c:v>
                </c:pt>
                <c:pt idx="87">
                  <c:v>-2.6842105263158E-2</c:v>
                </c:pt>
                <c:pt idx="88">
                  <c:v>-2.4210526315789571E-2</c:v>
                </c:pt>
                <c:pt idx="89">
                  <c:v>1.1578947368420911E-2</c:v>
                </c:pt>
                <c:pt idx="90">
                  <c:v>-7.8947368421056208E-4</c:v>
                </c:pt>
                <c:pt idx="91">
                  <c:v>4.7368421052631504E-3</c:v>
                </c:pt>
                <c:pt idx="92">
                  <c:v>-7.6315789473684337E-3</c:v>
                </c:pt>
                <c:pt idx="93">
                  <c:v>-4.4736842105264074E-3</c:v>
                </c:pt>
                <c:pt idx="94">
                  <c:v>1.3684210526315965E-2</c:v>
                </c:pt>
                <c:pt idx="95">
                  <c:v>3.2368421052631602E-2</c:v>
                </c:pt>
                <c:pt idx="96">
                  <c:v>2.3947368421052495E-2</c:v>
                </c:pt>
                <c:pt idx="97">
                  <c:v>1.3421052631579E-2</c:v>
                </c:pt>
                <c:pt idx="98">
                  <c:v>-4.7368421052631504E-3</c:v>
                </c:pt>
                <c:pt idx="99">
                  <c:v>3.1578947368420263E-3</c:v>
                </c:pt>
                <c:pt idx="100">
                  <c:v>-4.2105263157893313E-3</c:v>
                </c:pt>
                <c:pt idx="101">
                  <c:v>-3.8684210526315765E-2</c:v>
                </c:pt>
                <c:pt idx="102">
                  <c:v>-7.5526315789473664E-2</c:v>
                </c:pt>
                <c:pt idx="103">
                  <c:v>-0.10263157894736841</c:v>
                </c:pt>
                <c:pt idx="104">
                  <c:v>-8.6842105263157832E-2</c:v>
                </c:pt>
                <c:pt idx="105">
                  <c:v>-6.4210526315789385E-2</c:v>
                </c:pt>
                <c:pt idx="106">
                  <c:v>-4.8421052631579031E-2</c:v>
                </c:pt>
                <c:pt idx="107">
                  <c:v>-6.0789473684210615E-2</c:v>
                </c:pt>
                <c:pt idx="108">
                  <c:v>-6.6052631578947363E-2</c:v>
                </c:pt>
                <c:pt idx="109">
                  <c:v>-6.92105263157895E-2</c:v>
                </c:pt>
                <c:pt idx="110">
                  <c:v>-5.8157894736842075E-2</c:v>
                </c:pt>
                <c:pt idx="111">
                  <c:v>-4.7631578947368469E-2</c:v>
                </c:pt>
                <c:pt idx="112">
                  <c:v>-4.4473684210526221E-2</c:v>
                </c:pt>
                <c:pt idx="113">
                  <c:v>-5.236842105263162E-2</c:v>
                </c:pt>
                <c:pt idx="114">
                  <c:v>-6.8421052631578716E-3</c:v>
                </c:pt>
                <c:pt idx="115">
                  <c:v>-2.2368421052631593E-2</c:v>
                </c:pt>
                <c:pt idx="116">
                  <c:v>4.7368421052631504E-3</c:v>
                </c:pt>
                <c:pt idx="117">
                  <c:v>1.5789473684210575E-2</c:v>
                </c:pt>
                <c:pt idx="118">
                  <c:v>4.1842105263157903E-2</c:v>
                </c:pt>
                <c:pt idx="119">
                  <c:v>0.23684210526315796</c:v>
                </c:pt>
                <c:pt idx="120">
                  <c:v>0.23684210526315796</c:v>
                </c:pt>
                <c:pt idx="121">
                  <c:v>0.21131578947368435</c:v>
                </c:pt>
                <c:pt idx="122">
                  <c:v>0.2739473684210525</c:v>
                </c:pt>
                <c:pt idx="123">
                  <c:v>0.28947368421052633</c:v>
                </c:pt>
                <c:pt idx="124">
                  <c:v>0.40421052631578935</c:v>
                </c:pt>
                <c:pt idx="125">
                  <c:v>0.34684210526315784</c:v>
                </c:pt>
                <c:pt idx="126">
                  <c:v>0.33736842105263154</c:v>
                </c:pt>
                <c:pt idx="127">
                  <c:v>0.30631578947368432</c:v>
                </c:pt>
                <c:pt idx="128">
                  <c:v>0.33421052631578951</c:v>
                </c:pt>
                <c:pt idx="129">
                  <c:v>0.31894736842105265</c:v>
                </c:pt>
                <c:pt idx="130">
                  <c:v>0.31368421052631579</c:v>
                </c:pt>
                <c:pt idx="131">
                  <c:v>0.29263157894736835</c:v>
                </c:pt>
                <c:pt idx="132">
                  <c:v>0.2555263157894736</c:v>
                </c:pt>
                <c:pt idx="133">
                  <c:v>0.25578947368421057</c:v>
                </c:pt>
                <c:pt idx="134">
                  <c:v>0.27526315789473688</c:v>
                </c:pt>
                <c:pt idx="135">
                  <c:v>0.24500000000000011</c:v>
                </c:pt>
                <c:pt idx="136">
                  <c:v>0.25315789473684203</c:v>
                </c:pt>
                <c:pt idx="137">
                  <c:v>0.23605263157894729</c:v>
                </c:pt>
                <c:pt idx="138">
                  <c:v>0.21578947368421053</c:v>
                </c:pt>
                <c:pt idx="139">
                  <c:v>0.2121052631578948</c:v>
                </c:pt>
                <c:pt idx="140">
                  <c:v>0.24289473684210527</c:v>
                </c:pt>
                <c:pt idx="141">
                  <c:v>0.23763157894736842</c:v>
                </c:pt>
                <c:pt idx="142">
                  <c:v>0.25499999999999989</c:v>
                </c:pt>
                <c:pt idx="143">
                  <c:v>0.27473684210526317</c:v>
                </c:pt>
                <c:pt idx="144">
                  <c:v>0.26447368421052619</c:v>
                </c:pt>
                <c:pt idx="145">
                  <c:v>0.24</c:v>
                </c:pt>
                <c:pt idx="146">
                  <c:v>0.26973684210526305</c:v>
                </c:pt>
                <c:pt idx="147">
                  <c:v>0.29526315789473689</c:v>
                </c:pt>
                <c:pt idx="148">
                  <c:v>0.30000000000000004</c:v>
                </c:pt>
                <c:pt idx="149">
                  <c:v>0.3107894736842105</c:v>
                </c:pt>
                <c:pt idx="150">
                  <c:v>0.29552631578947364</c:v>
                </c:pt>
                <c:pt idx="151">
                  <c:v>0.28815789473684217</c:v>
                </c:pt>
                <c:pt idx="152">
                  <c:v>0.26315789473684204</c:v>
                </c:pt>
                <c:pt idx="153">
                  <c:v>0.26473684210526316</c:v>
                </c:pt>
                <c:pt idx="154">
                  <c:v>0.25763157894736843</c:v>
                </c:pt>
                <c:pt idx="155">
                  <c:v>0.26052631578947372</c:v>
                </c:pt>
                <c:pt idx="156">
                  <c:v>0.28263157894736857</c:v>
                </c:pt>
                <c:pt idx="157">
                  <c:v>0.28973684210526307</c:v>
                </c:pt>
                <c:pt idx="158">
                  <c:v>0.27921052631578935</c:v>
                </c:pt>
                <c:pt idx="159">
                  <c:v>0.26421052631578945</c:v>
                </c:pt>
                <c:pt idx="160">
                  <c:v>0.27578947368421036</c:v>
                </c:pt>
                <c:pt idx="161">
                  <c:v>0.29631578947368409</c:v>
                </c:pt>
                <c:pt idx="162">
                  <c:v>0.29236842105263161</c:v>
                </c:pt>
                <c:pt idx="163">
                  <c:v>0.27578947368421036</c:v>
                </c:pt>
                <c:pt idx="164">
                  <c:v>0.28078947368421048</c:v>
                </c:pt>
                <c:pt idx="165">
                  <c:v>0.29052631578947374</c:v>
                </c:pt>
                <c:pt idx="166">
                  <c:v>0.2863157894736843</c:v>
                </c:pt>
                <c:pt idx="167">
                  <c:v>0.29421052631578948</c:v>
                </c:pt>
                <c:pt idx="168">
                  <c:v>0.29842105263157914</c:v>
                </c:pt>
                <c:pt idx="169">
                  <c:v>0.28552631578947363</c:v>
                </c:pt>
                <c:pt idx="170">
                  <c:v>0.30026315789473679</c:v>
                </c:pt>
                <c:pt idx="171">
                  <c:v>0.29631578947368409</c:v>
                </c:pt>
                <c:pt idx="172">
                  <c:v>0.28157894736842115</c:v>
                </c:pt>
                <c:pt idx="173">
                  <c:v>0.26763157894736844</c:v>
                </c:pt>
                <c:pt idx="174">
                  <c:v>0.29815789473684196</c:v>
                </c:pt>
                <c:pt idx="175">
                  <c:v>0.28184210526315789</c:v>
                </c:pt>
                <c:pt idx="176">
                  <c:v>0.28894736842105262</c:v>
                </c:pt>
                <c:pt idx="177">
                  <c:v>0.29052631578947374</c:v>
                </c:pt>
                <c:pt idx="178">
                  <c:v>0.26552631578947383</c:v>
                </c:pt>
                <c:pt idx="179">
                  <c:v>0.29026315789473678</c:v>
                </c:pt>
                <c:pt idx="180">
                  <c:v>0.30394736842105252</c:v>
                </c:pt>
                <c:pt idx="181">
                  <c:v>0.29763157894736847</c:v>
                </c:pt>
                <c:pt idx="182">
                  <c:v>0.29947368421052634</c:v>
                </c:pt>
                <c:pt idx="183">
                  <c:v>0.31631578947368433</c:v>
                </c:pt>
                <c:pt idx="184">
                  <c:v>0.33684210526315783</c:v>
                </c:pt>
                <c:pt idx="185">
                  <c:v>0.2863157894736843</c:v>
                </c:pt>
                <c:pt idx="186">
                  <c:v>0.26184210526315788</c:v>
                </c:pt>
                <c:pt idx="187">
                  <c:v>0.1947368421052631</c:v>
                </c:pt>
                <c:pt idx="188">
                  <c:v>0.18263157894736826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824-4308-81A2-DFC5899E2BD3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-3.9714058776796346E-4</c:v>
                </c:pt>
                <c:pt idx="2">
                  <c:v>9.92851469420164E-3</c:v>
                </c:pt>
                <c:pt idx="3">
                  <c:v>3.9714058776807448E-3</c:v>
                </c:pt>
                <c:pt idx="4">
                  <c:v>4.3685464654488193E-3</c:v>
                </c:pt>
                <c:pt idx="5">
                  <c:v>1.1914217633042234E-2</c:v>
                </c:pt>
                <c:pt idx="6">
                  <c:v>3.5742652899126703E-3</c:v>
                </c:pt>
                <c:pt idx="7">
                  <c:v>-1.1914217633042234E-3</c:v>
                </c:pt>
                <c:pt idx="8">
                  <c:v>1.5885623510722757E-2</c:v>
                </c:pt>
                <c:pt idx="9">
                  <c:v>2.8196981731533066E-2</c:v>
                </c:pt>
                <c:pt idx="10">
                  <c:v>1.8665607625099279E-2</c:v>
                </c:pt>
                <c:pt idx="11">
                  <c:v>1.350277998411431E-2</c:v>
                </c:pt>
                <c:pt idx="12">
                  <c:v>2.8196981731533066E-2</c:v>
                </c:pt>
                <c:pt idx="13">
                  <c:v>3.6536934074662408E-2</c:v>
                </c:pt>
                <c:pt idx="14">
                  <c:v>1.8665607625099279E-2</c:v>
                </c:pt>
                <c:pt idx="15">
                  <c:v>2.779984114376477E-2</c:v>
                </c:pt>
                <c:pt idx="16">
                  <c:v>5.2422557585385166E-2</c:v>
                </c:pt>
                <c:pt idx="17">
                  <c:v>2.7005559968228843E-2</c:v>
                </c:pt>
                <c:pt idx="18">
                  <c:v>3.6536934074662408E-2</c:v>
                </c:pt>
                <c:pt idx="19">
                  <c:v>5.0039714058776941E-2</c:v>
                </c:pt>
                <c:pt idx="20">
                  <c:v>5.8776806989674357E-2</c:v>
                </c:pt>
                <c:pt idx="21">
                  <c:v>2.3431294678316172E-2</c:v>
                </c:pt>
                <c:pt idx="22">
                  <c:v>6.3542494042891251E-2</c:v>
                </c:pt>
                <c:pt idx="23">
                  <c:v>5.2025416997617091E-2</c:v>
                </c:pt>
                <c:pt idx="24">
                  <c:v>8.1016679904686306E-2</c:v>
                </c:pt>
                <c:pt idx="25">
                  <c:v>7.426528991262904E-2</c:v>
                </c:pt>
                <c:pt idx="26">
                  <c:v>9.6505162827640989E-2</c:v>
                </c:pt>
                <c:pt idx="27">
                  <c:v>0.10127084988085788</c:v>
                </c:pt>
                <c:pt idx="28">
                  <c:v>9.0945194598887946E-2</c:v>
                </c:pt>
                <c:pt idx="29">
                  <c:v>9.5313741064336766E-2</c:v>
                </c:pt>
                <c:pt idx="30">
                  <c:v>8.6973788721207423E-2</c:v>
                </c:pt>
                <c:pt idx="31">
                  <c:v>8.6973788721207423E-2</c:v>
                </c:pt>
                <c:pt idx="32">
                  <c:v>6.6719618745035625E-2</c:v>
                </c:pt>
                <c:pt idx="33">
                  <c:v>5.8379666401906283E-2</c:v>
                </c:pt>
                <c:pt idx="34">
                  <c:v>7.4662430500397114E-2</c:v>
                </c:pt>
                <c:pt idx="35">
                  <c:v>7.783955520254171E-2</c:v>
                </c:pt>
                <c:pt idx="36">
                  <c:v>7.5853852263701338E-2</c:v>
                </c:pt>
                <c:pt idx="37">
                  <c:v>7.6250992851469412E-2</c:v>
                </c:pt>
                <c:pt idx="38">
                  <c:v>9.8093725178713287E-2</c:v>
                </c:pt>
                <c:pt idx="39">
                  <c:v>8.2605242255758604E-2</c:v>
                </c:pt>
                <c:pt idx="40">
                  <c:v>5.5599682287529761E-2</c:v>
                </c:pt>
                <c:pt idx="41">
                  <c:v>5.7188244638602059E-2</c:v>
                </c:pt>
                <c:pt idx="42">
                  <c:v>5.6791104050833985E-2</c:v>
                </c:pt>
                <c:pt idx="43">
                  <c:v>7.426528991262904E-2</c:v>
                </c:pt>
                <c:pt idx="44">
                  <c:v>6.4733915806195252E-2</c:v>
                </c:pt>
                <c:pt idx="45">
                  <c:v>7.8633836378077859E-2</c:v>
                </c:pt>
                <c:pt idx="46">
                  <c:v>8.4193804606830902E-2</c:v>
                </c:pt>
                <c:pt idx="47">
                  <c:v>6.6719618745035625E-2</c:v>
                </c:pt>
                <c:pt idx="48">
                  <c:v>5.5599682287529761E-2</c:v>
                </c:pt>
                <c:pt idx="49">
                  <c:v>5.6791104050833985E-2</c:v>
                </c:pt>
                <c:pt idx="50">
                  <c:v>9.0150913423351797E-2</c:v>
                </c:pt>
                <c:pt idx="51">
                  <c:v>8.4988085782367051E-2</c:v>
                </c:pt>
                <c:pt idx="52">
                  <c:v>8.8562351072279499E-2</c:v>
                </c:pt>
                <c:pt idx="53">
                  <c:v>7.1088165210484444E-2</c:v>
                </c:pt>
                <c:pt idx="54">
                  <c:v>6.3145353455123177E-2</c:v>
                </c:pt>
                <c:pt idx="55">
                  <c:v>7.0691024622716592E-2</c:v>
                </c:pt>
                <c:pt idx="56">
                  <c:v>8.3399523431294753E-2</c:v>
                </c:pt>
                <c:pt idx="57">
                  <c:v>9.4916600476568691E-2</c:v>
                </c:pt>
                <c:pt idx="58">
                  <c:v>7.3868149324860966E-2</c:v>
                </c:pt>
                <c:pt idx="59">
                  <c:v>0.10285941223193018</c:v>
                </c:pt>
                <c:pt idx="60">
                  <c:v>0.11517077045274027</c:v>
                </c:pt>
                <c:pt idx="61">
                  <c:v>0.13383637807783955</c:v>
                </c:pt>
                <c:pt idx="62">
                  <c:v>0.12470214455917406</c:v>
                </c:pt>
                <c:pt idx="63">
                  <c:v>0.10524225575853841</c:v>
                </c:pt>
                <c:pt idx="64">
                  <c:v>7.6250992851469412E-2</c:v>
                </c:pt>
                <c:pt idx="65">
                  <c:v>9.0945194598887946E-2</c:v>
                </c:pt>
                <c:pt idx="66">
                  <c:v>8.1016679904686306E-2</c:v>
                </c:pt>
                <c:pt idx="67">
                  <c:v>6.9102462271644294E-2</c:v>
                </c:pt>
                <c:pt idx="68">
                  <c:v>8.57823669579032E-2</c:v>
                </c:pt>
                <c:pt idx="69">
                  <c:v>7.6648133439237487E-2</c:v>
                </c:pt>
                <c:pt idx="70">
                  <c:v>7.9825258141382083E-2</c:v>
                </c:pt>
                <c:pt idx="71">
                  <c:v>8.1016679904686306E-2</c:v>
                </c:pt>
                <c:pt idx="72">
                  <c:v>9.4519459888800617E-2</c:v>
                </c:pt>
                <c:pt idx="73">
                  <c:v>9.2930897537728319E-2</c:v>
                </c:pt>
                <c:pt idx="74">
                  <c:v>8.4590945194598754E-2</c:v>
                </c:pt>
                <c:pt idx="75">
                  <c:v>6.43367752184274E-2</c:v>
                </c:pt>
                <c:pt idx="76">
                  <c:v>5.9173947577442432E-2</c:v>
                </c:pt>
                <c:pt idx="77">
                  <c:v>7.2279586973788668E-2</c:v>
                </c:pt>
                <c:pt idx="78">
                  <c:v>6.3939634630659326E-2</c:v>
                </c:pt>
                <c:pt idx="79">
                  <c:v>5.1628276409849017E-2</c:v>
                </c:pt>
                <c:pt idx="80">
                  <c:v>4.28911834789516E-2</c:v>
                </c:pt>
                <c:pt idx="81">
                  <c:v>6.0365369340746655E-2</c:v>
                </c:pt>
                <c:pt idx="82">
                  <c:v>4.5671167593327899E-2</c:v>
                </c:pt>
                <c:pt idx="83">
                  <c:v>4.4479745830023898E-2</c:v>
                </c:pt>
                <c:pt idx="84">
                  <c:v>5.0436854646544793E-2</c:v>
                </c:pt>
                <c:pt idx="85">
                  <c:v>5.3613979348689389E-2</c:v>
                </c:pt>
                <c:pt idx="86">
                  <c:v>5.1628276409849017E-2</c:v>
                </c:pt>
                <c:pt idx="87">
                  <c:v>1.9857029388403502E-2</c:v>
                </c:pt>
                <c:pt idx="88">
                  <c:v>2.501985702938847E-2</c:v>
                </c:pt>
                <c:pt idx="89">
                  <c:v>2.7402700555996917E-2</c:v>
                </c:pt>
                <c:pt idx="90">
                  <c:v>3.0976965845909588E-2</c:v>
                </c:pt>
                <c:pt idx="91">
                  <c:v>2.2637013502780023E-2</c:v>
                </c:pt>
                <c:pt idx="92">
                  <c:v>5.9571088165208952E-3</c:v>
                </c:pt>
                <c:pt idx="93">
                  <c:v>5.9571088165208952E-3</c:v>
                </c:pt>
                <c:pt idx="94">
                  <c:v>1.9062748212867353E-2</c:v>
                </c:pt>
                <c:pt idx="95">
                  <c:v>2.4225575853852321E-2</c:v>
                </c:pt>
                <c:pt idx="96">
                  <c:v>3.0579825258141291E-2</c:v>
                </c:pt>
                <c:pt idx="97">
                  <c:v>2.8594122319300919E-2</c:v>
                </c:pt>
                <c:pt idx="98">
                  <c:v>2.6608419380460768E-2</c:v>
                </c:pt>
                <c:pt idx="99">
                  <c:v>4.0905480540111228E-2</c:v>
                </c:pt>
                <c:pt idx="100">
                  <c:v>3.8125496425734706E-2</c:v>
                </c:pt>
                <c:pt idx="101">
                  <c:v>3.9714058776807004E-2</c:v>
                </c:pt>
                <c:pt idx="102">
                  <c:v>1.787132644956313E-2</c:v>
                </c:pt>
                <c:pt idx="103">
                  <c:v>1.4694201747418534E-2</c:v>
                </c:pt>
                <c:pt idx="104">
                  <c:v>6.3542494042891917E-3</c:v>
                </c:pt>
                <c:pt idx="105">
                  <c:v>2.0254169976171577E-2</c:v>
                </c:pt>
                <c:pt idx="106">
                  <c:v>3.4154090548053961E-2</c:v>
                </c:pt>
                <c:pt idx="107">
                  <c:v>1.7474185861795055E-2</c:v>
                </c:pt>
                <c:pt idx="108">
                  <c:v>2.0651310563939651E-2</c:v>
                </c:pt>
                <c:pt idx="109">
                  <c:v>1.6679904686258906E-2</c:v>
                </c:pt>
                <c:pt idx="110">
                  <c:v>3.931691818903893E-2</c:v>
                </c:pt>
                <c:pt idx="111">
                  <c:v>4.0905480540111228E-2</c:v>
                </c:pt>
                <c:pt idx="112">
                  <c:v>3.2565528196981663E-2</c:v>
                </c:pt>
                <c:pt idx="113">
                  <c:v>3.4154090548053961E-2</c:v>
                </c:pt>
                <c:pt idx="114">
                  <c:v>2.938840349483729E-2</c:v>
                </c:pt>
                <c:pt idx="115">
                  <c:v>1.1914217633042234E-3</c:v>
                </c:pt>
                <c:pt idx="116">
                  <c:v>-3.9714058776807448E-3</c:v>
                </c:pt>
                <c:pt idx="117">
                  <c:v>-1.8268467037331204E-2</c:v>
                </c:pt>
                <c:pt idx="118">
                  <c:v>-4.5274027005559936E-2</c:v>
                </c:pt>
                <c:pt idx="119">
                  <c:v>-5.996822875297847E-2</c:v>
                </c:pt>
                <c:pt idx="120">
                  <c:v>-3.5345512311358296E-2</c:v>
                </c:pt>
                <c:pt idx="121">
                  <c:v>-3.2168387609213589E-2</c:v>
                </c:pt>
                <c:pt idx="122">
                  <c:v>-4.3685464654487749E-2</c:v>
                </c:pt>
                <c:pt idx="123">
                  <c:v>-5.1628276409849128E-2</c:v>
                </c:pt>
                <c:pt idx="124">
                  <c:v>-3.4154090548053961E-2</c:v>
                </c:pt>
                <c:pt idx="125">
                  <c:v>-5.7982525814138208E-2</c:v>
                </c:pt>
                <c:pt idx="126">
                  <c:v>-4.4082605242255712E-2</c:v>
                </c:pt>
                <c:pt idx="127">
                  <c:v>-4.4876886417791861E-2</c:v>
                </c:pt>
                <c:pt idx="128">
                  <c:v>-3.6934074662430483E-2</c:v>
                </c:pt>
                <c:pt idx="129">
                  <c:v>-4.0111199364574968E-2</c:v>
                </c:pt>
                <c:pt idx="130">
                  <c:v>-2.7799841143764881E-2</c:v>
                </c:pt>
                <c:pt idx="131">
                  <c:v>-3.6934074662430483E-2</c:v>
                </c:pt>
                <c:pt idx="132">
                  <c:v>-1.4297061159650459E-2</c:v>
                </c:pt>
                <c:pt idx="133">
                  <c:v>-1.5885623510722979E-3</c:v>
                </c:pt>
                <c:pt idx="134">
                  <c:v>-5.1628276409848572E-3</c:v>
                </c:pt>
                <c:pt idx="135">
                  <c:v>-1.7077045274026981E-2</c:v>
                </c:pt>
                <c:pt idx="136">
                  <c:v>-9.5313741064335655E-3</c:v>
                </c:pt>
                <c:pt idx="137">
                  <c:v>-1.4297061159650459E-2</c:v>
                </c:pt>
                <c:pt idx="138">
                  <c:v>-6.7513899920571552E-3</c:v>
                </c:pt>
                <c:pt idx="139">
                  <c:v>-2.5416997617156545E-2</c:v>
                </c:pt>
                <c:pt idx="140">
                  <c:v>-2.0254169976171466E-2</c:v>
                </c:pt>
                <c:pt idx="141">
                  <c:v>2.7799841143765214E-3</c:v>
                </c:pt>
                <c:pt idx="142">
                  <c:v>-1.1914217633042234E-3</c:v>
                </c:pt>
                <c:pt idx="143">
                  <c:v>-1.07227958697379E-2</c:v>
                </c:pt>
                <c:pt idx="144">
                  <c:v>-6.7513899920571552E-3</c:v>
                </c:pt>
                <c:pt idx="145">
                  <c:v>-5.9571088165210062E-3</c:v>
                </c:pt>
                <c:pt idx="146">
                  <c:v>9.1342335186657131E-3</c:v>
                </c:pt>
                <c:pt idx="147">
                  <c:v>2.501985702938847E-2</c:v>
                </c:pt>
                <c:pt idx="148">
                  <c:v>4.0508339952343153E-2</c:v>
                </c:pt>
                <c:pt idx="149">
                  <c:v>6.2748212867355102E-2</c:v>
                </c:pt>
                <c:pt idx="150">
                  <c:v>7.426528991262904E-2</c:v>
                </c:pt>
                <c:pt idx="151">
                  <c:v>5.7188244638602059E-2</c:v>
                </c:pt>
                <c:pt idx="152">
                  <c:v>4.487688641779175E-2</c:v>
                </c:pt>
                <c:pt idx="153">
                  <c:v>6.43367752184274E-2</c:v>
                </c:pt>
                <c:pt idx="154">
                  <c:v>6.3939634630659326E-2</c:v>
                </c:pt>
                <c:pt idx="155">
                  <c:v>6.7116759332803921E-2</c:v>
                </c:pt>
                <c:pt idx="156">
                  <c:v>8.220810166799053E-2</c:v>
                </c:pt>
                <c:pt idx="157">
                  <c:v>0.12152501985702924</c:v>
                </c:pt>
                <c:pt idx="158">
                  <c:v>0.10365369340746633</c:v>
                </c:pt>
                <c:pt idx="159">
                  <c:v>0.11477362986497219</c:v>
                </c:pt>
                <c:pt idx="160">
                  <c:v>0.11080222398729145</c:v>
                </c:pt>
                <c:pt idx="161">
                  <c:v>0.1346306592533757</c:v>
                </c:pt>
                <c:pt idx="162">
                  <c:v>0.12390786338363791</c:v>
                </c:pt>
                <c:pt idx="163">
                  <c:v>0.11278792692613182</c:v>
                </c:pt>
                <c:pt idx="164">
                  <c:v>0.11040508339952337</c:v>
                </c:pt>
                <c:pt idx="165">
                  <c:v>0.13026211278792688</c:v>
                </c:pt>
                <c:pt idx="166">
                  <c:v>0.13383637807783955</c:v>
                </c:pt>
                <c:pt idx="167">
                  <c:v>0.15250198570293882</c:v>
                </c:pt>
                <c:pt idx="168">
                  <c:v>0.14416203335980926</c:v>
                </c:pt>
                <c:pt idx="169">
                  <c:v>0.1298649722001588</c:v>
                </c:pt>
                <c:pt idx="170">
                  <c:v>0.10365369340746633</c:v>
                </c:pt>
                <c:pt idx="171">
                  <c:v>0.10325655281969826</c:v>
                </c:pt>
                <c:pt idx="172">
                  <c:v>9.8093725178713287E-2</c:v>
                </c:pt>
                <c:pt idx="173">
                  <c:v>0.10087370929308981</c:v>
                </c:pt>
                <c:pt idx="174">
                  <c:v>0.10087370929308981</c:v>
                </c:pt>
                <c:pt idx="175">
                  <c:v>9.4122319301032542E-2</c:v>
                </c:pt>
                <c:pt idx="176">
                  <c:v>9.0548054011119872E-2</c:v>
                </c:pt>
                <c:pt idx="177">
                  <c:v>9.7696584590945212E-2</c:v>
                </c:pt>
                <c:pt idx="178">
                  <c:v>9.8490865766481361E-2</c:v>
                </c:pt>
                <c:pt idx="179">
                  <c:v>0.10166799046862574</c:v>
                </c:pt>
                <c:pt idx="180">
                  <c:v>0.10921366163621915</c:v>
                </c:pt>
                <c:pt idx="181">
                  <c:v>0.11914217633042101</c:v>
                </c:pt>
                <c:pt idx="182">
                  <c:v>0.1282764098490865</c:v>
                </c:pt>
                <c:pt idx="183">
                  <c:v>0.13860206513105644</c:v>
                </c:pt>
                <c:pt idx="184">
                  <c:v>0.14058776806989681</c:v>
                </c:pt>
                <c:pt idx="185">
                  <c:v>0.14058776806989681</c:v>
                </c:pt>
                <c:pt idx="186">
                  <c:v>0.13264495631453532</c:v>
                </c:pt>
                <c:pt idx="187">
                  <c:v>0.11675933280381257</c:v>
                </c:pt>
                <c:pt idx="188">
                  <c:v>0.1040508339952344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824-4308-81A2-DFC5899E2BD3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-3.5960235477063174E-2</c:v>
                </c:pt>
                <c:pt idx="2">
                  <c:v>-1.5106075752526871E-2</c:v>
                </c:pt>
                <c:pt idx="3">
                  <c:v>2.5667370135880718E-2</c:v>
                </c:pt>
                <c:pt idx="4">
                  <c:v>4.4707319782295585E-3</c:v>
                </c:pt>
                <c:pt idx="5">
                  <c:v>-1.5550372098189436E-2</c:v>
                </c:pt>
                <c:pt idx="6">
                  <c:v>5.9239512755016044E-4</c:v>
                </c:pt>
                <c:pt idx="7">
                  <c:v>-2.9342071161463368E-3</c:v>
                </c:pt>
                <c:pt idx="8">
                  <c:v>-6.5441149246546759E-3</c:v>
                </c:pt>
                <c:pt idx="9">
                  <c:v>-4.3865007960309454E-2</c:v>
                </c:pt>
                <c:pt idx="10">
                  <c:v>-3.883890555000169E-2</c:v>
                </c:pt>
                <c:pt idx="11">
                  <c:v>-3.6163871302158479E-2</c:v>
                </c:pt>
                <c:pt idx="12">
                  <c:v>-1.7031359917063504E-3</c:v>
                </c:pt>
                <c:pt idx="13">
                  <c:v>6.4978340553150105E-3</c:v>
                </c:pt>
                <c:pt idx="14">
                  <c:v>-1.4874671405827655E-2</c:v>
                </c:pt>
                <c:pt idx="15">
                  <c:v>-1.6300122181495014E-2</c:v>
                </c:pt>
                <c:pt idx="16">
                  <c:v>-3.781147025065712E-2</c:v>
                </c:pt>
                <c:pt idx="17">
                  <c:v>-5.2352919397237963E-2</c:v>
                </c:pt>
                <c:pt idx="18">
                  <c:v>-5.2038209485726794E-2</c:v>
                </c:pt>
                <c:pt idx="19">
                  <c:v>-3.9995927283497879E-2</c:v>
                </c:pt>
                <c:pt idx="20">
                  <c:v>-3.3535117923654933E-2</c:v>
                </c:pt>
                <c:pt idx="21">
                  <c:v>-7.1179977044688703E-2</c:v>
                </c:pt>
                <c:pt idx="22">
                  <c:v>2.4769521270687545E-2</c:v>
                </c:pt>
                <c:pt idx="23">
                  <c:v>-5.5092746862156927E-2</c:v>
                </c:pt>
                <c:pt idx="24">
                  <c:v>-2.0530193639157202E-2</c:v>
                </c:pt>
                <c:pt idx="25">
                  <c:v>-3.3035284534784548E-2</c:v>
                </c:pt>
                <c:pt idx="26">
                  <c:v>-5.1242178533081439E-2</c:v>
                </c:pt>
                <c:pt idx="27">
                  <c:v>-6.030397274982402E-2</c:v>
                </c:pt>
                <c:pt idx="28">
                  <c:v>-3.8959235810285375E-2</c:v>
                </c:pt>
                <c:pt idx="29">
                  <c:v>-3.7357917731126622E-2</c:v>
                </c:pt>
                <c:pt idx="30">
                  <c:v>-4.1014106408974738E-2</c:v>
                </c:pt>
                <c:pt idx="31">
                  <c:v>-5.5351919730460164E-2</c:v>
                </c:pt>
                <c:pt idx="32">
                  <c:v>-5.288977748158008E-2</c:v>
                </c:pt>
                <c:pt idx="33">
                  <c:v>-6.5570735680698933E-2</c:v>
                </c:pt>
                <c:pt idx="34">
                  <c:v>-2.0178459032174412E-2</c:v>
                </c:pt>
                <c:pt idx="35">
                  <c:v>-3.5367840349512902E-2</c:v>
                </c:pt>
                <c:pt idx="36">
                  <c:v>-4.7697063941649076E-2</c:v>
                </c:pt>
                <c:pt idx="37">
                  <c:v>-5.4000518345736492E-2</c:v>
                </c:pt>
                <c:pt idx="38">
                  <c:v>-2.6259765263430657E-2</c:v>
                </c:pt>
                <c:pt idx="39">
                  <c:v>-5.7749268762264272E-2</c:v>
                </c:pt>
                <c:pt idx="40">
                  <c:v>-6.7227590803065507E-2</c:v>
                </c:pt>
                <c:pt idx="41">
                  <c:v>-7.1078159132140994E-2</c:v>
                </c:pt>
                <c:pt idx="42">
                  <c:v>-8.9877448257988046E-2</c:v>
                </c:pt>
                <c:pt idx="43">
                  <c:v>-8.3333333333333259E-2</c:v>
                </c:pt>
                <c:pt idx="44">
                  <c:v>-6.6616683327779591E-2</c:v>
                </c:pt>
                <c:pt idx="45">
                  <c:v>-7.3133029730830357E-2</c:v>
                </c:pt>
                <c:pt idx="46">
                  <c:v>-7.4530711984893805E-2</c:v>
                </c:pt>
                <c:pt idx="47">
                  <c:v>-9.5440408752637929E-2</c:v>
                </c:pt>
                <c:pt idx="48">
                  <c:v>-8.8192824614017451E-2</c:v>
                </c:pt>
                <c:pt idx="49">
                  <c:v>-8.4453330371357604E-2</c:v>
                </c:pt>
                <c:pt idx="50">
                  <c:v>-0.13885186419341689</c:v>
                </c:pt>
                <c:pt idx="51">
                  <c:v>-0.15023695805102</c:v>
                </c:pt>
                <c:pt idx="52">
                  <c:v>-0.15074604761375832</c:v>
                </c:pt>
                <c:pt idx="53">
                  <c:v>-0.1607427153911658</c:v>
                </c:pt>
                <c:pt idx="54">
                  <c:v>-0.15717908845199746</c:v>
                </c:pt>
                <c:pt idx="55">
                  <c:v>-0.16414898737457884</c:v>
                </c:pt>
                <c:pt idx="56">
                  <c:v>-0.1518475323040468</c:v>
                </c:pt>
                <c:pt idx="57">
                  <c:v>-0.16972120404309665</c:v>
                </c:pt>
                <c:pt idx="58">
                  <c:v>-0.1870857862194083</c:v>
                </c:pt>
                <c:pt idx="59">
                  <c:v>-0.17931985634418146</c:v>
                </c:pt>
                <c:pt idx="60">
                  <c:v>-0.14864489614572918</c:v>
                </c:pt>
                <c:pt idx="61">
                  <c:v>-0.11647969195453356</c:v>
                </c:pt>
                <c:pt idx="62">
                  <c:v>-0.13401088526046856</c:v>
                </c:pt>
                <c:pt idx="63">
                  <c:v>-0.14189714539597909</c:v>
                </c:pt>
                <c:pt idx="64">
                  <c:v>-0.13816690732718717</c:v>
                </c:pt>
                <c:pt idx="65">
                  <c:v>-0.11760894516642595</c:v>
                </c:pt>
                <c:pt idx="66">
                  <c:v>-0.1158595283053796</c:v>
                </c:pt>
                <c:pt idx="67">
                  <c:v>-0.13041023362582838</c:v>
                </c:pt>
                <c:pt idx="68">
                  <c:v>-0.13959235810285453</c:v>
                </c:pt>
                <c:pt idx="69">
                  <c:v>-0.14611796067977334</c:v>
                </c:pt>
                <c:pt idx="70">
                  <c:v>-0.16228849642711685</c:v>
                </c:pt>
                <c:pt idx="71">
                  <c:v>-0.16325113850938566</c:v>
                </c:pt>
                <c:pt idx="72">
                  <c:v>-0.141924913917583</c:v>
                </c:pt>
                <c:pt idx="73">
                  <c:v>-0.14852456588544549</c:v>
                </c:pt>
                <c:pt idx="74">
                  <c:v>-0.16414898737457884</c:v>
                </c:pt>
                <c:pt idx="75">
                  <c:v>-0.14706209041430629</c:v>
                </c:pt>
                <c:pt idx="76">
                  <c:v>-0.15060720500573876</c:v>
                </c:pt>
                <c:pt idx="77">
                  <c:v>-0.18179125476692948</c:v>
                </c:pt>
                <c:pt idx="78">
                  <c:v>-0.19631419156577434</c:v>
                </c:pt>
                <c:pt idx="79">
                  <c:v>-0.19101040393942748</c:v>
                </c:pt>
                <c:pt idx="80">
                  <c:v>-0.21210522418453093</c:v>
                </c:pt>
                <c:pt idx="81">
                  <c:v>-0.13491799029952967</c:v>
                </c:pt>
                <c:pt idx="82">
                  <c:v>-0.10832500277685209</c:v>
                </c:pt>
                <c:pt idx="83">
                  <c:v>-0.10406716279758599</c:v>
                </c:pt>
                <c:pt idx="84">
                  <c:v>-8.468473471805682E-2</c:v>
                </c:pt>
                <c:pt idx="85">
                  <c:v>-8.6369358362027415E-2</c:v>
                </c:pt>
                <c:pt idx="86">
                  <c:v>-9.7560072568403045E-2</c:v>
                </c:pt>
                <c:pt idx="87">
                  <c:v>-0.12209818949239126</c:v>
                </c:pt>
                <c:pt idx="88">
                  <c:v>-0.10493724314117503</c:v>
                </c:pt>
                <c:pt idx="89">
                  <c:v>-8.3759117331259847E-2</c:v>
                </c:pt>
                <c:pt idx="90">
                  <c:v>-5.9804139360953634E-2</c:v>
                </c:pt>
                <c:pt idx="91">
                  <c:v>-6.818097671146639E-2</c:v>
                </c:pt>
                <c:pt idx="92">
                  <c:v>-6.9828575659965142E-2</c:v>
                </c:pt>
                <c:pt idx="93">
                  <c:v>-8.5406716279758488E-2</c:v>
                </c:pt>
                <c:pt idx="94">
                  <c:v>-5.4565144951682742E-2</c:v>
                </c:pt>
                <c:pt idx="95">
                  <c:v>-5.6916213114147074E-2</c:v>
                </c:pt>
                <c:pt idx="96">
                  <c:v>-3.5830649042911444E-2</c:v>
                </c:pt>
                <c:pt idx="97">
                  <c:v>-1.4217483061201741E-2</c:v>
                </c:pt>
                <c:pt idx="98">
                  <c:v>-1.445814358176889E-2</c:v>
                </c:pt>
                <c:pt idx="99">
                  <c:v>2.3695805102004197E-3</c:v>
                </c:pt>
                <c:pt idx="100">
                  <c:v>4.298567144285248E-2</c:v>
                </c:pt>
                <c:pt idx="101">
                  <c:v>2.2807212410677957E-2</c:v>
                </c:pt>
                <c:pt idx="102">
                  <c:v>1.7031359917065725E-3</c:v>
                </c:pt>
                <c:pt idx="103">
                  <c:v>-1.5004257839979052E-2</c:v>
                </c:pt>
                <c:pt idx="104">
                  <c:v>-1.4624754711392018E-3</c:v>
                </c:pt>
                <c:pt idx="105">
                  <c:v>4.1569476841053055E-2</c:v>
                </c:pt>
                <c:pt idx="106">
                  <c:v>4.7262023769854666E-2</c:v>
                </c:pt>
                <c:pt idx="107">
                  <c:v>6.3673220037765432E-2</c:v>
                </c:pt>
                <c:pt idx="108">
                  <c:v>5.9535710318782797E-2</c:v>
                </c:pt>
                <c:pt idx="109">
                  <c:v>5.1843829834499644E-2</c:v>
                </c:pt>
                <c:pt idx="110">
                  <c:v>7.4595505201969781E-2</c:v>
                </c:pt>
                <c:pt idx="111">
                  <c:v>4.8724499240993868E-2</c:v>
                </c:pt>
                <c:pt idx="112">
                  <c:v>4.5345995779184634E-2</c:v>
                </c:pt>
                <c:pt idx="113">
                  <c:v>3.9005516679625485E-2</c:v>
                </c:pt>
                <c:pt idx="114">
                  <c:v>2.9286534118256879E-2</c:v>
                </c:pt>
                <c:pt idx="115">
                  <c:v>1.6855492613573331E-2</c:v>
                </c:pt>
                <c:pt idx="116">
                  <c:v>2.0104409641230836E-2</c:v>
                </c:pt>
                <c:pt idx="117">
                  <c:v>2.473249657521559E-2</c:v>
                </c:pt>
                <c:pt idx="118">
                  <c:v>3.4155281572809226E-2</c:v>
                </c:pt>
                <c:pt idx="119">
                  <c:v>4.3809470917101745E-2</c:v>
                </c:pt>
                <c:pt idx="120">
                  <c:v>0.11825687733718393</c:v>
                </c:pt>
                <c:pt idx="121">
                  <c:v>0.1384445925432265</c:v>
                </c:pt>
                <c:pt idx="122">
                  <c:v>0.11021326224591821</c:v>
                </c:pt>
                <c:pt idx="123">
                  <c:v>0.10309526454144935</c:v>
                </c:pt>
                <c:pt idx="124">
                  <c:v>0.12361620200673862</c:v>
                </c:pt>
                <c:pt idx="125">
                  <c:v>0.1107964011996001</c:v>
                </c:pt>
                <c:pt idx="126">
                  <c:v>0.14365581843089337</c:v>
                </c:pt>
                <c:pt idx="127">
                  <c:v>0.12539338738938866</c:v>
                </c:pt>
                <c:pt idx="128">
                  <c:v>0.1264300788626016</c:v>
                </c:pt>
                <c:pt idx="129">
                  <c:v>0.10017031359917072</c:v>
                </c:pt>
                <c:pt idx="130">
                  <c:v>9.3959420933762861E-2</c:v>
                </c:pt>
                <c:pt idx="131">
                  <c:v>6.6811062979007074E-2</c:v>
                </c:pt>
                <c:pt idx="132">
                  <c:v>7.0596838091006919E-2</c:v>
                </c:pt>
                <c:pt idx="133">
                  <c:v>8.2204080121441203E-2</c:v>
                </c:pt>
                <c:pt idx="134">
                  <c:v>9.1404716946203113E-2</c:v>
                </c:pt>
                <c:pt idx="135">
                  <c:v>6.159058091747216E-2</c:v>
                </c:pt>
                <c:pt idx="136">
                  <c:v>8.7979932615054324E-2</c:v>
                </c:pt>
                <c:pt idx="137">
                  <c:v>7.6502277018771547E-2</c:v>
                </c:pt>
                <c:pt idx="138">
                  <c:v>9.7661890480950753E-2</c:v>
                </c:pt>
                <c:pt idx="139">
                  <c:v>0.1070661631308083</c:v>
                </c:pt>
                <c:pt idx="140">
                  <c:v>0.10845458921100382</c:v>
                </c:pt>
                <c:pt idx="141">
                  <c:v>0.12986411936761844</c:v>
                </c:pt>
                <c:pt idx="142">
                  <c:v>0.12001555037209832</c:v>
                </c:pt>
                <c:pt idx="143">
                  <c:v>6.9060313228923809E-2</c:v>
                </c:pt>
                <c:pt idx="144">
                  <c:v>6.3386278647858063E-2</c:v>
                </c:pt>
                <c:pt idx="145">
                  <c:v>3.7950312858676671E-2</c:v>
                </c:pt>
                <c:pt idx="146">
                  <c:v>3.2692806101670024E-2</c:v>
                </c:pt>
                <c:pt idx="147">
                  <c:v>8.2842756118330918E-2</c:v>
                </c:pt>
                <c:pt idx="148">
                  <c:v>0.10328038801880868</c:v>
                </c:pt>
                <c:pt idx="149">
                  <c:v>9.7513791699063379E-2</c:v>
                </c:pt>
                <c:pt idx="150">
                  <c:v>0.14030508349068849</c:v>
                </c:pt>
                <c:pt idx="151">
                  <c:v>0.1246436373060833</c:v>
                </c:pt>
                <c:pt idx="152">
                  <c:v>0.12951238476063542</c:v>
                </c:pt>
                <c:pt idx="153">
                  <c:v>0.11907142063756537</c:v>
                </c:pt>
                <c:pt idx="154">
                  <c:v>9.2376615202340195E-2</c:v>
                </c:pt>
                <c:pt idx="155">
                  <c:v>9.5153467362731226E-2</c:v>
                </c:pt>
                <c:pt idx="156">
                  <c:v>0.13455699951867905</c:v>
                </c:pt>
                <c:pt idx="157">
                  <c:v>0.18510496501166274</c:v>
                </c:pt>
                <c:pt idx="158">
                  <c:v>0.15183827613017908</c:v>
                </c:pt>
                <c:pt idx="159">
                  <c:v>0.1620200673849459</c:v>
                </c:pt>
                <c:pt idx="160">
                  <c:v>0.15418008811877537</c:v>
                </c:pt>
                <c:pt idx="161">
                  <c:v>0.1418971453959792</c:v>
                </c:pt>
                <c:pt idx="162">
                  <c:v>0.10093857603021239</c:v>
                </c:pt>
                <c:pt idx="163">
                  <c:v>8.8618608611944261E-2</c:v>
                </c:pt>
                <c:pt idx="164">
                  <c:v>8.7239438705616568E-2</c:v>
                </c:pt>
                <c:pt idx="165">
                  <c:v>7.0689399829686472E-2</c:v>
                </c:pt>
                <c:pt idx="166">
                  <c:v>7.3716168684512695E-2</c:v>
                </c:pt>
                <c:pt idx="167">
                  <c:v>7.3790218075456382E-2</c:v>
                </c:pt>
                <c:pt idx="168">
                  <c:v>7.3345921729793817E-2</c:v>
                </c:pt>
                <c:pt idx="169">
                  <c:v>6.3867599688992582E-2</c:v>
                </c:pt>
                <c:pt idx="170">
                  <c:v>4.0310637195009269E-2</c:v>
                </c:pt>
                <c:pt idx="171">
                  <c:v>4.0588322411048372E-2</c:v>
                </c:pt>
                <c:pt idx="172">
                  <c:v>3.9468325373023916E-2</c:v>
                </c:pt>
                <c:pt idx="173">
                  <c:v>3.2711318449405891E-2</c:v>
                </c:pt>
                <c:pt idx="174">
                  <c:v>5.3611759043281859E-2</c:v>
                </c:pt>
                <c:pt idx="175">
                  <c:v>5.1603169313932495E-2</c:v>
                </c:pt>
                <c:pt idx="176">
                  <c:v>5.3185975045355383E-2</c:v>
                </c:pt>
                <c:pt idx="177">
                  <c:v>6.6718501240327521E-2</c:v>
                </c:pt>
                <c:pt idx="178">
                  <c:v>6.7172053759857908E-2</c:v>
                </c:pt>
                <c:pt idx="179">
                  <c:v>7.8242437705950074E-2</c:v>
                </c:pt>
                <c:pt idx="180">
                  <c:v>8.3101928986634377E-2</c:v>
                </c:pt>
                <c:pt idx="181">
                  <c:v>6.5376356029471783E-2</c:v>
                </c:pt>
                <c:pt idx="182">
                  <c:v>9.3977933281498949E-2</c:v>
                </c:pt>
                <c:pt idx="183">
                  <c:v>9.5431152578770106E-2</c:v>
                </c:pt>
                <c:pt idx="184">
                  <c:v>9.665296752934216E-2</c:v>
                </c:pt>
                <c:pt idx="185">
                  <c:v>9.651412492132283E-2</c:v>
                </c:pt>
                <c:pt idx="186">
                  <c:v>7.1013365915065352E-2</c:v>
                </c:pt>
                <c:pt idx="187">
                  <c:v>6.4321152208523191E-2</c:v>
                </c:pt>
                <c:pt idx="188">
                  <c:v>5.7841830500944047E-2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824-4308-81A2-DFC5899E2BD3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89"/>
                <c:pt idx="0">
                  <c:v>0</c:v>
                </c:pt>
                <c:pt idx="1">
                  <c:v>-7.4822297044518926E-3</c:v>
                </c:pt>
                <c:pt idx="2">
                  <c:v>1.7957351290684542E-2</c:v>
                </c:pt>
                <c:pt idx="3">
                  <c:v>6.0980172091283258E-2</c:v>
                </c:pt>
                <c:pt idx="4">
                  <c:v>4.5641601197156767E-2</c:v>
                </c:pt>
                <c:pt idx="5">
                  <c:v>4.4893378226711578E-2</c:v>
                </c:pt>
                <c:pt idx="6">
                  <c:v>4.3209876543209846E-2</c:v>
                </c:pt>
                <c:pt idx="7">
                  <c:v>4.6015712682379473E-2</c:v>
                </c:pt>
                <c:pt idx="8">
                  <c:v>6.6591844369622288E-2</c:v>
                </c:pt>
                <c:pt idx="9">
                  <c:v>5.9109614665170174E-2</c:v>
                </c:pt>
                <c:pt idx="10">
                  <c:v>3.3670033670033517E-2</c:v>
                </c:pt>
                <c:pt idx="11">
                  <c:v>1.4216236438458596E-2</c:v>
                </c:pt>
                <c:pt idx="12">
                  <c:v>1.9453797231574921E-2</c:v>
                </c:pt>
                <c:pt idx="13">
                  <c:v>2.7684249906472003E-2</c:v>
                </c:pt>
                <c:pt idx="14">
                  <c:v>2.2259633370744547E-2</c:v>
                </c:pt>
                <c:pt idx="15">
                  <c:v>2.1324354657688005E-2</c:v>
                </c:pt>
                <c:pt idx="16">
                  <c:v>3.9281705948372547E-2</c:v>
                </c:pt>
                <c:pt idx="17">
                  <c:v>2.1698466142910489E-2</c:v>
                </c:pt>
                <c:pt idx="18">
                  <c:v>1.5338570894126491E-2</c:v>
                </c:pt>
                <c:pt idx="19">
                  <c:v>2.974186307519644E-2</c:v>
                </c:pt>
                <c:pt idx="20">
                  <c:v>4.5454545454545414E-2</c:v>
                </c:pt>
                <c:pt idx="21">
                  <c:v>4.7325102880658498E-2</c:v>
                </c:pt>
                <c:pt idx="22">
                  <c:v>7.7815188926299905E-2</c:v>
                </c:pt>
                <c:pt idx="23">
                  <c:v>0.11335578002244673</c:v>
                </c:pt>
                <c:pt idx="24">
                  <c:v>0.15955854844743733</c:v>
                </c:pt>
                <c:pt idx="25">
                  <c:v>0.13673774784885895</c:v>
                </c:pt>
                <c:pt idx="26">
                  <c:v>0.13842124953236068</c:v>
                </c:pt>
                <c:pt idx="27">
                  <c:v>0.12102506546950997</c:v>
                </c:pt>
                <c:pt idx="28">
                  <c:v>0.11971567527123073</c:v>
                </c:pt>
                <c:pt idx="29">
                  <c:v>0.13617658062102511</c:v>
                </c:pt>
                <c:pt idx="30">
                  <c:v>0.12888140665918435</c:v>
                </c:pt>
                <c:pt idx="31">
                  <c:v>0.11728395061728381</c:v>
                </c:pt>
                <c:pt idx="32">
                  <c:v>0.12794612794612781</c:v>
                </c:pt>
                <c:pt idx="33">
                  <c:v>0.13468013468013451</c:v>
                </c:pt>
                <c:pt idx="34">
                  <c:v>0.14571642349420122</c:v>
                </c:pt>
                <c:pt idx="35">
                  <c:v>0.15226337448559679</c:v>
                </c:pt>
                <c:pt idx="36">
                  <c:v>0.14665170220725776</c:v>
                </c:pt>
                <c:pt idx="37">
                  <c:v>0.14291058735503182</c:v>
                </c:pt>
                <c:pt idx="38">
                  <c:v>0.16666666666666652</c:v>
                </c:pt>
                <c:pt idx="39">
                  <c:v>0.1661054994388329</c:v>
                </c:pt>
                <c:pt idx="40">
                  <c:v>0.14515525626636738</c:v>
                </c:pt>
                <c:pt idx="41">
                  <c:v>0.16591844369622133</c:v>
                </c:pt>
                <c:pt idx="42">
                  <c:v>0.13617658062102511</c:v>
                </c:pt>
                <c:pt idx="43">
                  <c:v>0.12775907220351668</c:v>
                </c:pt>
                <c:pt idx="44">
                  <c:v>0.1341189674523009</c:v>
                </c:pt>
                <c:pt idx="45">
                  <c:v>0.12476618032173592</c:v>
                </c:pt>
                <c:pt idx="46">
                  <c:v>0.12196034418256629</c:v>
                </c:pt>
                <c:pt idx="47">
                  <c:v>0.10269360269360273</c:v>
                </c:pt>
                <c:pt idx="48">
                  <c:v>0.10512532734754942</c:v>
                </c:pt>
                <c:pt idx="49">
                  <c:v>0.11690983913206132</c:v>
                </c:pt>
                <c:pt idx="50">
                  <c:v>0.11690983913206132</c:v>
                </c:pt>
                <c:pt idx="51">
                  <c:v>0.1105499438832771</c:v>
                </c:pt>
                <c:pt idx="52">
                  <c:v>8.6980920314253529E-2</c:v>
                </c:pt>
                <c:pt idx="53">
                  <c:v>7.5196408529741854E-2</c:v>
                </c:pt>
                <c:pt idx="54">
                  <c:v>6.6217732884399583E-2</c:v>
                </c:pt>
                <c:pt idx="55">
                  <c:v>7.3512906846240123E-2</c:v>
                </c:pt>
                <c:pt idx="56">
                  <c:v>0.10250654695099137</c:v>
                </c:pt>
                <c:pt idx="57">
                  <c:v>0.111672278338945</c:v>
                </c:pt>
                <c:pt idx="58">
                  <c:v>9.502431724653948E-2</c:v>
                </c:pt>
                <c:pt idx="59">
                  <c:v>0.11728395061728381</c:v>
                </c:pt>
                <c:pt idx="60">
                  <c:v>0.13449307893752338</c:v>
                </c:pt>
                <c:pt idx="61">
                  <c:v>0.15469509913954349</c:v>
                </c:pt>
                <c:pt idx="62">
                  <c:v>0.11485222596333711</c:v>
                </c:pt>
                <c:pt idx="63">
                  <c:v>0.10980172091283191</c:v>
                </c:pt>
                <c:pt idx="64">
                  <c:v>7.8750467639356447E-2</c:v>
                </c:pt>
                <c:pt idx="65">
                  <c:v>0.10736999625888521</c:v>
                </c:pt>
                <c:pt idx="66">
                  <c:v>0.11242050130939019</c:v>
                </c:pt>
                <c:pt idx="67">
                  <c:v>9.6520763187429859E-2</c:v>
                </c:pt>
                <c:pt idx="68">
                  <c:v>8.6045641601197209E-2</c:v>
                </c:pt>
                <c:pt idx="69">
                  <c:v>8.6419753086419693E-2</c:v>
                </c:pt>
                <c:pt idx="70">
                  <c:v>8.2865693976805099E-2</c:v>
                </c:pt>
                <c:pt idx="71">
                  <c:v>0.10288065843621408</c:v>
                </c:pt>
                <c:pt idx="72">
                  <c:v>0.12551440329218111</c:v>
                </c:pt>
                <c:pt idx="73">
                  <c:v>0.10606060606060619</c:v>
                </c:pt>
                <c:pt idx="74">
                  <c:v>0.11092405536849981</c:v>
                </c:pt>
                <c:pt idx="75">
                  <c:v>9.9887766554433099E-2</c:v>
                </c:pt>
                <c:pt idx="76">
                  <c:v>0.10400299289188175</c:v>
                </c:pt>
                <c:pt idx="77">
                  <c:v>9.820426487093159E-2</c:v>
                </c:pt>
                <c:pt idx="78">
                  <c:v>8.0808080808080884E-2</c:v>
                </c:pt>
                <c:pt idx="79">
                  <c:v>8.9786756453423155E-2</c:v>
                </c:pt>
                <c:pt idx="80">
                  <c:v>7.7254021698466291E-2</c:v>
                </c:pt>
                <c:pt idx="81">
                  <c:v>0.13337074448185571</c:v>
                </c:pt>
                <c:pt idx="82">
                  <c:v>8.9038533482977966E-2</c:v>
                </c:pt>
                <c:pt idx="83">
                  <c:v>7.3325851103628992E-2</c:v>
                </c:pt>
                <c:pt idx="84">
                  <c:v>6.5282454171343041E-2</c:v>
                </c:pt>
                <c:pt idx="85">
                  <c:v>5.8548447437336337E-2</c:v>
                </c:pt>
                <c:pt idx="86">
                  <c:v>5.2188552188552118E-2</c:v>
                </c:pt>
                <c:pt idx="87">
                  <c:v>5.0505050505050386E-2</c:v>
                </c:pt>
                <c:pt idx="88">
                  <c:v>4.1339319117096984E-2</c:v>
                </c:pt>
                <c:pt idx="89">
                  <c:v>5.5929667040778286E-2</c:v>
                </c:pt>
                <c:pt idx="90">
                  <c:v>5.4807332585110391E-2</c:v>
                </c:pt>
                <c:pt idx="91">
                  <c:v>6.19154508043398E-2</c:v>
                </c:pt>
                <c:pt idx="92">
                  <c:v>6.6217732884399583E-2</c:v>
                </c:pt>
                <c:pt idx="93">
                  <c:v>7.2016460905349744E-2</c:v>
                </c:pt>
                <c:pt idx="94">
                  <c:v>9.0722035166479698E-2</c:v>
                </c:pt>
                <c:pt idx="95">
                  <c:v>9.502431724653948E-2</c:v>
                </c:pt>
                <c:pt idx="96">
                  <c:v>0.11391694725028056</c:v>
                </c:pt>
                <c:pt idx="97">
                  <c:v>0.11223344556677883</c:v>
                </c:pt>
                <c:pt idx="98">
                  <c:v>8.5484474373363373E-2</c:v>
                </c:pt>
                <c:pt idx="99">
                  <c:v>7.5944631500187043E-2</c:v>
                </c:pt>
                <c:pt idx="100">
                  <c:v>6.4534231200897851E-2</c:v>
                </c:pt>
                <c:pt idx="101">
                  <c:v>6.9584736251402823E-2</c:v>
                </c:pt>
                <c:pt idx="102">
                  <c:v>2.7871305649083356E-2</c:v>
                </c:pt>
                <c:pt idx="103">
                  <c:v>1.8705574261129732E-2</c:v>
                </c:pt>
                <c:pt idx="104">
                  <c:v>2.3569023569023573E-2</c:v>
                </c:pt>
                <c:pt idx="105">
                  <c:v>5.873550317994769E-2</c:v>
                </c:pt>
                <c:pt idx="106">
                  <c:v>7.1268237934904555E-2</c:v>
                </c:pt>
                <c:pt idx="107">
                  <c:v>3.94687616909839E-2</c:v>
                </c:pt>
                <c:pt idx="108">
                  <c:v>5.64908342686119E-2</c:v>
                </c:pt>
                <c:pt idx="109">
                  <c:v>4.0029928918817737E-2</c:v>
                </c:pt>
                <c:pt idx="110">
                  <c:v>6.4347175458286499E-2</c:v>
                </c:pt>
                <c:pt idx="111">
                  <c:v>6.8649457538346503E-2</c:v>
                </c:pt>
                <c:pt idx="112">
                  <c:v>5.2001496445940987E-2</c:v>
                </c:pt>
                <c:pt idx="113">
                  <c:v>4.6015712682379473E-2</c:v>
                </c:pt>
                <c:pt idx="114">
                  <c:v>3.4044145155256222E-2</c:v>
                </c:pt>
                <c:pt idx="115">
                  <c:v>1.0101010101010166E-2</c:v>
                </c:pt>
                <c:pt idx="116">
                  <c:v>2.3194912083801089E-2</c:v>
                </c:pt>
                <c:pt idx="117">
                  <c:v>3.8720538720538711E-2</c:v>
                </c:pt>
                <c:pt idx="118">
                  <c:v>2.8806584362139898E-2</c:v>
                </c:pt>
                <c:pt idx="119">
                  <c:v>3.6101758323980437E-2</c:v>
                </c:pt>
                <c:pt idx="120">
                  <c:v>7.5944631500187043E-2</c:v>
                </c:pt>
                <c:pt idx="121">
                  <c:v>9.5398428731762186E-2</c:v>
                </c:pt>
                <c:pt idx="122">
                  <c:v>7.7815188926299905E-2</c:v>
                </c:pt>
                <c:pt idx="123">
                  <c:v>5.5742611298166711E-2</c:v>
                </c:pt>
                <c:pt idx="124">
                  <c:v>8.7355031799476235E-2</c:v>
                </c:pt>
                <c:pt idx="125">
                  <c:v>6.0606060606060552E-2</c:v>
                </c:pt>
                <c:pt idx="126">
                  <c:v>8.4362139917695478E-2</c:v>
                </c:pt>
                <c:pt idx="127">
                  <c:v>7.6318742985409527E-2</c:v>
                </c:pt>
                <c:pt idx="128">
                  <c:v>8.3800972689861419E-2</c:v>
                </c:pt>
                <c:pt idx="129">
                  <c:v>7.7066965955854716E-2</c:v>
                </c:pt>
                <c:pt idx="130">
                  <c:v>0.10998877665544327</c:v>
                </c:pt>
                <c:pt idx="131">
                  <c:v>6.5282454171343041E-2</c:v>
                </c:pt>
                <c:pt idx="132">
                  <c:v>9.8391320613542721E-2</c:v>
                </c:pt>
                <c:pt idx="133">
                  <c:v>0.13187429854096511</c:v>
                </c:pt>
                <c:pt idx="134">
                  <c:v>0.13617658062102511</c:v>
                </c:pt>
                <c:pt idx="135">
                  <c:v>0.12532734754956976</c:v>
                </c:pt>
                <c:pt idx="136">
                  <c:v>0.13973063973063971</c:v>
                </c:pt>
                <c:pt idx="137">
                  <c:v>0.1365506921062476</c:v>
                </c:pt>
                <c:pt idx="138">
                  <c:v>0.15057987280209506</c:v>
                </c:pt>
                <c:pt idx="139">
                  <c:v>0.16142910587355042</c:v>
                </c:pt>
                <c:pt idx="140">
                  <c:v>0.17022072577628133</c:v>
                </c:pt>
                <c:pt idx="141">
                  <c:v>0.18967452300785625</c:v>
                </c:pt>
                <c:pt idx="142">
                  <c:v>0.1803217358772915</c:v>
                </c:pt>
                <c:pt idx="143">
                  <c:v>0.21324354657687983</c:v>
                </c:pt>
                <c:pt idx="144">
                  <c:v>0.22166105499438826</c:v>
                </c:pt>
                <c:pt idx="145">
                  <c:v>0.22465394687616902</c:v>
                </c:pt>
                <c:pt idx="146">
                  <c:v>0.23251028806584362</c:v>
                </c:pt>
                <c:pt idx="147">
                  <c:v>0.19023569023569031</c:v>
                </c:pt>
                <c:pt idx="148">
                  <c:v>0.19996258885147777</c:v>
                </c:pt>
                <c:pt idx="149">
                  <c:v>0.21062476618032178</c:v>
                </c:pt>
                <c:pt idx="150">
                  <c:v>0.21286943509165734</c:v>
                </c:pt>
                <c:pt idx="151">
                  <c:v>0.18986157875046761</c:v>
                </c:pt>
                <c:pt idx="152">
                  <c:v>0.19154508043396934</c:v>
                </c:pt>
                <c:pt idx="153">
                  <c:v>0.20931537598204275</c:v>
                </c:pt>
                <c:pt idx="154">
                  <c:v>0.19397680508791604</c:v>
                </c:pt>
                <c:pt idx="155">
                  <c:v>0.20894126449682004</c:v>
                </c:pt>
                <c:pt idx="156">
                  <c:v>0.23550317994762437</c:v>
                </c:pt>
                <c:pt idx="157">
                  <c:v>0.26468387579498698</c:v>
                </c:pt>
                <c:pt idx="158">
                  <c:v>0.22465394687616902</c:v>
                </c:pt>
                <c:pt idx="159">
                  <c:v>0.25346053123830914</c:v>
                </c:pt>
                <c:pt idx="160">
                  <c:v>0.25851103628881411</c:v>
                </c:pt>
                <c:pt idx="161">
                  <c:v>0.27048260381593714</c:v>
                </c:pt>
                <c:pt idx="162">
                  <c:v>0.26393565282454157</c:v>
                </c:pt>
                <c:pt idx="163">
                  <c:v>0.25233819678264124</c:v>
                </c:pt>
                <c:pt idx="164">
                  <c:v>0.24541713430602319</c:v>
                </c:pt>
                <c:pt idx="165">
                  <c:v>0.24971941638608297</c:v>
                </c:pt>
                <c:pt idx="166">
                  <c:v>0.25177702955480741</c:v>
                </c:pt>
                <c:pt idx="167">
                  <c:v>0.2656191545080433</c:v>
                </c:pt>
                <c:pt idx="168">
                  <c:v>0.27366255144032925</c:v>
                </c:pt>
                <c:pt idx="169">
                  <c:v>0.2499064721286941</c:v>
                </c:pt>
                <c:pt idx="170">
                  <c:v>0.21006359895248772</c:v>
                </c:pt>
                <c:pt idx="171">
                  <c:v>0.20482603815937139</c:v>
                </c:pt>
                <c:pt idx="172">
                  <c:v>0.19248035914702588</c:v>
                </c:pt>
                <c:pt idx="173">
                  <c:v>0.19042274597830144</c:v>
                </c:pt>
                <c:pt idx="174">
                  <c:v>0.19902731013842123</c:v>
                </c:pt>
                <c:pt idx="175">
                  <c:v>0.19210624766180318</c:v>
                </c:pt>
                <c:pt idx="176">
                  <c:v>0.18967452300785625</c:v>
                </c:pt>
                <c:pt idx="177">
                  <c:v>0.17545828656939766</c:v>
                </c:pt>
                <c:pt idx="178">
                  <c:v>0.17957351290684631</c:v>
                </c:pt>
                <c:pt idx="179">
                  <c:v>0.17134306023194901</c:v>
                </c:pt>
                <c:pt idx="180">
                  <c:v>0.16442199775533117</c:v>
                </c:pt>
                <c:pt idx="181">
                  <c:v>0.14384586606808814</c:v>
                </c:pt>
                <c:pt idx="182">
                  <c:v>0.15039281705948371</c:v>
                </c:pt>
                <c:pt idx="183">
                  <c:v>0.17583239805462014</c:v>
                </c:pt>
                <c:pt idx="184">
                  <c:v>0.1949120838009728</c:v>
                </c:pt>
                <c:pt idx="185">
                  <c:v>0.17583239805462014</c:v>
                </c:pt>
                <c:pt idx="186">
                  <c:v>0.16722783389450058</c:v>
                </c:pt>
                <c:pt idx="187">
                  <c:v>0.14964459408903852</c:v>
                </c:pt>
                <c:pt idx="188">
                  <c:v>0.14384586606808814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824-4308-81A2-DFC5899E2BD3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-1.4661200868097413E-2</c:v>
                </c:pt>
                <c:pt idx="2">
                  <c:v>-1.2346274415239944E-2</c:v>
                </c:pt>
                <c:pt idx="3">
                  <c:v>6.7518688208356714E-4</c:v>
                </c:pt>
                <c:pt idx="4">
                  <c:v>-7.7164215095248956E-3</c:v>
                </c:pt>
                <c:pt idx="5">
                  <c:v>-1.4275379792621168E-2</c:v>
                </c:pt>
                <c:pt idx="6">
                  <c:v>1.142994936098396E-2</c:v>
                </c:pt>
                <c:pt idx="7">
                  <c:v>3.0383409693754526E-2</c:v>
                </c:pt>
                <c:pt idx="8">
                  <c:v>5.4014950566674713E-2</c:v>
                </c:pt>
                <c:pt idx="9">
                  <c:v>5.8934169278996862E-2</c:v>
                </c:pt>
                <c:pt idx="10">
                  <c:v>5.4545454545454453E-2</c:v>
                </c:pt>
                <c:pt idx="11">
                  <c:v>5.2375210995900812E-2</c:v>
                </c:pt>
                <c:pt idx="12">
                  <c:v>5.1410658307210033E-2</c:v>
                </c:pt>
                <c:pt idx="13">
                  <c:v>5.3725584760067502E-2</c:v>
                </c:pt>
                <c:pt idx="14">
                  <c:v>6.1683144441765148E-2</c:v>
                </c:pt>
                <c:pt idx="15">
                  <c:v>6.8193875090426959E-2</c:v>
                </c:pt>
                <c:pt idx="16">
                  <c:v>8.2421027248613443E-2</c:v>
                </c:pt>
                <c:pt idx="17">
                  <c:v>9.823969134313959E-2</c:v>
                </c:pt>
                <c:pt idx="18">
                  <c:v>9.6165903062454872E-2</c:v>
                </c:pt>
                <c:pt idx="19">
                  <c:v>9.5972992524716583E-2</c:v>
                </c:pt>
                <c:pt idx="20">
                  <c:v>0.11285266457680243</c:v>
                </c:pt>
                <c:pt idx="21">
                  <c:v>0.12418615866891725</c:v>
                </c:pt>
                <c:pt idx="22">
                  <c:v>0.13079334458644798</c:v>
                </c:pt>
                <c:pt idx="23">
                  <c:v>0.14680491921871242</c:v>
                </c:pt>
                <c:pt idx="24">
                  <c:v>0.1574149987943092</c:v>
                </c:pt>
                <c:pt idx="25">
                  <c:v>0.15090426814564739</c:v>
                </c:pt>
                <c:pt idx="26">
                  <c:v>0.14950566674704602</c:v>
                </c:pt>
                <c:pt idx="27">
                  <c:v>0.16161080299011332</c:v>
                </c:pt>
                <c:pt idx="28">
                  <c:v>0.17940680009645527</c:v>
                </c:pt>
                <c:pt idx="29">
                  <c:v>0.17410176030865676</c:v>
                </c:pt>
                <c:pt idx="30">
                  <c:v>0.17352302869544256</c:v>
                </c:pt>
                <c:pt idx="31">
                  <c:v>0.18152881601157467</c:v>
                </c:pt>
                <c:pt idx="32">
                  <c:v>0.19078852182300454</c:v>
                </c:pt>
                <c:pt idx="33">
                  <c:v>0.16947190740294205</c:v>
                </c:pt>
                <c:pt idx="34">
                  <c:v>0.18562816493850987</c:v>
                </c:pt>
                <c:pt idx="35">
                  <c:v>0.18775018085362927</c:v>
                </c:pt>
                <c:pt idx="36">
                  <c:v>0.18239691343139608</c:v>
                </c:pt>
                <c:pt idx="37">
                  <c:v>0.17419821557752591</c:v>
                </c:pt>
                <c:pt idx="38">
                  <c:v>0.1981191222570533</c:v>
                </c:pt>
                <c:pt idx="39">
                  <c:v>0.19874608150470219</c:v>
                </c:pt>
                <c:pt idx="40">
                  <c:v>0.19001687967205205</c:v>
                </c:pt>
                <c:pt idx="41">
                  <c:v>0.18302387267904519</c:v>
                </c:pt>
                <c:pt idx="42">
                  <c:v>0.15567880395466593</c:v>
                </c:pt>
                <c:pt idx="43">
                  <c:v>0.159392331806125</c:v>
                </c:pt>
                <c:pt idx="44">
                  <c:v>0.16995418374728732</c:v>
                </c:pt>
                <c:pt idx="45">
                  <c:v>0.17535567880395475</c:v>
                </c:pt>
                <c:pt idx="46">
                  <c:v>0.17188328912466844</c:v>
                </c:pt>
                <c:pt idx="47">
                  <c:v>0.16730166385338796</c:v>
                </c:pt>
                <c:pt idx="48">
                  <c:v>0.16479382686279243</c:v>
                </c:pt>
                <c:pt idx="49">
                  <c:v>0.17284784181335899</c:v>
                </c:pt>
                <c:pt idx="50">
                  <c:v>0.14834820352061739</c:v>
                </c:pt>
                <c:pt idx="51">
                  <c:v>0.14434530986255134</c:v>
                </c:pt>
                <c:pt idx="52">
                  <c:v>0.14588859416445632</c:v>
                </c:pt>
                <c:pt idx="53">
                  <c:v>0.13513383168555593</c:v>
                </c:pt>
                <c:pt idx="54">
                  <c:v>0.13537496985772846</c:v>
                </c:pt>
                <c:pt idx="55">
                  <c:v>0.13465155534121065</c:v>
                </c:pt>
                <c:pt idx="56">
                  <c:v>0.15712563298770199</c:v>
                </c:pt>
                <c:pt idx="57">
                  <c:v>0.15379792621171928</c:v>
                </c:pt>
                <c:pt idx="58">
                  <c:v>0.15963346997829753</c:v>
                </c:pt>
                <c:pt idx="59">
                  <c:v>0.16947190740294205</c:v>
                </c:pt>
                <c:pt idx="60">
                  <c:v>0.17887629611767553</c:v>
                </c:pt>
                <c:pt idx="61">
                  <c:v>0.17733301181577055</c:v>
                </c:pt>
                <c:pt idx="62">
                  <c:v>0.17212442729684119</c:v>
                </c:pt>
                <c:pt idx="63">
                  <c:v>0.16214130696889328</c:v>
                </c:pt>
                <c:pt idx="64">
                  <c:v>0.14979503255365323</c:v>
                </c:pt>
                <c:pt idx="65">
                  <c:v>0.16373281890523272</c:v>
                </c:pt>
                <c:pt idx="66">
                  <c:v>0.16378104653966719</c:v>
                </c:pt>
                <c:pt idx="67">
                  <c:v>0.15003617072582598</c:v>
                </c:pt>
                <c:pt idx="68">
                  <c:v>0.14762478900409937</c:v>
                </c:pt>
                <c:pt idx="69">
                  <c:v>0.15794550277308894</c:v>
                </c:pt>
                <c:pt idx="70">
                  <c:v>0.151048951048951</c:v>
                </c:pt>
                <c:pt idx="71">
                  <c:v>0.13113093802748965</c:v>
                </c:pt>
                <c:pt idx="72">
                  <c:v>0.12939474318784661</c:v>
                </c:pt>
                <c:pt idx="73">
                  <c:v>0.11256329877019544</c:v>
                </c:pt>
                <c:pt idx="74">
                  <c:v>9.0716180371352761E-2</c:v>
                </c:pt>
                <c:pt idx="75">
                  <c:v>9.042681456474555E-2</c:v>
                </c:pt>
                <c:pt idx="76">
                  <c:v>0.11237038823245715</c:v>
                </c:pt>
                <c:pt idx="77">
                  <c:v>9.7178683385579889E-2</c:v>
                </c:pt>
                <c:pt idx="78">
                  <c:v>8.6761514347721391E-2</c:v>
                </c:pt>
                <c:pt idx="79">
                  <c:v>9.8577284784181263E-2</c:v>
                </c:pt>
                <c:pt idx="80">
                  <c:v>9.6455268869062083E-2</c:v>
                </c:pt>
                <c:pt idx="81">
                  <c:v>0.1085121774776947</c:v>
                </c:pt>
                <c:pt idx="82">
                  <c:v>9.5683626718109593E-2</c:v>
                </c:pt>
                <c:pt idx="83">
                  <c:v>8.1263564022184598E-2</c:v>
                </c:pt>
                <c:pt idx="84">
                  <c:v>8.7774294670846409E-2</c:v>
                </c:pt>
                <c:pt idx="85">
                  <c:v>8.3289124668435077E-2</c:v>
                </c:pt>
                <c:pt idx="86">
                  <c:v>7.3113093802748885E-2</c:v>
                </c:pt>
                <c:pt idx="87">
                  <c:v>6.7374005305039786E-2</c:v>
                </c:pt>
                <c:pt idx="88">
                  <c:v>6.7904509283819747E-2</c:v>
                </c:pt>
                <c:pt idx="89">
                  <c:v>8.1552929828791809E-2</c:v>
                </c:pt>
                <c:pt idx="90">
                  <c:v>0.11126115264046299</c:v>
                </c:pt>
                <c:pt idx="91">
                  <c:v>0.11309380274897518</c:v>
                </c:pt>
                <c:pt idx="92">
                  <c:v>9.3368700265252125E-2</c:v>
                </c:pt>
                <c:pt idx="93">
                  <c:v>0.10402700747528337</c:v>
                </c:pt>
                <c:pt idx="94">
                  <c:v>0.10923559199421273</c:v>
                </c:pt>
                <c:pt idx="95">
                  <c:v>0.10595611285266449</c:v>
                </c:pt>
                <c:pt idx="96">
                  <c:v>0.11757897275138651</c:v>
                </c:pt>
                <c:pt idx="97">
                  <c:v>0.1301663853387991</c:v>
                </c:pt>
                <c:pt idx="98">
                  <c:v>0.11010368941403437</c:v>
                </c:pt>
                <c:pt idx="99">
                  <c:v>0.11545695683626711</c:v>
                </c:pt>
                <c:pt idx="100">
                  <c:v>0.11309380274897518</c:v>
                </c:pt>
                <c:pt idx="101">
                  <c:v>8.6713286713286708E-2</c:v>
                </c:pt>
                <c:pt idx="102">
                  <c:v>7.7935857246202112E-2</c:v>
                </c:pt>
                <c:pt idx="103">
                  <c:v>7.4945743911261076E-2</c:v>
                </c:pt>
                <c:pt idx="104">
                  <c:v>7.6633711116469883E-2</c:v>
                </c:pt>
                <c:pt idx="105">
                  <c:v>0.10040993489269345</c:v>
                </c:pt>
                <c:pt idx="106">
                  <c:v>0.12259464673257781</c:v>
                </c:pt>
                <c:pt idx="107">
                  <c:v>0.11965276103207145</c:v>
                </c:pt>
                <c:pt idx="108">
                  <c:v>0.14299493609838443</c:v>
                </c:pt>
                <c:pt idx="109">
                  <c:v>0.15018085362912958</c:v>
                </c:pt>
                <c:pt idx="110">
                  <c:v>0.1494092114781771</c:v>
                </c:pt>
                <c:pt idx="111">
                  <c:v>0.16165903062454801</c:v>
                </c:pt>
                <c:pt idx="112">
                  <c:v>0.1365324330841573</c:v>
                </c:pt>
                <c:pt idx="113">
                  <c:v>0.13421750663129983</c:v>
                </c:pt>
                <c:pt idx="114">
                  <c:v>0.12949119845671575</c:v>
                </c:pt>
                <c:pt idx="115">
                  <c:v>0.10147094285025315</c:v>
                </c:pt>
                <c:pt idx="116">
                  <c:v>0.11545695683626711</c:v>
                </c:pt>
                <c:pt idx="117">
                  <c:v>0.15302628406076701</c:v>
                </c:pt>
                <c:pt idx="118">
                  <c:v>0.16228598987219689</c:v>
                </c:pt>
                <c:pt idx="119">
                  <c:v>0.18099831203279471</c:v>
                </c:pt>
                <c:pt idx="120">
                  <c:v>0.22816493850976616</c:v>
                </c:pt>
                <c:pt idx="121">
                  <c:v>0.24673257776706059</c:v>
                </c:pt>
                <c:pt idx="122">
                  <c:v>0.22483723173378345</c:v>
                </c:pt>
                <c:pt idx="123">
                  <c:v>0.22488545936821791</c:v>
                </c:pt>
                <c:pt idx="124">
                  <c:v>0.26857969616590327</c:v>
                </c:pt>
                <c:pt idx="125">
                  <c:v>0.25068724379069196</c:v>
                </c:pt>
                <c:pt idx="126">
                  <c:v>0.28883530262840607</c:v>
                </c:pt>
                <c:pt idx="127">
                  <c:v>0.27031589100554609</c:v>
                </c:pt>
                <c:pt idx="128">
                  <c:v>0.24957800819869802</c:v>
                </c:pt>
                <c:pt idx="129">
                  <c:v>0.23935374969857737</c:v>
                </c:pt>
                <c:pt idx="130">
                  <c:v>0.24316373281890513</c:v>
                </c:pt>
                <c:pt idx="131">
                  <c:v>0.22425850012056903</c:v>
                </c:pt>
                <c:pt idx="132">
                  <c:v>0.1913190258017845</c:v>
                </c:pt>
                <c:pt idx="133">
                  <c:v>0.20554617795997099</c:v>
                </c:pt>
                <c:pt idx="134">
                  <c:v>0.22035206173137212</c:v>
                </c:pt>
                <c:pt idx="135">
                  <c:v>0.19999999999999996</c:v>
                </c:pt>
                <c:pt idx="136">
                  <c:v>0.20863274656378117</c:v>
                </c:pt>
                <c:pt idx="137">
                  <c:v>0.23284301904991556</c:v>
                </c:pt>
                <c:pt idx="138">
                  <c:v>0.25039787798408475</c:v>
                </c:pt>
                <c:pt idx="139">
                  <c:v>0.27031589100554609</c:v>
                </c:pt>
                <c:pt idx="140">
                  <c:v>0.28261393778635147</c:v>
                </c:pt>
                <c:pt idx="141">
                  <c:v>0.28637569327224521</c:v>
                </c:pt>
                <c:pt idx="142">
                  <c:v>0.28058837714010121</c:v>
                </c:pt>
                <c:pt idx="143">
                  <c:v>0.23375934410417165</c:v>
                </c:pt>
                <c:pt idx="144">
                  <c:v>0.23631540872920187</c:v>
                </c:pt>
                <c:pt idx="145">
                  <c:v>0.22695924764890285</c:v>
                </c:pt>
                <c:pt idx="146">
                  <c:v>0.22946708463949861</c:v>
                </c:pt>
                <c:pt idx="147">
                  <c:v>0.2422956353990835</c:v>
                </c:pt>
                <c:pt idx="148">
                  <c:v>0.23935374969857737</c:v>
                </c:pt>
                <c:pt idx="149">
                  <c:v>0.25025319508078137</c:v>
                </c:pt>
                <c:pt idx="150">
                  <c:v>0.26264769713045588</c:v>
                </c:pt>
                <c:pt idx="151">
                  <c:v>0.25295394260911519</c:v>
                </c:pt>
                <c:pt idx="152">
                  <c:v>0.25806607185917541</c:v>
                </c:pt>
                <c:pt idx="153">
                  <c:v>0.26394984326018811</c:v>
                </c:pt>
                <c:pt idx="154">
                  <c:v>0.25560646250301433</c:v>
                </c:pt>
                <c:pt idx="155">
                  <c:v>0.26534844465878948</c:v>
                </c:pt>
                <c:pt idx="156">
                  <c:v>0.30749939715456964</c:v>
                </c:pt>
                <c:pt idx="157">
                  <c:v>0.31859175307451193</c:v>
                </c:pt>
                <c:pt idx="158">
                  <c:v>0.28946226187605495</c:v>
                </c:pt>
                <c:pt idx="159">
                  <c:v>0.30330359295876552</c:v>
                </c:pt>
                <c:pt idx="160">
                  <c:v>0.3168073306004342</c:v>
                </c:pt>
                <c:pt idx="161">
                  <c:v>0.31728960694477926</c:v>
                </c:pt>
                <c:pt idx="162">
                  <c:v>0.30214612973233668</c:v>
                </c:pt>
                <c:pt idx="163">
                  <c:v>0.28174584036653005</c:v>
                </c:pt>
                <c:pt idx="164">
                  <c:v>0.29269351338316874</c:v>
                </c:pt>
                <c:pt idx="165">
                  <c:v>0.28213166144200641</c:v>
                </c:pt>
                <c:pt idx="166">
                  <c:v>0.30788521823004578</c:v>
                </c:pt>
                <c:pt idx="167">
                  <c:v>0.32727272727272716</c:v>
                </c:pt>
                <c:pt idx="168">
                  <c:v>0.34280202556064632</c:v>
                </c:pt>
                <c:pt idx="169">
                  <c:v>0.32736918254159653</c:v>
                </c:pt>
                <c:pt idx="170">
                  <c:v>0.29790209790209787</c:v>
                </c:pt>
                <c:pt idx="171">
                  <c:v>0.28806366047745358</c:v>
                </c:pt>
                <c:pt idx="172">
                  <c:v>0.28454304316373302</c:v>
                </c:pt>
                <c:pt idx="173">
                  <c:v>0.28082951531227396</c:v>
                </c:pt>
                <c:pt idx="174">
                  <c:v>0.28439836026042919</c:v>
                </c:pt>
                <c:pt idx="175">
                  <c:v>0.288642392090668</c:v>
                </c:pt>
                <c:pt idx="176">
                  <c:v>0.28902821316614413</c:v>
                </c:pt>
                <c:pt idx="177">
                  <c:v>0.30320713768989638</c:v>
                </c:pt>
                <c:pt idx="178">
                  <c:v>0.30209790209790222</c:v>
                </c:pt>
                <c:pt idx="179">
                  <c:v>0.29959006510730668</c:v>
                </c:pt>
                <c:pt idx="180">
                  <c:v>0.29823969134313955</c:v>
                </c:pt>
                <c:pt idx="181">
                  <c:v>0.29814323607427062</c:v>
                </c:pt>
                <c:pt idx="182">
                  <c:v>0.3054256088738847</c:v>
                </c:pt>
                <c:pt idx="183">
                  <c:v>0.3080299011333496</c:v>
                </c:pt>
                <c:pt idx="184">
                  <c:v>0.31155051844707016</c:v>
                </c:pt>
                <c:pt idx="185">
                  <c:v>0.29042681456474551</c:v>
                </c:pt>
                <c:pt idx="186">
                  <c:v>0.27677839401977344</c:v>
                </c:pt>
                <c:pt idx="187">
                  <c:v>0.24745599228357862</c:v>
                </c:pt>
                <c:pt idx="188">
                  <c:v>0.23477212442729667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824-4308-81A2-DFC5899E2BD3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-3.9815097466311955E-2</c:v>
                </c:pt>
                <c:pt idx="2">
                  <c:v>-2.3461689416074294E-2</c:v>
                </c:pt>
                <c:pt idx="3">
                  <c:v>1.7923335223060333E-2</c:v>
                </c:pt>
                <c:pt idx="4">
                  <c:v>-2.2589507653394958E-2</c:v>
                </c:pt>
                <c:pt idx="5">
                  <c:v>-4.0251188347651623E-2</c:v>
                </c:pt>
                <c:pt idx="6">
                  <c:v>-4.0425624700187512E-2</c:v>
                </c:pt>
                <c:pt idx="7">
                  <c:v>-3.7329379442675892E-2</c:v>
                </c:pt>
                <c:pt idx="8">
                  <c:v>-3.2357943395403654E-2</c:v>
                </c:pt>
                <c:pt idx="9">
                  <c:v>-5.4773014696262723E-2</c:v>
                </c:pt>
                <c:pt idx="10">
                  <c:v>-6.5239195848414866E-2</c:v>
                </c:pt>
                <c:pt idx="11">
                  <c:v>-6.6591077580567815E-2</c:v>
                </c:pt>
                <c:pt idx="12">
                  <c:v>-5.7389559984300731E-2</c:v>
                </c:pt>
                <c:pt idx="13">
                  <c:v>-4.8842178710043149E-2</c:v>
                </c:pt>
                <c:pt idx="14">
                  <c:v>-4.3827133574636967E-2</c:v>
                </c:pt>
                <c:pt idx="15">
                  <c:v>-3.7242161266407892E-2</c:v>
                </c:pt>
                <c:pt idx="16">
                  <c:v>-2.3461689416074294E-2</c:v>
                </c:pt>
                <c:pt idx="17">
                  <c:v>-4.6400069774541031E-2</c:v>
                </c:pt>
                <c:pt idx="18">
                  <c:v>-3.8724870262962785E-2</c:v>
                </c:pt>
                <c:pt idx="19">
                  <c:v>-2.7473725524399306E-2</c:v>
                </c:pt>
                <c:pt idx="20">
                  <c:v>-1.6004535345165993E-2</c:v>
                </c:pt>
                <c:pt idx="21">
                  <c:v>-1.5917317168897993E-2</c:v>
                </c:pt>
                <c:pt idx="22">
                  <c:v>-5.3203087523439829E-2</c:v>
                </c:pt>
                <c:pt idx="23">
                  <c:v>-4.4873751689852082E-2</c:v>
                </c:pt>
                <c:pt idx="24">
                  <c:v>-2.5642143822772634E-2</c:v>
                </c:pt>
                <c:pt idx="25">
                  <c:v>-2.6383498321050136E-2</c:v>
                </c:pt>
                <c:pt idx="26">
                  <c:v>-2.995944354803548E-2</c:v>
                </c:pt>
                <c:pt idx="27">
                  <c:v>-3.6718852208800334E-2</c:v>
                </c:pt>
                <c:pt idx="28">
                  <c:v>-7.8932449522480796E-3</c:v>
                </c:pt>
                <c:pt idx="29">
                  <c:v>9.5503903013387514E-3</c:v>
                </c:pt>
                <c:pt idx="30">
                  <c:v>1.5481226287558325E-2</c:v>
                </c:pt>
                <c:pt idx="31">
                  <c:v>-2.5729361999040634E-3</c:v>
                </c:pt>
                <c:pt idx="32">
                  <c:v>-2.1630107714447733E-2</c:v>
                </c:pt>
                <c:pt idx="33">
                  <c:v>-1.9624089660285171E-2</c:v>
                </c:pt>
                <c:pt idx="34">
                  <c:v>7.4135449827728017E-4</c:v>
                </c:pt>
                <c:pt idx="35">
                  <c:v>-3.7939906676551782E-3</c:v>
                </c:pt>
                <c:pt idx="36">
                  <c:v>-1.0422572064018198E-2</c:v>
                </c:pt>
                <c:pt idx="37">
                  <c:v>-2.0147398717892839E-2</c:v>
                </c:pt>
                <c:pt idx="38">
                  <c:v>1.207971741310887E-2</c:v>
                </c:pt>
                <c:pt idx="39">
                  <c:v>2.1586498626313677E-2</c:v>
                </c:pt>
                <c:pt idx="40">
                  <c:v>1.9842135100955005E-2</c:v>
                </c:pt>
                <c:pt idx="41">
                  <c:v>3.0003052636169425E-2</c:v>
                </c:pt>
                <c:pt idx="42">
                  <c:v>1.325716279272604E-2</c:v>
                </c:pt>
                <c:pt idx="43">
                  <c:v>3.488727050717344E-3</c:v>
                </c:pt>
                <c:pt idx="44">
                  <c:v>-8.1112903929179136E-3</c:v>
                </c:pt>
                <c:pt idx="45">
                  <c:v>-1.0030090270812475E-2</c:v>
                </c:pt>
                <c:pt idx="46">
                  <c:v>-7.1082813658366328E-3</c:v>
                </c:pt>
                <c:pt idx="47">
                  <c:v>-1.7181980724783052E-2</c:v>
                </c:pt>
                <c:pt idx="48">
                  <c:v>-4.1995551873010295E-2</c:v>
                </c:pt>
                <c:pt idx="49">
                  <c:v>-3.4276743273298216E-2</c:v>
                </c:pt>
                <c:pt idx="50">
                  <c:v>-4.1646679167938627E-2</c:v>
                </c:pt>
                <c:pt idx="51">
                  <c:v>-9.1448257816929002E-2</c:v>
                </c:pt>
                <c:pt idx="52">
                  <c:v>-0.1006497754131962</c:v>
                </c:pt>
                <c:pt idx="53">
                  <c:v>-0.10570842963673632</c:v>
                </c:pt>
                <c:pt idx="54">
                  <c:v>-0.10631895687061177</c:v>
                </c:pt>
                <c:pt idx="55">
                  <c:v>-0.10514151149099482</c:v>
                </c:pt>
                <c:pt idx="56">
                  <c:v>-9.6506912040469239E-2</c:v>
                </c:pt>
                <c:pt idx="57">
                  <c:v>-7.9324931315686187E-2</c:v>
                </c:pt>
                <c:pt idx="58">
                  <c:v>-8.6825694474728543E-2</c:v>
                </c:pt>
                <c:pt idx="59">
                  <c:v>-7.0603113688892716E-2</c:v>
                </c:pt>
                <c:pt idx="60">
                  <c:v>-5.1545942174349157E-2</c:v>
                </c:pt>
                <c:pt idx="61">
                  <c:v>-6.2491823295974913E-2</c:v>
                </c:pt>
                <c:pt idx="62">
                  <c:v>-8.9267803410230662E-2</c:v>
                </c:pt>
                <c:pt idx="63">
                  <c:v>-9.8643757359033635E-2</c:v>
                </c:pt>
                <c:pt idx="64">
                  <c:v>-0.10003924817932053</c:v>
                </c:pt>
                <c:pt idx="65">
                  <c:v>-7.7275304173389681E-2</c:v>
                </c:pt>
                <c:pt idx="66">
                  <c:v>-7.3742968034538392E-2</c:v>
                </c:pt>
                <c:pt idx="67">
                  <c:v>-9.3192621342287785E-2</c:v>
                </c:pt>
                <c:pt idx="68">
                  <c:v>-9.960315729798086E-2</c:v>
                </c:pt>
                <c:pt idx="69">
                  <c:v>-8.307531289520742E-2</c:v>
                </c:pt>
                <c:pt idx="70">
                  <c:v>-9.1099385111857334E-2</c:v>
                </c:pt>
                <c:pt idx="71">
                  <c:v>-8.861366708822116E-2</c:v>
                </c:pt>
                <c:pt idx="72">
                  <c:v>-9.1273821464393223E-2</c:v>
                </c:pt>
                <c:pt idx="73">
                  <c:v>-0.11163926562295579</c:v>
                </c:pt>
                <c:pt idx="74">
                  <c:v>-0.10549038419606649</c:v>
                </c:pt>
                <c:pt idx="75">
                  <c:v>-0.12563778291395933</c:v>
                </c:pt>
                <c:pt idx="76">
                  <c:v>-0.12367537394793082</c:v>
                </c:pt>
                <c:pt idx="77">
                  <c:v>-0.13344380968993941</c:v>
                </c:pt>
                <c:pt idx="78">
                  <c:v>-0.13924381841175704</c:v>
                </c:pt>
                <c:pt idx="79">
                  <c:v>-0.13789193667960409</c:v>
                </c:pt>
                <c:pt idx="80">
                  <c:v>-0.11085430203654445</c:v>
                </c:pt>
                <c:pt idx="81">
                  <c:v>-7.8452749553006851E-2</c:v>
                </c:pt>
                <c:pt idx="82">
                  <c:v>-9.9036239152239358E-2</c:v>
                </c:pt>
                <c:pt idx="83">
                  <c:v>-9.2233221403340448E-2</c:v>
                </c:pt>
                <c:pt idx="84">
                  <c:v>-0.10117308447080364</c:v>
                </c:pt>
                <c:pt idx="85">
                  <c:v>-0.10588286598927221</c:v>
                </c:pt>
                <c:pt idx="86">
                  <c:v>-0.11600017443635247</c:v>
                </c:pt>
                <c:pt idx="87">
                  <c:v>-0.1210588286598927</c:v>
                </c:pt>
                <c:pt idx="88">
                  <c:v>-0.11569491081941474</c:v>
                </c:pt>
                <c:pt idx="89">
                  <c:v>-9.3541494047359453E-2</c:v>
                </c:pt>
                <c:pt idx="90">
                  <c:v>-9.0750512406785555E-2</c:v>
                </c:pt>
                <c:pt idx="91">
                  <c:v>-8.0851249400375025E-2</c:v>
                </c:pt>
                <c:pt idx="92">
                  <c:v>-8.2508394749465808E-2</c:v>
                </c:pt>
                <c:pt idx="93">
                  <c:v>-8.6782085386594598E-2</c:v>
                </c:pt>
                <c:pt idx="94">
                  <c:v>-6.7812132048318929E-2</c:v>
                </c:pt>
                <c:pt idx="95">
                  <c:v>-7.417905891587806E-2</c:v>
                </c:pt>
                <c:pt idx="96">
                  <c:v>-6.4585059526405364E-2</c:v>
                </c:pt>
                <c:pt idx="97">
                  <c:v>-5.9351968950329348E-2</c:v>
                </c:pt>
                <c:pt idx="98">
                  <c:v>-7.0603113688892716E-2</c:v>
                </c:pt>
                <c:pt idx="99">
                  <c:v>-6.0660241594348241E-2</c:v>
                </c:pt>
                <c:pt idx="100">
                  <c:v>-4.657450612707692E-2</c:v>
                </c:pt>
                <c:pt idx="101">
                  <c:v>-5.0542933147267877E-2</c:v>
                </c:pt>
                <c:pt idx="102">
                  <c:v>-7.1431686363438107E-2</c:v>
                </c:pt>
                <c:pt idx="103">
                  <c:v>-6.0660241594348241E-2</c:v>
                </c:pt>
                <c:pt idx="104">
                  <c:v>-5.311586934717194E-2</c:v>
                </c:pt>
                <c:pt idx="105">
                  <c:v>-1.9057171514543669E-2</c:v>
                </c:pt>
                <c:pt idx="106">
                  <c:v>-9.0706903318652499E-3</c:v>
                </c:pt>
                <c:pt idx="107">
                  <c:v>-2.7212070995595528E-2</c:v>
                </c:pt>
                <c:pt idx="108">
                  <c:v>-1.6963935284113218E-2</c:v>
                </c:pt>
                <c:pt idx="109">
                  <c:v>-1.9013562426409725E-2</c:v>
                </c:pt>
                <c:pt idx="110">
                  <c:v>-1.9798526012821061E-2</c:v>
                </c:pt>
                <c:pt idx="111">
                  <c:v>-6.8902359251669099E-3</c:v>
                </c:pt>
                <c:pt idx="112">
                  <c:v>-3.3666216039422658E-2</c:v>
                </c:pt>
                <c:pt idx="113">
                  <c:v>-2.9828616283633536E-2</c:v>
                </c:pt>
                <c:pt idx="114">
                  <c:v>-3.5236143212245441E-2</c:v>
                </c:pt>
                <c:pt idx="115">
                  <c:v>-5.5906850987745838E-2</c:v>
                </c:pt>
                <c:pt idx="116">
                  <c:v>3.052636169377676E-3</c:v>
                </c:pt>
                <c:pt idx="117">
                  <c:v>2.3766953033012017E-2</c:v>
                </c:pt>
                <c:pt idx="118">
                  <c:v>2.4333871178753519E-2</c:v>
                </c:pt>
                <c:pt idx="119">
                  <c:v>6.0311368889276462E-2</c:v>
                </c:pt>
                <c:pt idx="120">
                  <c:v>0.10483624787405699</c:v>
                </c:pt>
                <c:pt idx="121">
                  <c:v>0.10902272033491789</c:v>
                </c:pt>
                <c:pt idx="122">
                  <c:v>9.7379093803148464E-2</c:v>
                </c:pt>
                <c:pt idx="123">
                  <c:v>9.4849766691378568E-2</c:v>
                </c:pt>
                <c:pt idx="124">
                  <c:v>0.13850246391347953</c:v>
                </c:pt>
                <c:pt idx="125">
                  <c:v>0.11098512930094628</c:v>
                </c:pt>
                <c:pt idx="126">
                  <c:v>0.11050542933147267</c:v>
                </c:pt>
                <c:pt idx="127">
                  <c:v>0.10217609349788503</c:v>
                </c:pt>
                <c:pt idx="128">
                  <c:v>8.9834721555972274E-2</c:v>
                </c:pt>
                <c:pt idx="129">
                  <c:v>8.1854258427456417E-2</c:v>
                </c:pt>
                <c:pt idx="130">
                  <c:v>8.1505385722384638E-2</c:v>
                </c:pt>
                <c:pt idx="131">
                  <c:v>6.7463259343247151E-2</c:v>
                </c:pt>
                <c:pt idx="132">
                  <c:v>6.4541450438271308E-2</c:v>
                </c:pt>
                <c:pt idx="133">
                  <c:v>0.10937159303998945</c:v>
                </c:pt>
                <c:pt idx="134">
                  <c:v>0.10980768392132934</c:v>
                </c:pt>
                <c:pt idx="135">
                  <c:v>0.10496707513845882</c:v>
                </c:pt>
                <c:pt idx="136">
                  <c:v>0.11682874711089797</c:v>
                </c:pt>
                <c:pt idx="137">
                  <c:v>0.10461820243338726</c:v>
                </c:pt>
                <c:pt idx="138">
                  <c:v>0.1204046923378832</c:v>
                </c:pt>
                <c:pt idx="139">
                  <c:v>0.13104530984257123</c:v>
                </c:pt>
                <c:pt idx="140">
                  <c:v>0.12036108324974926</c:v>
                </c:pt>
                <c:pt idx="141">
                  <c:v>0.1477911996860144</c:v>
                </c:pt>
                <c:pt idx="142">
                  <c:v>0.14822729056735429</c:v>
                </c:pt>
                <c:pt idx="143">
                  <c:v>0.1225415376564476</c:v>
                </c:pt>
                <c:pt idx="144">
                  <c:v>9.4326457633770788E-2</c:v>
                </c:pt>
                <c:pt idx="145">
                  <c:v>6.8858750163534044E-2</c:v>
                </c:pt>
                <c:pt idx="146">
                  <c:v>6.318956870611836E-2</c:v>
                </c:pt>
                <c:pt idx="147">
                  <c:v>7.3655749858270392E-2</c:v>
                </c:pt>
                <c:pt idx="148">
                  <c:v>6.3494832323056194E-2</c:v>
                </c:pt>
                <c:pt idx="149">
                  <c:v>7.2958004448126834E-2</c:v>
                </c:pt>
                <c:pt idx="150">
                  <c:v>8.1374558457982582E-2</c:v>
                </c:pt>
                <c:pt idx="151">
                  <c:v>9.0619685142383721E-2</c:v>
                </c:pt>
                <c:pt idx="152">
                  <c:v>8.4819676420565981E-2</c:v>
                </c:pt>
                <c:pt idx="153">
                  <c:v>9.3803148576163231E-2</c:v>
                </c:pt>
                <c:pt idx="154">
                  <c:v>8.7872312589943657E-2</c:v>
                </c:pt>
                <c:pt idx="155">
                  <c:v>9.1666303257598836E-2</c:v>
                </c:pt>
                <c:pt idx="156">
                  <c:v>0.12912650996467678</c:v>
                </c:pt>
                <c:pt idx="157">
                  <c:v>0.15987091709912349</c:v>
                </c:pt>
                <c:pt idx="158">
                  <c:v>0.1418167546116611</c:v>
                </c:pt>
                <c:pt idx="159">
                  <c:v>0.15546639919759264</c:v>
                </c:pt>
                <c:pt idx="160">
                  <c:v>0.15354759931969819</c:v>
                </c:pt>
                <c:pt idx="161">
                  <c:v>0.15908595351271204</c:v>
                </c:pt>
                <c:pt idx="162">
                  <c:v>0.14648292704199539</c:v>
                </c:pt>
                <c:pt idx="163">
                  <c:v>0.12576861017836105</c:v>
                </c:pt>
                <c:pt idx="164">
                  <c:v>0.11412498364659185</c:v>
                </c:pt>
                <c:pt idx="165">
                  <c:v>0.11822423793118486</c:v>
                </c:pt>
                <c:pt idx="166">
                  <c:v>0.13379268239501108</c:v>
                </c:pt>
                <c:pt idx="167">
                  <c:v>0.14133705464218749</c:v>
                </c:pt>
                <c:pt idx="168">
                  <c:v>0.1347520823339583</c:v>
                </c:pt>
                <c:pt idx="169">
                  <c:v>0.11839867428372064</c:v>
                </c:pt>
                <c:pt idx="170">
                  <c:v>8.4906894596833871E-2</c:v>
                </c:pt>
                <c:pt idx="171">
                  <c:v>9.4195630369368955E-2</c:v>
                </c:pt>
                <c:pt idx="172">
                  <c:v>0.11203174741616162</c:v>
                </c:pt>
                <c:pt idx="173">
                  <c:v>0.12127687410056254</c:v>
                </c:pt>
                <c:pt idx="174">
                  <c:v>0.14155510008285721</c:v>
                </c:pt>
                <c:pt idx="175">
                  <c:v>0.14709345427587106</c:v>
                </c:pt>
                <c:pt idx="176">
                  <c:v>0.14478217260477089</c:v>
                </c:pt>
                <c:pt idx="177">
                  <c:v>0.15136714491299985</c:v>
                </c:pt>
                <c:pt idx="178">
                  <c:v>0.15110549038419596</c:v>
                </c:pt>
                <c:pt idx="179">
                  <c:v>0.15337316296716241</c:v>
                </c:pt>
                <c:pt idx="180">
                  <c:v>0.15655662640094192</c:v>
                </c:pt>
                <c:pt idx="181">
                  <c:v>0.1559897082552002</c:v>
                </c:pt>
                <c:pt idx="182">
                  <c:v>0.1561641446077362</c:v>
                </c:pt>
                <c:pt idx="183">
                  <c:v>0.15276263573328674</c:v>
                </c:pt>
                <c:pt idx="184">
                  <c:v>0.16122279883127622</c:v>
                </c:pt>
                <c:pt idx="185">
                  <c:v>0.14818368147922034</c:v>
                </c:pt>
                <c:pt idx="186">
                  <c:v>0.14077013649644576</c:v>
                </c:pt>
                <c:pt idx="187">
                  <c:v>0.13353102786620741</c:v>
                </c:pt>
                <c:pt idx="188">
                  <c:v>0.14613405433692384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824-4308-81A2-DFC5899E2BD3}"/>
            </c:ext>
          </c:extLst>
        </c:ser>
        <c:ser>
          <c:idx val="11"/>
          <c:order val="11"/>
          <c:tx>
            <c:v>MRK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89"/>
                <c:pt idx="0">
                  <c:v>0</c:v>
                </c:pt>
                <c:pt idx="1">
                  <c:v>9.3001409112258848E-3</c:v>
                </c:pt>
                <c:pt idx="2">
                  <c:v>2.2733677782996731E-2</c:v>
                </c:pt>
                <c:pt idx="3">
                  <c:v>2.0197275716298702E-2</c:v>
                </c:pt>
                <c:pt idx="4">
                  <c:v>4.2649131047439948E-2</c:v>
                </c:pt>
                <c:pt idx="5">
                  <c:v>3.8327853452325034E-2</c:v>
                </c:pt>
                <c:pt idx="6">
                  <c:v>2.5739783936120197E-2</c:v>
                </c:pt>
                <c:pt idx="7">
                  <c:v>1.700328792860506E-2</c:v>
                </c:pt>
                <c:pt idx="8">
                  <c:v>4.2837012682010345E-2</c:v>
                </c:pt>
                <c:pt idx="9">
                  <c:v>4.2461249412869773E-2</c:v>
                </c:pt>
                <c:pt idx="10">
                  <c:v>2.2357914513856159E-2</c:v>
                </c:pt>
                <c:pt idx="11">
                  <c:v>2.8182245185533139E-2</c:v>
                </c:pt>
                <c:pt idx="12">
                  <c:v>4.3776420854861442E-2</c:v>
                </c:pt>
                <c:pt idx="13">
                  <c:v>2.564584311883511E-2</c:v>
                </c:pt>
                <c:pt idx="14">
                  <c:v>1.6251761390324138E-2</c:v>
                </c:pt>
                <c:pt idx="15">
                  <c:v>8.9243776420855347E-3</c:v>
                </c:pt>
                <c:pt idx="16">
                  <c:v>1.3809300140911196E-2</c:v>
                </c:pt>
                <c:pt idx="17">
                  <c:v>4.2273367778300486E-3</c:v>
                </c:pt>
                <c:pt idx="18">
                  <c:v>1.775481446688576E-2</c:v>
                </c:pt>
                <c:pt idx="19">
                  <c:v>3.5885392202912092E-2</c:v>
                </c:pt>
                <c:pt idx="20">
                  <c:v>6.5007045561296328E-2</c:v>
                </c:pt>
                <c:pt idx="21">
                  <c:v>8.8210427430718719E-2</c:v>
                </c:pt>
                <c:pt idx="22">
                  <c:v>0.11160169093471106</c:v>
                </c:pt>
                <c:pt idx="23">
                  <c:v>0.12494128698919682</c:v>
                </c:pt>
                <c:pt idx="24">
                  <c:v>0.14542038515735101</c:v>
                </c:pt>
                <c:pt idx="25">
                  <c:v>0.10521371535932356</c:v>
                </c:pt>
                <c:pt idx="26">
                  <c:v>0.10051667449506807</c:v>
                </c:pt>
                <c:pt idx="27">
                  <c:v>0.12080789102865186</c:v>
                </c:pt>
                <c:pt idx="28">
                  <c:v>0.12015030530765602</c:v>
                </c:pt>
                <c:pt idx="29">
                  <c:v>0.14053546265852512</c:v>
                </c:pt>
                <c:pt idx="30">
                  <c:v>0.14203851573508675</c:v>
                </c:pt>
                <c:pt idx="31">
                  <c:v>0.14288398309065276</c:v>
                </c:pt>
                <c:pt idx="32">
                  <c:v>0.14476279943635495</c:v>
                </c:pt>
                <c:pt idx="33">
                  <c:v>0.14852043212775956</c:v>
                </c:pt>
                <c:pt idx="34">
                  <c:v>0.16317519962423654</c:v>
                </c:pt>
                <c:pt idx="35">
                  <c:v>0.16420854861437295</c:v>
                </c:pt>
                <c:pt idx="36">
                  <c:v>0.15039924847346153</c:v>
                </c:pt>
                <c:pt idx="37">
                  <c:v>0.12071395021136677</c:v>
                </c:pt>
                <c:pt idx="38">
                  <c:v>0.16317519962423654</c:v>
                </c:pt>
                <c:pt idx="39">
                  <c:v>0.14053546265852512</c:v>
                </c:pt>
                <c:pt idx="40">
                  <c:v>0.12569281352747774</c:v>
                </c:pt>
                <c:pt idx="41">
                  <c:v>0.12992015030530757</c:v>
                </c:pt>
                <c:pt idx="42">
                  <c:v>9.0371066228276176E-2</c:v>
                </c:pt>
                <c:pt idx="43">
                  <c:v>8.7740723344293059E-2</c:v>
                </c:pt>
                <c:pt idx="44">
                  <c:v>0.10014091122592772</c:v>
                </c:pt>
                <c:pt idx="45">
                  <c:v>9.9953029591357545E-2</c:v>
                </c:pt>
                <c:pt idx="46">
                  <c:v>9.1686237670267623E-2</c:v>
                </c:pt>
                <c:pt idx="47">
                  <c:v>8.8868013151714331E-2</c:v>
                </c:pt>
                <c:pt idx="48">
                  <c:v>8.604978863316104E-2</c:v>
                </c:pt>
                <c:pt idx="49">
                  <c:v>8.4358853922029242E-2</c:v>
                </c:pt>
                <c:pt idx="50">
                  <c:v>8.8492249882573981E-2</c:v>
                </c:pt>
                <c:pt idx="51">
                  <c:v>7.5622357914513882E-2</c:v>
                </c:pt>
                <c:pt idx="52">
                  <c:v>7.2804133395960591E-2</c:v>
                </c:pt>
                <c:pt idx="53">
                  <c:v>7.2616251761390416E-2</c:v>
                </c:pt>
                <c:pt idx="54">
                  <c:v>8.6707374354156874E-2</c:v>
                </c:pt>
                <c:pt idx="55">
                  <c:v>9.3189290746829467E-2</c:v>
                </c:pt>
                <c:pt idx="56">
                  <c:v>0.12137153593236261</c:v>
                </c:pt>
                <c:pt idx="57">
                  <c:v>0.11723813997181787</c:v>
                </c:pt>
                <c:pt idx="58">
                  <c:v>0.12381399718177533</c:v>
                </c:pt>
                <c:pt idx="59">
                  <c:v>0.1094410521371536</c:v>
                </c:pt>
                <c:pt idx="60">
                  <c:v>0.13001409112259288</c:v>
                </c:pt>
                <c:pt idx="61">
                  <c:v>0.1351808360732738</c:v>
                </c:pt>
                <c:pt idx="62">
                  <c:v>0.13546265852512929</c:v>
                </c:pt>
                <c:pt idx="63">
                  <c:v>0.13527477689055889</c:v>
                </c:pt>
                <c:pt idx="64">
                  <c:v>0.1205260685767966</c:v>
                </c:pt>
                <c:pt idx="65">
                  <c:v>0.15716298731798961</c:v>
                </c:pt>
                <c:pt idx="66">
                  <c:v>0.15246594645373412</c:v>
                </c:pt>
                <c:pt idx="67">
                  <c:v>0.14062940347581021</c:v>
                </c:pt>
                <c:pt idx="68">
                  <c:v>0.12869891968060121</c:v>
                </c:pt>
                <c:pt idx="69">
                  <c:v>0.1269140441521841</c:v>
                </c:pt>
                <c:pt idx="70">
                  <c:v>0.10756223579145141</c:v>
                </c:pt>
                <c:pt idx="71">
                  <c:v>8.4640676373884283E-2</c:v>
                </c:pt>
                <c:pt idx="72">
                  <c:v>0.11855331141380931</c:v>
                </c:pt>
                <c:pt idx="73">
                  <c:v>0.10004697040864241</c:v>
                </c:pt>
                <c:pt idx="74">
                  <c:v>5.7397839361202463E-2</c:v>
                </c:pt>
                <c:pt idx="75">
                  <c:v>6.0497886331611017E-2</c:v>
                </c:pt>
                <c:pt idx="76">
                  <c:v>7.6749647721935155E-2</c:v>
                </c:pt>
                <c:pt idx="77">
                  <c:v>5.1197745420385132E-2</c:v>
                </c:pt>
                <c:pt idx="78">
                  <c:v>3.5509628933771742E-2</c:v>
                </c:pt>
                <c:pt idx="79">
                  <c:v>3.3630812588069547E-2</c:v>
                </c:pt>
                <c:pt idx="80">
                  <c:v>4.2273367778299598E-2</c:v>
                </c:pt>
                <c:pt idx="81">
                  <c:v>2.564584311883511E-2</c:v>
                </c:pt>
                <c:pt idx="82">
                  <c:v>5.3640206669798074E-2</c:v>
                </c:pt>
                <c:pt idx="83">
                  <c:v>6.2564584311883387E-2</c:v>
                </c:pt>
                <c:pt idx="84">
                  <c:v>6.2940347581023959E-2</c:v>
                </c:pt>
                <c:pt idx="85">
                  <c:v>6.6791921089713435E-2</c:v>
                </c:pt>
                <c:pt idx="86">
                  <c:v>5.4955378111789521E-2</c:v>
                </c:pt>
                <c:pt idx="87">
                  <c:v>4.6312822921559249E-2</c:v>
                </c:pt>
                <c:pt idx="88">
                  <c:v>4.5373414748708374E-2</c:v>
                </c:pt>
                <c:pt idx="89">
                  <c:v>5.5612963832785356E-2</c:v>
                </c:pt>
                <c:pt idx="90">
                  <c:v>6.575857209957725E-2</c:v>
                </c:pt>
                <c:pt idx="91">
                  <c:v>6.5382808830436678E-2</c:v>
                </c:pt>
                <c:pt idx="92">
                  <c:v>4.6312822921559249E-2</c:v>
                </c:pt>
                <c:pt idx="93">
                  <c:v>5.7397839361202463E-2</c:v>
                </c:pt>
                <c:pt idx="94">
                  <c:v>7.3179896665100941E-2</c:v>
                </c:pt>
                <c:pt idx="95">
                  <c:v>6.1531235321747202E-2</c:v>
                </c:pt>
                <c:pt idx="96">
                  <c:v>8.8586190699859069E-2</c:v>
                </c:pt>
                <c:pt idx="97">
                  <c:v>0.1499295443870361</c:v>
                </c:pt>
                <c:pt idx="98">
                  <c:v>0.12465946453734134</c:v>
                </c:pt>
                <c:pt idx="99">
                  <c:v>0.12954438703616722</c:v>
                </c:pt>
                <c:pt idx="100">
                  <c:v>0.12625645843118827</c:v>
                </c:pt>
                <c:pt idx="101">
                  <c:v>0.11526538280883036</c:v>
                </c:pt>
                <c:pt idx="102">
                  <c:v>8.1916392672616301E-2</c:v>
                </c:pt>
                <c:pt idx="103">
                  <c:v>8.6425551902301612E-2</c:v>
                </c:pt>
                <c:pt idx="104">
                  <c:v>7.7501174260216077E-2</c:v>
                </c:pt>
                <c:pt idx="105">
                  <c:v>0.12973226867073739</c:v>
                </c:pt>
                <c:pt idx="106">
                  <c:v>0.13471113198684836</c:v>
                </c:pt>
                <c:pt idx="107">
                  <c:v>0.12278064819163914</c:v>
                </c:pt>
                <c:pt idx="108">
                  <c:v>0.12353217472992006</c:v>
                </c:pt>
                <c:pt idx="109">
                  <c:v>0.11874119304837949</c:v>
                </c:pt>
                <c:pt idx="110">
                  <c:v>0.13442930953499288</c:v>
                </c:pt>
                <c:pt idx="111">
                  <c:v>0.11836542977923892</c:v>
                </c:pt>
                <c:pt idx="112">
                  <c:v>7.9379990605918271E-2</c:v>
                </c:pt>
                <c:pt idx="113">
                  <c:v>8.1916392672616301E-2</c:v>
                </c:pt>
                <c:pt idx="114">
                  <c:v>8.4452794739314108E-2</c:v>
                </c:pt>
                <c:pt idx="115">
                  <c:v>6.9704086425551814E-2</c:v>
                </c:pt>
                <c:pt idx="116">
                  <c:v>8.482855800845468E-2</c:v>
                </c:pt>
                <c:pt idx="117">
                  <c:v>0.12353217472992006</c:v>
                </c:pt>
                <c:pt idx="118">
                  <c:v>0.13292625645843104</c:v>
                </c:pt>
                <c:pt idx="119">
                  <c:v>0.17848755284170981</c:v>
                </c:pt>
                <c:pt idx="120">
                  <c:v>0.20864255519023001</c:v>
                </c:pt>
                <c:pt idx="121">
                  <c:v>0.21540629403475808</c:v>
                </c:pt>
                <c:pt idx="122">
                  <c:v>0.20713950211366838</c:v>
                </c:pt>
                <c:pt idx="123">
                  <c:v>0.17773602630342888</c:v>
                </c:pt>
                <c:pt idx="124">
                  <c:v>0.2170972287458901</c:v>
                </c:pt>
                <c:pt idx="125">
                  <c:v>0.19098168154062933</c:v>
                </c:pt>
                <c:pt idx="126">
                  <c:v>0.21052137153593242</c:v>
                </c:pt>
                <c:pt idx="127">
                  <c:v>0.18356035697510564</c:v>
                </c:pt>
                <c:pt idx="128">
                  <c:v>0.17491780178487537</c:v>
                </c:pt>
                <c:pt idx="129">
                  <c:v>0.16054485674025365</c:v>
                </c:pt>
                <c:pt idx="130">
                  <c:v>0.16514795678722405</c:v>
                </c:pt>
                <c:pt idx="131">
                  <c:v>0.13461719116956306</c:v>
                </c:pt>
                <c:pt idx="132">
                  <c:v>0.16120244246124948</c:v>
                </c:pt>
                <c:pt idx="133">
                  <c:v>0.19896665100986377</c:v>
                </c:pt>
                <c:pt idx="134">
                  <c:v>0.19774542038515741</c:v>
                </c:pt>
                <c:pt idx="135">
                  <c:v>0.16862376702677317</c:v>
                </c:pt>
                <c:pt idx="136">
                  <c:v>0.18609675904180367</c:v>
                </c:pt>
                <c:pt idx="137">
                  <c:v>0.19746359793330193</c:v>
                </c:pt>
                <c:pt idx="138">
                  <c:v>0.22573978393612015</c:v>
                </c:pt>
                <c:pt idx="139">
                  <c:v>0.23128229215594165</c:v>
                </c:pt>
                <c:pt idx="140">
                  <c:v>0.22837012682010327</c:v>
                </c:pt>
                <c:pt idx="141">
                  <c:v>0.23832785345232499</c:v>
                </c:pt>
                <c:pt idx="142">
                  <c:v>0.2246124941286991</c:v>
                </c:pt>
                <c:pt idx="143">
                  <c:v>0.21925786754344756</c:v>
                </c:pt>
                <c:pt idx="144">
                  <c:v>0.22310944105213704</c:v>
                </c:pt>
                <c:pt idx="145">
                  <c:v>0.20028182245185522</c:v>
                </c:pt>
                <c:pt idx="146">
                  <c:v>0.2024424612494129</c:v>
                </c:pt>
                <c:pt idx="147">
                  <c:v>0.20554250821982167</c:v>
                </c:pt>
                <c:pt idx="148">
                  <c:v>0.20591827148896202</c:v>
                </c:pt>
                <c:pt idx="149">
                  <c:v>0.20789102865194931</c:v>
                </c:pt>
                <c:pt idx="150">
                  <c:v>0.22987317989666489</c:v>
                </c:pt>
                <c:pt idx="151">
                  <c:v>0.22517613903240941</c:v>
                </c:pt>
                <c:pt idx="152">
                  <c:v>0.24866134335368706</c:v>
                </c:pt>
                <c:pt idx="153">
                  <c:v>0.27336777829967129</c:v>
                </c:pt>
                <c:pt idx="154">
                  <c:v>0.2760920620009395</c:v>
                </c:pt>
                <c:pt idx="155">
                  <c:v>0.27731329262564586</c:v>
                </c:pt>
                <c:pt idx="156">
                  <c:v>0.26979802724283686</c:v>
                </c:pt>
                <c:pt idx="157">
                  <c:v>0.42977923907937976</c:v>
                </c:pt>
                <c:pt idx="158">
                  <c:v>0.39962423673085956</c:v>
                </c:pt>
                <c:pt idx="159">
                  <c:v>0.43306716768435893</c:v>
                </c:pt>
                <c:pt idx="160">
                  <c:v>0.41531235321747295</c:v>
                </c:pt>
                <c:pt idx="161">
                  <c:v>0.46970408642555173</c:v>
                </c:pt>
                <c:pt idx="162">
                  <c:v>0.43823391263503986</c:v>
                </c:pt>
                <c:pt idx="163">
                  <c:v>0.40479098168154048</c:v>
                </c:pt>
                <c:pt idx="164">
                  <c:v>0.39361202442461241</c:v>
                </c:pt>
                <c:pt idx="165">
                  <c:v>0.38806951620479091</c:v>
                </c:pt>
                <c:pt idx="166">
                  <c:v>0.40779708783466417</c:v>
                </c:pt>
                <c:pt idx="167">
                  <c:v>0.42451855331141375</c:v>
                </c:pt>
                <c:pt idx="168">
                  <c:v>0.43109441052137143</c:v>
                </c:pt>
                <c:pt idx="169">
                  <c:v>0.4122123062470644</c:v>
                </c:pt>
                <c:pt idx="170">
                  <c:v>0.39464537341474881</c:v>
                </c:pt>
                <c:pt idx="171">
                  <c:v>0.38590887740723345</c:v>
                </c:pt>
                <c:pt idx="172">
                  <c:v>0.35941756693283233</c:v>
                </c:pt>
                <c:pt idx="173">
                  <c:v>0.35209018318459373</c:v>
                </c:pt>
                <c:pt idx="174">
                  <c:v>0.36073273837482378</c:v>
                </c:pt>
                <c:pt idx="175">
                  <c:v>0.35077501174260206</c:v>
                </c:pt>
                <c:pt idx="176">
                  <c:v>0.36129638327853453</c:v>
                </c:pt>
                <c:pt idx="177">
                  <c:v>0.38233912635039924</c:v>
                </c:pt>
                <c:pt idx="178">
                  <c:v>0.37970878346641612</c:v>
                </c:pt>
                <c:pt idx="179">
                  <c:v>0.40441521841240013</c:v>
                </c:pt>
                <c:pt idx="180">
                  <c:v>0.41766087364960058</c:v>
                </c:pt>
                <c:pt idx="181">
                  <c:v>0.3910756223579146</c:v>
                </c:pt>
                <c:pt idx="182">
                  <c:v>0.39013621418506328</c:v>
                </c:pt>
                <c:pt idx="183">
                  <c:v>0.39765147956787228</c:v>
                </c:pt>
                <c:pt idx="184">
                  <c:v>0.39680601221230627</c:v>
                </c:pt>
                <c:pt idx="185">
                  <c:v>0.40234852043212777</c:v>
                </c:pt>
                <c:pt idx="186">
                  <c:v>0.36505401596993892</c:v>
                </c:pt>
                <c:pt idx="187">
                  <c:v>0.35096289337717246</c:v>
                </c:pt>
                <c:pt idx="188">
                  <c:v>0.35556599342414286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824-4308-81A2-DFC5899E2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900576"/>
        <c:axId val="797814352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1.7756604590732028E-2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A824-4308-81A2-DFC5899E2BD3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+1.8%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1.7756598590732028E-2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A824-4308-81A2-DFC5899E2BD3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-0.14109757766525255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A824-4308-81A2-DFC5899E2BD3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-14.1%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-0.14109758466525255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A824-4308-81A2-DFC5899E2BD3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-5.2387668748740679E-2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A824-4308-81A2-DFC5899E2BD3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-5.2%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-5.2387676748740682E-2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A824-4308-81A2-DFC5899E2BD3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1.5549076773566428E-2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824-4308-81A2-DFC5899E2BD3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-1.2924820386721689E-2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A824-4308-81A2-DFC5899E2BD3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-0.17229939871449296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A824-4308-81A2-DFC5899E2BD3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-0.17229940871449295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A824-4308-81A2-DFC5899E2BD3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0.18263157894736826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A824-4308-81A2-DFC5899E2BD3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+18.3%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0.18263156794736826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A824-4308-81A2-DFC5899E2BD3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0.1040508339952344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A824-4308-81A2-DFC5899E2BD3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+10.4%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8.477120038201641E-2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A824-4308-81A2-DFC5899E2BD3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5.7841830500944047E-2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A824-4308-81A2-DFC5899E2BD3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+5.8%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5.4089781404562692E-2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A824-4308-81A2-DFC5899E2BD3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0.14384586606808814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A824-4308-81A2-DFC5899E2BD3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+14.4%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0.11545261935947013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A824-4308-81A2-DFC5899E2BD3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0.23477212442729667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A824-4308-81A2-DFC5899E2BD3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+23.5%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0.23477210942729668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A824-4308-81A2-DFC5899E2BD3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0.14613405433692384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A824-4308-81A2-DFC5899E2BD3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0.14613403833692384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A824-4308-81A2-DFC5899E2BD3}"/>
            </c:ext>
          </c:extLst>
        </c:ser>
        <c:ser>
          <c:idx val="34"/>
          <c:order val="34"/>
          <c:tx>
            <c:v>MRK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0.35556599342414286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A824-4308-81A2-DFC5899E2BD3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MRK +35.6%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A824-4308-81A2-DFC5899E2BD3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0.35556598842414283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A824-4308-81A2-DFC5899E2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6900576"/>
        <c:axId val="797814352"/>
      </c:scatterChart>
      <c:dateAx>
        <c:axId val="916900576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797814352"/>
        <c:crosses val="autoZero"/>
        <c:auto val="0"/>
        <c:lblOffset val="100"/>
        <c:baseTimeUnit val="days"/>
      </c:dateAx>
      <c:valAx>
        <c:axId val="797814352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91690057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MRK Price Chart">
          <a:extLst>
            <a:ext uri="{FF2B5EF4-FFF2-40B4-BE49-F238E27FC236}">
              <a16:creationId xmlns:a16="http://schemas.microsoft.com/office/drawing/2014/main" id="{D82AAF46-030A-5634-FB02-5A05435EB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96D8DE97-0170-0D3A-D0DF-C254E11035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F958D-B3C1-4851-BDE6-4F32845470FC}">
  <dimension ref="A1:W1258"/>
  <sheetViews>
    <sheetView workbookViewId="0">
      <pane ySplit="4" topLeftCell="A5" activePane="bottomLeft" state="frozenSplit"/>
      <selection pane="bottomLeft" activeCell="T21" sqref="T21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46023</v>
      </c>
      <c r="J4" s="7" t="s">
        <v>11</v>
      </c>
    </row>
    <row r="5" spans="1:10" ht="15" x14ac:dyDescent="0.25">
      <c r="A5" s="4">
        <v>44474</v>
      </c>
      <c r="B5" s="5">
        <v>82.78</v>
      </c>
      <c r="C5" s="5">
        <v>83.39</v>
      </c>
      <c r="D5" s="5">
        <v>81.3</v>
      </c>
      <c r="E5" s="5">
        <v>81.599999999999994</v>
      </c>
      <c r="F5" s="6">
        <v>28977810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81.5</v>
      </c>
      <c r="C6" s="5">
        <v>81.680000000000007</v>
      </c>
      <c r="D6" s="5">
        <v>80.150000000000006</v>
      </c>
      <c r="E6" s="5">
        <v>80.66</v>
      </c>
      <c r="F6" s="6">
        <v>17607980</v>
      </c>
    </row>
    <row r="7" spans="1:10" ht="15" x14ac:dyDescent="0.25">
      <c r="A7" s="4">
        <v>44476</v>
      </c>
      <c r="B7" s="5">
        <v>81.540000000000006</v>
      </c>
      <c r="C7" s="5">
        <v>82.669899999999998</v>
      </c>
      <c r="D7" s="5">
        <v>81.03</v>
      </c>
      <c r="E7" s="5">
        <v>81.94</v>
      </c>
      <c r="F7" s="6">
        <v>14190490</v>
      </c>
      <c r="H7" s="8" t="s">
        <v>13</v>
      </c>
    </row>
    <row r="8" spans="1:10" x14ac:dyDescent="0.2">
      <c r="A8" s="4">
        <v>44477</v>
      </c>
      <c r="B8" s="5">
        <v>81.67</v>
      </c>
      <c r="C8" s="5">
        <v>81.8</v>
      </c>
      <c r="D8" s="5">
        <v>80.525000000000006</v>
      </c>
      <c r="E8" s="5">
        <v>80.63</v>
      </c>
      <c r="F8" s="6">
        <v>12121050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81.635000000000005</v>
      </c>
      <c r="C9" s="5">
        <v>81.635000000000005</v>
      </c>
      <c r="D9" s="5">
        <v>79.87</v>
      </c>
      <c r="E9" s="5">
        <v>79.930000000000007</v>
      </c>
      <c r="F9" s="6">
        <v>11279700</v>
      </c>
      <c r="H9" s="10" t="s">
        <v>15</v>
      </c>
      <c r="I9" s="12">
        <f>COUNTIF(PxDates,"&lt;"&amp;I4)+1</f>
        <v>1066</v>
      </c>
    </row>
    <row r="10" spans="1:10" x14ac:dyDescent="0.2">
      <c r="A10" s="4">
        <v>44481</v>
      </c>
      <c r="B10" s="5">
        <v>80.180000000000007</v>
      </c>
      <c r="C10" s="5">
        <v>80.180000000000007</v>
      </c>
      <c r="D10" s="5">
        <v>79.245000000000005</v>
      </c>
      <c r="E10" s="5">
        <v>79.59</v>
      </c>
      <c r="F10" s="6">
        <v>10945000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79.59</v>
      </c>
      <c r="C11" s="5">
        <v>79.660499999999999</v>
      </c>
      <c r="D11" s="5">
        <v>78.78</v>
      </c>
      <c r="E11" s="5">
        <v>78.95</v>
      </c>
      <c r="F11" s="6">
        <v>9466859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78.97</v>
      </c>
      <c r="C12" s="5">
        <v>79.67</v>
      </c>
      <c r="D12" s="5">
        <v>77.98</v>
      </c>
      <c r="E12" s="5">
        <v>78.33</v>
      </c>
      <c r="F12" s="6">
        <v>14607940</v>
      </c>
      <c r="H12" s="10" t="s">
        <v>18</v>
      </c>
      <c r="I12" s="11">
        <f ca="1">IF($I$11="OK",INDEX(PxDates,I9),"")</f>
        <v>46024</v>
      </c>
    </row>
    <row r="13" spans="1:10" x14ac:dyDescent="0.2">
      <c r="A13" s="4">
        <v>44484</v>
      </c>
      <c r="B13" s="5">
        <v>78.2</v>
      </c>
      <c r="C13" s="5">
        <v>79.06</v>
      </c>
      <c r="D13" s="5">
        <v>77.98</v>
      </c>
      <c r="E13" s="5">
        <v>78.33</v>
      </c>
      <c r="F13" s="6">
        <v>12866850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78.739999999999995</v>
      </c>
      <c r="C14" s="5">
        <v>78.739999999999995</v>
      </c>
      <c r="D14" s="5">
        <v>77.11</v>
      </c>
      <c r="E14" s="5">
        <v>77.150000000000006</v>
      </c>
      <c r="F14" s="6">
        <v>13075460</v>
      </c>
      <c r="H14" s="10" t="s">
        <v>20</v>
      </c>
      <c r="I14" s="13">
        <f ca="1">IF($I$11="OK",INDEX(PxClose,I9),"")</f>
        <v>106.45</v>
      </c>
    </row>
    <row r="15" spans="1:10" x14ac:dyDescent="0.2">
      <c r="A15" s="4">
        <v>44488</v>
      </c>
      <c r="B15" s="5">
        <v>78.73</v>
      </c>
      <c r="C15" s="5">
        <v>79.52</v>
      </c>
      <c r="D15" s="5">
        <v>78.11</v>
      </c>
      <c r="E15" s="5">
        <v>79.489999999999995</v>
      </c>
      <c r="F15" s="6">
        <v>15577150</v>
      </c>
      <c r="H15" s="10" t="s">
        <v>21</v>
      </c>
      <c r="I15" s="13">
        <f ca="1">IF($I$11="OK",INDEX(PxClose,I10),"")</f>
        <v>144.30000000000001</v>
      </c>
    </row>
    <row r="16" spans="1:10" x14ac:dyDescent="0.2">
      <c r="A16" s="4">
        <v>44489</v>
      </c>
      <c r="B16" s="5">
        <v>79.319999999999993</v>
      </c>
      <c r="C16" s="5">
        <v>81.25</v>
      </c>
      <c r="D16" s="5">
        <v>79.31</v>
      </c>
      <c r="E16" s="5">
        <v>81.069999999999993</v>
      </c>
      <c r="F16" s="6">
        <v>11465510</v>
      </c>
      <c r="H16" s="14" t="s">
        <v>22</v>
      </c>
      <c r="I16" s="15">
        <f ca="1">IF($I$11="OK",I15/I14-1,"")</f>
        <v>0.35556599342414286</v>
      </c>
    </row>
    <row r="17" spans="1:8" x14ac:dyDescent="0.2">
      <c r="A17" s="4">
        <v>44490</v>
      </c>
      <c r="B17" s="5">
        <v>81.11</v>
      </c>
      <c r="C17" s="5">
        <v>81.260999999999996</v>
      </c>
      <c r="D17" s="5">
        <v>80.28</v>
      </c>
      <c r="E17" s="5">
        <v>81.17</v>
      </c>
      <c r="F17" s="6">
        <v>9893617</v>
      </c>
    </row>
    <row r="18" spans="1:8" ht="15.75" x14ac:dyDescent="0.25">
      <c r="A18" s="4">
        <v>44491</v>
      </c>
      <c r="B18" s="5">
        <v>81.150000000000006</v>
      </c>
      <c r="C18" s="5">
        <v>81.48</v>
      </c>
      <c r="D18" s="5">
        <v>80.88</v>
      </c>
      <c r="E18" s="5">
        <v>81.150000000000006</v>
      </c>
      <c r="F18" s="6">
        <v>7543598</v>
      </c>
      <c r="H18" s="1" t="str">
        <f ca="1">IF($I$11&lt;&gt;"OK",$I$11,"MRK "&amp;IF(I16&gt;=0,"rose ","fell ")&amp;TEXT(ABS(I16),"0.0%")&amp;" from "&amp;TEXT(I14,"$#,##0.00")&amp;" on "&amp;TEXT(I12,"mmm d, yyyy")&amp;" to "&amp;TEXT(I15,"$#,##0.00")&amp;" on "&amp;TEXT(I13,"mmm d, yyyy")&amp;".")</f>
        <v>MRK rose 35.6% from $106.45 on Jan 2, 2026 to $144.30 on Oct 2, 2026.</v>
      </c>
    </row>
    <row r="19" spans="1:8" x14ac:dyDescent="0.2">
      <c r="A19" s="4">
        <v>44494</v>
      </c>
      <c r="B19" s="5">
        <v>81.03</v>
      </c>
      <c r="C19" s="5">
        <v>81.724999999999994</v>
      </c>
      <c r="D19" s="5">
        <v>79.95</v>
      </c>
      <c r="E19" s="5">
        <v>81.66</v>
      </c>
      <c r="F19" s="6">
        <v>9365857</v>
      </c>
    </row>
    <row r="20" spans="1:8" x14ac:dyDescent="0.2">
      <c r="A20" s="4">
        <v>44495</v>
      </c>
      <c r="B20" s="5">
        <v>81.900000000000006</v>
      </c>
      <c r="C20" s="5">
        <v>82.36</v>
      </c>
      <c r="D20" s="5">
        <v>81.709999999999994</v>
      </c>
      <c r="E20" s="5">
        <v>82.25</v>
      </c>
      <c r="F20" s="6">
        <v>9352548</v>
      </c>
    </row>
    <row r="21" spans="1:8" x14ac:dyDescent="0.2">
      <c r="A21" s="4">
        <v>44496</v>
      </c>
      <c r="B21" s="5">
        <v>82.48</v>
      </c>
      <c r="C21" s="5">
        <v>82.48</v>
      </c>
      <c r="D21" s="5">
        <v>81.3</v>
      </c>
      <c r="E21" s="5">
        <v>81.540000000000006</v>
      </c>
      <c r="F21" s="6">
        <v>8465377</v>
      </c>
    </row>
    <row r="22" spans="1:8" x14ac:dyDescent="0.2">
      <c r="A22" s="4">
        <v>44497</v>
      </c>
      <c r="B22" s="5">
        <v>83.38</v>
      </c>
      <c r="C22" s="5">
        <v>86.855000000000004</v>
      </c>
      <c r="D22" s="5">
        <v>83.165000000000006</v>
      </c>
      <c r="E22" s="5">
        <v>86.55</v>
      </c>
      <c r="F22" s="6">
        <v>28854690</v>
      </c>
    </row>
    <row r="23" spans="1:8" x14ac:dyDescent="0.2">
      <c r="A23" s="4">
        <v>44498</v>
      </c>
      <c r="B23" s="5">
        <v>86.484999999999999</v>
      </c>
      <c r="C23" s="5">
        <v>88.46</v>
      </c>
      <c r="D23" s="5">
        <v>86.17</v>
      </c>
      <c r="E23" s="5">
        <v>88.05</v>
      </c>
      <c r="F23" s="6">
        <v>18678600</v>
      </c>
    </row>
    <row r="24" spans="1:8" x14ac:dyDescent="0.2">
      <c r="A24" s="4">
        <v>44501</v>
      </c>
      <c r="B24" s="5">
        <v>88.05</v>
      </c>
      <c r="C24" s="5">
        <v>88.63</v>
      </c>
      <c r="D24" s="5">
        <v>87.29</v>
      </c>
      <c r="E24" s="5">
        <v>87.84</v>
      </c>
      <c r="F24" s="6">
        <v>10943920</v>
      </c>
    </row>
    <row r="25" spans="1:8" x14ac:dyDescent="0.2">
      <c r="A25" s="4">
        <v>44502</v>
      </c>
      <c r="B25" s="5">
        <v>88.224999999999994</v>
      </c>
      <c r="C25" s="5">
        <v>90.42</v>
      </c>
      <c r="D25" s="5">
        <v>87.484200000000001</v>
      </c>
      <c r="E25" s="5">
        <v>89.02</v>
      </c>
      <c r="F25" s="6">
        <v>14671450</v>
      </c>
    </row>
    <row r="26" spans="1:8" x14ac:dyDescent="0.2">
      <c r="A26" s="4">
        <v>44503</v>
      </c>
      <c r="B26" s="5">
        <v>88.77</v>
      </c>
      <c r="C26" s="5">
        <v>89.419799999999995</v>
      </c>
      <c r="D26" s="5">
        <v>88.209000000000003</v>
      </c>
      <c r="E26" s="5">
        <v>88.68</v>
      </c>
      <c r="F26" s="6">
        <v>10883910</v>
      </c>
    </row>
    <row r="27" spans="1:8" x14ac:dyDescent="0.2">
      <c r="A27" s="4">
        <v>44504</v>
      </c>
      <c r="B27" s="5">
        <v>90.37</v>
      </c>
      <c r="C27" s="5">
        <v>91.4</v>
      </c>
      <c r="D27" s="5">
        <v>89.27</v>
      </c>
      <c r="E27" s="5">
        <v>90.54</v>
      </c>
      <c r="F27" s="6">
        <v>19519780</v>
      </c>
    </row>
    <row r="28" spans="1:8" x14ac:dyDescent="0.2">
      <c r="A28" s="4">
        <v>44505</v>
      </c>
      <c r="B28" s="5">
        <v>82.29</v>
      </c>
      <c r="C28" s="5">
        <v>84</v>
      </c>
      <c r="D28" s="5">
        <v>81.349999999999994</v>
      </c>
      <c r="E28" s="5">
        <v>81.61</v>
      </c>
      <c r="F28" s="6">
        <v>37623910</v>
      </c>
    </row>
    <row r="29" spans="1:8" x14ac:dyDescent="0.2">
      <c r="A29" s="4">
        <v>44508</v>
      </c>
      <c r="B29" s="5">
        <v>80.41</v>
      </c>
      <c r="C29" s="5">
        <v>82.88</v>
      </c>
      <c r="D29" s="5">
        <v>79.881</v>
      </c>
      <c r="E29" s="5">
        <v>82.68</v>
      </c>
      <c r="F29" s="6">
        <v>18655690</v>
      </c>
    </row>
    <row r="30" spans="1:8" x14ac:dyDescent="0.2">
      <c r="A30" s="4">
        <v>44509</v>
      </c>
      <c r="B30" s="5">
        <v>83.62</v>
      </c>
      <c r="C30" s="5">
        <v>83.71</v>
      </c>
      <c r="D30" s="5">
        <v>81.91</v>
      </c>
      <c r="E30" s="5">
        <v>82.72</v>
      </c>
      <c r="F30" s="6">
        <v>10512010</v>
      </c>
    </row>
    <row r="31" spans="1:8" x14ac:dyDescent="0.2">
      <c r="A31" s="4">
        <v>44510</v>
      </c>
      <c r="B31" s="5">
        <v>83.31</v>
      </c>
      <c r="C31" s="5">
        <v>84.02</v>
      </c>
      <c r="D31" s="5">
        <v>82.7</v>
      </c>
      <c r="E31" s="5">
        <v>84.01</v>
      </c>
      <c r="F31" s="6">
        <v>9855932</v>
      </c>
    </row>
    <row r="32" spans="1:8" x14ac:dyDescent="0.2">
      <c r="A32" s="4">
        <v>44511</v>
      </c>
      <c r="B32" s="5">
        <v>83.92</v>
      </c>
      <c r="C32" s="5">
        <v>84.26</v>
      </c>
      <c r="D32" s="5">
        <v>83.53</v>
      </c>
      <c r="E32" s="5">
        <v>84.02</v>
      </c>
      <c r="F32" s="6">
        <v>5761473</v>
      </c>
    </row>
    <row r="33" spans="1:23" x14ac:dyDescent="0.2">
      <c r="A33" s="4">
        <v>44512</v>
      </c>
      <c r="B33" s="5">
        <v>83.84</v>
      </c>
      <c r="C33" s="5">
        <v>84.194999999999993</v>
      </c>
      <c r="D33" s="5">
        <v>83.052599999999998</v>
      </c>
      <c r="E33" s="5">
        <v>84</v>
      </c>
      <c r="F33" s="6">
        <v>8206735</v>
      </c>
    </row>
    <row r="34" spans="1:23" x14ac:dyDescent="0.2">
      <c r="A34" s="4">
        <v>44515</v>
      </c>
      <c r="B34" s="5">
        <v>84.15</v>
      </c>
      <c r="C34" s="5">
        <v>84.18</v>
      </c>
      <c r="D34" s="5">
        <v>83.403800000000004</v>
      </c>
      <c r="E34" s="5">
        <v>83.69</v>
      </c>
      <c r="F34" s="6">
        <v>7108225</v>
      </c>
    </row>
    <row r="35" spans="1:23" x14ac:dyDescent="0.2">
      <c r="A35" s="4">
        <v>44516</v>
      </c>
      <c r="B35" s="5">
        <v>83.67</v>
      </c>
      <c r="C35" s="5">
        <v>84.69</v>
      </c>
      <c r="D35" s="5">
        <v>83.248000000000005</v>
      </c>
      <c r="E35" s="5">
        <v>84.11</v>
      </c>
      <c r="F35" s="6">
        <v>10565240</v>
      </c>
    </row>
    <row r="36" spans="1:23" x14ac:dyDescent="0.2">
      <c r="A36" s="4">
        <v>44517</v>
      </c>
      <c r="B36" s="5">
        <v>84.37</v>
      </c>
      <c r="C36" s="5">
        <v>84.67</v>
      </c>
      <c r="D36" s="5">
        <v>82.59</v>
      </c>
      <c r="E36" s="5">
        <v>82.6</v>
      </c>
      <c r="F36" s="6">
        <v>10286330</v>
      </c>
    </row>
    <row r="37" spans="1:23" x14ac:dyDescent="0.2">
      <c r="A37" s="4">
        <v>44518</v>
      </c>
      <c r="B37" s="5">
        <v>82.3</v>
      </c>
      <c r="C37" s="5">
        <v>83.135000000000005</v>
      </c>
      <c r="D37" s="5">
        <v>82.02</v>
      </c>
      <c r="E37" s="5">
        <v>83.05</v>
      </c>
      <c r="F37" s="6">
        <v>9834838</v>
      </c>
    </row>
    <row r="38" spans="1:23" x14ac:dyDescent="0.2">
      <c r="A38" s="4">
        <v>44519</v>
      </c>
      <c r="B38" s="5">
        <v>82.37</v>
      </c>
      <c r="C38" s="5">
        <v>82.75</v>
      </c>
      <c r="D38" s="5">
        <v>80.62</v>
      </c>
      <c r="E38" s="5">
        <v>80.7</v>
      </c>
      <c r="F38" s="6">
        <v>17584800</v>
      </c>
    </row>
    <row r="39" spans="1:23" x14ac:dyDescent="0.2">
      <c r="A39" s="4">
        <v>44522</v>
      </c>
      <c r="B39" s="5">
        <v>81</v>
      </c>
      <c r="C39" s="5">
        <v>82.07</v>
      </c>
      <c r="D39" s="5">
        <v>80.540000000000006</v>
      </c>
      <c r="E39" s="5">
        <v>81.64</v>
      </c>
      <c r="F39" s="6">
        <v>10884130</v>
      </c>
    </row>
    <row r="40" spans="1:23" x14ac:dyDescent="0.2">
      <c r="A40" s="4">
        <v>44523</v>
      </c>
      <c r="B40" s="5">
        <v>81.489999999999995</v>
      </c>
      <c r="C40" s="5">
        <v>83.59</v>
      </c>
      <c r="D40" s="5">
        <v>81.34</v>
      </c>
      <c r="E40" s="5">
        <v>82.8</v>
      </c>
      <c r="F40" s="6">
        <v>12131940</v>
      </c>
    </row>
    <row r="41" spans="1:23" x14ac:dyDescent="0.2">
      <c r="A41" s="4">
        <v>44524</v>
      </c>
      <c r="B41" s="5">
        <v>82.8</v>
      </c>
      <c r="C41" s="5">
        <v>82.9</v>
      </c>
      <c r="D41" s="5">
        <v>81.96</v>
      </c>
      <c r="E41" s="5">
        <v>82.28</v>
      </c>
      <c r="F41" s="6">
        <v>8537014</v>
      </c>
    </row>
    <row r="42" spans="1:23" x14ac:dyDescent="0.2">
      <c r="A42" s="4">
        <v>44526</v>
      </c>
      <c r="B42" s="5">
        <v>78.73</v>
      </c>
      <c r="C42" s="5">
        <v>79.930000000000007</v>
      </c>
      <c r="D42" s="5">
        <v>77.11</v>
      </c>
      <c r="E42" s="5">
        <v>79.16</v>
      </c>
      <c r="F42" s="6">
        <v>18022030</v>
      </c>
    </row>
    <row r="43" spans="1:23" x14ac:dyDescent="0.2">
      <c r="A43" s="4">
        <v>44529</v>
      </c>
      <c r="B43" s="5">
        <v>76.42</v>
      </c>
      <c r="C43" s="5">
        <v>77.5</v>
      </c>
      <c r="D43" s="5">
        <v>74</v>
      </c>
      <c r="E43" s="5">
        <v>74.89</v>
      </c>
      <c r="F43" s="6">
        <v>34192410</v>
      </c>
    </row>
    <row r="44" spans="1:23" x14ac:dyDescent="0.2">
      <c r="A44" s="4">
        <v>44530</v>
      </c>
      <c r="B44" s="5">
        <v>74.75</v>
      </c>
      <c r="C44" s="5">
        <v>75.03</v>
      </c>
      <c r="D44" s="5">
        <v>73.84</v>
      </c>
      <c r="E44" s="5">
        <v>74.91</v>
      </c>
      <c r="F44" s="6">
        <v>30179890</v>
      </c>
    </row>
    <row r="45" spans="1:23" x14ac:dyDescent="0.2">
      <c r="A45" s="4">
        <v>44531</v>
      </c>
      <c r="B45" s="5">
        <v>75.53</v>
      </c>
      <c r="C45" s="5">
        <v>76.91</v>
      </c>
      <c r="D45" s="5">
        <v>74.39</v>
      </c>
      <c r="E45" s="5">
        <v>74.44</v>
      </c>
      <c r="F45" s="6">
        <v>21442240</v>
      </c>
    </row>
    <row r="46" spans="1:23" ht="15.75" x14ac:dyDescent="0.25">
      <c r="A46" s="4">
        <v>44532</v>
      </c>
      <c r="B46" s="5">
        <v>74.38</v>
      </c>
      <c r="C46" s="5">
        <v>74.775000000000006</v>
      </c>
      <c r="D46" s="5">
        <v>73.3</v>
      </c>
      <c r="E46" s="5">
        <v>73.89</v>
      </c>
      <c r="F46" s="6">
        <v>15345280</v>
      </c>
      <c r="U46" s="1" t="s">
        <v>49</v>
      </c>
    </row>
    <row r="47" spans="1:23" x14ac:dyDescent="0.2">
      <c r="A47" s="4">
        <v>44533</v>
      </c>
      <c r="B47" s="5">
        <v>74.09</v>
      </c>
      <c r="C47" s="5">
        <v>74.25</v>
      </c>
      <c r="D47" s="5">
        <v>72.66</v>
      </c>
      <c r="E47" s="5">
        <v>73.34</v>
      </c>
      <c r="F47" s="6">
        <v>14508930</v>
      </c>
      <c r="U47" s="7" t="str">
        <f ca="1">IF($I$11="OK",TEXT($I$12,"yyyy-mm-dd")&amp;" to "&amp;TEXT($I$13,"yyyy-mm-dd"),$I$11)</f>
        <v>2026-01-02 to 2026-10-02</v>
      </c>
    </row>
    <row r="48" spans="1:23" ht="15" x14ac:dyDescent="0.25">
      <c r="A48" s="4">
        <v>44536</v>
      </c>
      <c r="B48" s="5">
        <v>73.3</v>
      </c>
      <c r="C48" s="5">
        <v>73.849999999999994</v>
      </c>
      <c r="D48" s="5">
        <v>72.8</v>
      </c>
      <c r="E48" s="5">
        <v>73.42</v>
      </c>
      <c r="F48" s="6">
        <v>13506810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72.03</v>
      </c>
      <c r="C49" s="5">
        <v>72.72</v>
      </c>
      <c r="D49" s="5">
        <v>71.5</v>
      </c>
      <c r="E49" s="5">
        <v>72.28</v>
      </c>
      <c r="F49" s="6">
        <v>17635100</v>
      </c>
      <c r="U49" s="23" t="s">
        <v>52</v>
      </c>
      <c r="V49" s="24">
        <f ca="1">IF($I$11="OK",INDEX('Peer Data'!$O$5:$O$1258,$I$10),"")</f>
        <v>0.35556599342414286</v>
      </c>
      <c r="W49" s="25">
        <f t="shared" ref="W49:W60" ca="1" si="0">IF($I$11="OK",RANK(V49,$V$49:$V$60),"")</f>
        <v>1</v>
      </c>
    </row>
    <row r="50" spans="1:23" x14ac:dyDescent="0.2">
      <c r="A50" s="4">
        <v>44538</v>
      </c>
      <c r="B50" s="5">
        <v>72.540000000000006</v>
      </c>
      <c r="C50" s="5">
        <v>73.407600000000002</v>
      </c>
      <c r="D50" s="5">
        <v>72.08</v>
      </c>
      <c r="E50" s="5">
        <v>73.209999999999994</v>
      </c>
      <c r="F50" s="6">
        <v>14331440</v>
      </c>
      <c r="U50" t="s">
        <v>53</v>
      </c>
      <c r="V50" s="26">
        <f ca="1">IF($I$11="OK",INDEX('Peer Data'!$P$5:$P$1258,$I$10),"")</f>
        <v>1.7756604590732028E-2</v>
      </c>
      <c r="W50" s="27">
        <f t="shared" ca="1" si="0"/>
        <v>8</v>
      </c>
    </row>
    <row r="51" spans="1:23" x14ac:dyDescent="0.2">
      <c r="A51" s="4">
        <v>44539</v>
      </c>
      <c r="B51" s="5">
        <v>73.44</v>
      </c>
      <c r="C51" s="5">
        <v>73.56</v>
      </c>
      <c r="D51" s="5">
        <v>72.69</v>
      </c>
      <c r="E51" s="5">
        <v>72.86</v>
      </c>
      <c r="F51" s="6">
        <v>11937970</v>
      </c>
      <c r="U51" t="s">
        <v>54</v>
      </c>
      <c r="V51" s="26">
        <f ca="1">IF($I$11="OK",INDEX('Peer Data'!$Q$5:$Q$1258,$I$10),"")</f>
        <v>-0.14109757766525255</v>
      </c>
      <c r="W51" s="27">
        <f t="shared" ca="1" si="0"/>
        <v>11</v>
      </c>
    </row>
    <row r="52" spans="1:23" x14ac:dyDescent="0.2">
      <c r="A52" s="4">
        <v>44540</v>
      </c>
      <c r="B52" s="5">
        <v>73.12</v>
      </c>
      <c r="C52" s="5">
        <v>73.23</v>
      </c>
      <c r="D52" s="5">
        <v>72.25</v>
      </c>
      <c r="E52" s="5">
        <v>72.62</v>
      </c>
      <c r="F52" s="6">
        <v>11398780</v>
      </c>
      <c r="U52" t="s">
        <v>55</v>
      </c>
      <c r="V52" s="26">
        <f ca="1">IF($I$11="OK",INDEX('Peer Data'!$R$5:$R$1258,$I$10),"")</f>
        <v>-5.2387668748740679E-2</v>
      </c>
      <c r="W52" s="27">
        <f t="shared" ca="1" si="0"/>
        <v>10</v>
      </c>
    </row>
    <row r="53" spans="1:23" x14ac:dyDescent="0.2">
      <c r="A53" s="4">
        <v>44543</v>
      </c>
      <c r="B53" s="5">
        <v>72.37</v>
      </c>
      <c r="C53" s="5">
        <v>73.45</v>
      </c>
      <c r="D53" s="5">
        <v>71.97</v>
      </c>
      <c r="E53" s="5">
        <v>73.42</v>
      </c>
      <c r="F53" s="6">
        <v>17486080</v>
      </c>
      <c r="U53" t="s">
        <v>56</v>
      </c>
      <c r="V53" s="26">
        <f ca="1">IF($I$11="OK",INDEX('Peer Data'!$S$5:$S$1258,$I$10),"")</f>
        <v>1.5549076773566428E-2</v>
      </c>
      <c r="W53" s="27">
        <f t="shared" ca="1" si="0"/>
        <v>9</v>
      </c>
    </row>
    <row r="54" spans="1:23" x14ac:dyDescent="0.2">
      <c r="A54" s="4">
        <v>44544</v>
      </c>
      <c r="B54" s="5">
        <v>72.36</v>
      </c>
      <c r="C54" s="5">
        <v>74.040000000000006</v>
      </c>
      <c r="D54" s="5">
        <v>72.16</v>
      </c>
      <c r="E54" s="5">
        <v>73.72</v>
      </c>
      <c r="F54" s="6">
        <v>18949700</v>
      </c>
      <c r="U54" t="s">
        <v>57</v>
      </c>
      <c r="V54" s="26">
        <f ca="1">IF($I$11="OK",INDEX('Peer Data'!$T$5:$T$1258,$I$10),"")</f>
        <v>-0.17229939871449296</v>
      </c>
      <c r="W54" s="27">
        <f t="shared" ca="1" si="0"/>
        <v>12</v>
      </c>
    </row>
    <row r="55" spans="1:23" x14ac:dyDescent="0.2">
      <c r="A55" s="4">
        <v>44545</v>
      </c>
      <c r="B55" s="5">
        <v>73.709999999999994</v>
      </c>
      <c r="C55" s="5">
        <v>75.385000000000005</v>
      </c>
      <c r="D55" s="5">
        <v>73.709999999999994</v>
      </c>
      <c r="E55" s="5">
        <v>75.290000000000006</v>
      </c>
      <c r="F55" s="6">
        <v>14263450</v>
      </c>
      <c r="U55" t="s">
        <v>58</v>
      </c>
      <c r="V55" s="26">
        <f ca="1">IF($I$11="OK",INDEX('Peer Data'!$U$5:$U$1258,$I$10),"")</f>
        <v>0.18263157894736826</v>
      </c>
      <c r="W55" s="27">
        <f t="shared" ca="1" si="0"/>
        <v>3</v>
      </c>
    </row>
    <row r="56" spans="1:23" x14ac:dyDescent="0.2">
      <c r="A56" s="4">
        <v>44546</v>
      </c>
      <c r="B56" s="5">
        <v>75.5</v>
      </c>
      <c r="C56" s="5">
        <v>76.53</v>
      </c>
      <c r="D56" s="5">
        <v>75.27</v>
      </c>
      <c r="E56" s="5">
        <v>75.91</v>
      </c>
      <c r="F56" s="6">
        <v>16601710</v>
      </c>
      <c r="U56" t="s">
        <v>59</v>
      </c>
      <c r="V56" s="26">
        <f ca="1">IF($I$11="OK",INDEX('Peer Data'!$V$5:$V$1258,$I$10),"")</f>
        <v>0.1040508339952344</v>
      </c>
      <c r="W56" s="27">
        <f t="shared" ca="1" si="0"/>
        <v>6</v>
      </c>
    </row>
    <row r="57" spans="1:23" x14ac:dyDescent="0.2">
      <c r="A57" s="4">
        <v>44547</v>
      </c>
      <c r="B57" s="5">
        <v>76.56</v>
      </c>
      <c r="C57" s="5">
        <v>77.739999999999995</v>
      </c>
      <c r="D57" s="5">
        <v>75.5</v>
      </c>
      <c r="E57" s="5">
        <v>75.69</v>
      </c>
      <c r="F57" s="6">
        <v>28134450</v>
      </c>
      <c r="U57" t="s">
        <v>60</v>
      </c>
      <c r="V57" s="26">
        <f ca="1">IF($I$11="OK",INDEX('Peer Data'!$W$5:$W$1258,$I$10),"")</f>
        <v>5.7841830500944047E-2</v>
      </c>
      <c r="W57" s="27">
        <f t="shared" ca="1" si="0"/>
        <v>7</v>
      </c>
    </row>
    <row r="58" spans="1:23" x14ac:dyDescent="0.2">
      <c r="A58" s="4">
        <v>44550</v>
      </c>
      <c r="B58" s="5">
        <v>75.7</v>
      </c>
      <c r="C58" s="5">
        <v>76.5</v>
      </c>
      <c r="D58" s="5">
        <v>74.95</v>
      </c>
      <c r="E58" s="5">
        <v>76.41</v>
      </c>
      <c r="F58" s="6">
        <v>11818760</v>
      </c>
      <c r="U58" t="s">
        <v>61</v>
      </c>
      <c r="V58" s="26">
        <f ca="1">IF($I$11="OK",INDEX('Peer Data'!$X$5:$X$1258,$I$10),"")</f>
        <v>0.14384586606808814</v>
      </c>
      <c r="W58" s="27">
        <f t="shared" ca="1" si="0"/>
        <v>5</v>
      </c>
    </row>
    <row r="59" spans="1:23" x14ac:dyDescent="0.2">
      <c r="A59" s="4">
        <v>44551</v>
      </c>
      <c r="B59" s="5">
        <v>76.25</v>
      </c>
      <c r="C59" s="5">
        <v>76.28</v>
      </c>
      <c r="D59" s="5">
        <v>74.885000000000005</v>
      </c>
      <c r="E59" s="5">
        <v>75.540000000000006</v>
      </c>
      <c r="F59" s="6">
        <v>14947810</v>
      </c>
      <c r="U59" t="s">
        <v>62</v>
      </c>
      <c r="V59" s="26">
        <f ca="1">IF($I$11="OK",INDEX('Peer Data'!$Y$5:$Y$1258,$I$10),"")</f>
        <v>0.23477212442729667</v>
      </c>
      <c r="W59" s="27">
        <f t="shared" ca="1" si="0"/>
        <v>2</v>
      </c>
    </row>
    <row r="60" spans="1:23" x14ac:dyDescent="0.2">
      <c r="A60" s="4">
        <v>44552</v>
      </c>
      <c r="B60" s="5">
        <v>75.44</v>
      </c>
      <c r="C60" s="5">
        <v>76.559700000000007</v>
      </c>
      <c r="D60" s="5">
        <v>75.13</v>
      </c>
      <c r="E60" s="5">
        <v>76.16</v>
      </c>
      <c r="F60" s="6">
        <v>9256013</v>
      </c>
      <c r="U60" s="28" t="s">
        <v>63</v>
      </c>
      <c r="V60" s="29">
        <f ca="1">IF($I$11="OK",INDEX('Peer Data'!$Z$5:$Z$1258,$I$10),"")</f>
        <v>0.14613405433692384</v>
      </c>
      <c r="W60" s="30">
        <f t="shared" ca="1" si="0"/>
        <v>4</v>
      </c>
    </row>
    <row r="61" spans="1:23" x14ac:dyDescent="0.2">
      <c r="A61" s="4">
        <v>44553</v>
      </c>
      <c r="B61" s="5">
        <v>76.3</v>
      </c>
      <c r="C61" s="5">
        <v>76.3</v>
      </c>
      <c r="D61" s="5">
        <v>75.349999999999994</v>
      </c>
      <c r="E61" s="5">
        <v>75.73</v>
      </c>
      <c r="F61" s="6">
        <v>9894892</v>
      </c>
    </row>
    <row r="62" spans="1:23" x14ac:dyDescent="0.2">
      <c r="A62" s="4">
        <v>44557</v>
      </c>
      <c r="B62" s="5">
        <v>76</v>
      </c>
      <c r="C62" s="5">
        <v>76.605000000000004</v>
      </c>
      <c r="D62" s="5">
        <v>75.77</v>
      </c>
      <c r="E62" s="5">
        <v>76.569999999999993</v>
      </c>
      <c r="F62" s="6">
        <v>6335928</v>
      </c>
    </row>
    <row r="63" spans="1:23" x14ac:dyDescent="0.2">
      <c r="A63" s="4">
        <v>44558</v>
      </c>
      <c r="B63" s="5">
        <v>76.680000000000007</v>
      </c>
      <c r="C63" s="5">
        <v>77.14</v>
      </c>
      <c r="D63" s="5">
        <v>76.212000000000003</v>
      </c>
      <c r="E63" s="5">
        <v>76.81</v>
      </c>
      <c r="F63" s="6">
        <v>5731591</v>
      </c>
    </row>
    <row r="64" spans="1:23" x14ac:dyDescent="0.2">
      <c r="A64" s="4">
        <v>44559</v>
      </c>
      <c r="B64" s="5">
        <v>76.8</v>
      </c>
      <c r="C64" s="5">
        <v>77.174999999999997</v>
      </c>
      <c r="D64" s="5">
        <v>76.47</v>
      </c>
      <c r="E64" s="5">
        <v>76.95</v>
      </c>
      <c r="F64" s="6">
        <v>5926117</v>
      </c>
    </row>
    <row r="65" spans="1:6" x14ac:dyDescent="0.2">
      <c r="A65" s="4">
        <v>44560</v>
      </c>
      <c r="B65" s="5">
        <v>77.12</v>
      </c>
      <c r="C65" s="5">
        <v>77.61</v>
      </c>
      <c r="D65" s="5">
        <v>76.97</v>
      </c>
      <c r="E65" s="5">
        <v>77.14</v>
      </c>
      <c r="F65" s="6">
        <v>5859102</v>
      </c>
    </row>
    <row r="66" spans="1:6" x14ac:dyDescent="0.2">
      <c r="A66" s="4">
        <v>44561</v>
      </c>
      <c r="B66" s="5">
        <v>77.14</v>
      </c>
      <c r="C66" s="5">
        <v>77.55</v>
      </c>
      <c r="D66" s="5">
        <v>76.62</v>
      </c>
      <c r="E66" s="5">
        <v>76.64</v>
      </c>
      <c r="F66" s="6">
        <v>6019496</v>
      </c>
    </row>
    <row r="67" spans="1:6" x14ac:dyDescent="0.2">
      <c r="A67" s="4">
        <v>44564</v>
      </c>
      <c r="B67" s="5">
        <v>76.58</v>
      </c>
      <c r="C67" s="5">
        <v>76.94</v>
      </c>
      <c r="D67" s="5">
        <v>75.349999999999994</v>
      </c>
      <c r="E67" s="5">
        <v>76.87</v>
      </c>
      <c r="F67" s="6">
        <v>9443499</v>
      </c>
    </row>
    <row r="68" spans="1:6" x14ac:dyDescent="0.2">
      <c r="A68" s="4">
        <v>44565</v>
      </c>
      <c r="B68" s="5">
        <v>76.400000000000006</v>
      </c>
      <c r="C68" s="5">
        <v>77.27</v>
      </c>
      <c r="D68" s="5">
        <v>75.889399999999995</v>
      </c>
      <c r="E68" s="5">
        <v>77.010000000000005</v>
      </c>
      <c r="F68" s="6">
        <v>11981660</v>
      </c>
    </row>
    <row r="69" spans="1:6" x14ac:dyDescent="0.2">
      <c r="A69" s="4">
        <v>44566</v>
      </c>
      <c r="B69" s="5">
        <v>77.260000000000005</v>
      </c>
      <c r="C69" s="5">
        <v>79.81</v>
      </c>
      <c r="D69" s="5">
        <v>77.260000000000005</v>
      </c>
      <c r="E69" s="5">
        <v>78.88</v>
      </c>
      <c r="F69" s="6">
        <v>17447910</v>
      </c>
    </row>
    <row r="70" spans="1:6" x14ac:dyDescent="0.2">
      <c r="A70" s="4">
        <v>44567</v>
      </c>
      <c r="B70" s="5">
        <v>78.790000000000006</v>
      </c>
      <c r="C70" s="5">
        <v>79.58</v>
      </c>
      <c r="D70" s="5">
        <v>77.95</v>
      </c>
      <c r="E70" s="5">
        <v>78.83</v>
      </c>
      <c r="F70" s="6">
        <v>11359160</v>
      </c>
    </row>
    <row r="71" spans="1:6" x14ac:dyDescent="0.2">
      <c r="A71" s="4">
        <v>44568</v>
      </c>
      <c r="B71" s="5">
        <v>78.86</v>
      </c>
      <c r="C71" s="5">
        <v>80.53</v>
      </c>
      <c r="D71" s="5">
        <v>78.459999999999994</v>
      </c>
      <c r="E71" s="5">
        <v>80.3</v>
      </c>
      <c r="F71" s="6">
        <v>15211970</v>
      </c>
    </row>
    <row r="72" spans="1:6" x14ac:dyDescent="0.2">
      <c r="A72" s="4">
        <v>44571</v>
      </c>
      <c r="B72" s="5">
        <v>80.540000000000006</v>
      </c>
      <c r="C72" s="5">
        <v>82.45</v>
      </c>
      <c r="D72" s="5">
        <v>79.67</v>
      </c>
      <c r="E72" s="5">
        <v>82.37</v>
      </c>
      <c r="F72" s="6">
        <v>19636810</v>
      </c>
    </row>
    <row r="73" spans="1:6" x14ac:dyDescent="0.2">
      <c r="A73" s="4">
        <v>44572</v>
      </c>
      <c r="B73" s="5">
        <v>82.42</v>
      </c>
      <c r="C73" s="5">
        <v>82.56</v>
      </c>
      <c r="D73" s="5">
        <v>80.650000000000006</v>
      </c>
      <c r="E73" s="5">
        <v>81.67</v>
      </c>
      <c r="F73" s="6">
        <v>11585110</v>
      </c>
    </row>
    <row r="74" spans="1:6" x14ac:dyDescent="0.2">
      <c r="A74" s="4">
        <v>44573</v>
      </c>
      <c r="B74" s="5">
        <v>81.08</v>
      </c>
      <c r="C74" s="5">
        <v>81.42</v>
      </c>
      <c r="D74" s="5">
        <v>80.67</v>
      </c>
      <c r="E74" s="5">
        <v>81.2</v>
      </c>
      <c r="F74" s="6">
        <v>13056970</v>
      </c>
    </row>
    <row r="75" spans="1:6" x14ac:dyDescent="0.2">
      <c r="A75" s="4">
        <v>44574</v>
      </c>
      <c r="B75" s="5">
        <v>80.930000000000007</v>
      </c>
      <c r="C75" s="5">
        <v>81.72</v>
      </c>
      <c r="D75" s="5">
        <v>80.33</v>
      </c>
      <c r="E75" s="5">
        <v>81.319999999999993</v>
      </c>
      <c r="F75" s="6">
        <v>9678145</v>
      </c>
    </row>
    <row r="76" spans="1:6" x14ac:dyDescent="0.2">
      <c r="A76" s="4">
        <v>44575</v>
      </c>
      <c r="B76" s="5">
        <v>81.599999999999994</v>
      </c>
      <c r="C76" s="5">
        <v>81.852099999999993</v>
      </c>
      <c r="D76" s="5">
        <v>80.765000000000001</v>
      </c>
      <c r="E76" s="5">
        <v>81.38</v>
      </c>
      <c r="F76" s="6">
        <v>9478020</v>
      </c>
    </row>
    <row r="77" spans="1:6" x14ac:dyDescent="0.2">
      <c r="A77" s="4">
        <v>44579</v>
      </c>
      <c r="B77" s="5">
        <v>81.099999999999994</v>
      </c>
      <c r="C77" s="5">
        <v>82.16</v>
      </c>
      <c r="D77" s="5">
        <v>80.805000000000007</v>
      </c>
      <c r="E77" s="5">
        <v>81.540000000000006</v>
      </c>
      <c r="F77" s="6">
        <v>14494400</v>
      </c>
    </row>
    <row r="78" spans="1:6" x14ac:dyDescent="0.2">
      <c r="A78" s="4">
        <v>44580</v>
      </c>
      <c r="B78" s="5">
        <v>80.98</v>
      </c>
      <c r="C78" s="5">
        <v>81.98</v>
      </c>
      <c r="D78" s="5">
        <v>80.480099999999993</v>
      </c>
      <c r="E78" s="5">
        <v>81.290000000000006</v>
      </c>
      <c r="F78" s="6">
        <v>11448180</v>
      </c>
    </row>
    <row r="79" spans="1:6" x14ac:dyDescent="0.2">
      <c r="A79" s="4">
        <v>44581</v>
      </c>
      <c r="B79" s="5">
        <v>80.73</v>
      </c>
      <c r="C79" s="5">
        <v>81.86</v>
      </c>
      <c r="D79" s="5">
        <v>80.52</v>
      </c>
      <c r="E79" s="5">
        <v>80.75</v>
      </c>
      <c r="F79" s="6">
        <v>12069580</v>
      </c>
    </row>
    <row r="80" spans="1:6" x14ac:dyDescent="0.2">
      <c r="A80" s="4">
        <v>44582</v>
      </c>
      <c r="B80" s="5">
        <v>81.27</v>
      </c>
      <c r="C80" s="5">
        <v>81.52</v>
      </c>
      <c r="D80" s="5">
        <v>79.239999999999995</v>
      </c>
      <c r="E80" s="5">
        <v>79.98</v>
      </c>
      <c r="F80" s="6">
        <v>18461740</v>
      </c>
    </row>
    <row r="81" spans="1:6" x14ac:dyDescent="0.2">
      <c r="A81" s="4">
        <v>44585</v>
      </c>
      <c r="B81" s="5">
        <v>79.77</v>
      </c>
      <c r="C81" s="5">
        <v>80.11</v>
      </c>
      <c r="D81" s="5">
        <v>76.650000000000006</v>
      </c>
      <c r="E81" s="5">
        <v>78.83</v>
      </c>
      <c r="F81" s="6">
        <v>17293350</v>
      </c>
    </row>
    <row r="82" spans="1:6" x14ac:dyDescent="0.2">
      <c r="A82" s="4">
        <v>44586</v>
      </c>
      <c r="B82" s="5">
        <v>78.42</v>
      </c>
      <c r="C82" s="5">
        <v>79.775000000000006</v>
      </c>
      <c r="D82" s="5">
        <v>77.775000000000006</v>
      </c>
      <c r="E82" s="5">
        <v>79.459999999999994</v>
      </c>
      <c r="F82" s="6">
        <v>13662390</v>
      </c>
    </row>
    <row r="83" spans="1:6" x14ac:dyDescent="0.2">
      <c r="A83" s="4">
        <v>44587</v>
      </c>
      <c r="B83" s="5">
        <v>79.39</v>
      </c>
      <c r="C83" s="5">
        <v>80.34</v>
      </c>
      <c r="D83" s="5">
        <v>78.73</v>
      </c>
      <c r="E83" s="5">
        <v>79.14</v>
      </c>
      <c r="F83" s="6">
        <v>13046600</v>
      </c>
    </row>
    <row r="84" spans="1:6" x14ac:dyDescent="0.2">
      <c r="A84" s="4">
        <v>44588</v>
      </c>
      <c r="B84" s="5">
        <v>78.42</v>
      </c>
      <c r="C84" s="5">
        <v>81.594999999999999</v>
      </c>
      <c r="D84" s="5">
        <v>78.42</v>
      </c>
      <c r="E84" s="5">
        <v>80.58</v>
      </c>
      <c r="F84" s="6">
        <v>20189660</v>
      </c>
    </row>
    <row r="85" spans="1:6" x14ac:dyDescent="0.2">
      <c r="A85" s="4">
        <v>44589</v>
      </c>
      <c r="B85" s="5">
        <v>79.540000000000006</v>
      </c>
      <c r="C85" s="5">
        <v>80.989999999999995</v>
      </c>
      <c r="D85" s="5">
        <v>79.180000000000007</v>
      </c>
      <c r="E85" s="5">
        <v>80.900000000000006</v>
      </c>
      <c r="F85" s="6">
        <v>13915290</v>
      </c>
    </row>
    <row r="86" spans="1:6" x14ac:dyDescent="0.2">
      <c r="A86" s="4">
        <v>44592</v>
      </c>
      <c r="B86" s="5">
        <v>81.02</v>
      </c>
      <c r="C86" s="5">
        <v>81.72</v>
      </c>
      <c r="D86" s="5">
        <v>80.8</v>
      </c>
      <c r="E86" s="5">
        <v>81.48</v>
      </c>
      <c r="F86" s="6">
        <v>13034990</v>
      </c>
    </row>
    <row r="87" spans="1:6" x14ac:dyDescent="0.2">
      <c r="A87" s="4">
        <v>44593</v>
      </c>
      <c r="B87" s="5">
        <v>81.96</v>
      </c>
      <c r="C87" s="5">
        <v>82.114999999999995</v>
      </c>
      <c r="D87" s="5">
        <v>81.075000000000003</v>
      </c>
      <c r="E87" s="5">
        <v>81.92</v>
      </c>
      <c r="F87" s="6">
        <v>10803330</v>
      </c>
    </row>
    <row r="88" spans="1:6" x14ac:dyDescent="0.2">
      <c r="A88" s="4">
        <v>44594</v>
      </c>
      <c r="B88" s="5">
        <v>81.795000000000002</v>
      </c>
      <c r="C88" s="5">
        <v>82.295000000000002</v>
      </c>
      <c r="D88" s="5">
        <v>81.260000000000005</v>
      </c>
      <c r="E88" s="5">
        <v>82.01</v>
      </c>
      <c r="F88" s="6">
        <v>13988210</v>
      </c>
    </row>
    <row r="89" spans="1:6" x14ac:dyDescent="0.2">
      <c r="A89" s="4">
        <v>44595</v>
      </c>
      <c r="B89" s="5">
        <v>81.650000000000006</v>
      </c>
      <c r="C89" s="5">
        <v>81.8</v>
      </c>
      <c r="D89" s="5">
        <v>78.400000000000006</v>
      </c>
      <c r="E89" s="5">
        <v>79.010000000000005</v>
      </c>
      <c r="F89" s="6">
        <v>19181350</v>
      </c>
    </row>
    <row r="90" spans="1:6" x14ac:dyDescent="0.2">
      <c r="A90" s="4">
        <v>44596</v>
      </c>
      <c r="B90" s="5">
        <v>78.510000000000005</v>
      </c>
      <c r="C90" s="5">
        <v>79.55</v>
      </c>
      <c r="D90" s="5">
        <v>78.2</v>
      </c>
      <c r="E90" s="5">
        <v>78.56</v>
      </c>
      <c r="F90" s="6">
        <v>10716240</v>
      </c>
    </row>
    <row r="91" spans="1:6" x14ac:dyDescent="0.2">
      <c r="A91" s="4">
        <v>44599</v>
      </c>
      <c r="B91" s="5">
        <v>78.790000000000006</v>
      </c>
      <c r="C91" s="5">
        <v>78.92</v>
      </c>
      <c r="D91" s="5">
        <v>77.44</v>
      </c>
      <c r="E91" s="5">
        <v>77.58</v>
      </c>
      <c r="F91" s="6">
        <v>23615280</v>
      </c>
    </row>
    <row r="92" spans="1:6" x14ac:dyDescent="0.2">
      <c r="A92" s="4">
        <v>44600</v>
      </c>
      <c r="B92" s="5">
        <v>77.099999999999994</v>
      </c>
      <c r="C92" s="5">
        <v>77.33</v>
      </c>
      <c r="D92" s="5">
        <v>75.819999999999993</v>
      </c>
      <c r="E92" s="5">
        <v>76.91</v>
      </c>
      <c r="F92" s="6">
        <v>17486480</v>
      </c>
    </row>
    <row r="93" spans="1:6" x14ac:dyDescent="0.2">
      <c r="A93" s="4">
        <v>44601</v>
      </c>
      <c r="B93" s="5">
        <v>77.17</v>
      </c>
      <c r="C93" s="5">
        <v>77.33</v>
      </c>
      <c r="D93" s="5">
        <v>76.41</v>
      </c>
      <c r="E93" s="5">
        <v>76.53</v>
      </c>
      <c r="F93" s="6">
        <v>15183110</v>
      </c>
    </row>
    <row r="94" spans="1:6" x14ac:dyDescent="0.2">
      <c r="A94" s="4">
        <v>44602</v>
      </c>
      <c r="B94" s="5">
        <v>76.36</v>
      </c>
      <c r="C94" s="5">
        <v>76.77</v>
      </c>
      <c r="D94" s="5">
        <v>75.930000000000007</v>
      </c>
      <c r="E94" s="5">
        <v>76.56</v>
      </c>
      <c r="F94" s="6">
        <v>12437550</v>
      </c>
    </row>
    <row r="95" spans="1:6" x14ac:dyDescent="0.2">
      <c r="A95" s="4">
        <v>44603</v>
      </c>
      <c r="B95" s="5">
        <v>76.400000000000006</v>
      </c>
      <c r="C95" s="5">
        <v>77.899699999999996</v>
      </c>
      <c r="D95" s="5">
        <v>76.17</v>
      </c>
      <c r="E95" s="5">
        <v>76.64</v>
      </c>
      <c r="F95" s="6">
        <v>9342303</v>
      </c>
    </row>
    <row r="96" spans="1:6" x14ac:dyDescent="0.2">
      <c r="A96" s="4">
        <v>44606</v>
      </c>
      <c r="B96" s="5">
        <v>76.63</v>
      </c>
      <c r="C96" s="5">
        <v>76.7</v>
      </c>
      <c r="D96" s="5">
        <v>75.11</v>
      </c>
      <c r="E96" s="5">
        <v>76.47</v>
      </c>
      <c r="F96" s="6">
        <v>9881111</v>
      </c>
    </row>
    <row r="97" spans="1:6" x14ac:dyDescent="0.2">
      <c r="A97" s="4">
        <v>44607</v>
      </c>
      <c r="B97" s="5">
        <v>77.510000000000005</v>
      </c>
      <c r="C97" s="5">
        <v>78.19</v>
      </c>
      <c r="D97" s="5">
        <v>77.319999999999993</v>
      </c>
      <c r="E97" s="5">
        <v>77.81</v>
      </c>
      <c r="F97" s="6">
        <v>11426140</v>
      </c>
    </row>
    <row r="98" spans="1:6" x14ac:dyDescent="0.2">
      <c r="A98" s="4">
        <v>44608</v>
      </c>
      <c r="B98" s="5">
        <v>77.2</v>
      </c>
      <c r="C98" s="5">
        <v>77.795000000000002</v>
      </c>
      <c r="D98" s="5">
        <v>76.9345</v>
      </c>
      <c r="E98" s="5">
        <v>77.22</v>
      </c>
      <c r="F98" s="6">
        <v>9981458</v>
      </c>
    </row>
    <row r="99" spans="1:6" x14ac:dyDescent="0.2">
      <c r="A99" s="4">
        <v>44609</v>
      </c>
      <c r="B99" s="5">
        <v>76.849999999999994</v>
      </c>
      <c r="C99" s="5">
        <v>76.930000000000007</v>
      </c>
      <c r="D99" s="5">
        <v>76</v>
      </c>
      <c r="E99" s="5">
        <v>76.36</v>
      </c>
      <c r="F99" s="6">
        <v>8889342</v>
      </c>
    </row>
    <row r="100" spans="1:6" x14ac:dyDescent="0.2">
      <c r="A100" s="4">
        <v>44610</v>
      </c>
      <c r="B100" s="5">
        <v>76.319999999999993</v>
      </c>
      <c r="C100" s="5">
        <v>76.86</v>
      </c>
      <c r="D100" s="5">
        <v>75.89</v>
      </c>
      <c r="E100" s="5">
        <v>76.37</v>
      </c>
      <c r="F100" s="6">
        <v>8780451</v>
      </c>
    </row>
    <row r="101" spans="1:6" x14ac:dyDescent="0.2">
      <c r="A101" s="4">
        <v>44614</v>
      </c>
      <c r="B101" s="5">
        <v>76.459999999999994</v>
      </c>
      <c r="C101" s="5">
        <v>76.86</v>
      </c>
      <c r="D101" s="5">
        <v>75.61</v>
      </c>
      <c r="E101" s="5">
        <v>75.95</v>
      </c>
      <c r="F101" s="6">
        <v>9052499</v>
      </c>
    </row>
    <row r="102" spans="1:6" x14ac:dyDescent="0.2">
      <c r="A102" s="4">
        <v>44615</v>
      </c>
      <c r="B102" s="5">
        <v>76.19</v>
      </c>
      <c r="C102" s="5">
        <v>76.44</v>
      </c>
      <c r="D102" s="5">
        <v>75.62</v>
      </c>
      <c r="E102" s="5">
        <v>75.84</v>
      </c>
      <c r="F102" s="6">
        <v>9659085</v>
      </c>
    </row>
    <row r="103" spans="1:6" x14ac:dyDescent="0.2">
      <c r="A103" s="4">
        <v>44616</v>
      </c>
      <c r="B103" s="5">
        <v>75.099999999999994</v>
      </c>
      <c r="C103" s="5">
        <v>75.319999999999993</v>
      </c>
      <c r="D103" s="5">
        <v>72.875</v>
      </c>
      <c r="E103" s="5">
        <v>73.510000000000005</v>
      </c>
      <c r="F103" s="6">
        <v>21135640</v>
      </c>
    </row>
    <row r="104" spans="1:6" x14ac:dyDescent="0.2">
      <c r="A104" s="4">
        <v>44617</v>
      </c>
      <c r="B104" s="5">
        <v>74.2</v>
      </c>
      <c r="C104" s="5">
        <v>77.290000000000006</v>
      </c>
      <c r="D104" s="5">
        <v>74.17</v>
      </c>
      <c r="E104" s="5">
        <v>76.319999999999993</v>
      </c>
      <c r="F104" s="6">
        <v>13665850</v>
      </c>
    </row>
    <row r="105" spans="1:6" x14ac:dyDescent="0.2">
      <c r="A105" s="4">
        <v>44620</v>
      </c>
      <c r="B105" s="5">
        <v>75.83</v>
      </c>
      <c r="C105" s="5">
        <v>76.760000000000005</v>
      </c>
      <c r="D105" s="5">
        <v>74.78</v>
      </c>
      <c r="E105" s="5">
        <v>76.58</v>
      </c>
      <c r="F105" s="6">
        <v>14126140</v>
      </c>
    </row>
    <row r="106" spans="1:6" x14ac:dyDescent="0.2">
      <c r="A106" s="4">
        <v>44621</v>
      </c>
      <c r="B106" s="5">
        <v>76.5</v>
      </c>
      <c r="C106" s="5">
        <v>77.760000000000005</v>
      </c>
      <c r="D106" s="5">
        <v>75.95</v>
      </c>
      <c r="E106" s="5">
        <v>76.34</v>
      </c>
      <c r="F106" s="6">
        <v>9807533</v>
      </c>
    </row>
    <row r="107" spans="1:6" x14ac:dyDescent="0.2">
      <c r="A107" s="4">
        <v>44622</v>
      </c>
      <c r="B107" s="5">
        <v>76.31</v>
      </c>
      <c r="C107" s="5">
        <v>77.22</v>
      </c>
      <c r="D107" s="5">
        <v>76.06</v>
      </c>
      <c r="E107" s="5">
        <v>76.67</v>
      </c>
      <c r="F107" s="6">
        <v>9697506</v>
      </c>
    </row>
    <row r="108" spans="1:6" x14ac:dyDescent="0.2">
      <c r="A108" s="4">
        <v>44623</v>
      </c>
      <c r="B108" s="5">
        <v>76.77</v>
      </c>
      <c r="C108" s="5">
        <v>77.540000000000006</v>
      </c>
      <c r="D108" s="5">
        <v>76.405000000000001</v>
      </c>
      <c r="E108" s="5">
        <v>77.150000000000006</v>
      </c>
      <c r="F108" s="6">
        <v>8191074</v>
      </c>
    </row>
    <row r="109" spans="1:6" x14ac:dyDescent="0.2">
      <c r="A109" s="4">
        <v>44624</v>
      </c>
      <c r="B109" s="5">
        <v>76.680000000000007</v>
      </c>
      <c r="C109" s="5">
        <v>77.86</v>
      </c>
      <c r="D109" s="5">
        <v>76.02</v>
      </c>
      <c r="E109" s="5">
        <v>77.83</v>
      </c>
      <c r="F109" s="6">
        <v>12217430</v>
      </c>
    </row>
    <row r="110" spans="1:6" x14ac:dyDescent="0.2">
      <c r="A110" s="4">
        <v>44627</v>
      </c>
      <c r="B110" s="5">
        <v>77.010000000000005</v>
      </c>
      <c r="C110" s="5">
        <v>78.290000000000006</v>
      </c>
      <c r="D110" s="5">
        <v>76.08</v>
      </c>
      <c r="E110" s="5">
        <v>77.73</v>
      </c>
      <c r="F110" s="6">
        <v>14008420</v>
      </c>
    </row>
    <row r="111" spans="1:6" x14ac:dyDescent="0.2">
      <c r="A111" s="4">
        <v>44628</v>
      </c>
      <c r="B111" s="5">
        <v>77.25</v>
      </c>
      <c r="C111" s="5">
        <v>78.09</v>
      </c>
      <c r="D111" s="5">
        <v>76.56</v>
      </c>
      <c r="E111" s="5">
        <v>76.95</v>
      </c>
      <c r="F111" s="6">
        <v>10184060</v>
      </c>
    </row>
    <row r="112" spans="1:6" x14ac:dyDescent="0.2">
      <c r="A112" s="4">
        <v>44629</v>
      </c>
      <c r="B112" s="5">
        <v>77.62</v>
      </c>
      <c r="C112" s="5">
        <v>78.224999999999994</v>
      </c>
      <c r="D112" s="5">
        <v>77.05</v>
      </c>
      <c r="E112" s="5">
        <v>77.790000000000006</v>
      </c>
      <c r="F112" s="6">
        <v>9745966</v>
      </c>
    </row>
    <row r="113" spans="1:6" x14ac:dyDescent="0.2">
      <c r="A113" s="4">
        <v>44630</v>
      </c>
      <c r="B113" s="5">
        <v>77.63</v>
      </c>
      <c r="C113" s="5">
        <v>78.2</v>
      </c>
      <c r="D113" s="5">
        <v>77.334999999999994</v>
      </c>
      <c r="E113" s="5">
        <v>77.89</v>
      </c>
      <c r="F113" s="6">
        <v>8972190</v>
      </c>
    </row>
    <row r="114" spans="1:6" x14ac:dyDescent="0.2">
      <c r="A114" s="4">
        <v>44631</v>
      </c>
      <c r="B114" s="5">
        <v>78.319999999999993</v>
      </c>
      <c r="C114" s="5">
        <v>79.625</v>
      </c>
      <c r="D114" s="5">
        <v>78.2</v>
      </c>
      <c r="E114" s="5">
        <v>78.260000000000005</v>
      </c>
      <c r="F114" s="6">
        <v>9424532</v>
      </c>
    </row>
    <row r="115" spans="1:6" x14ac:dyDescent="0.2">
      <c r="A115" s="4">
        <v>44634</v>
      </c>
      <c r="B115" s="5">
        <v>77.900000000000006</v>
      </c>
      <c r="C115" s="5">
        <v>78.607699999999994</v>
      </c>
      <c r="D115" s="5">
        <v>77.31</v>
      </c>
      <c r="E115" s="5">
        <v>77.78</v>
      </c>
      <c r="F115" s="6">
        <v>10085370</v>
      </c>
    </row>
    <row r="116" spans="1:6" x14ac:dyDescent="0.2">
      <c r="A116" s="4">
        <v>44635</v>
      </c>
      <c r="B116" s="5">
        <v>77.680000000000007</v>
      </c>
      <c r="C116" s="5">
        <v>79.004999999999995</v>
      </c>
      <c r="D116" s="5">
        <v>77.400000000000006</v>
      </c>
      <c r="E116" s="5">
        <v>78.64</v>
      </c>
      <c r="F116" s="6">
        <v>11403010</v>
      </c>
    </row>
    <row r="117" spans="1:6" x14ac:dyDescent="0.2">
      <c r="A117" s="4">
        <v>44636</v>
      </c>
      <c r="B117" s="5">
        <v>78.959999999999994</v>
      </c>
      <c r="C117" s="5">
        <v>79.11</v>
      </c>
      <c r="D117" s="5">
        <v>77.650000000000006</v>
      </c>
      <c r="E117" s="5">
        <v>78.12</v>
      </c>
      <c r="F117" s="6">
        <v>10943960</v>
      </c>
    </row>
    <row r="118" spans="1:6" x14ac:dyDescent="0.2">
      <c r="A118" s="4">
        <v>44637</v>
      </c>
      <c r="B118" s="5">
        <v>78.150000000000006</v>
      </c>
      <c r="C118" s="5">
        <v>79.37</v>
      </c>
      <c r="D118" s="5">
        <v>78.059299999999993</v>
      </c>
      <c r="E118" s="5">
        <v>78.94</v>
      </c>
      <c r="F118" s="6">
        <v>10279400</v>
      </c>
    </row>
    <row r="119" spans="1:6" x14ac:dyDescent="0.2">
      <c r="A119" s="4">
        <v>44638</v>
      </c>
      <c r="B119" s="5">
        <v>79.180000000000007</v>
      </c>
      <c r="C119" s="5">
        <v>79.734999999999999</v>
      </c>
      <c r="D119" s="5">
        <v>78.63</v>
      </c>
      <c r="E119" s="5">
        <v>79.11</v>
      </c>
      <c r="F119" s="6">
        <v>21064810</v>
      </c>
    </row>
    <row r="120" spans="1:6" x14ac:dyDescent="0.2">
      <c r="A120" s="4">
        <v>44641</v>
      </c>
      <c r="B120" s="5">
        <v>79.67</v>
      </c>
      <c r="C120" s="5">
        <v>80.45</v>
      </c>
      <c r="D120" s="5">
        <v>78.91</v>
      </c>
      <c r="E120" s="5">
        <v>79.06</v>
      </c>
      <c r="F120" s="6">
        <v>10478270</v>
      </c>
    </row>
    <row r="121" spans="1:6" x14ac:dyDescent="0.2">
      <c r="A121" s="4">
        <v>44642</v>
      </c>
      <c r="B121" s="5">
        <v>79.27</v>
      </c>
      <c r="C121" s="5">
        <v>79.78</v>
      </c>
      <c r="D121" s="5">
        <v>78.765000000000001</v>
      </c>
      <c r="E121" s="5">
        <v>79.3</v>
      </c>
      <c r="F121" s="6">
        <v>10016780</v>
      </c>
    </row>
    <row r="122" spans="1:6" x14ac:dyDescent="0.2">
      <c r="A122" s="4">
        <v>44643</v>
      </c>
      <c r="B122" s="5">
        <v>79.3</v>
      </c>
      <c r="C122" s="5">
        <v>80.58</v>
      </c>
      <c r="D122" s="5">
        <v>79.23</v>
      </c>
      <c r="E122" s="5">
        <v>79.73</v>
      </c>
      <c r="F122" s="6">
        <v>8470362</v>
      </c>
    </row>
    <row r="123" spans="1:6" x14ac:dyDescent="0.2">
      <c r="A123" s="4">
        <v>44644</v>
      </c>
      <c r="B123" s="5">
        <v>80.040000000000006</v>
      </c>
      <c r="C123" s="5">
        <v>80.669399999999996</v>
      </c>
      <c r="D123" s="5">
        <v>79.72</v>
      </c>
      <c r="E123" s="5">
        <v>80.41</v>
      </c>
      <c r="F123" s="6">
        <v>7605002</v>
      </c>
    </row>
    <row r="124" spans="1:6" x14ac:dyDescent="0.2">
      <c r="A124" s="4">
        <v>44645</v>
      </c>
      <c r="B124" s="5">
        <v>80.59</v>
      </c>
      <c r="C124" s="5">
        <v>81.38</v>
      </c>
      <c r="D124" s="5">
        <v>80.45</v>
      </c>
      <c r="E124" s="5">
        <v>81.34</v>
      </c>
      <c r="F124" s="6">
        <v>7126077</v>
      </c>
    </row>
    <row r="125" spans="1:6" x14ac:dyDescent="0.2">
      <c r="A125" s="4">
        <v>44648</v>
      </c>
      <c r="B125" s="5">
        <v>81.37</v>
      </c>
      <c r="C125" s="5">
        <v>81.665000000000006</v>
      </c>
      <c r="D125" s="5">
        <v>80.73</v>
      </c>
      <c r="E125" s="5">
        <v>81.209999999999994</v>
      </c>
      <c r="F125" s="6">
        <v>7071913</v>
      </c>
    </row>
    <row r="126" spans="1:6" x14ac:dyDescent="0.2">
      <c r="A126" s="4">
        <v>44649</v>
      </c>
      <c r="B126" s="5">
        <v>81.66</v>
      </c>
      <c r="C126" s="5">
        <v>81.760000000000005</v>
      </c>
      <c r="D126" s="5">
        <v>80.739999999999995</v>
      </c>
      <c r="E126" s="5">
        <v>81.569999999999993</v>
      </c>
      <c r="F126" s="6">
        <v>7398712</v>
      </c>
    </row>
    <row r="127" spans="1:6" x14ac:dyDescent="0.2">
      <c r="A127" s="4">
        <v>44650</v>
      </c>
      <c r="B127" s="5">
        <v>81.84</v>
      </c>
      <c r="C127" s="5">
        <v>82.7</v>
      </c>
      <c r="D127" s="5">
        <v>81.665000000000006</v>
      </c>
      <c r="E127" s="5">
        <v>82.4</v>
      </c>
      <c r="F127" s="6">
        <v>9326610</v>
      </c>
    </row>
    <row r="128" spans="1:6" x14ac:dyDescent="0.2">
      <c r="A128" s="4">
        <v>44651</v>
      </c>
      <c r="B128" s="5">
        <v>82.9</v>
      </c>
      <c r="C128" s="5">
        <v>83.375</v>
      </c>
      <c r="D128" s="5">
        <v>81.94</v>
      </c>
      <c r="E128" s="5">
        <v>82.05</v>
      </c>
      <c r="F128" s="6">
        <v>12466820</v>
      </c>
    </row>
    <row r="129" spans="1:6" x14ac:dyDescent="0.2">
      <c r="A129" s="4">
        <v>44652</v>
      </c>
      <c r="B129" s="5">
        <v>82.19</v>
      </c>
      <c r="C129" s="5">
        <v>83.58</v>
      </c>
      <c r="D129" s="5">
        <v>81.64</v>
      </c>
      <c r="E129" s="5">
        <v>83.52</v>
      </c>
      <c r="F129" s="6">
        <v>10086740</v>
      </c>
    </row>
    <row r="130" spans="1:6" x14ac:dyDescent="0.2">
      <c r="A130" s="4">
        <v>44655</v>
      </c>
      <c r="B130" s="5">
        <v>83.5</v>
      </c>
      <c r="C130" s="5">
        <v>83.89</v>
      </c>
      <c r="D130" s="5">
        <v>82.73</v>
      </c>
      <c r="E130" s="5">
        <v>83.49</v>
      </c>
      <c r="F130" s="6">
        <v>9040033</v>
      </c>
    </row>
    <row r="131" spans="1:6" x14ac:dyDescent="0.2">
      <c r="A131" s="4">
        <v>44656</v>
      </c>
      <c r="B131" s="5">
        <v>83.66</v>
      </c>
      <c r="C131" s="5">
        <v>85.43</v>
      </c>
      <c r="D131" s="5">
        <v>83.51</v>
      </c>
      <c r="E131" s="5">
        <v>83.72</v>
      </c>
      <c r="F131" s="6">
        <v>12040940</v>
      </c>
    </row>
    <row r="132" spans="1:6" x14ac:dyDescent="0.2">
      <c r="A132" s="4">
        <v>44657</v>
      </c>
      <c r="B132" s="5">
        <v>84.36</v>
      </c>
      <c r="C132" s="5">
        <v>85.555000000000007</v>
      </c>
      <c r="D132" s="5">
        <v>84.12</v>
      </c>
      <c r="E132" s="5">
        <v>84.97</v>
      </c>
      <c r="F132" s="6">
        <v>13924320</v>
      </c>
    </row>
    <row r="133" spans="1:6" x14ac:dyDescent="0.2">
      <c r="A133" s="4">
        <v>44658</v>
      </c>
      <c r="B133" s="5">
        <v>85.75</v>
      </c>
      <c r="C133" s="5">
        <v>87.11</v>
      </c>
      <c r="D133" s="5">
        <v>84.96</v>
      </c>
      <c r="E133" s="5">
        <v>86.8</v>
      </c>
      <c r="F133" s="6">
        <v>13104250</v>
      </c>
    </row>
    <row r="134" spans="1:6" x14ac:dyDescent="0.2">
      <c r="A134" s="4">
        <v>44659</v>
      </c>
      <c r="B134" s="5">
        <v>86.64</v>
      </c>
      <c r="C134" s="5">
        <v>87.834999999999994</v>
      </c>
      <c r="D134" s="5">
        <v>86.26</v>
      </c>
      <c r="E134" s="5">
        <v>87.68</v>
      </c>
      <c r="F134" s="6">
        <v>11409270</v>
      </c>
    </row>
    <row r="135" spans="1:6" x14ac:dyDescent="0.2">
      <c r="A135" s="4">
        <v>44662</v>
      </c>
      <c r="B135" s="5">
        <v>88.32</v>
      </c>
      <c r="C135" s="5">
        <v>89.48</v>
      </c>
      <c r="D135" s="5">
        <v>86.18</v>
      </c>
      <c r="E135" s="5">
        <v>86.63</v>
      </c>
      <c r="F135" s="6">
        <v>14380990</v>
      </c>
    </row>
    <row r="136" spans="1:6" x14ac:dyDescent="0.2">
      <c r="A136" s="4">
        <v>44663</v>
      </c>
      <c r="B136" s="5">
        <v>86</v>
      </c>
      <c r="C136" s="5">
        <v>86.545000000000002</v>
      </c>
      <c r="D136" s="5">
        <v>85.22</v>
      </c>
      <c r="E136" s="5">
        <v>85.63</v>
      </c>
      <c r="F136" s="6">
        <v>12542960</v>
      </c>
    </row>
    <row r="137" spans="1:6" x14ac:dyDescent="0.2">
      <c r="A137" s="4">
        <v>44664</v>
      </c>
      <c r="B137" s="5">
        <v>85.8</v>
      </c>
      <c r="C137" s="5">
        <v>86.24</v>
      </c>
      <c r="D137" s="5">
        <v>84.83</v>
      </c>
      <c r="E137" s="5">
        <v>86.13</v>
      </c>
      <c r="F137" s="6">
        <v>12743810</v>
      </c>
    </row>
    <row r="138" spans="1:6" x14ac:dyDescent="0.2">
      <c r="A138" s="4">
        <v>44665</v>
      </c>
      <c r="B138" s="5">
        <v>86.13</v>
      </c>
      <c r="C138" s="5">
        <v>87.51</v>
      </c>
      <c r="D138" s="5">
        <v>85.41</v>
      </c>
      <c r="E138" s="5">
        <v>86.91</v>
      </c>
      <c r="F138" s="6">
        <v>22096120</v>
      </c>
    </row>
    <row r="139" spans="1:6" x14ac:dyDescent="0.2">
      <c r="A139" s="4">
        <v>44669</v>
      </c>
      <c r="B139" s="5">
        <v>86.42</v>
      </c>
      <c r="C139" s="5">
        <v>87.450199999999995</v>
      </c>
      <c r="D139" s="5">
        <v>85.68</v>
      </c>
      <c r="E139" s="5">
        <v>86.07</v>
      </c>
      <c r="F139" s="6">
        <v>7995077</v>
      </c>
    </row>
    <row r="140" spans="1:6" x14ac:dyDescent="0.2">
      <c r="A140" s="4">
        <v>44670</v>
      </c>
      <c r="B140" s="5">
        <v>85.97</v>
      </c>
      <c r="C140" s="5">
        <v>86.09</v>
      </c>
      <c r="D140" s="5">
        <v>85.12</v>
      </c>
      <c r="E140" s="5">
        <v>85.79</v>
      </c>
      <c r="F140" s="6">
        <v>8494733</v>
      </c>
    </row>
    <row r="141" spans="1:6" x14ac:dyDescent="0.2">
      <c r="A141" s="4">
        <v>44671</v>
      </c>
      <c r="B141" s="5">
        <v>85.52</v>
      </c>
      <c r="C141" s="5">
        <v>86.82</v>
      </c>
      <c r="D141" s="5">
        <v>85.48</v>
      </c>
      <c r="E141" s="5">
        <v>86.46</v>
      </c>
      <c r="F141" s="6">
        <v>8719368</v>
      </c>
    </row>
    <row r="142" spans="1:6" x14ac:dyDescent="0.2">
      <c r="A142" s="4">
        <v>44672</v>
      </c>
      <c r="B142" s="5">
        <v>86.41</v>
      </c>
      <c r="C142" s="5">
        <v>87.224999999999994</v>
      </c>
      <c r="D142" s="5">
        <v>85.39</v>
      </c>
      <c r="E142" s="5">
        <v>86.23</v>
      </c>
      <c r="F142" s="6">
        <v>8562645</v>
      </c>
    </row>
    <row r="143" spans="1:6" x14ac:dyDescent="0.2">
      <c r="A143" s="4">
        <v>44673</v>
      </c>
      <c r="B143" s="5">
        <v>85.86</v>
      </c>
      <c r="C143" s="5">
        <v>86.14</v>
      </c>
      <c r="D143" s="5">
        <v>84.5</v>
      </c>
      <c r="E143" s="5">
        <v>84.59</v>
      </c>
      <c r="F143" s="6">
        <v>7913957</v>
      </c>
    </row>
    <row r="144" spans="1:6" x14ac:dyDescent="0.2">
      <c r="A144" s="4">
        <v>44676</v>
      </c>
      <c r="B144" s="5">
        <v>84.59</v>
      </c>
      <c r="C144" s="5">
        <v>85.81</v>
      </c>
      <c r="D144" s="5">
        <v>83.53</v>
      </c>
      <c r="E144" s="5">
        <v>85.44</v>
      </c>
      <c r="F144" s="6">
        <v>10573430</v>
      </c>
    </row>
    <row r="145" spans="1:6" x14ac:dyDescent="0.2">
      <c r="A145" s="4">
        <v>44677</v>
      </c>
      <c r="B145" s="5">
        <v>85.76</v>
      </c>
      <c r="C145" s="5">
        <v>86.194999999999993</v>
      </c>
      <c r="D145" s="5">
        <v>84.39</v>
      </c>
      <c r="E145" s="5">
        <v>84.48</v>
      </c>
      <c r="F145" s="6">
        <v>9009648</v>
      </c>
    </row>
    <row r="146" spans="1:6" x14ac:dyDescent="0.2">
      <c r="A146" s="4">
        <v>44678</v>
      </c>
      <c r="B146" s="5">
        <v>84.3</v>
      </c>
      <c r="C146" s="5">
        <v>85.13</v>
      </c>
      <c r="D146" s="5">
        <v>83.6</v>
      </c>
      <c r="E146" s="5">
        <v>84.41</v>
      </c>
      <c r="F146" s="6">
        <v>10781320</v>
      </c>
    </row>
    <row r="147" spans="1:6" x14ac:dyDescent="0.2">
      <c r="A147" s="4">
        <v>44679</v>
      </c>
      <c r="B147" s="5">
        <v>85.75</v>
      </c>
      <c r="C147" s="5">
        <v>89.364999999999995</v>
      </c>
      <c r="D147" s="5">
        <v>85</v>
      </c>
      <c r="E147" s="5">
        <v>88.58</v>
      </c>
      <c r="F147" s="6">
        <v>21097860</v>
      </c>
    </row>
    <row r="148" spans="1:6" x14ac:dyDescent="0.2">
      <c r="A148" s="4">
        <v>44680</v>
      </c>
      <c r="B148" s="5">
        <v>88.66</v>
      </c>
      <c r="C148" s="5">
        <v>90.01</v>
      </c>
      <c r="D148" s="5">
        <v>88.084999999999994</v>
      </c>
      <c r="E148" s="5">
        <v>88.69</v>
      </c>
      <c r="F148" s="6">
        <v>15914160</v>
      </c>
    </row>
    <row r="149" spans="1:6" x14ac:dyDescent="0.2">
      <c r="A149" s="4">
        <v>44683</v>
      </c>
      <c r="B149" s="5">
        <v>88.72</v>
      </c>
      <c r="C149" s="5">
        <v>88.84</v>
      </c>
      <c r="D149" s="5">
        <v>86.63</v>
      </c>
      <c r="E149" s="5">
        <v>87.65</v>
      </c>
      <c r="F149" s="6">
        <v>12124950</v>
      </c>
    </row>
    <row r="150" spans="1:6" x14ac:dyDescent="0.2">
      <c r="A150" s="4">
        <v>44684</v>
      </c>
      <c r="B150" s="5">
        <v>86.99</v>
      </c>
      <c r="C150" s="5">
        <v>88.24</v>
      </c>
      <c r="D150" s="5">
        <v>86.43</v>
      </c>
      <c r="E150" s="5">
        <v>87.1</v>
      </c>
      <c r="F150" s="6">
        <v>8425755</v>
      </c>
    </row>
    <row r="151" spans="1:6" x14ac:dyDescent="0.2">
      <c r="A151" s="4">
        <v>44685</v>
      </c>
      <c r="B151" s="5">
        <v>86.57</v>
      </c>
      <c r="C151" s="5">
        <v>88.77</v>
      </c>
      <c r="D151" s="5">
        <v>86.36</v>
      </c>
      <c r="E151" s="5">
        <v>88.52</v>
      </c>
      <c r="F151" s="6">
        <v>10763480</v>
      </c>
    </row>
    <row r="152" spans="1:6" x14ac:dyDescent="0.2">
      <c r="A152" s="4">
        <v>44686</v>
      </c>
      <c r="B152" s="5">
        <v>88.42</v>
      </c>
      <c r="C152" s="5">
        <v>88.66</v>
      </c>
      <c r="D152" s="5">
        <v>87.03</v>
      </c>
      <c r="E152" s="5">
        <v>88.01</v>
      </c>
      <c r="F152" s="6">
        <v>9548286</v>
      </c>
    </row>
    <row r="153" spans="1:6" x14ac:dyDescent="0.2">
      <c r="A153" s="4">
        <v>44687</v>
      </c>
      <c r="B153" s="5">
        <v>87.74</v>
      </c>
      <c r="C153" s="5">
        <v>88.92</v>
      </c>
      <c r="D153" s="5">
        <v>87.480900000000005</v>
      </c>
      <c r="E153" s="5">
        <v>88.39</v>
      </c>
      <c r="F153" s="6">
        <v>12227370</v>
      </c>
    </row>
    <row r="154" spans="1:6" x14ac:dyDescent="0.2">
      <c r="A154" s="4">
        <v>44690</v>
      </c>
      <c r="B154" s="5">
        <v>87.5</v>
      </c>
      <c r="C154" s="5">
        <v>88.06</v>
      </c>
      <c r="D154" s="5">
        <v>86.91</v>
      </c>
      <c r="E154" s="5">
        <v>87.64</v>
      </c>
      <c r="F154" s="6">
        <v>11901500</v>
      </c>
    </row>
    <row r="155" spans="1:6" x14ac:dyDescent="0.2">
      <c r="A155" s="4">
        <v>44691</v>
      </c>
      <c r="B155" s="5">
        <v>88.12</v>
      </c>
      <c r="C155" s="5">
        <v>89.29</v>
      </c>
      <c r="D155" s="5">
        <v>87.27</v>
      </c>
      <c r="E155" s="5">
        <v>87.81</v>
      </c>
      <c r="F155" s="6">
        <v>12370800</v>
      </c>
    </row>
    <row r="156" spans="1:6" x14ac:dyDescent="0.2">
      <c r="A156" s="4">
        <v>44692</v>
      </c>
      <c r="B156" s="5">
        <v>87.42</v>
      </c>
      <c r="C156" s="5">
        <v>90.81</v>
      </c>
      <c r="D156" s="5">
        <v>87.42</v>
      </c>
      <c r="E156" s="5">
        <v>89.19</v>
      </c>
      <c r="F156" s="6">
        <v>16338580</v>
      </c>
    </row>
    <row r="157" spans="1:6" x14ac:dyDescent="0.2">
      <c r="A157" s="4">
        <v>44693</v>
      </c>
      <c r="B157" s="5">
        <v>89.85</v>
      </c>
      <c r="C157" s="5">
        <v>90.85</v>
      </c>
      <c r="D157" s="5">
        <v>88.36</v>
      </c>
      <c r="E157" s="5">
        <v>90.83</v>
      </c>
      <c r="F157" s="6">
        <v>14210200</v>
      </c>
    </row>
    <row r="158" spans="1:6" x14ac:dyDescent="0.2">
      <c r="A158" s="4">
        <v>44694</v>
      </c>
      <c r="B158" s="5">
        <v>90.7</v>
      </c>
      <c r="C158" s="5">
        <v>91.05</v>
      </c>
      <c r="D158" s="5">
        <v>89.263900000000007</v>
      </c>
      <c r="E158" s="5">
        <v>90.41</v>
      </c>
      <c r="F158" s="6">
        <v>10308070</v>
      </c>
    </row>
    <row r="159" spans="1:6" x14ac:dyDescent="0.2">
      <c r="A159" s="4">
        <v>44697</v>
      </c>
      <c r="B159" s="5">
        <v>90.79</v>
      </c>
      <c r="C159" s="5">
        <v>92.87</v>
      </c>
      <c r="D159" s="5">
        <v>90.68</v>
      </c>
      <c r="E159" s="5">
        <v>92.32</v>
      </c>
      <c r="F159" s="6">
        <v>13999040</v>
      </c>
    </row>
    <row r="160" spans="1:6" x14ac:dyDescent="0.2">
      <c r="A160" s="4">
        <v>44698</v>
      </c>
      <c r="B160" s="5">
        <v>92.31</v>
      </c>
      <c r="C160" s="5">
        <v>94.56</v>
      </c>
      <c r="D160" s="5">
        <v>91.51</v>
      </c>
      <c r="E160" s="5">
        <v>93</v>
      </c>
      <c r="F160" s="6">
        <v>17582780</v>
      </c>
    </row>
    <row r="161" spans="1:6" x14ac:dyDescent="0.2">
      <c r="A161" s="4">
        <v>44699</v>
      </c>
      <c r="B161" s="5">
        <v>92.56</v>
      </c>
      <c r="C161" s="5">
        <v>93.16</v>
      </c>
      <c r="D161" s="5">
        <v>91.77</v>
      </c>
      <c r="E161" s="5">
        <v>92.1</v>
      </c>
      <c r="F161" s="6">
        <v>12717630</v>
      </c>
    </row>
    <row r="162" spans="1:6" x14ac:dyDescent="0.2">
      <c r="A162" s="4">
        <v>44700</v>
      </c>
      <c r="B162" s="5">
        <v>91.25</v>
      </c>
      <c r="C162" s="5">
        <v>92.61</v>
      </c>
      <c r="D162" s="5">
        <v>90.88</v>
      </c>
      <c r="E162" s="5">
        <v>92.09</v>
      </c>
      <c r="F162" s="6">
        <v>11121550</v>
      </c>
    </row>
    <row r="163" spans="1:6" x14ac:dyDescent="0.2">
      <c r="A163" s="4">
        <v>44701</v>
      </c>
      <c r="B163" s="5">
        <v>92.45</v>
      </c>
      <c r="C163" s="5">
        <v>94.08</v>
      </c>
      <c r="D163" s="5">
        <v>92.45</v>
      </c>
      <c r="E163" s="5">
        <v>93.55</v>
      </c>
      <c r="F163" s="6">
        <v>11757110</v>
      </c>
    </row>
    <row r="164" spans="1:6" x14ac:dyDescent="0.2">
      <c r="A164" s="4">
        <v>44704</v>
      </c>
      <c r="B164" s="5">
        <v>93.59</v>
      </c>
      <c r="C164" s="5">
        <v>94.92</v>
      </c>
      <c r="D164" s="5">
        <v>93.4</v>
      </c>
      <c r="E164" s="5">
        <v>93.83</v>
      </c>
      <c r="F164" s="6">
        <v>9067012</v>
      </c>
    </row>
    <row r="165" spans="1:6" x14ac:dyDescent="0.2">
      <c r="A165" s="4">
        <v>44705</v>
      </c>
      <c r="B165" s="5">
        <v>94.25</v>
      </c>
      <c r="C165" s="5">
        <v>94.8</v>
      </c>
      <c r="D165" s="5">
        <v>93.564999999999998</v>
      </c>
      <c r="E165" s="5">
        <v>94.64</v>
      </c>
      <c r="F165" s="6">
        <v>9020989</v>
      </c>
    </row>
    <row r="166" spans="1:6" x14ac:dyDescent="0.2">
      <c r="A166" s="4">
        <v>44706</v>
      </c>
      <c r="B166" s="5">
        <v>94.36</v>
      </c>
      <c r="C166" s="5">
        <v>94.754999999999995</v>
      </c>
      <c r="D166" s="5">
        <v>93.14</v>
      </c>
      <c r="E166" s="5">
        <v>93.75</v>
      </c>
      <c r="F166" s="6">
        <v>11177680</v>
      </c>
    </row>
    <row r="167" spans="1:6" x14ac:dyDescent="0.2">
      <c r="A167" s="4">
        <v>44707</v>
      </c>
      <c r="B167" s="5">
        <v>94.24</v>
      </c>
      <c r="C167" s="5">
        <v>94.25</v>
      </c>
      <c r="D167" s="5">
        <v>91</v>
      </c>
      <c r="E167" s="5">
        <v>92.31</v>
      </c>
      <c r="F167" s="6">
        <v>17249480</v>
      </c>
    </row>
    <row r="168" spans="1:6" x14ac:dyDescent="0.2">
      <c r="A168" s="4">
        <v>44708</v>
      </c>
      <c r="B168" s="5">
        <v>92.28</v>
      </c>
      <c r="C168" s="5">
        <v>93.11</v>
      </c>
      <c r="D168" s="5">
        <v>91.75</v>
      </c>
      <c r="E168" s="5">
        <v>93.08</v>
      </c>
      <c r="F168" s="6">
        <v>9801988</v>
      </c>
    </row>
    <row r="169" spans="1:6" x14ac:dyDescent="0.2">
      <c r="A169" s="4">
        <v>44712</v>
      </c>
      <c r="B169" s="5">
        <v>91.91</v>
      </c>
      <c r="C169" s="5">
        <v>92.62</v>
      </c>
      <c r="D169" s="5">
        <v>90.87</v>
      </c>
      <c r="E169" s="5">
        <v>92.03</v>
      </c>
      <c r="F169" s="6">
        <v>22860770</v>
      </c>
    </row>
    <row r="170" spans="1:6" x14ac:dyDescent="0.2">
      <c r="A170" s="4">
        <v>44713</v>
      </c>
      <c r="B170" s="5">
        <v>91.67</v>
      </c>
      <c r="C170" s="5">
        <v>91.93</v>
      </c>
      <c r="D170" s="5">
        <v>90.04</v>
      </c>
      <c r="E170" s="5">
        <v>91.14</v>
      </c>
      <c r="F170" s="6">
        <v>10492640</v>
      </c>
    </row>
    <row r="171" spans="1:6" x14ac:dyDescent="0.2">
      <c r="A171" s="4">
        <v>44714</v>
      </c>
      <c r="B171" s="5">
        <v>91.13</v>
      </c>
      <c r="C171" s="5">
        <v>91.14</v>
      </c>
      <c r="D171" s="5">
        <v>88.74</v>
      </c>
      <c r="E171" s="5">
        <v>90</v>
      </c>
      <c r="F171" s="6">
        <v>11066230</v>
      </c>
    </row>
    <row r="172" spans="1:6" x14ac:dyDescent="0.2">
      <c r="A172" s="4">
        <v>44715</v>
      </c>
      <c r="B172" s="5">
        <v>89.74</v>
      </c>
      <c r="C172" s="5">
        <v>90.68</v>
      </c>
      <c r="D172" s="5">
        <v>89.68</v>
      </c>
      <c r="E172" s="5">
        <v>89.91</v>
      </c>
      <c r="F172" s="6">
        <v>7051596</v>
      </c>
    </row>
    <row r="173" spans="1:6" x14ac:dyDescent="0.2">
      <c r="A173" s="4">
        <v>44718</v>
      </c>
      <c r="B173" s="5">
        <v>90.17</v>
      </c>
      <c r="C173" s="5">
        <v>90.655000000000001</v>
      </c>
      <c r="D173" s="5">
        <v>89.69</v>
      </c>
      <c r="E173" s="5">
        <v>89.84</v>
      </c>
      <c r="F173" s="6">
        <v>8336893</v>
      </c>
    </row>
    <row r="174" spans="1:6" x14ac:dyDescent="0.2">
      <c r="A174" s="4">
        <v>44719</v>
      </c>
      <c r="B174" s="5">
        <v>90.15</v>
      </c>
      <c r="C174" s="5">
        <v>90.82</v>
      </c>
      <c r="D174" s="5">
        <v>89.58</v>
      </c>
      <c r="E174" s="5">
        <v>90.48</v>
      </c>
      <c r="F174" s="6">
        <v>10243290</v>
      </c>
    </row>
    <row r="175" spans="1:6" x14ac:dyDescent="0.2">
      <c r="A175" s="4">
        <v>44720</v>
      </c>
      <c r="B175" s="5">
        <v>90.58</v>
      </c>
      <c r="C175" s="5">
        <v>90.644999999999996</v>
      </c>
      <c r="D175" s="5">
        <v>89.265000000000001</v>
      </c>
      <c r="E175" s="5">
        <v>89.48</v>
      </c>
      <c r="F175" s="6">
        <v>10266160</v>
      </c>
    </row>
    <row r="176" spans="1:6" x14ac:dyDescent="0.2">
      <c r="A176" s="4">
        <v>44721</v>
      </c>
      <c r="B176" s="5">
        <v>89.25</v>
      </c>
      <c r="C176" s="5">
        <v>89.784999999999997</v>
      </c>
      <c r="D176" s="5">
        <v>87.92</v>
      </c>
      <c r="E176" s="5">
        <v>88</v>
      </c>
      <c r="F176" s="6">
        <v>7381312</v>
      </c>
    </row>
    <row r="177" spans="1:6" x14ac:dyDescent="0.2">
      <c r="A177" s="4">
        <v>44722</v>
      </c>
      <c r="B177" s="5">
        <v>87.17</v>
      </c>
      <c r="C177" s="5">
        <v>88.04</v>
      </c>
      <c r="D177" s="5">
        <v>86.71</v>
      </c>
      <c r="E177" s="5">
        <v>87.18</v>
      </c>
      <c r="F177" s="6">
        <v>8862136</v>
      </c>
    </row>
    <row r="178" spans="1:6" x14ac:dyDescent="0.2">
      <c r="A178" s="4">
        <v>44725</v>
      </c>
      <c r="B178" s="5">
        <v>85.71</v>
      </c>
      <c r="C178" s="5">
        <v>86.51</v>
      </c>
      <c r="D178" s="5">
        <v>84.63</v>
      </c>
      <c r="E178" s="5">
        <v>85</v>
      </c>
      <c r="F178" s="6">
        <v>12016130</v>
      </c>
    </row>
    <row r="179" spans="1:6" x14ac:dyDescent="0.2">
      <c r="A179" s="4">
        <v>44726</v>
      </c>
      <c r="B179" s="5">
        <v>84.77</v>
      </c>
      <c r="C179" s="5">
        <v>85.04</v>
      </c>
      <c r="D179" s="5">
        <v>83.87</v>
      </c>
      <c r="E179" s="5">
        <v>84.5</v>
      </c>
      <c r="F179" s="6">
        <v>11226990</v>
      </c>
    </row>
    <row r="180" spans="1:6" x14ac:dyDescent="0.2">
      <c r="A180" s="4">
        <v>44727</v>
      </c>
      <c r="B180" s="5">
        <v>84.56</v>
      </c>
      <c r="C180" s="5">
        <v>85.364999999999995</v>
      </c>
      <c r="D180" s="5">
        <v>83.75</v>
      </c>
      <c r="E180" s="5">
        <v>84.63</v>
      </c>
      <c r="F180" s="6">
        <v>11357090</v>
      </c>
    </row>
    <row r="181" spans="1:6" x14ac:dyDescent="0.2">
      <c r="A181" s="4">
        <v>44728</v>
      </c>
      <c r="B181" s="5">
        <v>83.77</v>
      </c>
      <c r="C181" s="5">
        <v>85.19</v>
      </c>
      <c r="D181" s="5">
        <v>83.05</v>
      </c>
      <c r="E181" s="5">
        <v>84.89</v>
      </c>
      <c r="F181" s="6">
        <v>12925200</v>
      </c>
    </row>
    <row r="182" spans="1:6" x14ac:dyDescent="0.2">
      <c r="A182" s="4">
        <v>44729</v>
      </c>
      <c r="B182" s="5">
        <v>84.64</v>
      </c>
      <c r="C182" s="5">
        <v>85.76</v>
      </c>
      <c r="D182" s="5">
        <v>83.39</v>
      </c>
      <c r="E182" s="5">
        <v>84.62</v>
      </c>
      <c r="F182" s="6">
        <v>32989060</v>
      </c>
    </row>
    <row r="183" spans="1:6" x14ac:dyDescent="0.2">
      <c r="A183" s="4">
        <v>44733</v>
      </c>
      <c r="B183" s="5">
        <v>86.05</v>
      </c>
      <c r="C183" s="5">
        <v>88.36</v>
      </c>
      <c r="D183" s="5">
        <v>85.27</v>
      </c>
      <c r="E183" s="5">
        <v>88.03</v>
      </c>
      <c r="F183" s="6">
        <v>11778630</v>
      </c>
    </row>
    <row r="184" spans="1:6" x14ac:dyDescent="0.2">
      <c r="A184" s="4">
        <v>44734</v>
      </c>
      <c r="B184" s="5">
        <v>88.04</v>
      </c>
      <c r="C184" s="5">
        <v>90.34</v>
      </c>
      <c r="D184" s="5">
        <v>88.03</v>
      </c>
      <c r="E184" s="5">
        <v>89.16</v>
      </c>
      <c r="F184" s="6">
        <v>11937860</v>
      </c>
    </row>
    <row r="185" spans="1:6" x14ac:dyDescent="0.2">
      <c r="A185" s="4">
        <v>44735</v>
      </c>
      <c r="B185" s="5">
        <v>90</v>
      </c>
      <c r="C185" s="5">
        <v>92.15</v>
      </c>
      <c r="D185" s="5">
        <v>89.56</v>
      </c>
      <c r="E185" s="5">
        <v>92</v>
      </c>
      <c r="F185" s="6">
        <v>14718410</v>
      </c>
    </row>
    <row r="186" spans="1:6" x14ac:dyDescent="0.2">
      <c r="A186" s="4">
        <v>44736</v>
      </c>
      <c r="B186" s="5">
        <v>93.25</v>
      </c>
      <c r="C186" s="5">
        <v>93.79</v>
      </c>
      <c r="D186" s="5">
        <v>91.7</v>
      </c>
      <c r="E186" s="5">
        <v>93.13</v>
      </c>
      <c r="F186" s="6">
        <v>25248420</v>
      </c>
    </row>
    <row r="187" spans="1:6" x14ac:dyDescent="0.2">
      <c r="A187" s="4">
        <v>44739</v>
      </c>
      <c r="B187" s="5">
        <v>93.2</v>
      </c>
      <c r="C187" s="5">
        <v>95.72</v>
      </c>
      <c r="D187" s="5">
        <v>93.05</v>
      </c>
      <c r="E187" s="5">
        <v>94.41</v>
      </c>
      <c r="F187" s="6">
        <v>11949010</v>
      </c>
    </row>
    <row r="188" spans="1:6" x14ac:dyDescent="0.2">
      <c r="A188" s="4">
        <v>44740</v>
      </c>
      <c r="B188" s="5">
        <v>94.11</v>
      </c>
      <c r="C188" s="5">
        <v>94.33</v>
      </c>
      <c r="D188" s="5">
        <v>91.47</v>
      </c>
      <c r="E188" s="5">
        <v>91.89</v>
      </c>
      <c r="F188" s="6">
        <v>13524020</v>
      </c>
    </row>
    <row r="189" spans="1:6" x14ac:dyDescent="0.2">
      <c r="A189" s="4">
        <v>44741</v>
      </c>
      <c r="B189" s="5">
        <v>92.31</v>
      </c>
      <c r="C189" s="5">
        <v>92.98</v>
      </c>
      <c r="D189" s="5">
        <v>91.887500000000003</v>
      </c>
      <c r="E189" s="5">
        <v>92.51</v>
      </c>
      <c r="F189" s="6">
        <v>8657054</v>
      </c>
    </row>
    <row r="190" spans="1:6" x14ac:dyDescent="0.2">
      <c r="A190" s="4">
        <v>44742</v>
      </c>
      <c r="B190" s="5">
        <v>91.65</v>
      </c>
      <c r="C190" s="5">
        <v>92.9</v>
      </c>
      <c r="D190" s="5">
        <v>90.91</v>
      </c>
      <c r="E190" s="5">
        <v>91.17</v>
      </c>
      <c r="F190" s="6">
        <v>18551430</v>
      </c>
    </row>
    <row r="191" spans="1:6" x14ac:dyDescent="0.2">
      <c r="A191" s="4">
        <v>44743</v>
      </c>
      <c r="B191" s="5">
        <v>91.3</v>
      </c>
      <c r="C191" s="5">
        <v>92.49</v>
      </c>
      <c r="D191" s="5">
        <v>90.385000000000005</v>
      </c>
      <c r="E191" s="5">
        <v>92.42</v>
      </c>
      <c r="F191" s="6">
        <v>11413770</v>
      </c>
    </row>
    <row r="192" spans="1:6" x14ac:dyDescent="0.2">
      <c r="A192" s="4">
        <v>44747</v>
      </c>
      <c r="B192" s="5">
        <v>92.44</v>
      </c>
      <c r="C192" s="5">
        <v>92.95</v>
      </c>
      <c r="D192" s="5">
        <v>90.53</v>
      </c>
      <c r="E192" s="5">
        <v>92.64</v>
      </c>
      <c r="F192" s="6">
        <v>9576118</v>
      </c>
    </row>
    <row r="193" spans="1:6" x14ac:dyDescent="0.2">
      <c r="A193" s="4">
        <v>44748</v>
      </c>
      <c r="B193" s="5">
        <v>93.31</v>
      </c>
      <c r="C193" s="5">
        <v>94.509900000000002</v>
      </c>
      <c r="D193" s="5">
        <v>92.7</v>
      </c>
      <c r="E193" s="5">
        <v>93.13</v>
      </c>
      <c r="F193" s="6">
        <v>10455340</v>
      </c>
    </row>
    <row r="194" spans="1:6" x14ac:dyDescent="0.2">
      <c r="A194" s="4">
        <v>44749</v>
      </c>
      <c r="B194" s="5">
        <v>92.94</v>
      </c>
      <c r="C194" s="5">
        <v>93.95</v>
      </c>
      <c r="D194" s="5">
        <v>92.55</v>
      </c>
      <c r="E194" s="5">
        <v>93.01</v>
      </c>
      <c r="F194" s="6">
        <v>8140093</v>
      </c>
    </row>
    <row r="195" spans="1:6" x14ac:dyDescent="0.2">
      <c r="A195" s="4">
        <v>44750</v>
      </c>
      <c r="B195" s="5">
        <v>92.91</v>
      </c>
      <c r="C195" s="5">
        <v>93.814999999999998</v>
      </c>
      <c r="D195" s="5">
        <v>92.41</v>
      </c>
      <c r="E195" s="5">
        <v>92.78</v>
      </c>
      <c r="F195" s="6">
        <v>7161691</v>
      </c>
    </row>
    <row r="196" spans="1:6" x14ac:dyDescent="0.2">
      <c r="A196" s="4">
        <v>44753</v>
      </c>
      <c r="B196" s="5">
        <v>92.88</v>
      </c>
      <c r="C196" s="5">
        <v>94.78</v>
      </c>
      <c r="D196" s="5">
        <v>92.83</v>
      </c>
      <c r="E196" s="5">
        <v>94.3</v>
      </c>
      <c r="F196" s="6">
        <v>9508992</v>
      </c>
    </row>
    <row r="197" spans="1:6" x14ac:dyDescent="0.2">
      <c r="A197" s="4">
        <v>44754</v>
      </c>
      <c r="B197" s="5">
        <v>93.78</v>
      </c>
      <c r="C197" s="5">
        <v>94.24</v>
      </c>
      <c r="D197" s="5">
        <v>93.14</v>
      </c>
      <c r="E197" s="5">
        <v>93.6</v>
      </c>
      <c r="F197" s="6">
        <v>7826543</v>
      </c>
    </row>
    <row r="198" spans="1:6" x14ac:dyDescent="0.2">
      <c r="A198" s="4">
        <v>44755</v>
      </c>
      <c r="B198" s="5">
        <v>93.59</v>
      </c>
      <c r="C198" s="5">
        <v>94.359899999999996</v>
      </c>
      <c r="D198" s="5">
        <v>93.02</v>
      </c>
      <c r="E198" s="5">
        <v>93.77</v>
      </c>
      <c r="F198" s="6">
        <v>6415637</v>
      </c>
    </row>
    <row r="199" spans="1:6" x14ac:dyDescent="0.2">
      <c r="A199" s="4">
        <v>44756</v>
      </c>
      <c r="B199" s="5">
        <v>92.55</v>
      </c>
      <c r="C199" s="5">
        <v>94.055000000000007</v>
      </c>
      <c r="D199" s="5">
        <v>92.06</v>
      </c>
      <c r="E199" s="5">
        <v>93.88</v>
      </c>
      <c r="F199" s="6">
        <v>6270976</v>
      </c>
    </row>
    <row r="200" spans="1:6" x14ac:dyDescent="0.2">
      <c r="A200" s="4">
        <v>44757</v>
      </c>
      <c r="B200" s="5">
        <v>94.85</v>
      </c>
      <c r="C200" s="5">
        <v>95.35</v>
      </c>
      <c r="D200" s="5">
        <v>94.37</v>
      </c>
      <c r="E200" s="5">
        <v>94.96</v>
      </c>
      <c r="F200" s="6">
        <v>9731879</v>
      </c>
    </row>
    <row r="201" spans="1:6" x14ac:dyDescent="0.2">
      <c r="A201" s="4">
        <v>44760</v>
      </c>
      <c r="B201" s="5">
        <v>94.9</v>
      </c>
      <c r="C201" s="5">
        <v>95.1</v>
      </c>
      <c r="D201" s="5">
        <v>91.92</v>
      </c>
      <c r="E201" s="5">
        <v>92.34</v>
      </c>
      <c r="F201" s="6">
        <v>8653654</v>
      </c>
    </row>
    <row r="202" spans="1:6" x14ac:dyDescent="0.2">
      <c r="A202" s="4">
        <v>44761</v>
      </c>
      <c r="B202" s="5">
        <v>93.15</v>
      </c>
      <c r="C202" s="5">
        <v>93.39</v>
      </c>
      <c r="D202" s="5">
        <v>92.12</v>
      </c>
      <c r="E202" s="5">
        <v>92.36</v>
      </c>
      <c r="F202" s="6">
        <v>8233636</v>
      </c>
    </row>
    <row r="203" spans="1:6" x14ac:dyDescent="0.2">
      <c r="A203" s="4">
        <v>44762</v>
      </c>
      <c r="B203" s="5">
        <v>92.36</v>
      </c>
      <c r="C203" s="5">
        <v>92.424999999999997</v>
      </c>
      <c r="D203" s="5">
        <v>89.22</v>
      </c>
      <c r="E203" s="5">
        <v>89.65</v>
      </c>
      <c r="F203" s="6">
        <v>11844020</v>
      </c>
    </row>
    <row r="204" spans="1:6" x14ac:dyDescent="0.2">
      <c r="A204" s="4">
        <v>44763</v>
      </c>
      <c r="B204" s="5">
        <v>89.15</v>
      </c>
      <c r="C204" s="5">
        <v>90.41</v>
      </c>
      <c r="D204" s="5">
        <v>88.91</v>
      </c>
      <c r="E204" s="5">
        <v>90.14</v>
      </c>
      <c r="F204" s="6">
        <v>8197208</v>
      </c>
    </row>
    <row r="205" spans="1:6" x14ac:dyDescent="0.2">
      <c r="A205" s="4">
        <v>44764</v>
      </c>
      <c r="B205" s="5">
        <v>90.11</v>
      </c>
      <c r="C205" s="5">
        <v>90.45</v>
      </c>
      <c r="D205" s="5">
        <v>89.454999999999998</v>
      </c>
      <c r="E205" s="5">
        <v>90.11</v>
      </c>
      <c r="F205" s="6">
        <v>6354709</v>
      </c>
    </row>
    <row r="206" spans="1:6" x14ac:dyDescent="0.2">
      <c r="A206" s="4">
        <v>44767</v>
      </c>
      <c r="B206" s="5">
        <v>90.2</v>
      </c>
      <c r="C206" s="5">
        <v>90.728999999999999</v>
      </c>
      <c r="D206" s="5">
        <v>89.75</v>
      </c>
      <c r="E206" s="5">
        <v>90.53</v>
      </c>
      <c r="F206" s="6">
        <v>6364514</v>
      </c>
    </row>
    <row r="207" spans="1:6" x14ac:dyDescent="0.2">
      <c r="A207" s="4">
        <v>44768</v>
      </c>
      <c r="B207" s="5">
        <v>91.4</v>
      </c>
      <c r="C207" s="5">
        <v>91.95</v>
      </c>
      <c r="D207" s="5">
        <v>90.6</v>
      </c>
      <c r="E207" s="5">
        <v>91.29</v>
      </c>
      <c r="F207" s="6">
        <v>6414143</v>
      </c>
    </row>
    <row r="208" spans="1:6" x14ac:dyDescent="0.2">
      <c r="A208" s="4">
        <v>44769</v>
      </c>
      <c r="B208" s="5">
        <v>90.5</v>
      </c>
      <c r="C208" s="5">
        <v>91.37</v>
      </c>
      <c r="D208" s="5">
        <v>90.01</v>
      </c>
      <c r="E208" s="5">
        <v>91.23</v>
      </c>
      <c r="F208" s="6">
        <v>6966277</v>
      </c>
    </row>
    <row r="209" spans="1:6" x14ac:dyDescent="0.2">
      <c r="A209" s="4">
        <v>44770</v>
      </c>
      <c r="B209" s="5">
        <v>91.04</v>
      </c>
      <c r="C209" s="5">
        <v>91.13</v>
      </c>
      <c r="D209" s="5">
        <v>87.42</v>
      </c>
      <c r="E209" s="5">
        <v>89.94</v>
      </c>
      <c r="F209" s="6">
        <v>13909820</v>
      </c>
    </row>
    <row r="210" spans="1:6" x14ac:dyDescent="0.2">
      <c r="A210" s="4">
        <v>44771</v>
      </c>
      <c r="B210" s="5">
        <v>90.075000000000003</v>
      </c>
      <c r="C210" s="5">
        <v>91.08</v>
      </c>
      <c r="D210" s="5">
        <v>88.28</v>
      </c>
      <c r="E210" s="5">
        <v>89.34</v>
      </c>
      <c r="F210" s="6">
        <v>14938570</v>
      </c>
    </row>
    <row r="211" spans="1:6" x14ac:dyDescent="0.2">
      <c r="A211" s="4">
        <v>44774</v>
      </c>
      <c r="B211" s="5">
        <v>89.34</v>
      </c>
      <c r="C211" s="5">
        <v>90.015000000000001</v>
      </c>
      <c r="D211" s="5">
        <v>88.35</v>
      </c>
      <c r="E211" s="5">
        <v>88.53</v>
      </c>
      <c r="F211" s="6">
        <v>7343370</v>
      </c>
    </row>
    <row r="212" spans="1:6" x14ac:dyDescent="0.2">
      <c r="A212" s="4">
        <v>44775</v>
      </c>
      <c r="B212" s="5">
        <v>89.06</v>
      </c>
      <c r="C212" s="5">
        <v>89.59</v>
      </c>
      <c r="D212" s="5">
        <v>87.55</v>
      </c>
      <c r="E212" s="5">
        <v>87.61</v>
      </c>
      <c r="F212" s="6">
        <v>7442984</v>
      </c>
    </row>
    <row r="213" spans="1:6" x14ac:dyDescent="0.2">
      <c r="A213" s="4">
        <v>44776</v>
      </c>
      <c r="B213" s="5">
        <v>87.25</v>
      </c>
      <c r="C213" s="5">
        <v>88.015000000000001</v>
      </c>
      <c r="D213" s="5">
        <v>86.76</v>
      </c>
      <c r="E213" s="5">
        <v>87.62</v>
      </c>
      <c r="F213" s="6">
        <v>8187599</v>
      </c>
    </row>
    <row r="214" spans="1:6" x14ac:dyDescent="0.2">
      <c r="A214" s="4">
        <v>44777</v>
      </c>
      <c r="B214" s="5">
        <v>87.81</v>
      </c>
      <c r="C214" s="5">
        <v>87.89</v>
      </c>
      <c r="D214" s="5">
        <v>86.64</v>
      </c>
      <c r="E214" s="5">
        <v>86.82</v>
      </c>
      <c r="F214" s="6">
        <v>7993784</v>
      </c>
    </row>
    <row r="215" spans="1:6" x14ac:dyDescent="0.2">
      <c r="A215" s="4">
        <v>44778</v>
      </c>
      <c r="B215" s="5">
        <v>86.53</v>
      </c>
      <c r="C215" s="5">
        <v>87.53</v>
      </c>
      <c r="D215" s="5">
        <v>86.02</v>
      </c>
      <c r="E215" s="5">
        <v>87.41</v>
      </c>
      <c r="F215" s="6">
        <v>8801196</v>
      </c>
    </row>
    <row r="216" spans="1:6" x14ac:dyDescent="0.2">
      <c r="A216" s="4">
        <v>44781</v>
      </c>
      <c r="B216" s="5">
        <v>87.3</v>
      </c>
      <c r="C216" s="5">
        <v>88.779799999999994</v>
      </c>
      <c r="D216" s="5">
        <v>86.92</v>
      </c>
      <c r="E216" s="5">
        <v>88.49</v>
      </c>
      <c r="F216" s="6">
        <v>8151171</v>
      </c>
    </row>
    <row r="217" spans="1:6" x14ac:dyDescent="0.2">
      <c r="A217" s="4">
        <v>44782</v>
      </c>
      <c r="B217" s="5">
        <v>88.75</v>
      </c>
      <c r="C217" s="5">
        <v>90.243399999999994</v>
      </c>
      <c r="D217" s="5">
        <v>86.81</v>
      </c>
      <c r="E217" s="5">
        <v>89.52</v>
      </c>
      <c r="F217" s="6">
        <v>13215460</v>
      </c>
    </row>
    <row r="218" spans="1:6" x14ac:dyDescent="0.2">
      <c r="A218" s="4">
        <v>44783</v>
      </c>
      <c r="B218" s="5">
        <v>90.03</v>
      </c>
      <c r="C218" s="5">
        <v>90.13</v>
      </c>
      <c r="D218" s="5">
        <v>88.185000000000002</v>
      </c>
      <c r="E218" s="5">
        <v>89.19</v>
      </c>
      <c r="F218" s="6">
        <v>8140239</v>
      </c>
    </row>
    <row r="219" spans="1:6" x14ac:dyDescent="0.2">
      <c r="A219" s="4">
        <v>44784</v>
      </c>
      <c r="B219" s="5">
        <v>87.81</v>
      </c>
      <c r="C219" s="5">
        <v>89.816500000000005</v>
      </c>
      <c r="D219" s="5">
        <v>87.36</v>
      </c>
      <c r="E219" s="5">
        <v>88.93</v>
      </c>
      <c r="F219" s="6">
        <v>7396827</v>
      </c>
    </row>
    <row r="220" spans="1:6" x14ac:dyDescent="0.2">
      <c r="A220" s="4">
        <v>44785</v>
      </c>
      <c r="B220" s="5">
        <v>88.99</v>
      </c>
      <c r="C220" s="5">
        <v>91.03</v>
      </c>
      <c r="D220" s="5">
        <v>88.95</v>
      </c>
      <c r="E220" s="5">
        <v>91.02</v>
      </c>
      <c r="F220" s="6">
        <v>12317660</v>
      </c>
    </row>
    <row r="221" spans="1:6" x14ac:dyDescent="0.2">
      <c r="A221" s="4">
        <v>44788</v>
      </c>
      <c r="B221" s="5">
        <v>90.825000000000003</v>
      </c>
      <c r="C221" s="5">
        <v>90.84</v>
      </c>
      <c r="D221" s="5">
        <v>89.89</v>
      </c>
      <c r="E221" s="5">
        <v>90.6</v>
      </c>
      <c r="F221" s="6">
        <v>6339835</v>
      </c>
    </row>
    <row r="222" spans="1:6" x14ac:dyDescent="0.2">
      <c r="A222" s="4">
        <v>44789</v>
      </c>
      <c r="B222" s="5">
        <v>89.96</v>
      </c>
      <c r="C222" s="5">
        <v>90.9</v>
      </c>
      <c r="D222" s="5">
        <v>89.87</v>
      </c>
      <c r="E222" s="5">
        <v>90.59</v>
      </c>
      <c r="F222" s="6">
        <v>5661371</v>
      </c>
    </row>
    <row r="223" spans="1:6" x14ac:dyDescent="0.2">
      <c r="A223" s="4">
        <v>44790</v>
      </c>
      <c r="B223" s="5">
        <v>90.34</v>
      </c>
      <c r="C223" s="5">
        <v>91.89</v>
      </c>
      <c r="D223" s="5">
        <v>90.3</v>
      </c>
      <c r="E223" s="5">
        <v>91.04</v>
      </c>
      <c r="F223" s="6">
        <v>6485998</v>
      </c>
    </row>
    <row r="224" spans="1:6" x14ac:dyDescent="0.2">
      <c r="A224" s="4">
        <v>44791</v>
      </c>
      <c r="B224" s="5">
        <v>91.5</v>
      </c>
      <c r="C224" s="5">
        <v>91.834999999999994</v>
      </c>
      <c r="D224" s="5">
        <v>90.53</v>
      </c>
      <c r="E224" s="5">
        <v>91.4</v>
      </c>
      <c r="F224" s="6">
        <v>6111608</v>
      </c>
    </row>
    <row r="225" spans="1:6" x14ac:dyDescent="0.2">
      <c r="A225" s="4">
        <v>44792</v>
      </c>
      <c r="B225" s="5">
        <v>91.55</v>
      </c>
      <c r="C225" s="5">
        <v>93.02</v>
      </c>
      <c r="D225" s="5">
        <v>91.53</v>
      </c>
      <c r="E225" s="5">
        <v>92.08</v>
      </c>
      <c r="F225" s="6">
        <v>8828912</v>
      </c>
    </row>
    <row r="226" spans="1:6" x14ac:dyDescent="0.2">
      <c r="A226" s="4">
        <v>44795</v>
      </c>
      <c r="B226" s="5">
        <v>91.805000000000007</v>
      </c>
      <c r="C226" s="5">
        <v>92.22</v>
      </c>
      <c r="D226" s="5">
        <v>91.01</v>
      </c>
      <c r="E226" s="5">
        <v>91.16</v>
      </c>
      <c r="F226" s="6">
        <v>6652090</v>
      </c>
    </row>
    <row r="227" spans="1:6" x14ac:dyDescent="0.2">
      <c r="A227" s="4">
        <v>44796</v>
      </c>
      <c r="B227" s="5">
        <v>90.88</v>
      </c>
      <c r="C227" s="5">
        <v>90.99</v>
      </c>
      <c r="D227" s="5">
        <v>89.715000000000003</v>
      </c>
      <c r="E227" s="5">
        <v>90.2</v>
      </c>
      <c r="F227" s="6">
        <v>5209038</v>
      </c>
    </row>
    <row r="228" spans="1:6" x14ac:dyDescent="0.2">
      <c r="A228" s="4">
        <v>44797</v>
      </c>
      <c r="B228" s="5">
        <v>90.2</v>
      </c>
      <c r="C228" s="5">
        <v>90.32</v>
      </c>
      <c r="D228" s="5">
        <v>89.543099999999995</v>
      </c>
      <c r="E228" s="5">
        <v>90.01</v>
      </c>
      <c r="F228" s="6">
        <v>5553318</v>
      </c>
    </row>
    <row r="229" spans="1:6" x14ac:dyDescent="0.2">
      <c r="A229" s="4">
        <v>44798</v>
      </c>
      <c r="B229" s="5">
        <v>90.504999999999995</v>
      </c>
      <c r="C229" s="5">
        <v>90.504999999999995</v>
      </c>
      <c r="D229" s="5">
        <v>89.07</v>
      </c>
      <c r="E229" s="5">
        <v>90.27</v>
      </c>
      <c r="F229" s="6">
        <v>5884260</v>
      </c>
    </row>
    <row r="230" spans="1:6" x14ac:dyDescent="0.2">
      <c r="A230" s="4">
        <v>44799</v>
      </c>
      <c r="B230" s="5">
        <v>90.28</v>
      </c>
      <c r="C230" s="5">
        <v>90.74</v>
      </c>
      <c r="D230" s="5">
        <v>89.09</v>
      </c>
      <c r="E230" s="5">
        <v>89.26</v>
      </c>
      <c r="F230" s="6">
        <v>5695502</v>
      </c>
    </row>
    <row r="231" spans="1:6" x14ac:dyDescent="0.2">
      <c r="A231" s="4">
        <v>44802</v>
      </c>
      <c r="B231" s="5">
        <v>88.83</v>
      </c>
      <c r="C231" s="5">
        <v>89</v>
      </c>
      <c r="D231" s="5">
        <v>87.56</v>
      </c>
      <c r="E231" s="5">
        <v>87.59</v>
      </c>
      <c r="F231" s="6">
        <v>7850226</v>
      </c>
    </row>
    <row r="232" spans="1:6" x14ac:dyDescent="0.2">
      <c r="A232" s="4">
        <v>44803</v>
      </c>
      <c r="B232" s="5">
        <v>87.47</v>
      </c>
      <c r="C232" s="5">
        <v>87.565100000000001</v>
      </c>
      <c r="D232" s="5">
        <v>86.58</v>
      </c>
      <c r="E232" s="5">
        <v>86.88</v>
      </c>
      <c r="F232" s="6">
        <v>6753997</v>
      </c>
    </row>
    <row r="233" spans="1:6" x14ac:dyDescent="0.2">
      <c r="A233" s="4">
        <v>44804</v>
      </c>
      <c r="B233" s="5">
        <v>87.04</v>
      </c>
      <c r="C233" s="5">
        <v>87.13</v>
      </c>
      <c r="D233" s="5">
        <v>85.16</v>
      </c>
      <c r="E233" s="5">
        <v>85.36</v>
      </c>
      <c r="F233" s="6">
        <v>11601970</v>
      </c>
    </row>
    <row r="234" spans="1:6" x14ac:dyDescent="0.2">
      <c r="A234" s="4">
        <v>44805</v>
      </c>
      <c r="B234" s="5">
        <v>85.64</v>
      </c>
      <c r="C234" s="5">
        <v>87.46</v>
      </c>
      <c r="D234" s="5">
        <v>85.36</v>
      </c>
      <c r="E234" s="5">
        <v>87.15</v>
      </c>
      <c r="F234" s="6">
        <v>7528627</v>
      </c>
    </row>
    <row r="235" spans="1:6" x14ac:dyDescent="0.2">
      <c r="A235" s="4">
        <v>44806</v>
      </c>
      <c r="B235" s="5">
        <v>87.24</v>
      </c>
      <c r="C235" s="5">
        <v>87.775000000000006</v>
      </c>
      <c r="D235" s="5">
        <v>85.875</v>
      </c>
      <c r="E235" s="5">
        <v>86.23</v>
      </c>
      <c r="F235" s="6">
        <v>6997519</v>
      </c>
    </row>
    <row r="236" spans="1:6" x14ac:dyDescent="0.2">
      <c r="A236" s="4">
        <v>44810</v>
      </c>
      <c r="B236" s="5">
        <v>86.58</v>
      </c>
      <c r="C236" s="5">
        <v>87.27</v>
      </c>
      <c r="D236" s="5">
        <v>86.16</v>
      </c>
      <c r="E236" s="5">
        <v>86.42</v>
      </c>
      <c r="F236" s="6">
        <v>8244266</v>
      </c>
    </row>
    <row r="237" spans="1:6" x14ac:dyDescent="0.2">
      <c r="A237" s="4">
        <v>44811</v>
      </c>
      <c r="B237" s="5">
        <v>86.56</v>
      </c>
      <c r="C237" s="5">
        <v>87</v>
      </c>
      <c r="D237" s="5">
        <v>85.07</v>
      </c>
      <c r="E237" s="5">
        <v>86.87</v>
      </c>
      <c r="F237" s="6">
        <v>6121660</v>
      </c>
    </row>
    <row r="238" spans="1:6" x14ac:dyDescent="0.2">
      <c r="A238" s="4">
        <v>44812</v>
      </c>
      <c r="B238" s="5">
        <v>86.5</v>
      </c>
      <c r="C238" s="5">
        <v>87.45</v>
      </c>
      <c r="D238" s="5">
        <v>86.13</v>
      </c>
      <c r="E238" s="5">
        <v>87.42</v>
      </c>
      <c r="F238" s="6">
        <v>8109379</v>
      </c>
    </row>
    <row r="239" spans="1:6" x14ac:dyDescent="0.2">
      <c r="A239" s="4">
        <v>44813</v>
      </c>
      <c r="B239" s="5">
        <v>87.59</v>
      </c>
      <c r="C239" s="5">
        <v>88.17</v>
      </c>
      <c r="D239" s="5">
        <v>87.27</v>
      </c>
      <c r="E239" s="5">
        <v>87.34</v>
      </c>
      <c r="F239" s="6">
        <v>7481322</v>
      </c>
    </row>
    <row r="240" spans="1:6" x14ac:dyDescent="0.2">
      <c r="A240" s="4">
        <v>44816</v>
      </c>
      <c r="B240" s="5">
        <v>88.13</v>
      </c>
      <c r="C240" s="5">
        <v>89.165000000000006</v>
      </c>
      <c r="D240" s="5">
        <v>87.82</v>
      </c>
      <c r="E240" s="5">
        <v>88.16</v>
      </c>
      <c r="F240" s="6">
        <v>6351490</v>
      </c>
    </row>
    <row r="241" spans="1:6" x14ac:dyDescent="0.2">
      <c r="A241" s="4">
        <v>44817</v>
      </c>
      <c r="B241" s="5">
        <v>87.32</v>
      </c>
      <c r="C241" s="5">
        <v>87.605000000000004</v>
      </c>
      <c r="D241" s="5">
        <v>86.11</v>
      </c>
      <c r="E241" s="5">
        <v>86.28</v>
      </c>
      <c r="F241" s="6">
        <v>7650025</v>
      </c>
    </row>
    <row r="242" spans="1:6" x14ac:dyDescent="0.2">
      <c r="A242" s="4">
        <v>44818</v>
      </c>
      <c r="B242" s="5">
        <v>87</v>
      </c>
      <c r="C242" s="5">
        <v>87.64</v>
      </c>
      <c r="D242" s="5">
        <v>86.38</v>
      </c>
      <c r="E242" s="5">
        <v>86.95</v>
      </c>
      <c r="F242" s="6">
        <v>9418733</v>
      </c>
    </row>
    <row r="243" spans="1:6" x14ac:dyDescent="0.2">
      <c r="A243" s="4">
        <v>44819</v>
      </c>
      <c r="B243" s="5">
        <v>87.15</v>
      </c>
      <c r="C243" s="5">
        <v>87.43</v>
      </c>
      <c r="D243" s="5">
        <v>86.2</v>
      </c>
      <c r="E243" s="5">
        <v>86.75</v>
      </c>
      <c r="F243" s="6">
        <v>8006837</v>
      </c>
    </row>
    <row r="244" spans="1:6" x14ac:dyDescent="0.2">
      <c r="A244" s="4">
        <v>44820</v>
      </c>
      <c r="B244" s="5">
        <v>86.6</v>
      </c>
      <c r="C244" s="5">
        <v>87.870199999999997</v>
      </c>
      <c r="D244" s="5">
        <v>86.4</v>
      </c>
      <c r="E244" s="5">
        <v>87.72</v>
      </c>
      <c r="F244" s="6">
        <v>14842460</v>
      </c>
    </row>
    <row r="245" spans="1:6" x14ac:dyDescent="0.2">
      <c r="A245" s="4">
        <v>44823</v>
      </c>
      <c r="B245" s="5">
        <v>86.85</v>
      </c>
      <c r="C245" s="5">
        <v>86.94</v>
      </c>
      <c r="D245" s="5">
        <v>85.64</v>
      </c>
      <c r="E245" s="5">
        <v>86.64</v>
      </c>
      <c r="F245" s="6">
        <v>7748617</v>
      </c>
    </row>
    <row r="246" spans="1:6" x14ac:dyDescent="0.2">
      <c r="A246" s="4">
        <v>44824</v>
      </c>
      <c r="B246" s="5">
        <v>86.07</v>
      </c>
      <c r="C246" s="5">
        <v>86.45</v>
      </c>
      <c r="D246" s="5">
        <v>85.59</v>
      </c>
      <c r="E246" s="5">
        <v>86</v>
      </c>
      <c r="F246" s="6">
        <v>5454784</v>
      </c>
    </row>
    <row r="247" spans="1:6" x14ac:dyDescent="0.2">
      <c r="A247" s="4">
        <v>44825</v>
      </c>
      <c r="B247" s="5">
        <v>86.25</v>
      </c>
      <c r="C247" s="5">
        <v>86.495000000000005</v>
      </c>
      <c r="D247" s="5">
        <v>84.52</v>
      </c>
      <c r="E247" s="5">
        <v>84.53</v>
      </c>
      <c r="F247" s="6">
        <v>7190830</v>
      </c>
    </row>
    <row r="248" spans="1:6" x14ac:dyDescent="0.2">
      <c r="A248" s="4">
        <v>44826</v>
      </c>
      <c r="B248" s="5">
        <v>84.55</v>
      </c>
      <c r="C248" s="5">
        <v>88.15</v>
      </c>
      <c r="D248" s="5">
        <v>84.55</v>
      </c>
      <c r="E248" s="5">
        <v>87.51</v>
      </c>
      <c r="F248" s="6">
        <v>12329690</v>
      </c>
    </row>
    <row r="249" spans="1:6" x14ac:dyDescent="0.2">
      <c r="A249" s="4">
        <v>44827</v>
      </c>
      <c r="B249" s="5">
        <v>87.4</v>
      </c>
      <c r="C249" s="5">
        <v>88.01</v>
      </c>
      <c r="D249" s="5">
        <v>86.09</v>
      </c>
      <c r="E249" s="5">
        <v>86.78</v>
      </c>
      <c r="F249" s="6">
        <v>9038536</v>
      </c>
    </row>
    <row r="250" spans="1:6" x14ac:dyDescent="0.2">
      <c r="A250" s="4">
        <v>44830</v>
      </c>
      <c r="B250" s="5">
        <v>86.12</v>
      </c>
      <c r="C250" s="5">
        <v>86.71</v>
      </c>
      <c r="D250" s="5">
        <v>85.29</v>
      </c>
      <c r="E250" s="5">
        <v>86.18</v>
      </c>
      <c r="F250" s="6">
        <v>8841196</v>
      </c>
    </row>
    <row r="251" spans="1:6" x14ac:dyDescent="0.2">
      <c r="A251" s="4">
        <v>44831</v>
      </c>
      <c r="B251" s="5">
        <v>86.82</v>
      </c>
      <c r="C251" s="5">
        <v>87.63</v>
      </c>
      <c r="D251" s="5">
        <v>85.67</v>
      </c>
      <c r="E251" s="5">
        <v>85.84</v>
      </c>
      <c r="F251" s="6">
        <v>6532113</v>
      </c>
    </row>
    <row r="252" spans="1:6" x14ac:dyDescent="0.2">
      <c r="A252" s="4">
        <v>44832</v>
      </c>
      <c r="B252" s="5">
        <v>86.99</v>
      </c>
      <c r="C252" s="5">
        <v>87.25</v>
      </c>
      <c r="D252" s="5">
        <v>86.2</v>
      </c>
      <c r="E252" s="5">
        <v>86.78</v>
      </c>
      <c r="F252" s="6">
        <v>6840088</v>
      </c>
    </row>
    <row r="253" spans="1:6" x14ac:dyDescent="0.2">
      <c r="A253" s="4">
        <v>44833</v>
      </c>
      <c r="B253" s="5">
        <v>87</v>
      </c>
      <c r="C253" s="5">
        <v>87.42</v>
      </c>
      <c r="D253" s="5">
        <v>86.23</v>
      </c>
      <c r="E253" s="5">
        <v>86.64</v>
      </c>
      <c r="F253" s="6">
        <v>6601358</v>
      </c>
    </row>
    <row r="254" spans="1:6" x14ac:dyDescent="0.2">
      <c r="A254" s="4">
        <v>44834</v>
      </c>
      <c r="B254" s="5">
        <v>87.25</v>
      </c>
      <c r="C254" s="5">
        <v>87.62</v>
      </c>
      <c r="D254" s="5">
        <v>86.1</v>
      </c>
      <c r="E254" s="5">
        <v>86.12</v>
      </c>
      <c r="F254" s="6">
        <v>9035613</v>
      </c>
    </row>
    <row r="255" spans="1:6" x14ac:dyDescent="0.2">
      <c r="A255" s="4">
        <v>44837</v>
      </c>
      <c r="B255" s="5">
        <v>86.72</v>
      </c>
      <c r="C255" s="5">
        <v>87.9</v>
      </c>
      <c r="D255" s="5">
        <v>86.02</v>
      </c>
      <c r="E255" s="5">
        <v>87.55</v>
      </c>
      <c r="F255" s="6">
        <v>9187014</v>
      </c>
    </row>
    <row r="256" spans="1:6" x14ac:dyDescent="0.2">
      <c r="A256" s="4">
        <v>44838</v>
      </c>
      <c r="B256" s="5">
        <v>87.54</v>
      </c>
      <c r="C256" s="5">
        <v>88.65</v>
      </c>
      <c r="D256" s="5">
        <v>87</v>
      </c>
      <c r="E256" s="5">
        <v>88.39</v>
      </c>
      <c r="F256" s="6">
        <v>7372977</v>
      </c>
    </row>
    <row r="257" spans="1:6" x14ac:dyDescent="0.2">
      <c r="A257" s="4">
        <v>44839</v>
      </c>
      <c r="B257" s="5">
        <v>88.58</v>
      </c>
      <c r="C257" s="5">
        <v>88.78</v>
      </c>
      <c r="D257" s="5">
        <v>88.02</v>
      </c>
      <c r="E257" s="5">
        <v>88.39</v>
      </c>
      <c r="F257" s="6">
        <v>6065661</v>
      </c>
    </row>
    <row r="258" spans="1:6" x14ac:dyDescent="0.2">
      <c r="A258" s="4">
        <v>44840</v>
      </c>
      <c r="B258" s="5">
        <v>87.76</v>
      </c>
      <c r="C258" s="5">
        <v>88.01</v>
      </c>
      <c r="D258" s="5">
        <v>87.23</v>
      </c>
      <c r="E258" s="5">
        <v>87.44</v>
      </c>
      <c r="F258" s="6">
        <v>8055542</v>
      </c>
    </row>
    <row r="259" spans="1:6" x14ac:dyDescent="0.2">
      <c r="A259" s="4">
        <v>44841</v>
      </c>
      <c r="B259" s="5">
        <v>87.88</v>
      </c>
      <c r="C259" s="5">
        <v>88.3</v>
      </c>
      <c r="D259" s="5">
        <v>87.114999999999995</v>
      </c>
      <c r="E259" s="5">
        <v>87.6</v>
      </c>
      <c r="F259" s="6">
        <v>8837393</v>
      </c>
    </row>
    <row r="260" spans="1:6" x14ac:dyDescent="0.2">
      <c r="A260" s="4">
        <v>44844</v>
      </c>
      <c r="B260" s="5">
        <v>89.93</v>
      </c>
      <c r="C260" s="5">
        <v>91.585700000000003</v>
      </c>
      <c r="D260" s="5">
        <v>89.71</v>
      </c>
      <c r="E260" s="5">
        <v>90.48</v>
      </c>
      <c r="F260" s="6">
        <v>14485000</v>
      </c>
    </row>
    <row r="261" spans="1:6" x14ac:dyDescent="0.2">
      <c r="A261" s="4">
        <v>44845</v>
      </c>
      <c r="B261" s="5">
        <v>90.43</v>
      </c>
      <c r="C261" s="5">
        <v>91.98</v>
      </c>
      <c r="D261" s="5">
        <v>90.2</v>
      </c>
      <c r="E261" s="5">
        <v>91.05</v>
      </c>
      <c r="F261" s="6">
        <v>9743682</v>
      </c>
    </row>
    <row r="262" spans="1:6" x14ac:dyDescent="0.2">
      <c r="A262" s="4">
        <v>44846</v>
      </c>
      <c r="B262" s="5">
        <v>91.25</v>
      </c>
      <c r="C262" s="5">
        <v>91.72</v>
      </c>
      <c r="D262" s="5">
        <v>90.364999999999995</v>
      </c>
      <c r="E262" s="5">
        <v>90.42</v>
      </c>
      <c r="F262" s="6">
        <v>8522211</v>
      </c>
    </row>
    <row r="263" spans="1:6" x14ac:dyDescent="0.2">
      <c r="A263" s="4">
        <v>44847</v>
      </c>
      <c r="B263" s="5">
        <v>89.5</v>
      </c>
      <c r="C263" s="5">
        <v>92.72</v>
      </c>
      <c r="D263" s="5">
        <v>89.27</v>
      </c>
      <c r="E263" s="5">
        <v>92.49</v>
      </c>
      <c r="F263" s="6">
        <v>9382759</v>
      </c>
    </row>
    <row r="264" spans="1:6" x14ac:dyDescent="0.2">
      <c r="A264" s="4">
        <v>44848</v>
      </c>
      <c r="B264" s="5">
        <v>92.27</v>
      </c>
      <c r="C264" s="5">
        <v>93.36</v>
      </c>
      <c r="D264" s="5">
        <v>91.74</v>
      </c>
      <c r="E264" s="5">
        <v>92.18</v>
      </c>
      <c r="F264" s="6">
        <v>9847759</v>
      </c>
    </row>
    <row r="265" spans="1:6" x14ac:dyDescent="0.2">
      <c r="A265" s="4">
        <v>44851</v>
      </c>
      <c r="B265" s="5">
        <v>92.84</v>
      </c>
      <c r="C265" s="5">
        <v>94.37</v>
      </c>
      <c r="D265" s="5">
        <v>92.45</v>
      </c>
      <c r="E265" s="5">
        <v>94.12</v>
      </c>
      <c r="F265" s="6">
        <v>12139900</v>
      </c>
    </row>
    <row r="266" spans="1:6" x14ac:dyDescent="0.2">
      <c r="A266" s="4">
        <v>44852</v>
      </c>
      <c r="B266" s="5">
        <v>94.42</v>
      </c>
      <c r="C266" s="5">
        <v>95.32</v>
      </c>
      <c r="D266" s="5">
        <v>94.02</v>
      </c>
      <c r="E266" s="5">
        <v>94.61</v>
      </c>
      <c r="F266" s="6">
        <v>9530386</v>
      </c>
    </row>
    <row r="267" spans="1:6" x14ac:dyDescent="0.2">
      <c r="A267" s="4">
        <v>44853</v>
      </c>
      <c r="B267" s="5">
        <v>94.91</v>
      </c>
      <c r="C267" s="5">
        <v>94.91</v>
      </c>
      <c r="D267" s="5">
        <v>93.1</v>
      </c>
      <c r="E267" s="5">
        <v>93.26</v>
      </c>
      <c r="F267" s="6">
        <v>8546296</v>
      </c>
    </row>
    <row r="268" spans="1:6" x14ac:dyDescent="0.2">
      <c r="A268" s="4">
        <v>44854</v>
      </c>
      <c r="B268" s="5">
        <v>93.2</v>
      </c>
      <c r="C268" s="5">
        <v>93.4</v>
      </c>
      <c r="D268" s="5">
        <v>92.36</v>
      </c>
      <c r="E268" s="5">
        <v>92.94</v>
      </c>
      <c r="F268" s="6">
        <v>7626055</v>
      </c>
    </row>
    <row r="269" spans="1:6" x14ac:dyDescent="0.2">
      <c r="A269" s="4">
        <v>44855</v>
      </c>
      <c r="B269" s="5">
        <v>92.84</v>
      </c>
      <c r="C269" s="5">
        <v>95.96</v>
      </c>
      <c r="D269" s="5">
        <v>92.64</v>
      </c>
      <c r="E269" s="5">
        <v>95.67</v>
      </c>
      <c r="F269" s="6">
        <v>10297180</v>
      </c>
    </row>
    <row r="270" spans="1:6" x14ac:dyDescent="0.2">
      <c r="A270" s="4">
        <v>44858</v>
      </c>
      <c r="B270" s="5">
        <v>96.45</v>
      </c>
      <c r="C270" s="5">
        <v>98.42</v>
      </c>
      <c r="D270" s="5">
        <v>96.27</v>
      </c>
      <c r="E270" s="5">
        <v>97.37</v>
      </c>
      <c r="F270" s="6">
        <v>11414860</v>
      </c>
    </row>
    <row r="271" spans="1:6" x14ac:dyDescent="0.2">
      <c r="A271" s="4">
        <v>44859</v>
      </c>
      <c r="B271" s="5">
        <v>96.86</v>
      </c>
      <c r="C271" s="5">
        <v>98.29</v>
      </c>
      <c r="D271" s="5">
        <v>96.35</v>
      </c>
      <c r="E271" s="5">
        <v>97.71</v>
      </c>
      <c r="F271" s="6">
        <v>8747864</v>
      </c>
    </row>
    <row r="272" spans="1:6" x14ac:dyDescent="0.2">
      <c r="A272" s="4">
        <v>44860</v>
      </c>
      <c r="B272" s="5">
        <v>98.29</v>
      </c>
      <c r="C272" s="5">
        <v>99.275000000000006</v>
      </c>
      <c r="D272" s="5">
        <v>98</v>
      </c>
      <c r="E272" s="5">
        <v>98.41</v>
      </c>
      <c r="F272" s="6">
        <v>10376410</v>
      </c>
    </row>
    <row r="273" spans="1:6" x14ac:dyDescent="0.2">
      <c r="A273" s="4">
        <v>44861</v>
      </c>
      <c r="B273" s="5">
        <v>99.84</v>
      </c>
      <c r="C273" s="5">
        <v>101.5</v>
      </c>
      <c r="D273" s="5">
        <v>99.5</v>
      </c>
      <c r="E273" s="5">
        <v>99.74</v>
      </c>
      <c r="F273" s="6">
        <v>12218410</v>
      </c>
    </row>
    <row r="274" spans="1:6" x14ac:dyDescent="0.2">
      <c r="A274" s="4">
        <v>44862</v>
      </c>
      <c r="B274" s="5">
        <v>100.24</v>
      </c>
      <c r="C274" s="5">
        <v>101.14</v>
      </c>
      <c r="D274" s="5">
        <v>98.55</v>
      </c>
      <c r="E274" s="5">
        <v>100.77</v>
      </c>
      <c r="F274" s="6">
        <v>11227980</v>
      </c>
    </row>
    <row r="275" spans="1:6" x14ac:dyDescent="0.2">
      <c r="A275" s="4">
        <v>44865</v>
      </c>
      <c r="B275" s="5">
        <v>99.95</v>
      </c>
      <c r="C275" s="5">
        <v>101.355</v>
      </c>
      <c r="D275" s="5">
        <v>99.31</v>
      </c>
      <c r="E275" s="5">
        <v>101.2</v>
      </c>
      <c r="F275" s="6">
        <v>11043810</v>
      </c>
    </row>
    <row r="276" spans="1:6" x14ac:dyDescent="0.2">
      <c r="A276" s="4">
        <v>44866</v>
      </c>
      <c r="B276" s="5">
        <v>100.65</v>
      </c>
      <c r="C276" s="5">
        <v>101.07</v>
      </c>
      <c r="D276" s="5">
        <v>98.944999999999993</v>
      </c>
      <c r="E276" s="5">
        <v>99.76</v>
      </c>
      <c r="F276" s="6">
        <v>11079290</v>
      </c>
    </row>
    <row r="277" spans="1:6" x14ac:dyDescent="0.2">
      <c r="A277" s="4">
        <v>44867</v>
      </c>
      <c r="B277" s="5">
        <v>99.65</v>
      </c>
      <c r="C277" s="5">
        <v>101.03</v>
      </c>
      <c r="D277" s="5">
        <v>98.98</v>
      </c>
      <c r="E277" s="5">
        <v>99.4</v>
      </c>
      <c r="F277" s="6">
        <v>9506519</v>
      </c>
    </row>
    <row r="278" spans="1:6" x14ac:dyDescent="0.2">
      <c r="A278" s="4">
        <v>44868</v>
      </c>
      <c r="B278" s="5">
        <v>99</v>
      </c>
      <c r="C278" s="5">
        <v>99.24</v>
      </c>
      <c r="D278" s="5">
        <v>98</v>
      </c>
      <c r="E278" s="5">
        <v>98.75</v>
      </c>
      <c r="F278" s="6">
        <v>9912669</v>
      </c>
    </row>
    <row r="279" spans="1:6" x14ac:dyDescent="0.2">
      <c r="A279" s="4">
        <v>44869</v>
      </c>
      <c r="B279" s="5">
        <v>99</v>
      </c>
      <c r="C279" s="5">
        <v>99.375</v>
      </c>
      <c r="D279" s="5">
        <v>97.96</v>
      </c>
      <c r="E279" s="5">
        <v>99.2</v>
      </c>
      <c r="F279" s="6">
        <v>8877566</v>
      </c>
    </row>
    <row r="280" spans="1:6" x14ac:dyDescent="0.2">
      <c r="A280" s="4">
        <v>44872</v>
      </c>
      <c r="B280" s="5">
        <v>98.5</v>
      </c>
      <c r="C280" s="5">
        <v>100.36</v>
      </c>
      <c r="D280" s="5">
        <v>97.67</v>
      </c>
      <c r="E280" s="5">
        <v>100.07</v>
      </c>
      <c r="F280" s="6">
        <v>8644727</v>
      </c>
    </row>
    <row r="281" spans="1:6" x14ac:dyDescent="0.2">
      <c r="A281" s="4">
        <v>44873</v>
      </c>
      <c r="B281" s="5">
        <v>100.07</v>
      </c>
      <c r="C281" s="5">
        <v>101.97</v>
      </c>
      <c r="D281" s="5">
        <v>99.53</v>
      </c>
      <c r="E281" s="5">
        <v>101.5</v>
      </c>
      <c r="F281" s="6">
        <v>8503869</v>
      </c>
    </row>
    <row r="282" spans="1:6" x14ac:dyDescent="0.2">
      <c r="A282" s="4">
        <v>44874</v>
      </c>
      <c r="B282" s="5">
        <v>101.3</v>
      </c>
      <c r="C282" s="5">
        <v>103.76</v>
      </c>
      <c r="D282" s="5">
        <v>101.28</v>
      </c>
      <c r="E282" s="5">
        <v>101.59</v>
      </c>
      <c r="F282" s="6">
        <v>10602860</v>
      </c>
    </row>
    <row r="283" spans="1:6" x14ac:dyDescent="0.2">
      <c r="A283" s="4">
        <v>44875</v>
      </c>
      <c r="B283" s="5">
        <v>102.7</v>
      </c>
      <c r="C283" s="5">
        <v>102.81</v>
      </c>
      <c r="D283" s="5">
        <v>100.6</v>
      </c>
      <c r="E283" s="5">
        <v>101.89</v>
      </c>
      <c r="F283" s="6">
        <v>9555950</v>
      </c>
    </row>
    <row r="284" spans="1:6" x14ac:dyDescent="0.2">
      <c r="A284" s="4">
        <v>44876</v>
      </c>
      <c r="B284" s="5">
        <v>100.53</v>
      </c>
      <c r="C284" s="5">
        <v>100.81</v>
      </c>
      <c r="D284" s="5">
        <v>97.33</v>
      </c>
      <c r="E284" s="5">
        <v>97.96</v>
      </c>
      <c r="F284" s="6">
        <v>13342840</v>
      </c>
    </row>
    <row r="285" spans="1:6" x14ac:dyDescent="0.2">
      <c r="A285" s="4">
        <v>44879</v>
      </c>
      <c r="B285" s="5">
        <v>98.7</v>
      </c>
      <c r="C285" s="5">
        <v>101.69</v>
      </c>
      <c r="D285" s="5">
        <v>98.7</v>
      </c>
      <c r="E285" s="5">
        <v>100.35</v>
      </c>
      <c r="F285" s="6">
        <v>8958225</v>
      </c>
    </row>
    <row r="286" spans="1:6" x14ac:dyDescent="0.2">
      <c r="A286" s="4">
        <v>44880</v>
      </c>
      <c r="B286" s="5">
        <v>100.4</v>
      </c>
      <c r="C286" s="5">
        <v>100.74</v>
      </c>
      <c r="D286" s="5">
        <v>98.71</v>
      </c>
      <c r="E286" s="5">
        <v>99.6</v>
      </c>
      <c r="F286" s="6">
        <v>7965873</v>
      </c>
    </row>
    <row r="287" spans="1:6" x14ac:dyDescent="0.2">
      <c r="A287" s="4">
        <v>44881</v>
      </c>
      <c r="B287" s="5">
        <v>99.58</v>
      </c>
      <c r="C287" s="5">
        <v>100.8</v>
      </c>
      <c r="D287" s="5">
        <v>99.49</v>
      </c>
      <c r="E287" s="5">
        <v>99.93</v>
      </c>
      <c r="F287" s="6">
        <v>8757702</v>
      </c>
    </row>
    <row r="288" spans="1:6" x14ac:dyDescent="0.2">
      <c r="A288" s="4">
        <v>44882</v>
      </c>
      <c r="B288" s="5">
        <v>100.41</v>
      </c>
      <c r="C288" s="5">
        <v>102.35</v>
      </c>
      <c r="D288" s="5">
        <v>100.27</v>
      </c>
      <c r="E288" s="5">
        <v>102.31</v>
      </c>
      <c r="F288" s="6">
        <v>8501262</v>
      </c>
    </row>
    <row r="289" spans="1:6" x14ac:dyDescent="0.2">
      <c r="A289" s="4">
        <v>44883</v>
      </c>
      <c r="B289" s="5">
        <v>102.63</v>
      </c>
      <c r="C289" s="5">
        <v>104.6</v>
      </c>
      <c r="D289" s="5">
        <v>102.63</v>
      </c>
      <c r="E289" s="5">
        <v>104.23</v>
      </c>
      <c r="F289" s="6">
        <v>11626270</v>
      </c>
    </row>
    <row r="290" spans="1:6" x14ac:dyDescent="0.2">
      <c r="A290" s="4">
        <v>44886</v>
      </c>
      <c r="B290" s="5">
        <v>105</v>
      </c>
      <c r="C290" s="5">
        <v>105.87</v>
      </c>
      <c r="D290" s="5">
        <v>104.23</v>
      </c>
      <c r="E290" s="5">
        <v>105.61</v>
      </c>
      <c r="F290" s="6">
        <v>8899302</v>
      </c>
    </row>
    <row r="291" spans="1:6" x14ac:dyDescent="0.2">
      <c r="A291" s="4">
        <v>44887</v>
      </c>
      <c r="B291" s="5">
        <v>106.125</v>
      </c>
      <c r="C291" s="5">
        <v>107.1</v>
      </c>
      <c r="D291" s="5">
        <v>106.05</v>
      </c>
      <c r="E291" s="5">
        <v>106.9</v>
      </c>
      <c r="F291" s="6">
        <v>8296027</v>
      </c>
    </row>
    <row r="292" spans="1:6" x14ac:dyDescent="0.2">
      <c r="A292" s="4">
        <v>44888</v>
      </c>
      <c r="B292" s="5">
        <v>106.75</v>
      </c>
      <c r="C292" s="5">
        <v>107.3</v>
      </c>
      <c r="D292" s="5">
        <v>106.30029999999999</v>
      </c>
      <c r="E292" s="5">
        <v>106.82</v>
      </c>
      <c r="F292" s="6">
        <v>5750005</v>
      </c>
    </row>
    <row r="293" spans="1:6" x14ac:dyDescent="0.2">
      <c r="A293" s="4">
        <v>44890</v>
      </c>
      <c r="B293" s="5">
        <v>106.56</v>
      </c>
      <c r="C293" s="5">
        <v>107.5</v>
      </c>
      <c r="D293" s="5">
        <v>106.56</v>
      </c>
      <c r="E293" s="5">
        <v>107.5</v>
      </c>
      <c r="F293" s="6">
        <v>3163683</v>
      </c>
    </row>
    <row r="294" spans="1:6" x14ac:dyDescent="0.2">
      <c r="A294" s="4">
        <v>44893</v>
      </c>
      <c r="B294" s="5">
        <v>107.125</v>
      </c>
      <c r="C294" s="5">
        <v>108.9</v>
      </c>
      <c r="D294" s="5">
        <v>107.125</v>
      </c>
      <c r="E294" s="5">
        <v>108.45</v>
      </c>
      <c r="F294" s="6">
        <v>9525703</v>
      </c>
    </row>
    <row r="295" spans="1:6" x14ac:dyDescent="0.2">
      <c r="A295" s="4">
        <v>44894</v>
      </c>
      <c r="B295" s="5">
        <v>108</v>
      </c>
      <c r="C295" s="5">
        <v>109.06</v>
      </c>
      <c r="D295" s="5">
        <v>107.55</v>
      </c>
      <c r="E295" s="5">
        <v>108.84</v>
      </c>
      <c r="F295" s="6">
        <v>9352617</v>
      </c>
    </row>
    <row r="296" spans="1:6" x14ac:dyDescent="0.2">
      <c r="A296" s="4">
        <v>44895</v>
      </c>
      <c r="B296" s="5">
        <v>108.7</v>
      </c>
      <c r="C296" s="5">
        <v>110.33</v>
      </c>
      <c r="D296" s="5">
        <v>107.63</v>
      </c>
      <c r="E296" s="5">
        <v>110.12</v>
      </c>
      <c r="F296" s="6">
        <v>20305780</v>
      </c>
    </row>
    <row r="297" spans="1:6" x14ac:dyDescent="0.2">
      <c r="A297" s="4">
        <v>44896</v>
      </c>
      <c r="B297" s="5">
        <v>109.75</v>
      </c>
      <c r="C297" s="5">
        <v>110.98</v>
      </c>
      <c r="D297" s="5">
        <v>108.77</v>
      </c>
      <c r="E297" s="5">
        <v>109.8</v>
      </c>
      <c r="F297" s="6">
        <v>10110640</v>
      </c>
    </row>
    <row r="298" spans="1:6" x14ac:dyDescent="0.2">
      <c r="A298" s="4">
        <v>44897</v>
      </c>
      <c r="B298" s="5">
        <v>109</v>
      </c>
      <c r="C298" s="5">
        <v>110.09</v>
      </c>
      <c r="D298" s="5">
        <v>108.71</v>
      </c>
      <c r="E298" s="5">
        <v>110.04</v>
      </c>
      <c r="F298" s="6">
        <v>6943575</v>
      </c>
    </row>
    <row r="299" spans="1:6" x14ac:dyDescent="0.2">
      <c r="A299" s="4">
        <v>44900</v>
      </c>
      <c r="B299" s="5">
        <v>109.81</v>
      </c>
      <c r="C299" s="5">
        <v>110.23</v>
      </c>
      <c r="D299" s="5">
        <v>109.21</v>
      </c>
      <c r="E299" s="5">
        <v>110.01</v>
      </c>
      <c r="F299" s="6">
        <v>6961938</v>
      </c>
    </row>
    <row r="300" spans="1:6" x14ac:dyDescent="0.2">
      <c r="A300" s="4">
        <v>44901</v>
      </c>
      <c r="B300" s="5">
        <v>110.36</v>
      </c>
      <c r="C300" s="5">
        <v>110.76</v>
      </c>
      <c r="D300" s="5">
        <v>108.42</v>
      </c>
      <c r="E300" s="5">
        <v>108.93</v>
      </c>
      <c r="F300" s="6">
        <v>7458708</v>
      </c>
    </row>
    <row r="301" spans="1:6" x14ac:dyDescent="0.2">
      <c r="A301" s="4">
        <v>44902</v>
      </c>
      <c r="B301" s="5">
        <v>109.15</v>
      </c>
      <c r="C301" s="5">
        <v>110.71</v>
      </c>
      <c r="D301" s="5">
        <v>109</v>
      </c>
      <c r="E301" s="5">
        <v>110.09</v>
      </c>
      <c r="F301" s="6">
        <v>8270442</v>
      </c>
    </row>
    <row r="302" spans="1:6" x14ac:dyDescent="0.2">
      <c r="A302" s="4">
        <v>44903</v>
      </c>
      <c r="B302" s="5">
        <v>110.28</v>
      </c>
      <c r="C302" s="5">
        <v>111.02</v>
      </c>
      <c r="D302" s="5">
        <v>110.12</v>
      </c>
      <c r="E302" s="5">
        <v>110.85</v>
      </c>
      <c r="F302" s="6">
        <v>7354829</v>
      </c>
    </row>
    <row r="303" spans="1:6" x14ac:dyDescent="0.2">
      <c r="A303" s="4">
        <v>44904</v>
      </c>
      <c r="B303" s="5">
        <v>110.98</v>
      </c>
      <c r="C303" s="5">
        <v>111.37</v>
      </c>
      <c r="D303" s="5">
        <v>108.745</v>
      </c>
      <c r="E303" s="5">
        <v>108.78</v>
      </c>
      <c r="F303" s="6">
        <v>9667825</v>
      </c>
    </row>
    <row r="304" spans="1:6" x14ac:dyDescent="0.2">
      <c r="A304" s="4">
        <v>44907</v>
      </c>
      <c r="B304" s="5">
        <v>107.93</v>
      </c>
      <c r="C304" s="5">
        <v>109.1</v>
      </c>
      <c r="D304" s="5">
        <v>107.32</v>
      </c>
      <c r="E304" s="5">
        <v>108.97</v>
      </c>
      <c r="F304" s="6">
        <v>10956630</v>
      </c>
    </row>
    <row r="305" spans="1:6" x14ac:dyDescent="0.2">
      <c r="A305" s="4">
        <v>44908</v>
      </c>
      <c r="B305" s="5">
        <v>111.26</v>
      </c>
      <c r="C305" s="5">
        <v>111.26</v>
      </c>
      <c r="D305" s="5">
        <v>109</v>
      </c>
      <c r="E305" s="5">
        <v>110.91</v>
      </c>
      <c r="F305" s="6">
        <v>15836860</v>
      </c>
    </row>
    <row r="306" spans="1:6" x14ac:dyDescent="0.2">
      <c r="A306" s="4">
        <v>44909</v>
      </c>
      <c r="B306" s="5">
        <v>110.52</v>
      </c>
      <c r="C306" s="5">
        <v>112.17</v>
      </c>
      <c r="D306" s="5">
        <v>110.04</v>
      </c>
      <c r="E306" s="5">
        <v>111.55</v>
      </c>
      <c r="F306" s="6">
        <v>10788330</v>
      </c>
    </row>
    <row r="307" spans="1:6" x14ac:dyDescent="0.2">
      <c r="A307" s="4">
        <v>44910</v>
      </c>
      <c r="B307" s="5">
        <v>110.24</v>
      </c>
      <c r="C307" s="5">
        <v>110.7735</v>
      </c>
      <c r="D307" s="5">
        <v>109.2278</v>
      </c>
      <c r="E307" s="5">
        <v>109.63</v>
      </c>
      <c r="F307" s="6">
        <v>9871439</v>
      </c>
    </row>
    <row r="308" spans="1:6" x14ac:dyDescent="0.2">
      <c r="A308" s="4">
        <v>44911</v>
      </c>
      <c r="B308" s="5">
        <v>109.24</v>
      </c>
      <c r="C308" s="5">
        <v>109.7</v>
      </c>
      <c r="D308" s="5">
        <v>108.27</v>
      </c>
      <c r="E308" s="5">
        <v>109.2</v>
      </c>
      <c r="F308" s="6">
        <v>29466110</v>
      </c>
    </row>
    <row r="309" spans="1:6" x14ac:dyDescent="0.2">
      <c r="A309" s="4">
        <v>44914</v>
      </c>
      <c r="B309" s="5">
        <v>109.19</v>
      </c>
      <c r="C309" s="5">
        <v>110.1</v>
      </c>
      <c r="D309" s="5">
        <v>108.77</v>
      </c>
      <c r="E309" s="5">
        <v>109.44</v>
      </c>
      <c r="F309" s="6">
        <v>6949497</v>
      </c>
    </row>
    <row r="310" spans="1:6" x14ac:dyDescent="0.2">
      <c r="A310" s="4">
        <v>44915</v>
      </c>
      <c r="B310" s="5">
        <v>109.94</v>
      </c>
      <c r="C310" s="5">
        <v>110.66</v>
      </c>
      <c r="D310" s="5">
        <v>109.16</v>
      </c>
      <c r="E310" s="5">
        <v>109.71</v>
      </c>
      <c r="F310" s="6">
        <v>8022008</v>
      </c>
    </row>
    <row r="311" spans="1:6" x14ac:dyDescent="0.2">
      <c r="A311" s="4">
        <v>44916</v>
      </c>
      <c r="B311" s="5">
        <v>110.095</v>
      </c>
      <c r="C311" s="5">
        <v>111.19</v>
      </c>
      <c r="D311" s="5">
        <v>109.53789999999999</v>
      </c>
      <c r="E311" s="5">
        <v>111.11</v>
      </c>
      <c r="F311" s="6">
        <v>6640940</v>
      </c>
    </row>
    <row r="312" spans="1:6" x14ac:dyDescent="0.2">
      <c r="A312" s="4">
        <v>44917</v>
      </c>
      <c r="B312" s="5">
        <v>110.9</v>
      </c>
      <c r="C312" s="5">
        <v>111.685</v>
      </c>
      <c r="D312" s="5">
        <v>110.205</v>
      </c>
      <c r="E312" s="5">
        <v>111.24</v>
      </c>
      <c r="F312" s="6">
        <v>8374396</v>
      </c>
    </row>
    <row r="313" spans="1:6" x14ac:dyDescent="0.2">
      <c r="A313" s="4">
        <v>44918</v>
      </c>
      <c r="B313" s="5">
        <v>111.25</v>
      </c>
      <c r="C313" s="5">
        <v>112.13</v>
      </c>
      <c r="D313" s="5">
        <v>110.87</v>
      </c>
      <c r="E313" s="5">
        <v>111.86</v>
      </c>
      <c r="F313" s="6">
        <v>4547396</v>
      </c>
    </row>
    <row r="314" spans="1:6" x14ac:dyDescent="0.2">
      <c r="A314" s="4">
        <v>44922</v>
      </c>
      <c r="B314" s="5">
        <v>112.41</v>
      </c>
      <c r="C314" s="5">
        <v>112.59</v>
      </c>
      <c r="D314" s="5">
        <v>111.53</v>
      </c>
      <c r="E314" s="5">
        <v>112.12</v>
      </c>
      <c r="F314" s="6">
        <v>5125848</v>
      </c>
    </row>
    <row r="315" spans="1:6" x14ac:dyDescent="0.2">
      <c r="A315" s="4">
        <v>44923</v>
      </c>
      <c r="B315" s="5">
        <v>112.89</v>
      </c>
      <c r="C315" s="5">
        <v>112.89</v>
      </c>
      <c r="D315" s="5">
        <v>111.06</v>
      </c>
      <c r="E315" s="5">
        <v>111.08</v>
      </c>
      <c r="F315" s="6">
        <v>5107810</v>
      </c>
    </row>
    <row r="316" spans="1:6" x14ac:dyDescent="0.2">
      <c r="A316" s="4">
        <v>44924</v>
      </c>
      <c r="B316" s="5">
        <v>111.39</v>
      </c>
      <c r="C316" s="5">
        <v>111.7</v>
      </c>
      <c r="D316" s="5">
        <v>110.75</v>
      </c>
      <c r="E316" s="5">
        <v>110.82</v>
      </c>
      <c r="F316" s="6">
        <v>4467319</v>
      </c>
    </row>
    <row r="317" spans="1:6" x14ac:dyDescent="0.2">
      <c r="A317" s="4">
        <v>44925</v>
      </c>
      <c r="B317" s="5">
        <v>111.23</v>
      </c>
      <c r="C317" s="5">
        <v>111.42</v>
      </c>
      <c r="D317" s="5">
        <v>110.12</v>
      </c>
      <c r="E317" s="5">
        <v>110.95</v>
      </c>
      <c r="F317" s="6">
        <v>5498607</v>
      </c>
    </row>
    <row r="318" spans="1:6" x14ac:dyDescent="0.2">
      <c r="A318" s="4">
        <v>44929</v>
      </c>
      <c r="B318" s="5">
        <v>110.41</v>
      </c>
      <c r="C318" s="5">
        <v>111.2</v>
      </c>
      <c r="D318" s="5">
        <v>109.49</v>
      </c>
      <c r="E318" s="5">
        <v>111.14</v>
      </c>
      <c r="F318" s="6">
        <v>8062576</v>
      </c>
    </row>
    <row r="319" spans="1:6" x14ac:dyDescent="0.2">
      <c r="A319" s="4">
        <v>44930</v>
      </c>
      <c r="B319" s="5">
        <v>112.32</v>
      </c>
      <c r="C319" s="5">
        <v>112.61</v>
      </c>
      <c r="D319" s="5">
        <v>111.24</v>
      </c>
      <c r="E319" s="5">
        <v>112.08</v>
      </c>
      <c r="F319" s="6">
        <v>8698604</v>
      </c>
    </row>
    <row r="320" spans="1:6" x14ac:dyDescent="0.2">
      <c r="A320" s="4">
        <v>44931</v>
      </c>
      <c r="B320" s="5">
        <v>111.59</v>
      </c>
      <c r="C320" s="5">
        <v>113.91</v>
      </c>
      <c r="D320" s="5">
        <v>111.4198</v>
      </c>
      <c r="E320" s="5">
        <v>113.64</v>
      </c>
      <c r="F320" s="6">
        <v>9578885</v>
      </c>
    </row>
    <row r="321" spans="1:6" x14ac:dyDescent="0.2">
      <c r="A321" s="4">
        <v>44932</v>
      </c>
      <c r="B321" s="5">
        <v>114.32</v>
      </c>
      <c r="C321" s="5">
        <v>115.49</v>
      </c>
      <c r="D321" s="5">
        <v>114.05</v>
      </c>
      <c r="E321" s="5">
        <v>114.84</v>
      </c>
      <c r="F321" s="6">
        <v>8632267</v>
      </c>
    </row>
    <row r="322" spans="1:6" x14ac:dyDescent="0.2">
      <c r="A322" s="4">
        <v>44935</v>
      </c>
      <c r="B322" s="5">
        <v>114.88</v>
      </c>
      <c r="C322" s="5">
        <v>114.93</v>
      </c>
      <c r="D322" s="5">
        <v>109.935</v>
      </c>
      <c r="E322" s="5">
        <v>110.38</v>
      </c>
      <c r="F322" s="6">
        <v>12858770</v>
      </c>
    </row>
    <row r="323" spans="1:6" x14ac:dyDescent="0.2">
      <c r="A323" s="4">
        <v>44936</v>
      </c>
      <c r="B323" s="5">
        <v>110.56</v>
      </c>
      <c r="C323" s="5">
        <v>112.01</v>
      </c>
      <c r="D323" s="5">
        <v>109.88</v>
      </c>
      <c r="E323" s="5">
        <v>110.81</v>
      </c>
      <c r="F323" s="6">
        <v>12122830</v>
      </c>
    </row>
    <row r="324" spans="1:6" x14ac:dyDescent="0.2">
      <c r="A324" s="4">
        <v>44937</v>
      </c>
      <c r="B324" s="5">
        <v>109.34</v>
      </c>
      <c r="C324" s="5">
        <v>111.31</v>
      </c>
      <c r="D324" s="5">
        <v>108.75</v>
      </c>
      <c r="E324" s="5">
        <v>111.07</v>
      </c>
      <c r="F324" s="6">
        <v>8626549</v>
      </c>
    </row>
    <row r="325" spans="1:6" x14ac:dyDescent="0.2">
      <c r="A325" s="4">
        <v>44938</v>
      </c>
      <c r="B325" s="5">
        <v>110.91500000000001</v>
      </c>
      <c r="C325" s="5">
        <v>112.1</v>
      </c>
      <c r="D325" s="5">
        <v>110.03</v>
      </c>
      <c r="E325" s="5">
        <v>111.77</v>
      </c>
      <c r="F325" s="6">
        <v>8914774</v>
      </c>
    </row>
    <row r="326" spans="1:6" x14ac:dyDescent="0.2">
      <c r="A326" s="4">
        <v>44939</v>
      </c>
      <c r="B326" s="5">
        <v>111.2</v>
      </c>
      <c r="C326" s="5">
        <v>112.44</v>
      </c>
      <c r="D326" s="5">
        <v>110.95</v>
      </c>
      <c r="E326" s="5">
        <v>112.25</v>
      </c>
      <c r="F326" s="6">
        <v>5757914</v>
      </c>
    </row>
    <row r="327" spans="1:6" x14ac:dyDescent="0.2">
      <c r="A327" s="4">
        <v>44943</v>
      </c>
      <c r="B327" s="5">
        <v>112.03</v>
      </c>
      <c r="C327" s="5">
        <v>112.49</v>
      </c>
      <c r="D327" s="5">
        <v>110.32</v>
      </c>
      <c r="E327" s="5">
        <v>110.45</v>
      </c>
      <c r="F327" s="6">
        <v>10241100</v>
      </c>
    </row>
    <row r="328" spans="1:6" x14ac:dyDescent="0.2">
      <c r="A328" s="4">
        <v>44944</v>
      </c>
      <c r="B328" s="5">
        <v>109.92</v>
      </c>
      <c r="C328" s="5">
        <v>110.1014</v>
      </c>
      <c r="D328" s="5">
        <v>108.58</v>
      </c>
      <c r="E328" s="5">
        <v>108.79</v>
      </c>
      <c r="F328" s="6">
        <v>8799536</v>
      </c>
    </row>
    <row r="329" spans="1:6" x14ac:dyDescent="0.2">
      <c r="A329" s="4">
        <v>44945</v>
      </c>
      <c r="B329" s="5">
        <v>108.44</v>
      </c>
      <c r="C329" s="5">
        <v>110.18</v>
      </c>
      <c r="D329" s="5">
        <v>108.1</v>
      </c>
      <c r="E329" s="5">
        <v>109.9</v>
      </c>
      <c r="F329" s="6">
        <v>6772883</v>
      </c>
    </row>
    <row r="330" spans="1:6" x14ac:dyDescent="0.2">
      <c r="A330" s="4">
        <v>44946</v>
      </c>
      <c r="B330" s="5">
        <v>109.38</v>
      </c>
      <c r="C330" s="5">
        <v>109.99</v>
      </c>
      <c r="D330" s="5">
        <v>108.65</v>
      </c>
      <c r="E330" s="5">
        <v>109.94</v>
      </c>
      <c r="F330" s="6">
        <v>9216530</v>
      </c>
    </row>
    <row r="331" spans="1:6" x14ac:dyDescent="0.2">
      <c r="A331" s="4">
        <v>44949</v>
      </c>
      <c r="B331" s="5">
        <v>109.93</v>
      </c>
      <c r="C331" s="5">
        <v>110.36</v>
      </c>
      <c r="D331" s="5">
        <v>109.17</v>
      </c>
      <c r="E331" s="5">
        <v>109.88</v>
      </c>
      <c r="F331" s="6">
        <v>8998829</v>
      </c>
    </row>
    <row r="332" spans="1:6" x14ac:dyDescent="0.2">
      <c r="A332" s="4">
        <v>44950</v>
      </c>
      <c r="B332" s="5">
        <v>110</v>
      </c>
      <c r="C332" s="5">
        <v>110</v>
      </c>
      <c r="D332" s="5">
        <v>96.36</v>
      </c>
      <c r="E332" s="5">
        <v>108.52</v>
      </c>
      <c r="F332" s="6">
        <v>7424168</v>
      </c>
    </row>
    <row r="333" spans="1:6" x14ac:dyDescent="0.2">
      <c r="A333" s="4">
        <v>44951</v>
      </c>
      <c r="B333" s="5">
        <v>108.71</v>
      </c>
      <c r="C333" s="5">
        <v>109.93</v>
      </c>
      <c r="D333" s="5">
        <v>108.325</v>
      </c>
      <c r="E333" s="5">
        <v>108.59</v>
      </c>
      <c r="F333" s="6">
        <v>6167973</v>
      </c>
    </row>
    <row r="334" spans="1:6" x14ac:dyDescent="0.2">
      <c r="A334" s="4">
        <v>44952</v>
      </c>
      <c r="B334" s="5">
        <v>108.53</v>
      </c>
      <c r="C334" s="5">
        <v>108.55</v>
      </c>
      <c r="D334" s="5">
        <v>105.82</v>
      </c>
      <c r="E334" s="5">
        <v>106.87</v>
      </c>
      <c r="F334" s="6">
        <v>9672675</v>
      </c>
    </row>
    <row r="335" spans="1:6" x14ac:dyDescent="0.2">
      <c r="A335" s="4">
        <v>44953</v>
      </c>
      <c r="B335" s="5">
        <v>106.21</v>
      </c>
      <c r="C335" s="5">
        <v>106.68</v>
      </c>
      <c r="D335" s="5">
        <v>105.11</v>
      </c>
      <c r="E335" s="5">
        <v>105.38</v>
      </c>
      <c r="F335" s="6">
        <v>7784913</v>
      </c>
    </row>
    <row r="336" spans="1:6" x14ac:dyDescent="0.2">
      <c r="A336" s="4">
        <v>44956</v>
      </c>
      <c r="B336" s="5">
        <v>105.57</v>
      </c>
      <c r="C336" s="5">
        <v>106.5</v>
      </c>
      <c r="D336" s="5">
        <v>105.5</v>
      </c>
      <c r="E336" s="5">
        <v>106.09</v>
      </c>
      <c r="F336" s="6">
        <v>6476627</v>
      </c>
    </row>
    <row r="337" spans="1:6" x14ac:dyDescent="0.2">
      <c r="A337" s="4">
        <v>44957</v>
      </c>
      <c r="B337" s="5">
        <v>106.1</v>
      </c>
      <c r="C337" s="5">
        <v>107.44</v>
      </c>
      <c r="D337" s="5">
        <v>105.9</v>
      </c>
      <c r="E337" s="5">
        <v>107.41</v>
      </c>
      <c r="F337" s="6">
        <v>7938881</v>
      </c>
    </row>
    <row r="338" spans="1:6" x14ac:dyDescent="0.2">
      <c r="A338" s="4">
        <v>44958</v>
      </c>
      <c r="B338" s="5">
        <v>106.97</v>
      </c>
      <c r="C338" s="5">
        <v>107.42619999999999</v>
      </c>
      <c r="D338" s="5">
        <v>106.08</v>
      </c>
      <c r="E338" s="5">
        <v>106.98</v>
      </c>
      <c r="F338" s="6">
        <v>10103250</v>
      </c>
    </row>
    <row r="339" spans="1:6" x14ac:dyDescent="0.2">
      <c r="A339" s="4">
        <v>44959</v>
      </c>
      <c r="B339" s="5">
        <v>104.02</v>
      </c>
      <c r="C339" s="5">
        <v>105.81</v>
      </c>
      <c r="D339" s="5">
        <v>101.75</v>
      </c>
      <c r="E339" s="5">
        <v>103.46</v>
      </c>
      <c r="F339" s="6">
        <v>16229880</v>
      </c>
    </row>
    <row r="340" spans="1:6" x14ac:dyDescent="0.2">
      <c r="A340" s="4">
        <v>44960</v>
      </c>
      <c r="B340" s="5">
        <v>103.22</v>
      </c>
      <c r="C340" s="5">
        <v>103.79</v>
      </c>
      <c r="D340" s="5">
        <v>102.48</v>
      </c>
      <c r="E340" s="5">
        <v>102.94</v>
      </c>
      <c r="F340" s="6">
        <v>11210820</v>
      </c>
    </row>
    <row r="341" spans="1:6" x14ac:dyDescent="0.2">
      <c r="A341" s="4">
        <v>44963</v>
      </c>
      <c r="B341" s="5">
        <v>103.43</v>
      </c>
      <c r="C341" s="5">
        <v>104.62</v>
      </c>
      <c r="D341" s="5">
        <v>102.84</v>
      </c>
      <c r="E341" s="5">
        <v>104.03</v>
      </c>
      <c r="F341" s="6">
        <v>9054519</v>
      </c>
    </row>
    <row r="342" spans="1:6" x14ac:dyDescent="0.2">
      <c r="A342" s="4">
        <v>44964</v>
      </c>
      <c r="B342" s="5">
        <v>103.7</v>
      </c>
      <c r="C342" s="5">
        <v>105.93</v>
      </c>
      <c r="D342" s="5">
        <v>103.56</v>
      </c>
      <c r="E342" s="5">
        <v>105.68</v>
      </c>
      <c r="F342" s="6">
        <v>7904862</v>
      </c>
    </row>
    <row r="343" spans="1:6" x14ac:dyDescent="0.2">
      <c r="A343" s="4">
        <v>44965</v>
      </c>
      <c r="B343" s="5">
        <v>105.81</v>
      </c>
      <c r="C343" s="5">
        <v>107.515</v>
      </c>
      <c r="D343" s="5">
        <v>105.32</v>
      </c>
      <c r="E343" s="5">
        <v>106.64</v>
      </c>
      <c r="F343" s="6">
        <v>8596312</v>
      </c>
    </row>
    <row r="344" spans="1:6" x14ac:dyDescent="0.2">
      <c r="A344" s="4">
        <v>44966</v>
      </c>
      <c r="B344" s="5">
        <v>106.86</v>
      </c>
      <c r="C344" s="5">
        <v>107.84</v>
      </c>
      <c r="D344" s="5">
        <v>106.54</v>
      </c>
      <c r="E344" s="5">
        <v>106.72</v>
      </c>
      <c r="F344" s="6">
        <v>7976951</v>
      </c>
    </row>
    <row r="345" spans="1:6" x14ac:dyDescent="0.2">
      <c r="A345" s="4">
        <v>44967</v>
      </c>
      <c r="B345" s="5">
        <v>106.97</v>
      </c>
      <c r="C345" s="5">
        <v>108.765</v>
      </c>
      <c r="D345" s="5">
        <v>106.86499999999999</v>
      </c>
      <c r="E345" s="5">
        <v>108.57</v>
      </c>
      <c r="F345" s="6">
        <v>7609649</v>
      </c>
    </row>
    <row r="346" spans="1:6" x14ac:dyDescent="0.2">
      <c r="A346" s="4">
        <v>44970</v>
      </c>
      <c r="B346" s="5">
        <v>108.705</v>
      </c>
      <c r="C346" s="5">
        <v>109.57</v>
      </c>
      <c r="D346" s="5">
        <v>108.35</v>
      </c>
      <c r="E346" s="5">
        <v>109.55</v>
      </c>
      <c r="F346" s="6">
        <v>7383109</v>
      </c>
    </row>
    <row r="347" spans="1:6" x14ac:dyDescent="0.2">
      <c r="A347" s="4">
        <v>44971</v>
      </c>
      <c r="B347" s="5">
        <v>109.95</v>
      </c>
      <c r="C347" s="5">
        <v>110</v>
      </c>
      <c r="D347" s="5">
        <v>108.19</v>
      </c>
      <c r="E347" s="5">
        <v>108.74</v>
      </c>
      <c r="F347" s="6">
        <v>6983936</v>
      </c>
    </row>
    <row r="348" spans="1:6" x14ac:dyDescent="0.2">
      <c r="A348" s="4">
        <v>44972</v>
      </c>
      <c r="B348" s="5">
        <v>108.53</v>
      </c>
      <c r="C348" s="5">
        <v>108.79</v>
      </c>
      <c r="D348" s="5">
        <v>107.56</v>
      </c>
      <c r="E348" s="5">
        <v>107.68</v>
      </c>
      <c r="F348" s="6">
        <v>6418118</v>
      </c>
    </row>
    <row r="349" spans="1:6" x14ac:dyDescent="0.2">
      <c r="A349" s="4">
        <v>44973</v>
      </c>
      <c r="B349" s="5">
        <v>106.82</v>
      </c>
      <c r="C349" s="5">
        <v>107.46</v>
      </c>
      <c r="D349" s="5">
        <v>106.23</v>
      </c>
      <c r="E349" s="5">
        <v>106.51</v>
      </c>
      <c r="F349" s="6">
        <v>5959497</v>
      </c>
    </row>
    <row r="350" spans="1:6" x14ac:dyDescent="0.2">
      <c r="A350" s="4">
        <v>44974</v>
      </c>
      <c r="B350" s="5">
        <v>106.33</v>
      </c>
      <c r="C350" s="5">
        <v>109.54</v>
      </c>
      <c r="D350" s="5">
        <v>105.52</v>
      </c>
      <c r="E350" s="5">
        <v>109.52</v>
      </c>
      <c r="F350" s="6">
        <v>9474620</v>
      </c>
    </row>
    <row r="351" spans="1:6" x14ac:dyDescent="0.2">
      <c r="A351" s="4">
        <v>44978</v>
      </c>
      <c r="B351" s="5">
        <v>108.9</v>
      </c>
      <c r="C351" s="5">
        <v>109.88</v>
      </c>
      <c r="D351" s="5">
        <v>108.63</v>
      </c>
      <c r="E351" s="5">
        <v>109.07</v>
      </c>
      <c r="F351" s="6">
        <v>6741476</v>
      </c>
    </row>
    <row r="352" spans="1:6" x14ac:dyDescent="0.2">
      <c r="A352" s="4">
        <v>44979</v>
      </c>
      <c r="B352" s="5">
        <v>110.21</v>
      </c>
      <c r="C352" s="5">
        <v>110.32</v>
      </c>
      <c r="D352" s="5">
        <v>108.92</v>
      </c>
      <c r="E352" s="5">
        <v>109.16</v>
      </c>
      <c r="F352" s="6">
        <v>7213905</v>
      </c>
    </row>
    <row r="353" spans="1:6" x14ac:dyDescent="0.2">
      <c r="A353" s="4">
        <v>44980</v>
      </c>
      <c r="B353" s="5">
        <v>109.26</v>
      </c>
      <c r="C353" s="5">
        <v>111.2432</v>
      </c>
      <c r="D353" s="5">
        <v>109.1</v>
      </c>
      <c r="E353" s="5">
        <v>110.59</v>
      </c>
      <c r="F353" s="6">
        <v>6922790</v>
      </c>
    </row>
    <row r="354" spans="1:6" x14ac:dyDescent="0.2">
      <c r="A354" s="4">
        <v>44981</v>
      </c>
      <c r="B354" s="5">
        <v>110.09</v>
      </c>
      <c r="C354" s="5">
        <v>110.325</v>
      </c>
      <c r="D354" s="5">
        <v>108.88500000000001</v>
      </c>
      <c r="E354" s="5">
        <v>109.89</v>
      </c>
      <c r="F354" s="6">
        <v>5787857</v>
      </c>
    </row>
    <row r="355" spans="1:6" x14ac:dyDescent="0.2">
      <c r="A355" s="4">
        <v>44984</v>
      </c>
      <c r="B355" s="5">
        <v>110.03</v>
      </c>
      <c r="C355" s="5">
        <v>110.13</v>
      </c>
      <c r="D355" s="5">
        <v>108.52</v>
      </c>
      <c r="E355" s="5">
        <v>109.36</v>
      </c>
      <c r="F355" s="6">
        <v>5654820</v>
      </c>
    </row>
    <row r="356" spans="1:6" x14ac:dyDescent="0.2">
      <c r="A356" s="4">
        <v>44985</v>
      </c>
      <c r="B356" s="5">
        <v>108.825</v>
      </c>
      <c r="C356" s="5">
        <v>108.83499999999999</v>
      </c>
      <c r="D356" s="5">
        <v>106.16</v>
      </c>
      <c r="E356" s="5">
        <v>106.24</v>
      </c>
      <c r="F356" s="6">
        <v>10209910</v>
      </c>
    </row>
    <row r="357" spans="1:6" x14ac:dyDescent="0.2">
      <c r="A357" s="4">
        <v>44986</v>
      </c>
      <c r="B357" s="5">
        <v>105.96</v>
      </c>
      <c r="C357" s="5">
        <v>107.55</v>
      </c>
      <c r="D357" s="5">
        <v>105.96</v>
      </c>
      <c r="E357" s="5">
        <v>106.65</v>
      </c>
      <c r="F357" s="6">
        <v>6099042</v>
      </c>
    </row>
    <row r="358" spans="1:6" x14ac:dyDescent="0.2">
      <c r="A358" s="4">
        <v>44987</v>
      </c>
      <c r="B358" s="5">
        <v>106.625</v>
      </c>
      <c r="C358" s="5">
        <v>107.37</v>
      </c>
      <c r="D358" s="5">
        <v>106.1</v>
      </c>
      <c r="E358" s="5">
        <v>107.01</v>
      </c>
      <c r="F358" s="6">
        <v>5097741</v>
      </c>
    </row>
    <row r="359" spans="1:6" x14ac:dyDescent="0.2">
      <c r="A359" s="4">
        <v>44988</v>
      </c>
      <c r="B359" s="5">
        <v>107.375</v>
      </c>
      <c r="C359" s="5">
        <v>107.39</v>
      </c>
      <c r="D359" s="5">
        <v>106.12949999999999</v>
      </c>
      <c r="E359" s="5">
        <v>106.88</v>
      </c>
      <c r="F359" s="6">
        <v>6124326</v>
      </c>
    </row>
    <row r="360" spans="1:6" x14ac:dyDescent="0.2">
      <c r="A360" s="4">
        <v>44991</v>
      </c>
      <c r="B360" s="5">
        <v>107.66</v>
      </c>
      <c r="C360" s="5">
        <v>111.24</v>
      </c>
      <c r="D360" s="5">
        <v>107.45</v>
      </c>
      <c r="E360" s="5">
        <v>111.1</v>
      </c>
      <c r="F360" s="6">
        <v>17776590</v>
      </c>
    </row>
    <row r="361" spans="1:6" x14ac:dyDescent="0.2">
      <c r="A361" s="4">
        <v>44992</v>
      </c>
      <c r="B361" s="5">
        <v>111.77</v>
      </c>
      <c r="C361" s="5">
        <v>112.18</v>
      </c>
      <c r="D361" s="5">
        <v>110.715</v>
      </c>
      <c r="E361" s="5">
        <v>111.27</v>
      </c>
      <c r="F361" s="6">
        <v>13805310</v>
      </c>
    </row>
    <row r="362" spans="1:6" x14ac:dyDescent="0.2">
      <c r="A362" s="4">
        <v>44993</v>
      </c>
      <c r="B362" s="5">
        <v>110.93</v>
      </c>
      <c r="C362" s="5">
        <v>111.28</v>
      </c>
      <c r="D362" s="5">
        <v>107.59</v>
      </c>
      <c r="E362" s="5">
        <v>108.28</v>
      </c>
      <c r="F362" s="6">
        <v>8440829</v>
      </c>
    </row>
    <row r="363" spans="1:6" x14ac:dyDescent="0.2">
      <c r="A363" s="4">
        <v>44994</v>
      </c>
      <c r="B363" s="5">
        <v>109.3</v>
      </c>
      <c r="C363" s="5">
        <v>109.9</v>
      </c>
      <c r="D363" s="5">
        <v>107.11</v>
      </c>
      <c r="E363" s="5">
        <v>107.6</v>
      </c>
      <c r="F363" s="6">
        <v>5842822</v>
      </c>
    </row>
    <row r="364" spans="1:6" x14ac:dyDescent="0.2">
      <c r="A364" s="4">
        <v>44995</v>
      </c>
      <c r="B364" s="5">
        <v>107.44</v>
      </c>
      <c r="C364" s="5">
        <v>110.72</v>
      </c>
      <c r="D364" s="5">
        <v>107.34</v>
      </c>
      <c r="E364" s="5">
        <v>107.69</v>
      </c>
      <c r="F364" s="6">
        <v>9738504</v>
      </c>
    </row>
    <row r="365" spans="1:6" x14ac:dyDescent="0.2">
      <c r="A365" s="4">
        <v>44998</v>
      </c>
      <c r="B365" s="5">
        <v>104.47</v>
      </c>
      <c r="C365" s="5">
        <v>108.84</v>
      </c>
      <c r="D365" s="5">
        <v>104.4</v>
      </c>
      <c r="E365" s="5">
        <v>105.73</v>
      </c>
      <c r="F365" s="6">
        <v>10687100</v>
      </c>
    </row>
    <row r="366" spans="1:6" x14ac:dyDescent="0.2">
      <c r="A366" s="4">
        <v>44999</v>
      </c>
      <c r="B366" s="5">
        <v>105.45</v>
      </c>
      <c r="C366" s="5">
        <v>107.13</v>
      </c>
      <c r="D366" s="5">
        <v>104.52</v>
      </c>
      <c r="E366" s="5">
        <v>106.97</v>
      </c>
      <c r="F366" s="6">
        <v>9806917</v>
      </c>
    </row>
    <row r="367" spans="1:6" x14ac:dyDescent="0.2">
      <c r="A367" s="4">
        <v>45000</v>
      </c>
      <c r="B367" s="5">
        <v>106.48</v>
      </c>
      <c r="C367" s="5">
        <v>108.03</v>
      </c>
      <c r="D367" s="5">
        <v>105.57</v>
      </c>
      <c r="E367" s="5">
        <v>107.63</v>
      </c>
      <c r="F367" s="6">
        <v>10942660</v>
      </c>
    </row>
    <row r="368" spans="1:6" x14ac:dyDescent="0.2">
      <c r="A368" s="4">
        <v>45001</v>
      </c>
      <c r="B368" s="5">
        <v>106.5</v>
      </c>
      <c r="C368" s="5">
        <v>107.705</v>
      </c>
      <c r="D368" s="5">
        <v>104.22499999999999</v>
      </c>
      <c r="E368" s="5">
        <v>107.34</v>
      </c>
      <c r="F368" s="6">
        <v>9442519</v>
      </c>
    </row>
    <row r="369" spans="1:6" x14ac:dyDescent="0.2">
      <c r="A369" s="4">
        <v>45002</v>
      </c>
      <c r="B369" s="5">
        <v>107.15</v>
      </c>
      <c r="C369" s="5">
        <v>107.31</v>
      </c>
      <c r="D369" s="5">
        <v>103.485</v>
      </c>
      <c r="E369" s="5">
        <v>104.1</v>
      </c>
      <c r="F369" s="6">
        <v>26402080</v>
      </c>
    </row>
    <row r="370" spans="1:6" x14ac:dyDescent="0.2">
      <c r="A370" s="4">
        <v>45005</v>
      </c>
      <c r="B370" s="5">
        <v>104.82</v>
      </c>
      <c r="C370" s="5">
        <v>106.91</v>
      </c>
      <c r="D370" s="5">
        <v>104.82</v>
      </c>
      <c r="E370" s="5">
        <v>105.85</v>
      </c>
      <c r="F370" s="6">
        <v>12865870</v>
      </c>
    </row>
    <row r="371" spans="1:6" x14ac:dyDescent="0.2">
      <c r="A371" s="4">
        <v>45006</v>
      </c>
      <c r="B371" s="5">
        <v>106</v>
      </c>
      <c r="C371" s="5">
        <v>106.425</v>
      </c>
      <c r="D371" s="5">
        <v>104.76</v>
      </c>
      <c r="E371" s="5">
        <v>105.54</v>
      </c>
      <c r="F371" s="6">
        <v>11571760</v>
      </c>
    </row>
    <row r="372" spans="1:6" x14ac:dyDescent="0.2">
      <c r="A372" s="4">
        <v>45007</v>
      </c>
      <c r="B372" s="5">
        <v>105.47</v>
      </c>
      <c r="C372" s="5">
        <v>106.0012</v>
      </c>
      <c r="D372" s="5">
        <v>104.39</v>
      </c>
      <c r="E372" s="5">
        <v>104.4</v>
      </c>
      <c r="F372" s="6">
        <v>5705811</v>
      </c>
    </row>
    <row r="373" spans="1:6" x14ac:dyDescent="0.2">
      <c r="A373" s="4">
        <v>45008</v>
      </c>
      <c r="B373" s="5">
        <v>104.1</v>
      </c>
      <c r="C373" s="5">
        <v>104.63</v>
      </c>
      <c r="D373" s="5">
        <v>103.46</v>
      </c>
      <c r="E373" s="5">
        <v>104.23</v>
      </c>
      <c r="F373" s="6">
        <v>6801669</v>
      </c>
    </row>
    <row r="374" spans="1:6" x14ac:dyDescent="0.2">
      <c r="A374" s="4">
        <v>45009</v>
      </c>
      <c r="B374" s="5">
        <v>104.09</v>
      </c>
      <c r="C374" s="5">
        <v>105.01</v>
      </c>
      <c r="D374" s="5">
        <v>102.44</v>
      </c>
      <c r="E374" s="5">
        <v>104.8</v>
      </c>
      <c r="F374" s="6">
        <v>6661846</v>
      </c>
    </row>
    <row r="375" spans="1:6" x14ac:dyDescent="0.2">
      <c r="A375" s="4">
        <v>45012</v>
      </c>
      <c r="B375" s="5">
        <v>106.08</v>
      </c>
      <c r="C375" s="5">
        <v>107.61</v>
      </c>
      <c r="D375" s="5">
        <v>105.99</v>
      </c>
      <c r="E375" s="5">
        <v>106.93</v>
      </c>
      <c r="F375" s="6">
        <v>7563141</v>
      </c>
    </row>
    <row r="376" spans="1:6" x14ac:dyDescent="0.2">
      <c r="A376" s="4">
        <v>45013</v>
      </c>
      <c r="B376" s="5">
        <v>106.61</v>
      </c>
      <c r="C376" s="5">
        <v>107.03</v>
      </c>
      <c r="D376" s="5">
        <v>105.435</v>
      </c>
      <c r="E376" s="5">
        <v>105.53</v>
      </c>
      <c r="F376" s="6">
        <v>6679667</v>
      </c>
    </row>
    <row r="377" spans="1:6" x14ac:dyDescent="0.2">
      <c r="A377" s="4">
        <v>45014</v>
      </c>
      <c r="B377" s="5">
        <v>105.62</v>
      </c>
      <c r="C377" s="5">
        <v>105.87</v>
      </c>
      <c r="D377" s="5">
        <v>104.53</v>
      </c>
      <c r="E377" s="5">
        <v>104.92</v>
      </c>
      <c r="F377" s="6">
        <v>6310152</v>
      </c>
    </row>
    <row r="378" spans="1:6" x14ac:dyDescent="0.2">
      <c r="A378" s="4">
        <v>45015</v>
      </c>
      <c r="B378" s="5">
        <v>105.12</v>
      </c>
      <c r="C378" s="5">
        <v>106.2</v>
      </c>
      <c r="D378" s="5">
        <v>104.54</v>
      </c>
      <c r="E378" s="5">
        <v>105.92</v>
      </c>
      <c r="F378" s="6">
        <v>5017385</v>
      </c>
    </row>
    <row r="379" spans="1:6" x14ac:dyDescent="0.2">
      <c r="A379" s="4">
        <v>45016</v>
      </c>
      <c r="B379" s="5">
        <v>106.23</v>
      </c>
      <c r="C379" s="5">
        <v>106.53</v>
      </c>
      <c r="D379" s="5">
        <v>105.52</v>
      </c>
      <c r="E379" s="5">
        <v>106.39</v>
      </c>
      <c r="F379" s="6">
        <v>7184258</v>
      </c>
    </row>
    <row r="380" spans="1:6" x14ac:dyDescent="0.2">
      <c r="A380" s="4">
        <v>45019</v>
      </c>
      <c r="B380" s="5">
        <v>105.95</v>
      </c>
      <c r="C380" s="5">
        <v>109.48</v>
      </c>
      <c r="D380" s="5">
        <v>105.57</v>
      </c>
      <c r="E380" s="5">
        <v>108.87</v>
      </c>
      <c r="F380" s="6">
        <v>6964147</v>
      </c>
    </row>
    <row r="381" spans="1:6" x14ac:dyDescent="0.2">
      <c r="A381" s="4">
        <v>45020</v>
      </c>
      <c r="B381" s="5">
        <v>108.7</v>
      </c>
      <c r="C381" s="5">
        <v>109.34</v>
      </c>
      <c r="D381" s="5">
        <v>108.155</v>
      </c>
      <c r="E381" s="5">
        <v>108.83</v>
      </c>
      <c r="F381" s="6">
        <v>6108276</v>
      </c>
    </row>
    <row r="382" spans="1:6" x14ac:dyDescent="0.2">
      <c r="A382" s="4">
        <v>45021</v>
      </c>
      <c r="B382" s="5">
        <v>109.91</v>
      </c>
      <c r="C382" s="5">
        <v>112.34</v>
      </c>
      <c r="D382" s="5">
        <v>109.58</v>
      </c>
      <c r="E382" s="5">
        <v>111.91</v>
      </c>
      <c r="F382" s="6">
        <v>8006050</v>
      </c>
    </row>
    <row r="383" spans="1:6" x14ac:dyDescent="0.2">
      <c r="A383" s="4">
        <v>45022</v>
      </c>
      <c r="B383" s="5">
        <v>113</v>
      </c>
      <c r="C383" s="5">
        <v>114.16500000000001</v>
      </c>
      <c r="D383" s="5">
        <v>111.64</v>
      </c>
      <c r="E383" s="5">
        <v>112.33</v>
      </c>
      <c r="F383" s="6">
        <v>6894455</v>
      </c>
    </row>
    <row r="384" spans="1:6" x14ac:dyDescent="0.2">
      <c r="A384" s="4">
        <v>45026</v>
      </c>
      <c r="B384" s="5">
        <v>112.955</v>
      </c>
      <c r="C384" s="5">
        <v>113.0916</v>
      </c>
      <c r="D384" s="5">
        <v>111.17400000000001</v>
      </c>
      <c r="E384" s="5">
        <v>112.61</v>
      </c>
      <c r="F384" s="6">
        <v>6446468</v>
      </c>
    </row>
    <row r="385" spans="1:6" x14ac:dyDescent="0.2">
      <c r="A385" s="4">
        <v>45027</v>
      </c>
      <c r="B385" s="5">
        <v>112.72</v>
      </c>
      <c r="C385" s="5">
        <v>113.31</v>
      </c>
      <c r="D385" s="5">
        <v>112.32</v>
      </c>
      <c r="E385" s="5">
        <v>112.49</v>
      </c>
      <c r="F385" s="6">
        <v>5639881</v>
      </c>
    </row>
    <row r="386" spans="1:6" x14ac:dyDescent="0.2">
      <c r="A386" s="4">
        <v>45028</v>
      </c>
      <c r="B386" s="5">
        <v>112.25</v>
      </c>
      <c r="C386" s="5">
        <v>114.31</v>
      </c>
      <c r="D386" s="5">
        <v>111.875</v>
      </c>
      <c r="E386" s="5">
        <v>113.75</v>
      </c>
      <c r="F386" s="6">
        <v>6136747</v>
      </c>
    </row>
    <row r="387" spans="1:6" x14ac:dyDescent="0.2">
      <c r="A387" s="4">
        <v>45029</v>
      </c>
      <c r="B387" s="5">
        <v>114.97</v>
      </c>
      <c r="C387" s="5">
        <v>115.82</v>
      </c>
      <c r="D387" s="5">
        <v>113.65</v>
      </c>
      <c r="E387" s="5">
        <v>115.58</v>
      </c>
      <c r="F387" s="6">
        <v>7332285</v>
      </c>
    </row>
    <row r="388" spans="1:6" x14ac:dyDescent="0.2">
      <c r="A388" s="4">
        <v>45030</v>
      </c>
      <c r="B388" s="5">
        <v>115.74</v>
      </c>
      <c r="C388" s="5">
        <v>116.1703</v>
      </c>
      <c r="D388" s="5">
        <v>114.66</v>
      </c>
      <c r="E388" s="5">
        <v>115.31</v>
      </c>
      <c r="F388" s="6">
        <v>5005131</v>
      </c>
    </row>
    <row r="389" spans="1:6" x14ac:dyDescent="0.2">
      <c r="A389" s="4">
        <v>45033</v>
      </c>
      <c r="B389" s="5">
        <v>115.69</v>
      </c>
      <c r="C389" s="5">
        <v>116.44499999999999</v>
      </c>
      <c r="D389" s="5">
        <v>114.2</v>
      </c>
      <c r="E389" s="5">
        <v>115.01</v>
      </c>
      <c r="F389" s="6">
        <v>6575517</v>
      </c>
    </row>
    <row r="390" spans="1:6" x14ac:dyDescent="0.2">
      <c r="A390" s="4">
        <v>45034</v>
      </c>
      <c r="B390" s="5">
        <v>114.48</v>
      </c>
      <c r="C390" s="5">
        <v>115.12</v>
      </c>
      <c r="D390" s="5">
        <v>113.73</v>
      </c>
      <c r="E390" s="5">
        <v>114.83</v>
      </c>
      <c r="F390" s="6">
        <v>5454462</v>
      </c>
    </row>
    <row r="391" spans="1:6" x14ac:dyDescent="0.2">
      <c r="A391" s="4">
        <v>45035</v>
      </c>
      <c r="B391" s="5">
        <v>114.49</v>
      </c>
      <c r="C391" s="5">
        <v>115.39</v>
      </c>
      <c r="D391" s="5">
        <v>114.01</v>
      </c>
      <c r="E391" s="5">
        <v>114.13</v>
      </c>
      <c r="F391" s="6">
        <v>4683360</v>
      </c>
    </row>
    <row r="392" spans="1:6" x14ac:dyDescent="0.2">
      <c r="A392" s="4">
        <v>45036</v>
      </c>
      <c r="B392" s="5">
        <v>114.18</v>
      </c>
      <c r="C392" s="5">
        <v>114.52</v>
      </c>
      <c r="D392" s="5">
        <v>113</v>
      </c>
      <c r="E392" s="5">
        <v>114.17</v>
      </c>
      <c r="F392" s="6">
        <v>4657866</v>
      </c>
    </row>
    <row r="393" spans="1:6" x14ac:dyDescent="0.2">
      <c r="A393" s="4">
        <v>45037</v>
      </c>
      <c r="B393" s="5">
        <v>114.87</v>
      </c>
      <c r="C393" s="5">
        <v>115.65</v>
      </c>
      <c r="D393" s="5">
        <v>114.59</v>
      </c>
      <c r="E393" s="5">
        <v>115.37</v>
      </c>
      <c r="F393" s="6">
        <v>6554577</v>
      </c>
    </row>
    <row r="394" spans="1:6" x14ac:dyDescent="0.2">
      <c r="A394" s="4">
        <v>45040</v>
      </c>
      <c r="B394" s="5">
        <v>115.63500000000001</v>
      </c>
      <c r="C394" s="5">
        <v>116.28</v>
      </c>
      <c r="D394" s="5">
        <v>114.77</v>
      </c>
      <c r="E394" s="5">
        <v>115.94</v>
      </c>
      <c r="F394" s="6">
        <v>4299113</v>
      </c>
    </row>
    <row r="395" spans="1:6" x14ac:dyDescent="0.2">
      <c r="A395" s="4">
        <v>45041</v>
      </c>
      <c r="B395" s="5">
        <v>116.215</v>
      </c>
      <c r="C395" s="5">
        <v>116.86</v>
      </c>
      <c r="D395" s="5">
        <v>115.91</v>
      </c>
      <c r="E395" s="5">
        <v>116.53</v>
      </c>
      <c r="F395" s="6">
        <v>5662787</v>
      </c>
    </row>
    <row r="396" spans="1:6" x14ac:dyDescent="0.2">
      <c r="A396" s="4">
        <v>45042</v>
      </c>
      <c r="B396" s="5">
        <v>115.2</v>
      </c>
      <c r="C396" s="5">
        <v>115.2</v>
      </c>
      <c r="D396" s="5">
        <v>112.72</v>
      </c>
      <c r="E396" s="5">
        <v>113.43</v>
      </c>
      <c r="F396" s="6">
        <v>6607877</v>
      </c>
    </row>
    <row r="397" spans="1:6" x14ac:dyDescent="0.2">
      <c r="A397" s="4">
        <v>45043</v>
      </c>
      <c r="B397" s="5">
        <v>114.6</v>
      </c>
      <c r="C397" s="5">
        <v>115.36</v>
      </c>
      <c r="D397" s="5">
        <v>110.655</v>
      </c>
      <c r="E397" s="5">
        <v>115.16</v>
      </c>
      <c r="F397" s="6">
        <v>9975174</v>
      </c>
    </row>
    <row r="398" spans="1:6" x14ac:dyDescent="0.2">
      <c r="A398" s="4">
        <v>45044</v>
      </c>
      <c r="B398" s="5">
        <v>114.36</v>
      </c>
      <c r="C398" s="5">
        <v>115.53</v>
      </c>
      <c r="D398" s="5">
        <v>113.46</v>
      </c>
      <c r="E398" s="5">
        <v>115.47</v>
      </c>
      <c r="F398" s="6">
        <v>8050414</v>
      </c>
    </row>
    <row r="399" spans="1:6" x14ac:dyDescent="0.2">
      <c r="A399" s="4">
        <v>45047</v>
      </c>
      <c r="B399" s="5">
        <v>115.8</v>
      </c>
      <c r="C399" s="5">
        <v>116.6</v>
      </c>
      <c r="D399" s="5">
        <v>115.27</v>
      </c>
      <c r="E399" s="5">
        <v>116.34</v>
      </c>
      <c r="F399" s="6">
        <v>5238899</v>
      </c>
    </row>
    <row r="400" spans="1:6" x14ac:dyDescent="0.2">
      <c r="A400" s="4">
        <v>45048</v>
      </c>
      <c r="B400" s="5">
        <v>116.67</v>
      </c>
      <c r="C400" s="5">
        <v>118.39</v>
      </c>
      <c r="D400" s="5">
        <v>115.81</v>
      </c>
      <c r="E400" s="5">
        <v>117.89</v>
      </c>
      <c r="F400" s="6">
        <v>8175623</v>
      </c>
    </row>
    <row r="401" spans="1:6" x14ac:dyDescent="0.2">
      <c r="A401" s="4">
        <v>45049</v>
      </c>
      <c r="B401" s="5">
        <v>118.35</v>
      </c>
      <c r="C401" s="5">
        <v>119.65</v>
      </c>
      <c r="D401" s="5">
        <v>117.93</v>
      </c>
      <c r="E401" s="5">
        <v>118.22</v>
      </c>
      <c r="F401" s="6">
        <v>6738610</v>
      </c>
    </row>
    <row r="402" spans="1:6" x14ac:dyDescent="0.2">
      <c r="A402" s="4">
        <v>45050</v>
      </c>
      <c r="B402" s="5">
        <v>118</v>
      </c>
      <c r="C402" s="5">
        <v>118</v>
      </c>
      <c r="D402" s="5">
        <v>116.49</v>
      </c>
      <c r="E402" s="5">
        <v>117.37</v>
      </c>
      <c r="F402" s="6">
        <v>6490177</v>
      </c>
    </row>
    <row r="403" spans="1:6" x14ac:dyDescent="0.2">
      <c r="A403" s="4">
        <v>45051</v>
      </c>
      <c r="B403" s="5">
        <v>117.38</v>
      </c>
      <c r="C403" s="5">
        <v>117.89</v>
      </c>
      <c r="D403" s="5">
        <v>116.56</v>
      </c>
      <c r="E403" s="5">
        <v>117.68</v>
      </c>
      <c r="F403" s="6">
        <v>4534249</v>
      </c>
    </row>
    <row r="404" spans="1:6" x14ac:dyDescent="0.2">
      <c r="A404" s="4">
        <v>45054</v>
      </c>
      <c r="B404" s="5">
        <v>117.08</v>
      </c>
      <c r="C404" s="5">
        <v>118.44</v>
      </c>
      <c r="D404" s="5">
        <v>116.43980000000001</v>
      </c>
      <c r="E404" s="5">
        <v>118.38</v>
      </c>
      <c r="F404" s="6">
        <v>5157265</v>
      </c>
    </row>
    <row r="405" spans="1:6" x14ac:dyDescent="0.2">
      <c r="A405" s="4">
        <v>45055</v>
      </c>
      <c r="B405" s="5">
        <v>118.25</v>
      </c>
      <c r="C405" s="5">
        <v>118.625</v>
      </c>
      <c r="D405" s="5">
        <v>117.34</v>
      </c>
      <c r="E405" s="5">
        <v>117.43</v>
      </c>
      <c r="F405" s="6">
        <v>4933333</v>
      </c>
    </row>
    <row r="406" spans="1:6" x14ac:dyDescent="0.2">
      <c r="A406" s="4">
        <v>45056</v>
      </c>
      <c r="B406" s="5">
        <v>117.41</v>
      </c>
      <c r="C406" s="5">
        <v>118.17</v>
      </c>
      <c r="D406" s="5">
        <v>116.42</v>
      </c>
      <c r="E406" s="5">
        <v>117.9</v>
      </c>
      <c r="F406" s="6">
        <v>5605474</v>
      </c>
    </row>
    <row r="407" spans="1:6" x14ac:dyDescent="0.2">
      <c r="A407" s="4">
        <v>45057</v>
      </c>
      <c r="B407" s="5">
        <v>117.58</v>
      </c>
      <c r="C407" s="5">
        <v>117.786</v>
      </c>
      <c r="D407" s="5">
        <v>116.38200000000001</v>
      </c>
      <c r="E407" s="5">
        <v>117.55</v>
      </c>
      <c r="F407" s="6">
        <v>5596774</v>
      </c>
    </row>
    <row r="408" spans="1:6" x14ac:dyDescent="0.2">
      <c r="A408" s="4">
        <v>45058</v>
      </c>
      <c r="B408" s="5">
        <v>118</v>
      </c>
      <c r="C408" s="5">
        <v>118.55</v>
      </c>
      <c r="D408" s="5">
        <v>116.69499999999999</v>
      </c>
      <c r="E408" s="5">
        <v>117.14</v>
      </c>
      <c r="F408" s="6">
        <v>5233088</v>
      </c>
    </row>
    <row r="409" spans="1:6" x14ac:dyDescent="0.2">
      <c r="A409" s="4">
        <v>45061</v>
      </c>
      <c r="B409" s="5">
        <v>117.14</v>
      </c>
      <c r="C409" s="5">
        <v>117.74</v>
      </c>
      <c r="D409" s="5">
        <v>115.49</v>
      </c>
      <c r="E409" s="5">
        <v>116.37</v>
      </c>
      <c r="F409" s="6">
        <v>5697236</v>
      </c>
    </row>
    <row r="410" spans="1:6" x14ac:dyDescent="0.2">
      <c r="A410" s="4">
        <v>45062</v>
      </c>
      <c r="B410" s="5">
        <v>115.88</v>
      </c>
      <c r="C410" s="5">
        <v>116.76</v>
      </c>
      <c r="D410" s="5">
        <v>115.29</v>
      </c>
      <c r="E410" s="5">
        <v>116.08</v>
      </c>
      <c r="F410" s="6">
        <v>4278281</v>
      </c>
    </row>
    <row r="411" spans="1:6" x14ac:dyDescent="0.2">
      <c r="A411" s="4">
        <v>45063</v>
      </c>
      <c r="B411" s="5">
        <v>116.37</v>
      </c>
      <c r="C411" s="5">
        <v>116.655</v>
      </c>
      <c r="D411" s="5">
        <v>113.48</v>
      </c>
      <c r="E411" s="5">
        <v>114.76</v>
      </c>
      <c r="F411" s="6">
        <v>7210383</v>
      </c>
    </row>
    <row r="412" spans="1:6" x14ac:dyDescent="0.2">
      <c r="A412" s="4">
        <v>45064</v>
      </c>
      <c r="B412" s="5">
        <v>114.14</v>
      </c>
      <c r="C412" s="5">
        <v>115.07</v>
      </c>
      <c r="D412" s="5">
        <v>113.33</v>
      </c>
      <c r="E412" s="5">
        <v>114</v>
      </c>
      <c r="F412" s="6">
        <v>6437144</v>
      </c>
    </row>
    <row r="413" spans="1:6" x14ac:dyDescent="0.2">
      <c r="A413" s="4">
        <v>45065</v>
      </c>
      <c r="B413" s="5">
        <v>114.33</v>
      </c>
      <c r="C413" s="5">
        <v>116.24</v>
      </c>
      <c r="D413" s="5">
        <v>114.1</v>
      </c>
      <c r="E413" s="5">
        <v>115.49</v>
      </c>
      <c r="F413" s="6">
        <v>7647080</v>
      </c>
    </row>
    <row r="414" spans="1:6" x14ac:dyDescent="0.2">
      <c r="A414" s="4">
        <v>45068</v>
      </c>
      <c r="B414" s="5">
        <v>115.48</v>
      </c>
      <c r="C414" s="5">
        <v>117.08</v>
      </c>
      <c r="D414" s="5">
        <v>114.33</v>
      </c>
      <c r="E414" s="5">
        <v>114.49</v>
      </c>
      <c r="F414" s="6">
        <v>5607422</v>
      </c>
    </row>
    <row r="415" spans="1:6" x14ac:dyDescent="0.2">
      <c r="A415" s="4">
        <v>45069</v>
      </c>
      <c r="B415" s="5">
        <v>113.97</v>
      </c>
      <c r="C415" s="5">
        <v>114.79</v>
      </c>
      <c r="D415" s="5">
        <v>113.05</v>
      </c>
      <c r="E415" s="5">
        <v>113.27</v>
      </c>
      <c r="F415" s="6">
        <v>7733023</v>
      </c>
    </row>
    <row r="416" spans="1:6" x14ac:dyDescent="0.2">
      <c r="A416" s="4">
        <v>45070</v>
      </c>
      <c r="B416" s="5">
        <v>114.11</v>
      </c>
      <c r="C416" s="5">
        <v>114.32</v>
      </c>
      <c r="D416" s="5">
        <v>112.55</v>
      </c>
      <c r="E416" s="5">
        <v>113.6</v>
      </c>
      <c r="F416" s="6">
        <v>4509534</v>
      </c>
    </row>
    <row r="417" spans="1:6" x14ac:dyDescent="0.2">
      <c r="A417" s="4">
        <v>45071</v>
      </c>
      <c r="B417" s="5">
        <v>113.5</v>
      </c>
      <c r="C417" s="5">
        <v>113.5</v>
      </c>
      <c r="D417" s="5">
        <v>111.09</v>
      </c>
      <c r="E417" s="5">
        <v>112.3</v>
      </c>
      <c r="F417" s="6">
        <v>7037608</v>
      </c>
    </row>
    <row r="418" spans="1:6" x14ac:dyDescent="0.2">
      <c r="A418" s="4">
        <v>45072</v>
      </c>
      <c r="B418" s="5">
        <v>112</v>
      </c>
      <c r="C418" s="5">
        <v>113.19</v>
      </c>
      <c r="D418" s="5">
        <v>110.65009999999999</v>
      </c>
      <c r="E418" s="5">
        <v>111.07</v>
      </c>
      <c r="F418" s="6">
        <v>6378339</v>
      </c>
    </row>
    <row r="419" spans="1:6" x14ac:dyDescent="0.2">
      <c r="A419" s="4">
        <v>45076</v>
      </c>
      <c r="B419" s="5">
        <v>110.13</v>
      </c>
      <c r="C419" s="5">
        <v>110.71</v>
      </c>
      <c r="D419" s="5">
        <v>108.97</v>
      </c>
      <c r="E419" s="5">
        <v>109.17</v>
      </c>
      <c r="F419" s="6">
        <v>7768105</v>
      </c>
    </row>
    <row r="420" spans="1:6" x14ac:dyDescent="0.2">
      <c r="A420" s="4">
        <v>45077</v>
      </c>
      <c r="B420" s="5">
        <v>108.47</v>
      </c>
      <c r="C420" s="5">
        <v>111.15</v>
      </c>
      <c r="D420" s="5">
        <v>108.47</v>
      </c>
      <c r="E420" s="5">
        <v>110.41</v>
      </c>
      <c r="F420" s="6">
        <v>14563540</v>
      </c>
    </row>
    <row r="421" spans="1:6" x14ac:dyDescent="0.2">
      <c r="A421" s="4">
        <v>45078</v>
      </c>
      <c r="B421" s="5">
        <v>110.66</v>
      </c>
      <c r="C421" s="5">
        <v>111.59</v>
      </c>
      <c r="D421" s="5">
        <v>109.88</v>
      </c>
      <c r="E421" s="5">
        <v>110.93</v>
      </c>
      <c r="F421" s="6">
        <v>6960063</v>
      </c>
    </row>
    <row r="422" spans="1:6" x14ac:dyDescent="0.2">
      <c r="A422" s="4">
        <v>45079</v>
      </c>
      <c r="B422" s="5">
        <v>111.11</v>
      </c>
      <c r="C422" s="5">
        <v>112.73</v>
      </c>
      <c r="D422" s="5">
        <v>110.72</v>
      </c>
      <c r="E422" s="5">
        <v>112.52</v>
      </c>
      <c r="F422" s="6">
        <v>5792792</v>
      </c>
    </row>
    <row r="423" spans="1:6" x14ac:dyDescent="0.2">
      <c r="A423" s="4">
        <v>45082</v>
      </c>
      <c r="B423" s="5">
        <v>113</v>
      </c>
      <c r="C423" s="5">
        <v>114.48</v>
      </c>
      <c r="D423" s="5">
        <v>112.91</v>
      </c>
      <c r="E423" s="5">
        <v>113.11</v>
      </c>
      <c r="F423" s="6">
        <v>5185464</v>
      </c>
    </row>
    <row r="424" spans="1:6" x14ac:dyDescent="0.2">
      <c r="A424" s="4">
        <v>45083</v>
      </c>
      <c r="B424" s="5">
        <v>113.55</v>
      </c>
      <c r="C424" s="5">
        <v>113.72</v>
      </c>
      <c r="D424" s="5">
        <v>109.28</v>
      </c>
      <c r="E424" s="5">
        <v>110.01</v>
      </c>
      <c r="F424" s="6">
        <v>6960217</v>
      </c>
    </row>
    <row r="425" spans="1:6" x14ac:dyDescent="0.2">
      <c r="A425" s="4">
        <v>45084</v>
      </c>
      <c r="B425" s="5">
        <v>109.63</v>
      </c>
      <c r="C425" s="5">
        <v>109.67400000000001</v>
      </c>
      <c r="D425" s="5">
        <v>106.87</v>
      </c>
      <c r="E425" s="5">
        <v>108.61</v>
      </c>
      <c r="F425" s="6">
        <v>12420450</v>
      </c>
    </row>
    <row r="426" spans="1:6" x14ac:dyDescent="0.2">
      <c r="A426" s="4">
        <v>45085</v>
      </c>
      <c r="B426" s="5">
        <v>108.31</v>
      </c>
      <c r="C426" s="5">
        <v>111.07</v>
      </c>
      <c r="D426" s="5">
        <v>108</v>
      </c>
      <c r="E426" s="5">
        <v>110.32</v>
      </c>
      <c r="F426" s="6">
        <v>8354102</v>
      </c>
    </row>
    <row r="427" spans="1:6" x14ac:dyDescent="0.2">
      <c r="A427" s="4">
        <v>45086</v>
      </c>
      <c r="B427" s="5">
        <v>110.185</v>
      </c>
      <c r="C427" s="5">
        <v>111.51</v>
      </c>
      <c r="D427" s="5">
        <v>109.02</v>
      </c>
      <c r="E427" s="5">
        <v>110.71</v>
      </c>
      <c r="F427" s="6">
        <v>6522058</v>
      </c>
    </row>
    <row r="428" spans="1:6" x14ac:dyDescent="0.2">
      <c r="A428" s="4">
        <v>45089</v>
      </c>
      <c r="B428" s="5">
        <v>110.19</v>
      </c>
      <c r="C428" s="5">
        <v>110.99</v>
      </c>
      <c r="D428" s="5">
        <v>108.6</v>
      </c>
      <c r="E428" s="5">
        <v>109.86</v>
      </c>
      <c r="F428" s="6">
        <v>7468602</v>
      </c>
    </row>
    <row r="429" spans="1:6" x14ac:dyDescent="0.2">
      <c r="A429" s="4">
        <v>45090</v>
      </c>
      <c r="B429" s="5">
        <v>108.59</v>
      </c>
      <c r="C429" s="5">
        <v>110.64</v>
      </c>
      <c r="D429" s="5">
        <v>108.05</v>
      </c>
      <c r="E429" s="5">
        <v>109.99</v>
      </c>
      <c r="F429" s="6">
        <v>7304236</v>
      </c>
    </row>
    <row r="430" spans="1:6" x14ac:dyDescent="0.2">
      <c r="A430" s="4">
        <v>45091</v>
      </c>
      <c r="B430" s="5">
        <v>109.72</v>
      </c>
      <c r="C430" s="5">
        <v>109.93</v>
      </c>
      <c r="D430" s="5">
        <v>108.35</v>
      </c>
      <c r="E430" s="5">
        <v>108.66</v>
      </c>
      <c r="F430" s="6">
        <v>6137498</v>
      </c>
    </row>
    <row r="431" spans="1:6" x14ac:dyDescent="0.2">
      <c r="A431" s="4">
        <v>45092</v>
      </c>
      <c r="B431" s="5">
        <v>108.4</v>
      </c>
      <c r="C431" s="5">
        <v>109.9</v>
      </c>
      <c r="D431" s="5">
        <v>108.34</v>
      </c>
      <c r="E431" s="5">
        <v>109.4</v>
      </c>
      <c r="F431" s="6">
        <v>7305677</v>
      </c>
    </row>
    <row r="432" spans="1:6" x14ac:dyDescent="0.2">
      <c r="A432" s="4">
        <v>45093</v>
      </c>
      <c r="B432" s="5">
        <v>109.5</v>
      </c>
      <c r="C432" s="5">
        <v>110.455</v>
      </c>
      <c r="D432" s="5">
        <v>109.06</v>
      </c>
      <c r="E432" s="5">
        <v>109.32</v>
      </c>
      <c r="F432" s="6">
        <v>15844490</v>
      </c>
    </row>
    <row r="433" spans="1:6" x14ac:dyDescent="0.2">
      <c r="A433" s="4">
        <v>45097</v>
      </c>
      <c r="B433" s="5">
        <v>109.08</v>
      </c>
      <c r="C433" s="5">
        <v>110.86</v>
      </c>
      <c r="D433" s="5">
        <v>109.02500000000001</v>
      </c>
      <c r="E433" s="5">
        <v>110.23</v>
      </c>
      <c r="F433" s="6">
        <v>7744533</v>
      </c>
    </row>
    <row r="434" spans="1:6" x14ac:dyDescent="0.2">
      <c r="A434" s="4">
        <v>45098</v>
      </c>
      <c r="B434" s="5">
        <v>110.11</v>
      </c>
      <c r="C434" s="5">
        <v>111.52</v>
      </c>
      <c r="D434" s="5">
        <v>109.52</v>
      </c>
      <c r="E434" s="5">
        <v>111.16</v>
      </c>
      <c r="F434" s="6">
        <v>6854766</v>
      </c>
    </row>
    <row r="435" spans="1:6" x14ac:dyDescent="0.2">
      <c r="A435" s="4">
        <v>45099</v>
      </c>
      <c r="B435" s="5">
        <v>111.6</v>
      </c>
      <c r="C435" s="5">
        <v>113.84</v>
      </c>
      <c r="D435" s="5">
        <v>111.6</v>
      </c>
      <c r="E435" s="5">
        <v>113.72</v>
      </c>
      <c r="F435" s="6">
        <v>7884931</v>
      </c>
    </row>
    <row r="436" spans="1:6" x14ac:dyDescent="0.2">
      <c r="A436" s="4">
        <v>45100</v>
      </c>
      <c r="B436" s="5">
        <v>114.16</v>
      </c>
      <c r="C436" s="5">
        <v>114.91</v>
      </c>
      <c r="D436" s="5">
        <v>113.02</v>
      </c>
      <c r="E436" s="5">
        <v>114.6</v>
      </c>
      <c r="F436" s="6">
        <v>16407860</v>
      </c>
    </row>
    <row r="437" spans="1:6" x14ac:dyDescent="0.2">
      <c r="A437" s="4">
        <v>45103</v>
      </c>
      <c r="B437" s="5">
        <v>114.44</v>
      </c>
      <c r="C437" s="5">
        <v>114.6</v>
      </c>
      <c r="D437" s="5">
        <v>111.78</v>
      </c>
      <c r="E437" s="5">
        <v>113.08</v>
      </c>
      <c r="F437" s="6">
        <v>7685064</v>
      </c>
    </row>
    <row r="438" spans="1:6" x14ac:dyDescent="0.2">
      <c r="A438" s="4">
        <v>45104</v>
      </c>
      <c r="B438" s="5">
        <v>112.83</v>
      </c>
      <c r="C438" s="5">
        <v>113.71</v>
      </c>
      <c r="D438" s="5">
        <v>111.87</v>
      </c>
      <c r="E438" s="5">
        <v>113.32</v>
      </c>
      <c r="F438" s="6">
        <v>7093955</v>
      </c>
    </row>
    <row r="439" spans="1:6" x14ac:dyDescent="0.2">
      <c r="A439" s="4">
        <v>45105</v>
      </c>
      <c r="B439" s="5">
        <v>113.45</v>
      </c>
      <c r="C439" s="5">
        <v>113.57</v>
      </c>
      <c r="D439" s="5">
        <v>111.435</v>
      </c>
      <c r="E439" s="5">
        <v>112.44</v>
      </c>
      <c r="F439" s="6">
        <v>8173944</v>
      </c>
    </row>
    <row r="440" spans="1:6" x14ac:dyDescent="0.2">
      <c r="A440" s="4">
        <v>45106</v>
      </c>
      <c r="B440" s="5">
        <v>112.25</v>
      </c>
      <c r="C440" s="5">
        <v>113.88</v>
      </c>
      <c r="D440" s="5">
        <v>111.80500000000001</v>
      </c>
      <c r="E440" s="5">
        <v>113.54</v>
      </c>
      <c r="F440" s="6">
        <v>6281901</v>
      </c>
    </row>
    <row r="441" spans="1:6" x14ac:dyDescent="0.2">
      <c r="A441" s="4">
        <v>45107</v>
      </c>
      <c r="B441" s="5">
        <v>113.785</v>
      </c>
      <c r="C441" s="5">
        <v>115.61</v>
      </c>
      <c r="D441" s="5">
        <v>113.43</v>
      </c>
      <c r="E441" s="5">
        <v>115.39</v>
      </c>
      <c r="F441" s="6">
        <v>8090648</v>
      </c>
    </row>
    <row r="442" spans="1:6" x14ac:dyDescent="0.2">
      <c r="A442" s="4">
        <v>45110</v>
      </c>
      <c r="B442" s="5">
        <v>114.47</v>
      </c>
      <c r="C442" s="5">
        <v>114.62</v>
      </c>
      <c r="D442" s="5">
        <v>113.53</v>
      </c>
      <c r="E442" s="5">
        <v>114.33</v>
      </c>
      <c r="F442" s="6">
        <v>2834639</v>
      </c>
    </row>
    <row r="443" spans="1:6" x14ac:dyDescent="0.2">
      <c r="A443" s="4">
        <v>45112</v>
      </c>
      <c r="B443" s="5">
        <v>114.04</v>
      </c>
      <c r="C443" s="5">
        <v>114.43</v>
      </c>
      <c r="D443" s="5">
        <v>113.42</v>
      </c>
      <c r="E443" s="5">
        <v>113.7</v>
      </c>
      <c r="F443" s="6">
        <v>5861763</v>
      </c>
    </row>
    <row r="444" spans="1:6" x14ac:dyDescent="0.2">
      <c r="A444" s="4">
        <v>45113</v>
      </c>
      <c r="B444" s="5">
        <v>112.9</v>
      </c>
      <c r="C444" s="5">
        <v>113.44</v>
      </c>
      <c r="D444" s="5">
        <v>111.71</v>
      </c>
      <c r="E444" s="5">
        <v>111.75</v>
      </c>
      <c r="F444" s="6">
        <v>7257797</v>
      </c>
    </row>
    <row r="445" spans="1:6" x14ac:dyDescent="0.2">
      <c r="A445" s="4">
        <v>45114</v>
      </c>
      <c r="B445" s="5">
        <v>111.07</v>
      </c>
      <c r="C445" s="5">
        <v>111.5</v>
      </c>
      <c r="D445" s="5">
        <v>108.76</v>
      </c>
      <c r="E445" s="5">
        <v>109</v>
      </c>
      <c r="F445" s="6">
        <v>11316600</v>
      </c>
    </row>
    <row r="446" spans="1:6" x14ac:dyDescent="0.2">
      <c r="A446" s="4">
        <v>45117</v>
      </c>
      <c r="B446" s="5">
        <v>109.14</v>
      </c>
      <c r="C446" s="5">
        <v>110.6</v>
      </c>
      <c r="D446" s="5">
        <v>109.1</v>
      </c>
      <c r="E446" s="5">
        <v>109.96</v>
      </c>
      <c r="F446" s="6">
        <v>5949179</v>
      </c>
    </row>
    <row r="447" spans="1:6" x14ac:dyDescent="0.2">
      <c r="A447" s="4">
        <v>45118</v>
      </c>
      <c r="B447" s="5">
        <v>109.48</v>
      </c>
      <c r="C447" s="5">
        <v>110.02</v>
      </c>
      <c r="D447" s="5">
        <v>108.25</v>
      </c>
      <c r="E447" s="5">
        <v>108.7</v>
      </c>
      <c r="F447" s="6">
        <v>6084941</v>
      </c>
    </row>
    <row r="448" spans="1:6" x14ac:dyDescent="0.2">
      <c r="A448" s="4">
        <v>45119</v>
      </c>
      <c r="B448" s="5">
        <v>108.37</v>
      </c>
      <c r="C448" s="5">
        <v>109.05</v>
      </c>
      <c r="D448" s="5">
        <v>107.185</v>
      </c>
      <c r="E448" s="5">
        <v>107.47</v>
      </c>
      <c r="F448" s="6">
        <v>8376714</v>
      </c>
    </row>
    <row r="449" spans="1:6" x14ac:dyDescent="0.2">
      <c r="A449" s="4">
        <v>45120</v>
      </c>
      <c r="B449" s="5">
        <v>107.33</v>
      </c>
      <c r="C449" s="5">
        <v>107.91</v>
      </c>
      <c r="D449" s="5">
        <v>106.26</v>
      </c>
      <c r="E449" s="5">
        <v>106.32</v>
      </c>
      <c r="F449" s="6">
        <v>9764428</v>
      </c>
    </row>
    <row r="450" spans="1:6" x14ac:dyDescent="0.2">
      <c r="A450" s="4">
        <v>45121</v>
      </c>
      <c r="B450" s="5">
        <v>106.26</v>
      </c>
      <c r="C450" s="5">
        <v>107.68</v>
      </c>
      <c r="D450" s="5">
        <v>106.26</v>
      </c>
      <c r="E450" s="5">
        <v>107.34</v>
      </c>
      <c r="F450" s="6">
        <v>7209939</v>
      </c>
    </row>
    <row r="451" spans="1:6" x14ac:dyDescent="0.2">
      <c r="A451" s="4">
        <v>45124</v>
      </c>
      <c r="B451" s="5">
        <v>107.04</v>
      </c>
      <c r="C451" s="5">
        <v>107.44</v>
      </c>
      <c r="D451" s="5">
        <v>105.29</v>
      </c>
      <c r="E451" s="5">
        <v>105.57</v>
      </c>
      <c r="F451" s="6">
        <v>7376876</v>
      </c>
    </row>
    <row r="452" spans="1:6" x14ac:dyDescent="0.2">
      <c r="A452" s="4">
        <v>45125</v>
      </c>
      <c r="B452" s="5">
        <v>105.88</v>
      </c>
      <c r="C452" s="5">
        <v>107.02500000000001</v>
      </c>
      <c r="D452" s="5">
        <v>105.345</v>
      </c>
      <c r="E452" s="5">
        <v>105.95</v>
      </c>
      <c r="F452" s="6">
        <v>7499104</v>
      </c>
    </row>
    <row r="453" spans="1:6" x14ac:dyDescent="0.2">
      <c r="A453" s="4">
        <v>45126</v>
      </c>
      <c r="B453" s="5">
        <v>106.155</v>
      </c>
      <c r="C453" s="5">
        <v>107.38</v>
      </c>
      <c r="D453" s="5">
        <v>105.91</v>
      </c>
      <c r="E453" s="5">
        <v>105.95</v>
      </c>
      <c r="F453" s="6">
        <v>6608597</v>
      </c>
    </row>
    <row r="454" spans="1:6" x14ac:dyDescent="0.2">
      <c r="A454" s="4">
        <v>45127</v>
      </c>
      <c r="B454" s="5">
        <v>106.55</v>
      </c>
      <c r="C454" s="5">
        <v>108.95</v>
      </c>
      <c r="D454" s="5">
        <v>106.06</v>
      </c>
      <c r="E454" s="5">
        <v>108.46</v>
      </c>
      <c r="F454" s="6">
        <v>8073043</v>
      </c>
    </row>
    <row r="455" spans="1:6" x14ac:dyDescent="0.2">
      <c r="A455" s="4">
        <v>45128</v>
      </c>
      <c r="B455" s="5">
        <v>108.73</v>
      </c>
      <c r="C455" s="5">
        <v>110.61499999999999</v>
      </c>
      <c r="D455" s="5">
        <v>108.38</v>
      </c>
      <c r="E455" s="5">
        <v>110.39</v>
      </c>
      <c r="F455" s="6">
        <v>8193967</v>
      </c>
    </row>
    <row r="456" spans="1:6" x14ac:dyDescent="0.2">
      <c r="A456" s="4">
        <v>45131</v>
      </c>
      <c r="B456" s="5">
        <v>109.99</v>
      </c>
      <c r="C456" s="5">
        <v>110.34</v>
      </c>
      <c r="D456" s="5">
        <v>108.5</v>
      </c>
      <c r="E456" s="5">
        <v>108.79</v>
      </c>
      <c r="F456" s="6">
        <v>6045523</v>
      </c>
    </row>
    <row r="457" spans="1:6" x14ac:dyDescent="0.2">
      <c r="A457" s="4">
        <v>45132</v>
      </c>
      <c r="B457" s="5">
        <v>107.64</v>
      </c>
      <c r="C457" s="5">
        <v>108.72</v>
      </c>
      <c r="D457" s="5">
        <v>107.32</v>
      </c>
      <c r="E457" s="5">
        <v>107.53</v>
      </c>
      <c r="F457" s="6">
        <v>6498699</v>
      </c>
    </row>
    <row r="458" spans="1:6" x14ac:dyDescent="0.2">
      <c r="A458" s="4">
        <v>45133</v>
      </c>
      <c r="B458" s="5">
        <v>106.8</v>
      </c>
      <c r="C458" s="5">
        <v>108.005</v>
      </c>
      <c r="D458" s="5">
        <v>106.06</v>
      </c>
      <c r="E458" s="5">
        <v>107.14</v>
      </c>
      <c r="F458" s="6">
        <v>7042702</v>
      </c>
    </row>
    <row r="459" spans="1:6" x14ac:dyDescent="0.2">
      <c r="A459" s="4">
        <v>45134</v>
      </c>
      <c r="B459" s="5">
        <v>107.24</v>
      </c>
      <c r="C459" s="5">
        <v>107.62</v>
      </c>
      <c r="D459" s="5">
        <v>105.17</v>
      </c>
      <c r="E459" s="5">
        <v>105.27</v>
      </c>
      <c r="F459" s="6">
        <v>9813268</v>
      </c>
    </row>
    <row r="460" spans="1:6" x14ac:dyDescent="0.2">
      <c r="A460" s="4">
        <v>45135</v>
      </c>
      <c r="B460" s="5">
        <v>105.43</v>
      </c>
      <c r="C460" s="5">
        <v>106.65</v>
      </c>
      <c r="D460" s="5">
        <v>105.24</v>
      </c>
      <c r="E460" s="5">
        <v>106.34</v>
      </c>
      <c r="F460" s="6">
        <v>6904144</v>
      </c>
    </row>
    <row r="461" spans="1:6" x14ac:dyDescent="0.2">
      <c r="A461" s="4">
        <v>45138</v>
      </c>
      <c r="B461" s="5">
        <v>106.55</v>
      </c>
      <c r="C461" s="5">
        <v>106.77</v>
      </c>
      <c r="D461" s="5">
        <v>105.67</v>
      </c>
      <c r="E461" s="5">
        <v>106.65</v>
      </c>
      <c r="F461" s="6">
        <v>7400965</v>
      </c>
    </row>
    <row r="462" spans="1:6" x14ac:dyDescent="0.2">
      <c r="A462" s="4">
        <v>45139</v>
      </c>
      <c r="B462" s="5">
        <v>109.6</v>
      </c>
      <c r="C462" s="5">
        <v>109.6</v>
      </c>
      <c r="D462" s="5">
        <v>105.14</v>
      </c>
      <c r="E462" s="5">
        <v>105.28</v>
      </c>
      <c r="F462" s="6">
        <v>10012170</v>
      </c>
    </row>
    <row r="463" spans="1:6" x14ac:dyDescent="0.2">
      <c r="A463" s="4">
        <v>45140</v>
      </c>
      <c r="B463" s="5">
        <v>106.03</v>
      </c>
      <c r="C463" s="5">
        <v>108.14</v>
      </c>
      <c r="D463" s="5">
        <v>104.88</v>
      </c>
      <c r="E463" s="5">
        <v>105.7</v>
      </c>
      <c r="F463" s="6">
        <v>10875380</v>
      </c>
    </row>
    <row r="464" spans="1:6" x14ac:dyDescent="0.2">
      <c r="A464" s="4">
        <v>45141</v>
      </c>
      <c r="B464" s="5">
        <v>105.08</v>
      </c>
      <c r="C464" s="5">
        <v>105.78</v>
      </c>
      <c r="D464" s="5">
        <v>104.874</v>
      </c>
      <c r="E464" s="5">
        <v>105.73</v>
      </c>
      <c r="F464" s="6">
        <v>6039386</v>
      </c>
    </row>
    <row r="465" spans="1:6" x14ac:dyDescent="0.2">
      <c r="A465" s="4">
        <v>45142</v>
      </c>
      <c r="B465" s="5">
        <v>105.64</v>
      </c>
      <c r="C465" s="5">
        <v>106.42</v>
      </c>
      <c r="D465" s="5">
        <v>104.51</v>
      </c>
      <c r="E465" s="5">
        <v>105</v>
      </c>
      <c r="F465" s="6">
        <v>6701060</v>
      </c>
    </row>
    <row r="466" spans="1:6" x14ac:dyDescent="0.2">
      <c r="A466" s="4">
        <v>45145</v>
      </c>
      <c r="B466" s="5">
        <v>105.29</v>
      </c>
      <c r="C466" s="5">
        <v>106.28</v>
      </c>
      <c r="D466" s="5">
        <v>104.42</v>
      </c>
      <c r="E466" s="5">
        <v>106.09</v>
      </c>
      <c r="F466" s="6">
        <v>8259212</v>
      </c>
    </row>
    <row r="467" spans="1:6" x14ac:dyDescent="0.2">
      <c r="A467" s="4">
        <v>45146</v>
      </c>
      <c r="B467" s="5">
        <v>105.69</v>
      </c>
      <c r="C467" s="5">
        <v>107.19</v>
      </c>
      <c r="D467" s="5">
        <v>105.69</v>
      </c>
      <c r="E467" s="5">
        <v>106.41</v>
      </c>
      <c r="F467" s="6">
        <v>10152160</v>
      </c>
    </row>
    <row r="468" spans="1:6" x14ac:dyDescent="0.2">
      <c r="A468" s="4">
        <v>45147</v>
      </c>
      <c r="B468" s="5">
        <v>106.27</v>
      </c>
      <c r="C468" s="5">
        <v>106.79</v>
      </c>
      <c r="D468" s="5">
        <v>105.79</v>
      </c>
      <c r="E468" s="5">
        <v>106.1</v>
      </c>
      <c r="F468" s="6">
        <v>6479562</v>
      </c>
    </row>
    <row r="469" spans="1:6" x14ac:dyDescent="0.2">
      <c r="A469" s="4">
        <v>45148</v>
      </c>
      <c r="B469" s="5">
        <v>106.21</v>
      </c>
      <c r="C469" s="5">
        <v>107.04</v>
      </c>
      <c r="D469" s="5">
        <v>105.42</v>
      </c>
      <c r="E469" s="5">
        <v>105.57</v>
      </c>
      <c r="F469" s="6">
        <v>6525745</v>
      </c>
    </row>
    <row r="470" spans="1:6" x14ac:dyDescent="0.2">
      <c r="A470" s="4">
        <v>45149</v>
      </c>
      <c r="B470" s="5">
        <v>105.95</v>
      </c>
      <c r="C470" s="5">
        <v>107.705</v>
      </c>
      <c r="D470" s="5">
        <v>105.59</v>
      </c>
      <c r="E470" s="5">
        <v>107.44</v>
      </c>
      <c r="F470" s="6">
        <v>5904518</v>
      </c>
    </row>
    <row r="471" spans="1:6" x14ac:dyDescent="0.2">
      <c r="A471" s="4">
        <v>45152</v>
      </c>
      <c r="B471" s="5">
        <v>107.92</v>
      </c>
      <c r="C471" s="5">
        <v>109.43</v>
      </c>
      <c r="D471" s="5">
        <v>107.31</v>
      </c>
      <c r="E471" s="5">
        <v>108.91</v>
      </c>
      <c r="F471" s="6">
        <v>8427260</v>
      </c>
    </row>
    <row r="472" spans="1:6" x14ac:dyDescent="0.2">
      <c r="A472" s="4">
        <v>45153</v>
      </c>
      <c r="B472" s="5">
        <v>108.89</v>
      </c>
      <c r="C472" s="5">
        <v>109.42</v>
      </c>
      <c r="D472" s="5">
        <v>108.42</v>
      </c>
      <c r="E472" s="5">
        <v>108.66</v>
      </c>
      <c r="F472" s="6">
        <v>5118737</v>
      </c>
    </row>
    <row r="473" spans="1:6" x14ac:dyDescent="0.2">
      <c r="A473" s="4">
        <v>45154</v>
      </c>
      <c r="B473" s="5">
        <v>108.5</v>
      </c>
      <c r="C473" s="5">
        <v>109.47</v>
      </c>
      <c r="D473" s="5">
        <v>108.28</v>
      </c>
      <c r="E473" s="5">
        <v>108.73</v>
      </c>
      <c r="F473" s="6">
        <v>5332948</v>
      </c>
    </row>
    <row r="474" spans="1:6" x14ac:dyDescent="0.2">
      <c r="A474" s="4">
        <v>45155</v>
      </c>
      <c r="B474" s="5">
        <v>108.655</v>
      </c>
      <c r="C474" s="5">
        <v>110.28</v>
      </c>
      <c r="D474" s="5">
        <v>108.32</v>
      </c>
      <c r="E474" s="5">
        <v>108.92</v>
      </c>
      <c r="F474" s="6">
        <v>6457951</v>
      </c>
    </row>
    <row r="475" spans="1:6" x14ac:dyDescent="0.2">
      <c r="A475" s="4">
        <v>45156</v>
      </c>
      <c r="B475" s="5">
        <v>108.97</v>
      </c>
      <c r="C475" s="5">
        <v>109.5</v>
      </c>
      <c r="D475" s="5">
        <v>108.21</v>
      </c>
      <c r="E475" s="5">
        <v>109.2</v>
      </c>
      <c r="F475" s="6">
        <v>6711426</v>
      </c>
    </row>
    <row r="476" spans="1:6" x14ac:dyDescent="0.2">
      <c r="A476" s="4">
        <v>45159</v>
      </c>
      <c r="B476" s="5">
        <v>109.09</v>
      </c>
      <c r="C476" s="5">
        <v>110</v>
      </c>
      <c r="D476" s="5">
        <v>108.94499999999999</v>
      </c>
      <c r="E476" s="5">
        <v>109.64</v>
      </c>
      <c r="F476" s="6">
        <v>6012683</v>
      </c>
    </row>
    <row r="477" spans="1:6" x14ac:dyDescent="0.2">
      <c r="A477" s="4">
        <v>45160</v>
      </c>
      <c r="B477" s="5">
        <v>109.6</v>
      </c>
      <c r="C477" s="5">
        <v>109.6</v>
      </c>
      <c r="D477" s="5">
        <v>107.2</v>
      </c>
      <c r="E477" s="5">
        <v>107.23</v>
      </c>
      <c r="F477" s="6">
        <v>6026068</v>
      </c>
    </row>
    <row r="478" spans="1:6" x14ac:dyDescent="0.2">
      <c r="A478" s="4">
        <v>45161</v>
      </c>
      <c r="B478" s="5">
        <v>109.99</v>
      </c>
      <c r="C478" s="5">
        <v>111.89</v>
      </c>
      <c r="D478" s="5">
        <v>109.82</v>
      </c>
      <c r="E478" s="5">
        <v>111.3</v>
      </c>
      <c r="F478" s="6">
        <v>10588370</v>
      </c>
    </row>
    <row r="479" spans="1:6" x14ac:dyDescent="0.2">
      <c r="A479" s="4">
        <v>45162</v>
      </c>
      <c r="B479" s="5">
        <v>110.95</v>
      </c>
      <c r="C479" s="5">
        <v>112.02</v>
      </c>
      <c r="D479" s="5">
        <v>109.09</v>
      </c>
      <c r="E479" s="5">
        <v>109.45</v>
      </c>
      <c r="F479" s="6">
        <v>6487808</v>
      </c>
    </row>
    <row r="480" spans="1:6" x14ac:dyDescent="0.2">
      <c r="A480" s="4">
        <v>45163</v>
      </c>
      <c r="B480" s="5">
        <v>109.94</v>
      </c>
      <c r="C480" s="5">
        <v>110.33</v>
      </c>
      <c r="D480" s="5">
        <v>108.98</v>
      </c>
      <c r="E480" s="5">
        <v>110.21</v>
      </c>
      <c r="F480" s="6">
        <v>4839050</v>
      </c>
    </row>
    <row r="481" spans="1:6" x14ac:dyDescent="0.2">
      <c r="A481" s="4">
        <v>45166</v>
      </c>
      <c r="B481" s="5">
        <v>110.23</v>
      </c>
      <c r="C481" s="5">
        <v>110.61</v>
      </c>
      <c r="D481" s="5">
        <v>108.65</v>
      </c>
      <c r="E481" s="5">
        <v>108.93</v>
      </c>
      <c r="F481" s="6">
        <v>4335768</v>
      </c>
    </row>
    <row r="482" spans="1:6" x14ac:dyDescent="0.2">
      <c r="A482" s="4">
        <v>45167</v>
      </c>
      <c r="B482" s="5">
        <v>109.28</v>
      </c>
      <c r="C482" s="5">
        <v>110.52</v>
      </c>
      <c r="D482" s="5">
        <v>108.93</v>
      </c>
      <c r="E482" s="5">
        <v>109.99</v>
      </c>
      <c r="F482" s="6">
        <v>5673320</v>
      </c>
    </row>
    <row r="483" spans="1:6" x14ac:dyDescent="0.2">
      <c r="A483" s="4">
        <v>45168</v>
      </c>
      <c r="B483" s="5">
        <v>110.3</v>
      </c>
      <c r="C483" s="5">
        <v>110.795</v>
      </c>
      <c r="D483" s="5">
        <v>109.72</v>
      </c>
      <c r="E483" s="5">
        <v>110.21</v>
      </c>
      <c r="F483" s="6">
        <v>4785070</v>
      </c>
    </row>
    <row r="484" spans="1:6" x14ac:dyDescent="0.2">
      <c r="A484" s="4">
        <v>45169</v>
      </c>
      <c r="B484" s="5">
        <v>110.12</v>
      </c>
      <c r="C484" s="5">
        <v>110.54</v>
      </c>
      <c r="D484" s="5">
        <v>108.89</v>
      </c>
      <c r="E484" s="5">
        <v>108.98</v>
      </c>
      <c r="F484" s="6">
        <v>9212051</v>
      </c>
    </row>
    <row r="485" spans="1:6" x14ac:dyDescent="0.2">
      <c r="A485" s="4">
        <v>45170</v>
      </c>
      <c r="B485" s="5">
        <v>109.65</v>
      </c>
      <c r="C485" s="5">
        <v>110.37</v>
      </c>
      <c r="D485" s="5">
        <v>109.25</v>
      </c>
      <c r="E485" s="5">
        <v>109.84</v>
      </c>
      <c r="F485" s="6">
        <v>4941343</v>
      </c>
    </row>
    <row r="486" spans="1:6" x14ac:dyDescent="0.2">
      <c r="A486" s="4">
        <v>45174</v>
      </c>
      <c r="B486" s="5">
        <v>109.46</v>
      </c>
      <c r="C486" s="5">
        <v>109.72</v>
      </c>
      <c r="D486" s="5">
        <v>107.49</v>
      </c>
      <c r="E486" s="5">
        <v>107.51</v>
      </c>
      <c r="F486" s="6">
        <v>6379919</v>
      </c>
    </row>
    <row r="487" spans="1:6" x14ac:dyDescent="0.2">
      <c r="A487" s="4">
        <v>45175</v>
      </c>
      <c r="B487" s="5">
        <v>106.76</v>
      </c>
      <c r="C487" s="5">
        <v>107</v>
      </c>
      <c r="D487" s="5">
        <v>104.92010000000001</v>
      </c>
      <c r="E487" s="5">
        <v>106.49</v>
      </c>
      <c r="F487" s="6">
        <v>7926130</v>
      </c>
    </row>
    <row r="488" spans="1:6" x14ac:dyDescent="0.2">
      <c r="A488" s="4">
        <v>45176</v>
      </c>
      <c r="B488" s="5">
        <v>106.91</v>
      </c>
      <c r="C488" s="5">
        <v>108.69</v>
      </c>
      <c r="D488" s="5">
        <v>106.86</v>
      </c>
      <c r="E488" s="5">
        <v>107.94</v>
      </c>
      <c r="F488" s="6">
        <v>8532636</v>
      </c>
    </row>
    <row r="489" spans="1:6" x14ac:dyDescent="0.2">
      <c r="A489" s="4">
        <v>45177</v>
      </c>
      <c r="B489" s="5">
        <v>107.54</v>
      </c>
      <c r="C489" s="5">
        <v>109.14</v>
      </c>
      <c r="D489" s="5">
        <v>107.54</v>
      </c>
      <c r="E489" s="5">
        <v>109.05</v>
      </c>
      <c r="F489" s="6">
        <v>6807513</v>
      </c>
    </row>
    <row r="490" spans="1:6" x14ac:dyDescent="0.2">
      <c r="A490" s="4">
        <v>45180</v>
      </c>
      <c r="B490" s="5">
        <v>109.325</v>
      </c>
      <c r="C490" s="5">
        <v>109.44</v>
      </c>
      <c r="D490" s="5">
        <v>108.34</v>
      </c>
      <c r="E490" s="5">
        <v>108.6</v>
      </c>
      <c r="F490" s="6">
        <v>5069348</v>
      </c>
    </row>
    <row r="491" spans="1:6" x14ac:dyDescent="0.2">
      <c r="A491" s="4">
        <v>45181</v>
      </c>
      <c r="B491" s="5">
        <v>108.42</v>
      </c>
      <c r="C491" s="5">
        <v>109.48</v>
      </c>
      <c r="D491" s="5">
        <v>107.55</v>
      </c>
      <c r="E491" s="5">
        <v>109.02</v>
      </c>
      <c r="F491" s="6">
        <v>4605423</v>
      </c>
    </row>
    <row r="492" spans="1:6" x14ac:dyDescent="0.2">
      <c r="A492" s="4">
        <v>45182</v>
      </c>
      <c r="B492" s="5">
        <v>108.98</v>
      </c>
      <c r="C492" s="5">
        <v>109.67</v>
      </c>
      <c r="D492" s="5">
        <v>107.67</v>
      </c>
      <c r="E492" s="5">
        <v>107.81</v>
      </c>
      <c r="F492" s="6">
        <v>6761746</v>
      </c>
    </row>
    <row r="493" spans="1:6" x14ac:dyDescent="0.2">
      <c r="A493" s="4">
        <v>45183</v>
      </c>
      <c r="B493" s="5">
        <v>107.69</v>
      </c>
      <c r="C493" s="5">
        <v>108.51</v>
      </c>
      <c r="D493" s="5">
        <v>106.955</v>
      </c>
      <c r="E493" s="5">
        <v>108.24</v>
      </c>
      <c r="F493" s="6">
        <v>6872401</v>
      </c>
    </row>
    <row r="494" spans="1:6" x14ac:dyDescent="0.2">
      <c r="A494" s="4">
        <v>45184</v>
      </c>
      <c r="B494" s="5">
        <v>108.12</v>
      </c>
      <c r="C494" s="5">
        <v>108.925</v>
      </c>
      <c r="D494" s="5">
        <v>107.26</v>
      </c>
      <c r="E494" s="5">
        <v>107.52</v>
      </c>
      <c r="F494" s="6">
        <v>9638992</v>
      </c>
    </row>
    <row r="495" spans="1:6" x14ac:dyDescent="0.2">
      <c r="A495" s="4">
        <v>45187</v>
      </c>
      <c r="B495" s="5">
        <v>107.77</v>
      </c>
      <c r="C495" s="5">
        <v>107.94</v>
      </c>
      <c r="D495" s="5">
        <v>106.85</v>
      </c>
      <c r="E495" s="5">
        <v>107.82</v>
      </c>
      <c r="F495" s="6">
        <v>3911543</v>
      </c>
    </row>
    <row r="496" spans="1:6" x14ac:dyDescent="0.2">
      <c r="A496" s="4">
        <v>45188</v>
      </c>
      <c r="B496" s="5">
        <v>107.65</v>
      </c>
      <c r="C496" s="5">
        <v>108.1799</v>
      </c>
      <c r="D496" s="5">
        <v>106.91</v>
      </c>
      <c r="E496" s="5">
        <v>107.36</v>
      </c>
      <c r="F496" s="6">
        <v>5818324</v>
      </c>
    </row>
    <row r="497" spans="1:6" x14ac:dyDescent="0.2">
      <c r="A497" s="4">
        <v>45189</v>
      </c>
      <c r="B497" s="5">
        <v>108.21</v>
      </c>
      <c r="C497" s="5">
        <v>108.4</v>
      </c>
      <c r="D497" s="5">
        <v>107.25</v>
      </c>
      <c r="E497" s="5">
        <v>107.31</v>
      </c>
      <c r="F497" s="6">
        <v>4594165</v>
      </c>
    </row>
    <row r="498" spans="1:6" x14ac:dyDescent="0.2">
      <c r="A498" s="4">
        <v>45190</v>
      </c>
      <c r="B498" s="5">
        <v>107.27</v>
      </c>
      <c r="C498" s="5">
        <v>107.88</v>
      </c>
      <c r="D498" s="5">
        <v>106.42</v>
      </c>
      <c r="E498" s="5">
        <v>106.73</v>
      </c>
      <c r="F498" s="6">
        <v>5856602</v>
      </c>
    </row>
    <row r="499" spans="1:6" x14ac:dyDescent="0.2">
      <c r="A499" s="4">
        <v>45191</v>
      </c>
      <c r="B499" s="5">
        <v>107.22</v>
      </c>
      <c r="C499" s="5">
        <v>107.22</v>
      </c>
      <c r="D499" s="5">
        <v>105.96</v>
      </c>
      <c r="E499" s="5">
        <v>106.34</v>
      </c>
      <c r="F499" s="6">
        <v>5027400</v>
      </c>
    </row>
    <row r="500" spans="1:6" x14ac:dyDescent="0.2">
      <c r="A500" s="4">
        <v>45194</v>
      </c>
      <c r="B500" s="5">
        <v>106.05</v>
      </c>
      <c r="C500" s="5">
        <v>106.19</v>
      </c>
      <c r="D500" s="5">
        <v>105.11</v>
      </c>
      <c r="E500" s="5">
        <v>105.84</v>
      </c>
      <c r="F500" s="6">
        <v>6052222</v>
      </c>
    </row>
    <row r="501" spans="1:6" x14ac:dyDescent="0.2">
      <c r="A501" s="4">
        <v>45195</v>
      </c>
      <c r="B501" s="5">
        <v>105.12</v>
      </c>
      <c r="C501" s="5">
        <v>106.55</v>
      </c>
      <c r="D501" s="5">
        <v>105.11</v>
      </c>
      <c r="E501" s="5">
        <v>105.39</v>
      </c>
      <c r="F501" s="6">
        <v>5400608</v>
      </c>
    </row>
    <row r="502" spans="1:6" x14ac:dyDescent="0.2">
      <c r="A502" s="4">
        <v>45196</v>
      </c>
      <c r="B502" s="5">
        <v>105.45</v>
      </c>
      <c r="C502" s="5">
        <v>105.52</v>
      </c>
      <c r="D502" s="5">
        <v>103.295</v>
      </c>
      <c r="E502" s="5">
        <v>103.94</v>
      </c>
      <c r="F502" s="6">
        <v>5635035</v>
      </c>
    </row>
    <row r="503" spans="1:6" x14ac:dyDescent="0.2">
      <c r="A503" s="4">
        <v>45197</v>
      </c>
      <c r="B503" s="5">
        <v>104.57</v>
      </c>
      <c r="C503" s="5">
        <v>104.965</v>
      </c>
      <c r="D503" s="5">
        <v>103.78</v>
      </c>
      <c r="E503" s="5">
        <v>104.3</v>
      </c>
      <c r="F503" s="6">
        <v>4758881</v>
      </c>
    </row>
    <row r="504" spans="1:6" x14ac:dyDescent="0.2">
      <c r="A504" s="4">
        <v>45198</v>
      </c>
      <c r="B504" s="5">
        <v>104.36</v>
      </c>
      <c r="C504" s="5">
        <v>104.68</v>
      </c>
      <c r="D504" s="5">
        <v>102.71</v>
      </c>
      <c r="E504" s="5">
        <v>102.95</v>
      </c>
      <c r="F504" s="6">
        <v>7232722</v>
      </c>
    </row>
    <row r="505" spans="1:6" x14ac:dyDescent="0.2">
      <c r="A505" s="4">
        <v>45201</v>
      </c>
      <c r="B505" s="5">
        <v>102.83</v>
      </c>
      <c r="C505" s="5">
        <v>102.83</v>
      </c>
      <c r="D505" s="5">
        <v>101.35</v>
      </c>
      <c r="E505" s="5">
        <v>102.55</v>
      </c>
      <c r="F505" s="6">
        <v>7079859</v>
      </c>
    </row>
    <row r="506" spans="1:6" x14ac:dyDescent="0.2">
      <c r="A506" s="4">
        <v>45202</v>
      </c>
      <c r="B506" s="5">
        <v>102.24</v>
      </c>
      <c r="C506" s="5">
        <v>102.44</v>
      </c>
      <c r="D506" s="5">
        <v>100.92</v>
      </c>
      <c r="E506" s="5">
        <v>101.77</v>
      </c>
      <c r="F506" s="6">
        <v>5924010</v>
      </c>
    </row>
    <row r="507" spans="1:6" x14ac:dyDescent="0.2">
      <c r="A507" s="4">
        <v>45203</v>
      </c>
      <c r="B507" s="5">
        <v>101.58</v>
      </c>
      <c r="C507" s="5">
        <v>102.43</v>
      </c>
      <c r="D507" s="5">
        <v>101.33</v>
      </c>
      <c r="E507" s="5">
        <v>102.17</v>
      </c>
      <c r="F507" s="6">
        <v>6720526</v>
      </c>
    </row>
    <row r="508" spans="1:6" x14ac:dyDescent="0.2">
      <c r="A508" s="4">
        <v>45204</v>
      </c>
      <c r="B508" s="5">
        <v>102.36</v>
      </c>
      <c r="C508" s="5">
        <v>103.71</v>
      </c>
      <c r="D508" s="5">
        <v>102.34</v>
      </c>
      <c r="E508" s="5">
        <v>103.6</v>
      </c>
      <c r="F508" s="6">
        <v>6449076</v>
      </c>
    </row>
    <row r="509" spans="1:6" x14ac:dyDescent="0.2">
      <c r="A509" s="4">
        <v>45205</v>
      </c>
      <c r="B509" s="5">
        <v>103.73</v>
      </c>
      <c r="C509" s="5">
        <v>104.43</v>
      </c>
      <c r="D509" s="5">
        <v>102.92</v>
      </c>
      <c r="E509" s="5">
        <v>103.88</v>
      </c>
      <c r="F509" s="6">
        <v>6854948</v>
      </c>
    </row>
    <row r="510" spans="1:6" x14ac:dyDescent="0.2">
      <c r="A510" s="4">
        <v>45208</v>
      </c>
      <c r="B510" s="5">
        <v>103.5</v>
      </c>
      <c r="C510" s="5">
        <v>105.19</v>
      </c>
      <c r="D510" s="5">
        <v>103.31</v>
      </c>
      <c r="E510" s="5">
        <v>104.5</v>
      </c>
      <c r="F510" s="6">
        <v>5061149</v>
      </c>
    </row>
    <row r="511" spans="1:6" x14ac:dyDescent="0.2">
      <c r="A511" s="4">
        <v>45209</v>
      </c>
      <c r="B511" s="5">
        <v>104.32</v>
      </c>
      <c r="C511" s="5">
        <v>104.46</v>
      </c>
      <c r="D511" s="5">
        <v>103.16</v>
      </c>
      <c r="E511" s="5">
        <v>103.61</v>
      </c>
      <c r="F511" s="6">
        <v>7177194</v>
      </c>
    </row>
    <row r="512" spans="1:6" x14ac:dyDescent="0.2">
      <c r="A512" s="4">
        <v>45210</v>
      </c>
      <c r="B512" s="5">
        <v>104</v>
      </c>
      <c r="C512" s="5">
        <v>104.21</v>
      </c>
      <c r="D512" s="5">
        <v>102.85299999999999</v>
      </c>
      <c r="E512" s="5">
        <v>103.46</v>
      </c>
      <c r="F512" s="6">
        <v>5375241</v>
      </c>
    </row>
    <row r="513" spans="1:6" x14ac:dyDescent="0.2">
      <c r="A513" s="4">
        <v>45211</v>
      </c>
      <c r="B513" s="5">
        <v>103.52</v>
      </c>
      <c r="C513" s="5">
        <v>103.95</v>
      </c>
      <c r="D513" s="5">
        <v>102.93</v>
      </c>
      <c r="E513" s="5">
        <v>103.59</v>
      </c>
      <c r="F513" s="6">
        <v>5124130</v>
      </c>
    </row>
    <row r="514" spans="1:6" x14ac:dyDescent="0.2">
      <c r="A514" s="4">
        <v>45212</v>
      </c>
      <c r="B514" s="5">
        <v>103.61</v>
      </c>
      <c r="C514" s="5">
        <v>104.52</v>
      </c>
      <c r="D514" s="5">
        <v>102.78</v>
      </c>
      <c r="E514" s="5">
        <v>104.01</v>
      </c>
      <c r="F514" s="6">
        <v>5787618</v>
      </c>
    </row>
    <row r="515" spans="1:6" x14ac:dyDescent="0.2">
      <c r="A515" s="4">
        <v>45215</v>
      </c>
      <c r="B515" s="5">
        <v>104.2</v>
      </c>
      <c r="C515" s="5">
        <v>105.37</v>
      </c>
      <c r="D515" s="5">
        <v>104.06</v>
      </c>
      <c r="E515" s="5">
        <v>104.14</v>
      </c>
      <c r="F515" s="6">
        <v>6473527</v>
      </c>
    </row>
    <row r="516" spans="1:6" x14ac:dyDescent="0.2">
      <c r="A516" s="4">
        <v>45216</v>
      </c>
      <c r="B516" s="5">
        <v>104</v>
      </c>
      <c r="C516" s="5">
        <v>104.49</v>
      </c>
      <c r="D516" s="5">
        <v>103.15</v>
      </c>
      <c r="E516" s="5">
        <v>104.17</v>
      </c>
      <c r="F516" s="6">
        <v>5827151</v>
      </c>
    </row>
    <row r="517" spans="1:6" x14ac:dyDescent="0.2">
      <c r="A517" s="4">
        <v>45217</v>
      </c>
      <c r="B517" s="5">
        <v>104.11</v>
      </c>
      <c r="C517" s="5">
        <v>104.46</v>
      </c>
      <c r="D517" s="5">
        <v>101.905</v>
      </c>
      <c r="E517" s="5">
        <v>101.99</v>
      </c>
      <c r="F517" s="6">
        <v>7136408</v>
      </c>
    </row>
    <row r="518" spans="1:6" x14ac:dyDescent="0.2">
      <c r="A518" s="4">
        <v>45218</v>
      </c>
      <c r="B518" s="5">
        <v>101.655</v>
      </c>
      <c r="C518" s="5">
        <v>101.73</v>
      </c>
      <c r="D518" s="5">
        <v>99.14</v>
      </c>
      <c r="E518" s="5">
        <v>100.43</v>
      </c>
      <c r="F518" s="6">
        <v>7647567</v>
      </c>
    </row>
    <row r="519" spans="1:6" x14ac:dyDescent="0.2">
      <c r="A519" s="4">
        <v>45219</v>
      </c>
      <c r="B519" s="5">
        <v>99.99</v>
      </c>
      <c r="C519" s="5">
        <v>103.36</v>
      </c>
      <c r="D519" s="5">
        <v>99.99</v>
      </c>
      <c r="E519" s="5">
        <v>102.67</v>
      </c>
      <c r="F519" s="6">
        <v>12467510</v>
      </c>
    </row>
    <row r="520" spans="1:6" x14ac:dyDescent="0.2">
      <c r="A520" s="4">
        <v>45222</v>
      </c>
      <c r="B520" s="5">
        <v>102.83</v>
      </c>
      <c r="C520" s="5">
        <v>104.15</v>
      </c>
      <c r="D520" s="5">
        <v>102.67</v>
      </c>
      <c r="E520" s="5">
        <v>103.35</v>
      </c>
      <c r="F520" s="6">
        <v>8492971</v>
      </c>
    </row>
    <row r="521" spans="1:6" x14ac:dyDescent="0.2">
      <c r="A521" s="4">
        <v>45223</v>
      </c>
      <c r="B521" s="5">
        <v>103.315</v>
      </c>
      <c r="C521" s="5">
        <v>104.06</v>
      </c>
      <c r="D521" s="5">
        <v>102.68</v>
      </c>
      <c r="E521" s="5">
        <v>103.03</v>
      </c>
      <c r="F521" s="6">
        <v>6347902</v>
      </c>
    </row>
    <row r="522" spans="1:6" x14ac:dyDescent="0.2">
      <c r="A522" s="4">
        <v>45224</v>
      </c>
      <c r="B522" s="5">
        <v>103.35</v>
      </c>
      <c r="C522" s="5">
        <v>104.61</v>
      </c>
      <c r="D522" s="5">
        <v>102.95</v>
      </c>
      <c r="E522" s="5">
        <v>103.63</v>
      </c>
      <c r="F522" s="6">
        <v>7849169</v>
      </c>
    </row>
    <row r="523" spans="1:6" x14ac:dyDescent="0.2">
      <c r="A523" s="4">
        <v>45225</v>
      </c>
      <c r="B523" s="5">
        <v>103.1</v>
      </c>
      <c r="C523" s="5">
        <v>107.22499999999999</v>
      </c>
      <c r="D523" s="5">
        <v>102.99</v>
      </c>
      <c r="E523" s="5">
        <v>105.55</v>
      </c>
      <c r="F523" s="6">
        <v>11335690</v>
      </c>
    </row>
    <row r="524" spans="1:6" x14ac:dyDescent="0.2">
      <c r="A524" s="4">
        <v>45226</v>
      </c>
      <c r="B524" s="5">
        <v>105.32</v>
      </c>
      <c r="C524" s="5">
        <v>105.57</v>
      </c>
      <c r="D524" s="5">
        <v>102.22</v>
      </c>
      <c r="E524" s="5">
        <v>102.82</v>
      </c>
      <c r="F524" s="6">
        <v>8933870</v>
      </c>
    </row>
    <row r="525" spans="1:6" x14ac:dyDescent="0.2">
      <c r="A525" s="4">
        <v>45229</v>
      </c>
      <c r="B525" s="5">
        <v>103.28</v>
      </c>
      <c r="C525" s="5">
        <v>104.5</v>
      </c>
      <c r="D525" s="5">
        <v>102.61</v>
      </c>
      <c r="E525" s="5">
        <v>102.68</v>
      </c>
      <c r="F525" s="6">
        <v>6915539</v>
      </c>
    </row>
    <row r="526" spans="1:6" x14ac:dyDescent="0.2">
      <c r="A526" s="4">
        <v>45230</v>
      </c>
      <c r="B526" s="5">
        <v>102.77</v>
      </c>
      <c r="C526" s="5">
        <v>103.55</v>
      </c>
      <c r="D526" s="5">
        <v>101.4</v>
      </c>
      <c r="E526" s="5">
        <v>102.7</v>
      </c>
      <c r="F526" s="6">
        <v>7522713</v>
      </c>
    </row>
    <row r="527" spans="1:6" x14ac:dyDescent="0.2">
      <c r="A527" s="4">
        <v>45231</v>
      </c>
      <c r="B527" s="5">
        <v>103.55</v>
      </c>
      <c r="C527" s="5">
        <v>104.23</v>
      </c>
      <c r="D527" s="5">
        <v>102.73</v>
      </c>
      <c r="E527" s="5">
        <v>102.85</v>
      </c>
      <c r="F527" s="6">
        <v>5838081</v>
      </c>
    </row>
    <row r="528" spans="1:6" x14ac:dyDescent="0.2">
      <c r="A528" s="4">
        <v>45232</v>
      </c>
      <c r="B528" s="5">
        <v>102.74</v>
      </c>
      <c r="C528" s="5">
        <v>103.06</v>
      </c>
      <c r="D528" s="5">
        <v>101.65</v>
      </c>
      <c r="E528" s="5">
        <v>102.85</v>
      </c>
      <c r="F528" s="6">
        <v>5379126</v>
      </c>
    </row>
    <row r="529" spans="1:6" x14ac:dyDescent="0.2">
      <c r="A529" s="4">
        <v>45233</v>
      </c>
      <c r="B529" s="5">
        <v>103.37</v>
      </c>
      <c r="C529" s="5">
        <v>104.25</v>
      </c>
      <c r="D529" s="5">
        <v>102.78</v>
      </c>
      <c r="E529" s="5">
        <v>103.38</v>
      </c>
      <c r="F529" s="6">
        <v>6005966</v>
      </c>
    </row>
    <row r="530" spans="1:6" x14ac:dyDescent="0.2">
      <c r="A530" s="4">
        <v>45236</v>
      </c>
      <c r="B530" s="5">
        <v>104.08</v>
      </c>
      <c r="C530" s="5">
        <v>104.37</v>
      </c>
      <c r="D530" s="5">
        <v>103.14</v>
      </c>
      <c r="E530" s="5">
        <v>104.34</v>
      </c>
      <c r="F530" s="6">
        <v>5951276</v>
      </c>
    </row>
    <row r="531" spans="1:6" x14ac:dyDescent="0.2">
      <c r="A531" s="4">
        <v>45237</v>
      </c>
      <c r="B531" s="5">
        <v>104.35</v>
      </c>
      <c r="C531" s="5">
        <v>104.72</v>
      </c>
      <c r="D531" s="5">
        <v>103.73</v>
      </c>
      <c r="E531" s="5">
        <v>104</v>
      </c>
      <c r="F531" s="6">
        <v>6616423</v>
      </c>
    </row>
    <row r="532" spans="1:6" x14ac:dyDescent="0.2">
      <c r="A532" s="4">
        <v>45238</v>
      </c>
      <c r="B532" s="5">
        <v>103.98</v>
      </c>
      <c r="C532" s="5">
        <v>105.17</v>
      </c>
      <c r="D532" s="5">
        <v>103.84</v>
      </c>
      <c r="E532" s="5">
        <v>104.4</v>
      </c>
      <c r="F532" s="6">
        <v>8152228</v>
      </c>
    </row>
    <row r="533" spans="1:6" x14ac:dyDescent="0.2">
      <c r="A533" s="4">
        <v>45239</v>
      </c>
      <c r="B533" s="5">
        <v>104.71</v>
      </c>
      <c r="C533" s="5">
        <v>104.71</v>
      </c>
      <c r="D533" s="5">
        <v>102.15</v>
      </c>
      <c r="E533" s="5">
        <v>102.38</v>
      </c>
      <c r="F533" s="6">
        <v>7376967</v>
      </c>
    </row>
    <row r="534" spans="1:6" x14ac:dyDescent="0.2">
      <c r="A534" s="4">
        <v>45240</v>
      </c>
      <c r="B534" s="5">
        <v>102.84</v>
      </c>
      <c r="C534" s="5">
        <v>103.36</v>
      </c>
      <c r="D534" s="5">
        <v>100.6</v>
      </c>
      <c r="E534" s="5">
        <v>101.39</v>
      </c>
      <c r="F534" s="6">
        <v>7627360</v>
      </c>
    </row>
    <row r="535" spans="1:6" x14ac:dyDescent="0.2">
      <c r="A535" s="4">
        <v>45243</v>
      </c>
      <c r="B535" s="5">
        <v>101.09</v>
      </c>
      <c r="C535" s="5">
        <v>102.55</v>
      </c>
      <c r="D535" s="5">
        <v>100.58</v>
      </c>
      <c r="E535" s="5">
        <v>102.47</v>
      </c>
      <c r="F535" s="6">
        <v>5878212</v>
      </c>
    </row>
    <row r="536" spans="1:6" x14ac:dyDescent="0.2">
      <c r="A536" s="4">
        <v>45244</v>
      </c>
      <c r="B536" s="5">
        <v>102.66</v>
      </c>
      <c r="C536" s="5">
        <v>103.22</v>
      </c>
      <c r="D536" s="5">
        <v>101.9</v>
      </c>
      <c r="E536" s="5">
        <v>102.17</v>
      </c>
      <c r="F536" s="6">
        <v>6944430</v>
      </c>
    </row>
    <row r="537" spans="1:6" x14ac:dyDescent="0.2">
      <c r="A537" s="4">
        <v>45245</v>
      </c>
      <c r="B537" s="5">
        <v>101.88</v>
      </c>
      <c r="C537" s="5">
        <v>102.17</v>
      </c>
      <c r="D537" s="5">
        <v>100.72</v>
      </c>
      <c r="E537" s="5">
        <v>101.35</v>
      </c>
      <c r="F537" s="6">
        <v>7392556</v>
      </c>
    </row>
    <row r="538" spans="1:6" x14ac:dyDescent="0.2">
      <c r="A538" s="4">
        <v>45246</v>
      </c>
      <c r="B538" s="5">
        <v>101.83</v>
      </c>
      <c r="C538" s="5">
        <v>102.06</v>
      </c>
      <c r="D538" s="5">
        <v>101.03</v>
      </c>
      <c r="E538" s="5">
        <v>101.99</v>
      </c>
      <c r="F538" s="6">
        <v>7889718</v>
      </c>
    </row>
    <row r="539" spans="1:6" x14ac:dyDescent="0.2">
      <c r="A539" s="4">
        <v>45247</v>
      </c>
      <c r="B539" s="5">
        <v>102</v>
      </c>
      <c r="C539" s="5">
        <v>102.42</v>
      </c>
      <c r="D539" s="5">
        <v>100.96</v>
      </c>
      <c r="E539" s="5">
        <v>101.75</v>
      </c>
      <c r="F539" s="6">
        <v>6767096</v>
      </c>
    </row>
    <row r="540" spans="1:6" x14ac:dyDescent="0.2">
      <c r="A540" s="4">
        <v>45250</v>
      </c>
      <c r="B540" s="5">
        <v>100.97</v>
      </c>
      <c r="C540" s="5">
        <v>102.93</v>
      </c>
      <c r="D540" s="5">
        <v>100.89</v>
      </c>
      <c r="E540" s="5">
        <v>102.68</v>
      </c>
      <c r="F540" s="6">
        <v>7449968</v>
      </c>
    </row>
    <row r="541" spans="1:6" x14ac:dyDescent="0.2">
      <c r="A541" s="4">
        <v>45251</v>
      </c>
      <c r="B541" s="5">
        <v>103</v>
      </c>
      <c r="C541" s="5">
        <v>103.63</v>
      </c>
      <c r="D541" s="5">
        <v>101.845</v>
      </c>
      <c r="E541" s="5">
        <v>102.21</v>
      </c>
      <c r="F541" s="6">
        <v>7403611</v>
      </c>
    </row>
    <row r="542" spans="1:6" x14ac:dyDescent="0.2">
      <c r="A542" s="4">
        <v>45252</v>
      </c>
      <c r="B542" s="5">
        <v>102.2</v>
      </c>
      <c r="C542" s="5">
        <v>102.68</v>
      </c>
      <c r="D542" s="5">
        <v>101.11</v>
      </c>
      <c r="E542" s="5">
        <v>101.68</v>
      </c>
      <c r="F542" s="6">
        <v>5724130</v>
      </c>
    </row>
    <row r="543" spans="1:6" x14ac:dyDescent="0.2">
      <c r="A543" s="4">
        <v>45254</v>
      </c>
      <c r="B543" s="5">
        <v>102.26</v>
      </c>
      <c r="C543" s="5">
        <v>102.5136</v>
      </c>
      <c r="D543" s="5">
        <v>101.44</v>
      </c>
      <c r="E543" s="5">
        <v>101.87</v>
      </c>
      <c r="F543" s="6">
        <v>3167952</v>
      </c>
    </row>
    <row r="544" spans="1:6" x14ac:dyDescent="0.2">
      <c r="A544" s="4">
        <v>45257</v>
      </c>
      <c r="B544" s="5">
        <v>101.91</v>
      </c>
      <c r="C544" s="5">
        <v>102.15</v>
      </c>
      <c r="D544" s="5">
        <v>100.7</v>
      </c>
      <c r="E544" s="5">
        <v>101.43</v>
      </c>
      <c r="F544" s="6">
        <v>7356536</v>
      </c>
    </row>
    <row r="545" spans="1:6" x14ac:dyDescent="0.2">
      <c r="A545" s="4">
        <v>45258</v>
      </c>
      <c r="B545" s="5">
        <v>101.31</v>
      </c>
      <c r="C545" s="5">
        <v>101.35</v>
      </c>
      <c r="D545" s="5">
        <v>100.01</v>
      </c>
      <c r="E545" s="5">
        <v>100.18</v>
      </c>
      <c r="F545" s="6">
        <v>8738483</v>
      </c>
    </row>
    <row r="546" spans="1:6" x14ac:dyDescent="0.2">
      <c r="A546" s="4">
        <v>45259</v>
      </c>
      <c r="B546" s="5">
        <v>100.28</v>
      </c>
      <c r="C546" s="5">
        <v>101.17</v>
      </c>
      <c r="D546" s="5">
        <v>99.8</v>
      </c>
      <c r="E546" s="5">
        <v>101.13</v>
      </c>
      <c r="F546" s="6">
        <v>10286780</v>
      </c>
    </row>
    <row r="547" spans="1:6" x14ac:dyDescent="0.2">
      <c r="A547" s="4">
        <v>45260</v>
      </c>
      <c r="B547" s="5">
        <v>100.84</v>
      </c>
      <c r="C547" s="5">
        <v>102.685</v>
      </c>
      <c r="D547" s="5">
        <v>100.28</v>
      </c>
      <c r="E547" s="5">
        <v>102.48</v>
      </c>
      <c r="F547" s="6">
        <v>29299670</v>
      </c>
    </row>
    <row r="548" spans="1:6" x14ac:dyDescent="0.2">
      <c r="A548" s="4">
        <v>45261</v>
      </c>
      <c r="B548" s="5">
        <v>102.85</v>
      </c>
      <c r="C548" s="5">
        <v>103.67610000000001</v>
      </c>
      <c r="D548" s="5">
        <v>102.66</v>
      </c>
      <c r="E548" s="5">
        <v>103.46</v>
      </c>
      <c r="F548" s="6">
        <v>6863429</v>
      </c>
    </row>
    <row r="549" spans="1:6" x14ac:dyDescent="0.2">
      <c r="A549" s="4">
        <v>45264</v>
      </c>
      <c r="B549" s="5">
        <v>103.73</v>
      </c>
      <c r="C549" s="5">
        <v>105.37909999999999</v>
      </c>
      <c r="D549" s="5">
        <v>103.73</v>
      </c>
      <c r="E549" s="5">
        <v>105.06</v>
      </c>
      <c r="F549" s="6">
        <v>10169910</v>
      </c>
    </row>
    <row r="550" spans="1:6" x14ac:dyDescent="0.2">
      <c r="A550" s="4">
        <v>45265</v>
      </c>
      <c r="B550" s="5">
        <v>104.92</v>
      </c>
      <c r="C550" s="5">
        <v>106.4</v>
      </c>
      <c r="D550" s="5">
        <v>104.18</v>
      </c>
      <c r="E550" s="5">
        <v>106.23</v>
      </c>
      <c r="F550" s="6">
        <v>10789090</v>
      </c>
    </row>
    <row r="551" spans="1:6" x14ac:dyDescent="0.2">
      <c r="A551" s="4">
        <v>45266</v>
      </c>
      <c r="B551" s="5">
        <v>106.25</v>
      </c>
      <c r="C551" s="5">
        <v>106.57</v>
      </c>
      <c r="D551" s="5">
        <v>105.43</v>
      </c>
      <c r="E551" s="5">
        <v>105.63</v>
      </c>
      <c r="F551" s="6">
        <v>9954925</v>
      </c>
    </row>
    <row r="552" spans="1:6" x14ac:dyDescent="0.2">
      <c r="A552" s="4">
        <v>45267</v>
      </c>
      <c r="B552" s="5">
        <v>105.58499999999999</v>
      </c>
      <c r="C552" s="5">
        <v>105.6</v>
      </c>
      <c r="D552" s="5">
        <v>103.72499999999999</v>
      </c>
      <c r="E552" s="5">
        <v>103.88</v>
      </c>
      <c r="F552" s="6">
        <v>9602210</v>
      </c>
    </row>
    <row r="553" spans="1:6" x14ac:dyDescent="0.2">
      <c r="A553" s="4">
        <v>45268</v>
      </c>
      <c r="B553" s="5">
        <v>103.79</v>
      </c>
      <c r="C553" s="5">
        <v>104.01</v>
      </c>
      <c r="D553" s="5">
        <v>102.65</v>
      </c>
      <c r="E553" s="5">
        <v>103.75</v>
      </c>
      <c r="F553" s="6">
        <v>7530274</v>
      </c>
    </row>
    <row r="554" spans="1:6" x14ac:dyDescent="0.2">
      <c r="A554" s="4">
        <v>45271</v>
      </c>
      <c r="B554" s="5">
        <v>104.85</v>
      </c>
      <c r="C554" s="5">
        <v>105.47</v>
      </c>
      <c r="D554" s="5">
        <v>103.57</v>
      </c>
      <c r="E554" s="5">
        <v>104.37</v>
      </c>
      <c r="F554" s="6">
        <v>7429918</v>
      </c>
    </row>
    <row r="555" spans="1:6" x14ac:dyDescent="0.2">
      <c r="A555" s="4">
        <v>45272</v>
      </c>
      <c r="B555" s="5">
        <v>104.48</v>
      </c>
      <c r="C555" s="5">
        <v>104.785</v>
      </c>
      <c r="D555" s="5">
        <v>103.42</v>
      </c>
      <c r="E555" s="5">
        <v>104.36</v>
      </c>
      <c r="F555" s="6">
        <v>7933546</v>
      </c>
    </row>
    <row r="556" spans="1:6" x14ac:dyDescent="0.2">
      <c r="A556" s="4">
        <v>45273</v>
      </c>
      <c r="B556" s="5">
        <v>104.16</v>
      </c>
      <c r="C556" s="5">
        <v>107.11</v>
      </c>
      <c r="D556" s="5">
        <v>103.97</v>
      </c>
      <c r="E556" s="5">
        <v>107.11</v>
      </c>
      <c r="F556" s="6">
        <v>10994980</v>
      </c>
    </row>
    <row r="557" spans="1:6" x14ac:dyDescent="0.2">
      <c r="A557" s="4">
        <v>45274</v>
      </c>
      <c r="B557" s="5">
        <v>106.68</v>
      </c>
      <c r="C557" s="5">
        <v>107.21</v>
      </c>
      <c r="D557" s="5">
        <v>105.14</v>
      </c>
      <c r="E557" s="5">
        <v>105.88</v>
      </c>
      <c r="F557" s="6">
        <v>10722970</v>
      </c>
    </row>
    <row r="558" spans="1:6" x14ac:dyDescent="0.2">
      <c r="A558" s="4">
        <v>45275</v>
      </c>
      <c r="B558" s="5">
        <v>104.89</v>
      </c>
      <c r="C558" s="5">
        <v>106.27</v>
      </c>
      <c r="D558" s="5">
        <v>104.26</v>
      </c>
      <c r="E558" s="5">
        <v>105.11</v>
      </c>
      <c r="F558" s="6">
        <v>26393300</v>
      </c>
    </row>
    <row r="559" spans="1:6" x14ac:dyDescent="0.2">
      <c r="A559" s="4">
        <v>45278</v>
      </c>
      <c r="B559" s="5">
        <v>106.16</v>
      </c>
      <c r="C559" s="5">
        <v>107.21</v>
      </c>
      <c r="D559" s="5">
        <v>105.63</v>
      </c>
      <c r="E559" s="5">
        <v>106.04</v>
      </c>
      <c r="F559" s="6">
        <v>12805560</v>
      </c>
    </row>
    <row r="560" spans="1:6" x14ac:dyDescent="0.2">
      <c r="A560" s="4">
        <v>45279</v>
      </c>
      <c r="B560" s="5">
        <v>106.05</v>
      </c>
      <c r="C560" s="5">
        <v>106.655</v>
      </c>
      <c r="D560" s="5">
        <v>105.44</v>
      </c>
      <c r="E560" s="5">
        <v>106.49</v>
      </c>
      <c r="F560" s="6">
        <v>8043141</v>
      </c>
    </row>
    <row r="561" spans="1:6" x14ac:dyDescent="0.2">
      <c r="A561" s="4">
        <v>45280</v>
      </c>
      <c r="B561" s="5">
        <v>107.14</v>
      </c>
      <c r="C561" s="5">
        <v>107.14</v>
      </c>
      <c r="D561" s="5">
        <v>105.24</v>
      </c>
      <c r="E561" s="5">
        <v>105.36</v>
      </c>
      <c r="F561" s="6">
        <v>8441602</v>
      </c>
    </row>
    <row r="562" spans="1:6" x14ac:dyDescent="0.2">
      <c r="A562" s="4">
        <v>45281</v>
      </c>
      <c r="B562" s="5">
        <v>105.785</v>
      </c>
      <c r="C562" s="5">
        <v>106.61</v>
      </c>
      <c r="D562" s="5">
        <v>105.34</v>
      </c>
      <c r="E562" s="5">
        <v>106.39</v>
      </c>
      <c r="F562" s="6">
        <v>5919489</v>
      </c>
    </row>
    <row r="563" spans="1:6" x14ac:dyDescent="0.2">
      <c r="A563" s="4">
        <v>45282</v>
      </c>
      <c r="B563" s="5">
        <v>107.15</v>
      </c>
      <c r="C563" s="5">
        <v>108.06</v>
      </c>
      <c r="D563" s="5">
        <v>106.83499999999999</v>
      </c>
      <c r="E563" s="5">
        <v>107.7</v>
      </c>
      <c r="F563" s="6">
        <v>6028695</v>
      </c>
    </row>
    <row r="564" spans="1:6" x14ac:dyDescent="0.2">
      <c r="A564" s="4">
        <v>45286</v>
      </c>
      <c r="B564" s="5">
        <v>107.5</v>
      </c>
      <c r="C564" s="5">
        <v>108.09</v>
      </c>
      <c r="D564" s="5">
        <v>107.22</v>
      </c>
      <c r="E564" s="5">
        <v>107.63</v>
      </c>
      <c r="F564" s="6">
        <v>4727766</v>
      </c>
    </row>
    <row r="565" spans="1:6" x14ac:dyDescent="0.2">
      <c r="A565" s="4">
        <v>45287</v>
      </c>
      <c r="B565" s="5">
        <v>107.31</v>
      </c>
      <c r="C565" s="5">
        <v>108.07</v>
      </c>
      <c r="D565" s="5">
        <v>107.01</v>
      </c>
      <c r="E565" s="5">
        <v>107.98</v>
      </c>
      <c r="F565" s="6">
        <v>5387031</v>
      </c>
    </row>
    <row r="566" spans="1:6" x14ac:dyDescent="0.2">
      <c r="A566" s="4">
        <v>45288</v>
      </c>
      <c r="B566" s="5">
        <v>108.3</v>
      </c>
      <c r="C566" s="5">
        <v>109.06</v>
      </c>
      <c r="D566" s="5">
        <v>108.13</v>
      </c>
      <c r="E566" s="5">
        <v>108.77</v>
      </c>
      <c r="F566" s="6">
        <v>5530591</v>
      </c>
    </row>
    <row r="567" spans="1:6" x14ac:dyDescent="0.2">
      <c r="A567" s="4">
        <v>45289</v>
      </c>
      <c r="B567" s="5">
        <v>108.99</v>
      </c>
      <c r="C567" s="5">
        <v>109.24</v>
      </c>
      <c r="D567" s="5">
        <v>108.79</v>
      </c>
      <c r="E567" s="5">
        <v>109.02</v>
      </c>
      <c r="F567" s="6">
        <v>5889238</v>
      </c>
    </row>
    <row r="568" spans="1:6" x14ac:dyDescent="0.2">
      <c r="A568" s="4">
        <v>45293</v>
      </c>
      <c r="B568" s="5">
        <v>109.16</v>
      </c>
      <c r="C568" s="5">
        <v>113.32</v>
      </c>
      <c r="D568" s="5">
        <v>109.16</v>
      </c>
      <c r="E568" s="5">
        <v>113.24</v>
      </c>
      <c r="F568" s="6">
        <v>11920150</v>
      </c>
    </row>
    <row r="569" spans="1:6" x14ac:dyDescent="0.2">
      <c r="A569" s="4">
        <v>45294</v>
      </c>
      <c r="B569" s="5">
        <v>114.27</v>
      </c>
      <c r="C569" s="5">
        <v>115.9</v>
      </c>
      <c r="D569" s="5">
        <v>114.16</v>
      </c>
      <c r="E569" s="5">
        <v>114.77</v>
      </c>
      <c r="F569" s="6">
        <v>10721920</v>
      </c>
    </row>
    <row r="570" spans="1:6" x14ac:dyDescent="0.2">
      <c r="A570" s="4">
        <v>45295</v>
      </c>
      <c r="B570" s="5">
        <v>115.92</v>
      </c>
      <c r="C570" s="5">
        <v>117.65</v>
      </c>
      <c r="D570" s="5">
        <v>115.86</v>
      </c>
      <c r="E570" s="5">
        <v>117.01</v>
      </c>
      <c r="F570" s="6">
        <v>11492210</v>
      </c>
    </row>
    <row r="571" spans="1:6" x14ac:dyDescent="0.2">
      <c r="A571" s="4">
        <v>45296</v>
      </c>
      <c r="B571" s="5">
        <v>117.1</v>
      </c>
      <c r="C571" s="5">
        <v>117.44499999999999</v>
      </c>
      <c r="D571" s="5">
        <v>116.64</v>
      </c>
      <c r="E571" s="5">
        <v>117.22</v>
      </c>
      <c r="F571" s="6">
        <v>6861542</v>
      </c>
    </row>
    <row r="572" spans="1:6" x14ac:dyDescent="0.2">
      <c r="A572" s="4">
        <v>45299</v>
      </c>
      <c r="B572" s="5">
        <v>117.59</v>
      </c>
      <c r="C572" s="5">
        <v>117.89</v>
      </c>
      <c r="D572" s="5">
        <v>116.18</v>
      </c>
      <c r="E572" s="5">
        <v>117.38</v>
      </c>
      <c r="F572" s="6">
        <v>8193116</v>
      </c>
    </row>
    <row r="573" spans="1:6" x14ac:dyDescent="0.2">
      <c r="A573" s="4">
        <v>45300</v>
      </c>
      <c r="B573" s="5">
        <v>117.51</v>
      </c>
      <c r="C573" s="5">
        <v>119.94</v>
      </c>
      <c r="D573" s="5">
        <v>117.21</v>
      </c>
      <c r="E573" s="5">
        <v>118.43</v>
      </c>
      <c r="F573" s="6">
        <v>8822254</v>
      </c>
    </row>
    <row r="574" spans="1:6" x14ac:dyDescent="0.2">
      <c r="A574" s="4">
        <v>45301</v>
      </c>
      <c r="B574" s="5">
        <v>118.19</v>
      </c>
      <c r="C574" s="5">
        <v>119.17</v>
      </c>
      <c r="D574" s="5">
        <v>117.74</v>
      </c>
      <c r="E574" s="5">
        <v>118.86</v>
      </c>
      <c r="F574" s="6">
        <v>7129082</v>
      </c>
    </row>
    <row r="575" spans="1:6" x14ac:dyDescent="0.2">
      <c r="A575" s="4">
        <v>45302</v>
      </c>
      <c r="B575" s="5">
        <v>118.8</v>
      </c>
      <c r="C575" s="5">
        <v>118.9</v>
      </c>
      <c r="D575" s="5">
        <v>117.08</v>
      </c>
      <c r="E575" s="5">
        <v>118.43</v>
      </c>
      <c r="F575" s="6">
        <v>5754423</v>
      </c>
    </row>
    <row r="576" spans="1:6" x14ac:dyDescent="0.2">
      <c r="A576" s="4">
        <v>45303</v>
      </c>
      <c r="B576" s="5">
        <v>118.07</v>
      </c>
      <c r="C576" s="5">
        <v>118.67</v>
      </c>
      <c r="D576" s="5">
        <v>117.65</v>
      </c>
      <c r="E576" s="5">
        <v>118.63</v>
      </c>
      <c r="F576" s="6">
        <v>6823300</v>
      </c>
    </row>
    <row r="577" spans="1:6" x14ac:dyDescent="0.2">
      <c r="A577" s="4">
        <v>45307</v>
      </c>
      <c r="B577" s="5">
        <v>118.49</v>
      </c>
      <c r="C577" s="5">
        <v>119.34</v>
      </c>
      <c r="D577" s="5">
        <v>117.94</v>
      </c>
      <c r="E577" s="5">
        <v>118.49</v>
      </c>
      <c r="F577" s="6">
        <v>6832442</v>
      </c>
    </row>
    <row r="578" spans="1:6" x14ac:dyDescent="0.2">
      <c r="A578" s="4">
        <v>45308</v>
      </c>
      <c r="B578" s="5">
        <v>119.18</v>
      </c>
      <c r="C578" s="5">
        <v>119.399</v>
      </c>
      <c r="D578" s="5">
        <v>117.605</v>
      </c>
      <c r="E578" s="5">
        <v>118.13</v>
      </c>
      <c r="F578" s="6">
        <v>5591406</v>
      </c>
    </row>
    <row r="579" spans="1:6" x14ac:dyDescent="0.2">
      <c r="A579" s="4">
        <v>45309</v>
      </c>
      <c r="B579" s="5">
        <v>117.645</v>
      </c>
      <c r="C579" s="5">
        <v>118.62</v>
      </c>
      <c r="D579" s="5">
        <v>116.62</v>
      </c>
      <c r="E579" s="5">
        <v>118.54</v>
      </c>
      <c r="F579" s="6">
        <v>10524720</v>
      </c>
    </row>
    <row r="580" spans="1:6" x14ac:dyDescent="0.2">
      <c r="A580" s="4">
        <v>45310</v>
      </c>
      <c r="B580" s="5">
        <v>118.21</v>
      </c>
      <c r="C580" s="5">
        <v>119.018</v>
      </c>
      <c r="D580" s="5">
        <v>117.7238</v>
      </c>
      <c r="E580" s="5">
        <v>118.89</v>
      </c>
      <c r="F580" s="6">
        <v>7605594</v>
      </c>
    </row>
    <row r="581" spans="1:6" x14ac:dyDescent="0.2">
      <c r="A581" s="4">
        <v>45313</v>
      </c>
      <c r="B581" s="5">
        <v>119.04</v>
      </c>
      <c r="C581" s="5">
        <v>119.97</v>
      </c>
      <c r="D581" s="5">
        <v>118.86</v>
      </c>
      <c r="E581" s="5">
        <v>119.43</v>
      </c>
      <c r="F581" s="6">
        <v>8786168</v>
      </c>
    </row>
    <row r="582" spans="1:6" x14ac:dyDescent="0.2">
      <c r="A582" s="4">
        <v>45314</v>
      </c>
      <c r="B582" s="5">
        <v>118.14</v>
      </c>
      <c r="C582" s="5">
        <v>119.99</v>
      </c>
      <c r="D582" s="5">
        <v>117.27</v>
      </c>
      <c r="E582" s="5">
        <v>119.84</v>
      </c>
      <c r="F582" s="6">
        <v>6501448</v>
      </c>
    </row>
    <row r="583" spans="1:6" x14ac:dyDescent="0.2">
      <c r="A583" s="4">
        <v>45315</v>
      </c>
      <c r="B583" s="5">
        <v>119.7</v>
      </c>
      <c r="C583" s="5">
        <v>119.95</v>
      </c>
      <c r="D583" s="5">
        <v>118.44</v>
      </c>
      <c r="E583" s="5">
        <v>118.88</v>
      </c>
      <c r="F583" s="6">
        <v>5859881</v>
      </c>
    </row>
    <row r="584" spans="1:6" x14ac:dyDescent="0.2">
      <c r="A584" s="4">
        <v>45316</v>
      </c>
      <c r="B584" s="5">
        <v>118.66</v>
      </c>
      <c r="C584" s="5">
        <v>120.18</v>
      </c>
      <c r="D584" s="5">
        <v>118.66</v>
      </c>
      <c r="E584" s="5">
        <v>120.13</v>
      </c>
      <c r="F584" s="6">
        <v>6689818</v>
      </c>
    </row>
    <row r="585" spans="1:6" x14ac:dyDescent="0.2">
      <c r="A585" s="4">
        <v>45317</v>
      </c>
      <c r="B585" s="5">
        <v>120.51</v>
      </c>
      <c r="C585" s="5">
        <v>121.02</v>
      </c>
      <c r="D585" s="5">
        <v>120.08</v>
      </c>
      <c r="E585" s="5">
        <v>120.82</v>
      </c>
      <c r="F585" s="6">
        <v>8300304</v>
      </c>
    </row>
    <row r="586" spans="1:6" x14ac:dyDescent="0.2">
      <c r="A586" s="4">
        <v>45320</v>
      </c>
      <c r="B586" s="5">
        <v>121.345</v>
      </c>
      <c r="C586" s="5">
        <v>121.4646</v>
      </c>
      <c r="D586" s="5">
        <v>120.49</v>
      </c>
      <c r="E586" s="5">
        <v>121.28</v>
      </c>
      <c r="F586" s="6">
        <v>9138402</v>
      </c>
    </row>
    <row r="587" spans="1:6" x14ac:dyDescent="0.2">
      <c r="A587" s="4">
        <v>45321</v>
      </c>
      <c r="B587" s="5">
        <v>121.28</v>
      </c>
      <c r="C587" s="5">
        <v>121.76</v>
      </c>
      <c r="D587" s="5">
        <v>120.18</v>
      </c>
      <c r="E587" s="5">
        <v>121.66</v>
      </c>
      <c r="F587" s="6">
        <v>7469479</v>
      </c>
    </row>
    <row r="588" spans="1:6" x14ac:dyDescent="0.2">
      <c r="A588" s="4">
        <v>45322</v>
      </c>
      <c r="B588" s="5">
        <v>122.53</v>
      </c>
      <c r="C588" s="5">
        <v>122.85</v>
      </c>
      <c r="D588" s="5">
        <v>120.5</v>
      </c>
      <c r="E588" s="5">
        <v>120.78</v>
      </c>
      <c r="F588" s="6">
        <v>10779040</v>
      </c>
    </row>
    <row r="589" spans="1:6" x14ac:dyDescent="0.2">
      <c r="A589" s="4">
        <v>45323</v>
      </c>
      <c r="B589" s="5">
        <v>123.65</v>
      </c>
      <c r="C589" s="5">
        <v>126.43</v>
      </c>
      <c r="D589" s="5">
        <v>122.77</v>
      </c>
      <c r="E589" s="5">
        <v>126.38</v>
      </c>
      <c r="F589" s="6">
        <v>11650730</v>
      </c>
    </row>
    <row r="590" spans="1:6" x14ac:dyDescent="0.2">
      <c r="A590" s="4">
        <v>45324</v>
      </c>
      <c r="B590" s="5">
        <v>126.71</v>
      </c>
      <c r="C590" s="5">
        <v>127.55500000000001</v>
      </c>
      <c r="D590" s="5">
        <v>126.105</v>
      </c>
      <c r="E590" s="5">
        <v>126.41</v>
      </c>
      <c r="F590" s="6">
        <v>10175600</v>
      </c>
    </row>
    <row r="591" spans="1:6" x14ac:dyDescent="0.2">
      <c r="A591" s="4">
        <v>45327</v>
      </c>
      <c r="B591" s="5">
        <v>126.98</v>
      </c>
      <c r="C591" s="5">
        <v>127.8</v>
      </c>
      <c r="D591" s="5">
        <v>125.7</v>
      </c>
      <c r="E591" s="5">
        <v>126.18</v>
      </c>
      <c r="F591" s="6">
        <v>8027717</v>
      </c>
    </row>
    <row r="592" spans="1:6" x14ac:dyDescent="0.2">
      <c r="A592" s="4">
        <v>45328</v>
      </c>
      <c r="B592" s="5">
        <v>126.605</v>
      </c>
      <c r="C592" s="5">
        <v>127.52</v>
      </c>
      <c r="D592" s="5">
        <v>126.07</v>
      </c>
      <c r="E592" s="5">
        <v>126.88</v>
      </c>
      <c r="F592" s="6">
        <v>6152994</v>
      </c>
    </row>
    <row r="593" spans="1:6" x14ac:dyDescent="0.2">
      <c r="A593" s="4">
        <v>45329</v>
      </c>
      <c r="B593" s="5">
        <v>126.9</v>
      </c>
      <c r="C593" s="5">
        <v>128.06</v>
      </c>
      <c r="D593" s="5">
        <v>126.5</v>
      </c>
      <c r="E593" s="5">
        <v>127.47</v>
      </c>
      <c r="F593" s="6">
        <v>6742760</v>
      </c>
    </row>
    <row r="594" spans="1:6" x14ac:dyDescent="0.2">
      <c r="A594" s="4">
        <v>45330</v>
      </c>
      <c r="B594" s="5">
        <v>127.32</v>
      </c>
      <c r="C594" s="5">
        <v>127.48</v>
      </c>
      <c r="D594" s="5">
        <v>125.94499999999999</v>
      </c>
      <c r="E594" s="5">
        <v>126.61</v>
      </c>
      <c r="F594" s="6">
        <v>6308268</v>
      </c>
    </row>
    <row r="595" spans="1:6" x14ac:dyDescent="0.2">
      <c r="A595" s="4">
        <v>45331</v>
      </c>
      <c r="B595" s="5">
        <v>126.22</v>
      </c>
      <c r="C595" s="5">
        <v>126.69</v>
      </c>
      <c r="D595" s="5">
        <v>125.04</v>
      </c>
      <c r="E595" s="5">
        <v>125.45</v>
      </c>
      <c r="F595" s="6">
        <v>7891392</v>
      </c>
    </row>
    <row r="596" spans="1:6" x14ac:dyDescent="0.2">
      <c r="A596" s="4">
        <v>45334</v>
      </c>
      <c r="B596" s="5">
        <v>125</v>
      </c>
      <c r="C596" s="5">
        <v>125.48</v>
      </c>
      <c r="D596" s="5">
        <v>124.3995</v>
      </c>
      <c r="E596" s="5">
        <v>125.34</v>
      </c>
      <c r="F596" s="6">
        <v>5257536</v>
      </c>
    </row>
    <row r="597" spans="1:6" x14ac:dyDescent="0.2">
      <c r="A597" s="4">
        <v>45335</v>
      </c>
      <c r="B597" s="5">
        <v>125.98</v>
      </c>
      <c r="C597" s="5">
        <v>126.858</v>
      </c>
      <c r="D597" s="5">
        <v>124.48</v>
      </c>
      <c r="E597" s="5">
        <v>125.43</v>
      </c>
      <c r="F597" s="6">
        <v>7273434</v>
      </c>
    </row>
    <row r="598" spans="1:6" x14ac:dyDescent="0.2">
      <c r="A598" s="4">
        <v>45336</v>
      </c>
      <c r="B598" s="5">
        <v>125.61</v>
      </c>
      <c r="C598" s="5">
        <v>126.03</v>
      </c>
      <c r="D598" s="5">
        <v>124.82</v>
      </c>
      <c r="E598" s="5">
        <v>125.82</v>
      </c>
      <c r="F598" s="6">
        <v>6622438</v>
      </c>
    </row>
    <row r="599" spans="1:6" x14ac:dyDescent="0.2">
      <c r="A599" s="4">
        <v>45337</v>
      </c>
      <c r="B599" s="5">
        <v>125.97</v>
      </c>
      <c r="C599" s="5">
        <v>127.23</v>
      </c>
      <c r="D599" s="5">
        <v>125.95010000000001</v>
      </c>
      <c r="E599" s="5">
        <v>126.54</v>
      </c>
      <c r="F599" s="6">
        <v>5756747</v>
      </c>
    </row>
    <row r="600" spans="1:6" x14ac:dyDescent="0.2">
      <c r="A600" s="4">
        <v>45338</v>
      </c>
      <c r="B600" s="5">
        <v>126.5</v>
      </c>
      <c r="C600" s="5">
        <v>128.09</v>
      </c>
      <c r="D600" s="5">
        <v>126.17</v>
      </c>
      <c r="E600" s="5">
        <v>127.79</v>
      </c>
      <c r="F600" s="6">
        <v>6266778</v>
      </c>
    </row>
    <row r="601" spans="1:6" x14ac:dyDescent="0.2">
      <c r="A601" s="4">
        <v>45342</v>
      </c>
      <c r="B601" s="5">
        <v>128.13</v>
      </c>
      <c r="C601" s="5">
        <v>129.285</v>
      </c>
      <c r="D601" s="5">
        <v>127.205</v>
      </c>
      <c r="E601" s="5">
        <v>127.37</v>
      </c>
      <c r="F601" s="6">
        <v>6952764</v>
      </c>
    </row>
    <row r="602" spans="1:6" x14ac:dyDescent="0.2">
      <c r="A602" s="4">
        <v>45343</v>
      </c>
      <c r="B602" s="5">
        <v>127.44</v>
      </c>
      <c r="C602" s="5">
        <v>128.16</v>
      </c>
      <c r="D602" s="5">
        <v>126.8</v>
      </c>
      <c r="E602" s="5">
        <v>128.12</v>
      </c>
      <c r="F602" s="6">
        <v>4849322</v>
      </c>
    </row>
    <row r="603" spans="1:6" x14ac:dyDescent="0.2">
      <c r="A603" s="4">
        <v>45344</v>
      </c>
      <c r="B603" s="5">
        <v>128.15</v>
      </c>
      <c r="C603" s="5">
        <v>129.72</v>
      </c>
      <c r="D603" s="5">
        <v>127.65</v>
      </c>
      <c r="E603" s="5">
        <v>129.26</v>
      </c>
      <c r="F603" s="6">
        <v>6517381</v>
      </c>
    </row>
    <row r="604" spans="1:6" x14ac:dyDescent="0.2">
      <c r="A604" s="4">
        <v>45345</v>
      </c>
      <c r="B604" s="5">
        <v>129.79</v>
      </c>
      <c r="C604" s="5">
        <v>130.24</v>
      </c>
      <c r="D604" s="5">
        <v>128.86000000000001</v>
      </c>
      <c r="E604" s="5">
        <v>129.44999999999999</v>
      </c>
      <c r="F604" s="6">
        <v>5177378</v>
      </c>
    </row>
    <row r="605" spans="1:6" x14ac:dyDescent="0.2">
      <c r="A605" s="4">
        <v>45348</v>
      </c>
      <c r="B605" s="5">
        <v>129.38</v>
      </c>
      <c r="C605" s="5">
        <v>129.69999999999999</v>
      </c>
      <c r="D605" s="5">
        <v>128.47</v>
      </c>
      <c r="E605" s="5">
        <v>128.84</v>
      </c>
      <c r="F605" s="6">
        <v>5158398</v>
      </c>
    </row>
    <row r="606" spans="1:6" x14ac:dyDescent="0.2">
      <c r="A606" s="4">
        <v>45349</v>
      </c>
      <c r="B606" s="5">
        <v>128.26</v>
      </c>
      <c r="C606" s="5">
        <v>129.16</v>
      </c>
      <c r="D606" s="5">
        <v>127.8</v>
      </c>
      <c r="E606" s="5">
        <v>129.03</v>
      </c>
      <c r="F606" s="6">
        <v>4780340</v>
      </c>
    </row>
    <row r="607" spans="1:6" x14ac:dyDescent="0.2">
      <c r="A607" s="4">
        <v>45350</v>
      </c>
      <c r="B607" s="5">
        <v>129.34</v>
      </c>
      <c r="C607" s="5">
        <v>129.4</v>
      </c>
      <c r="D607" s="5">
        <v>127.7</v>
      </c>
      <c r="E607" s="5">
        <v>128.19</v>
      </c>
      <c r="F607" s="6">
        <v>5697212</v>
      </c>
    </row>
    <row r="608" spans="1:6" x14ac:dyDescent="0.2">
      <c r="A608" s="4">
        <v>45351</v>
      </c>
      <c r="B608" s="5">
        <v>128.1</v>
      </c>
      <c r="C608" s="5">
        <v>128.85249999999999</v>
      </c>
      <c r="D608" s="5">
        <v>127.06</v>
      </c>
      <c r="E608" s="5">
        <v>127.15</v>
      </c>
      <c r="F608" s="6">
        <v>11246130</v>
      </c>
    </row>
    <row r="609" spans="1:6" x14ac:dyDescent="0.2">
      <c r="A609" s="4">
        <v>45352</v>
      </c>
      <c r="B609" s="5">
        <v>126.87</v>
      </c>
      <c r="C609" s="5">
        <v>127.85</v>
      </c>
      <c r="D609" s="5">
        <v>126.42</v>
      </c>
      <c r="E609" s="5">
        <v>126.96</v>
      </c>
      <c r="F609" s="6">
        <v>6023528</v>
      </c>
    </row>
    <row r="610" spans="1:6" x14ac:dyDescent="0.2">
      <c r="A610" s="4">
        <v>45355</v>
      </c>
      <c r="B610" s="5">
        <v>124.46</v>
      </c>
      <c r="C610" s="5">
        <v>126.54</v>
      </c>
      <c r="D610" s="5">
        <v>123.29</v>
      </c>
      <c r="E610" s="5">
        <v>124.05</v>
      </c>
      <c r="F610" s="6">
        <v>12706170</v>
      </c>
    </row>
    <row r="611" spans="1:6" x14ac:dyDescent="0.2">
      <c r="A611" s="4">
        <v>45356</v>
      </c>
      <c r="B611" s="5">
        <v>124.68</v>
      </c>
      <c r="C611" s="5">
        <v>125.04</v>
      </c>
      <c r="D611" s="5">
        <v>122.39</v>
      </c>
      <c r="E611" s="5">
        <v>122.83</v>
      </c>
      <c r="F611" s="6">
        <v>8277870</v>
      </c>
    </row>
    <row r="612" spans="1:6" x14ac:dyDescent="0.2">
      <c r="A612" s="4">
        <v>45357</v>
      </c>
      <c r="B612" s="5">
        <v>122.84</v>
      </c>
      <c r="C612" s="5">
        <v>124.76</v>
      </c>
      <c r="D612" s="5">
        <v>122.51</v>
      </c>
      <c r="E612" s="5">
        <v>123.75</v>
      </c>
      <c r="F612" s="6">
        <v>8251362</v>
      </c>
    </row>
    <row r="613" spans="1:6" x14ac:dyDescent="0.2">
      <c r="A613" s="4">
        <v>45358</v>
      </c>
      <c r="B613" s="5">
        <v>123.36</v>
      </c>
      <c r="C613" s="5">
        <v>124.53</v>
      </c>
      <c r="D613" s="5">
        <v>122.82</v>
      </c>
      <c r="E613" s="5">
        <v>123.99</v>
      </c>
      <c r="F613" s="6">
        <v>8982273</v>
      </c>
    </row>
    <row r="614" spans="1:6" x14ac:dyDescent="0.2">
      <c r="A614" s="4">
        <v>45359</v>
      </c>
      <c r="B614" s="5">
        <v>123.23</v>
      </c>
      <c r="C614" s="5">
        <v>124.035</v>
      </c>
      <c r="D614" s="5">
        <v>122.06</v>
      </c>
      <c r="E614" s="5">
        <v>123.5</v>
      </c>
      <c r="F614" s="6">
        <v>9822679</v>
      </c>
    </row>
    <row r="615" spans="1:6" x14ac:dyDescent="0.2">
      <c r="A615" s="4">
        <v>45362</v>
      </c>
      <c r="B615" s="5">
        <v>124.65</v>
      </c>
      <c r="C615" s="5">
        <v>124.65</v>
      </c>
      <c r="D615" s="5">
        <v>121.84</v>
      </c>
      <c r="E615" s="5">
        <v>122.77</v>
      </c>
      <c r="F615" s="6">
        <v>7769251</v>
      </c>
    </row>
    <row r="616" spans="1:6" x14ac:dyDescent="0.2">
      <c r="A616" s="4">
        <v>45363</v>
      </c>
      <c r="B616" s="5">
        <v>123</v>
      </c>
      <c r="C616" s="5">
        <v>123.21</v>
      </c>
      <c r="D616" s="5">
        <v>121.43</v>
      </c>
      <c r="E616" s="5">
        <v>122.66</v>
      </c>
      <c r="F616" s="6">
        <v>11621800</v>
      </c>
    </row>
    <row r="617" spans="1:6" x14ac:dyDescent="0.2">
      <c r="A617" s="4">
        <v>45364</v>
      </c>
      <c r="B617" s="5">
        <v>123.16</v>
      </c>
      <c r="C617" s="5">
        <v>123.21</v>
      </c>
      <c r="D617" s="5">
        <v>120.8</v>
      </c>
      <c r="E617" s="5">
        <v>122.16</v>
      </c>
      <c r="F617" s="6">
        <v>9186104</v>
      </c>
    </row>
    <row r="618" spans="1:6" x14ac:dyDescent="0.2">
      <c r="A618" s="4">
        <v>45365</v>
      </c>
      <c r="B618" s="5">
        <v>121.32</v>
      </c>
      <c r="C618" s="5">
        <v>121.32</v>
      </c>
      <c r="D618" s="5">
        <v>119.66</v>
      </c>
      <c r="E618" s="5">
        <v>120.51</v>
      </c>
      <c r="F618" s="6">
        <v>10132540</v>
      </c>
    </row>
    <row r="619" spans="1:6" x14ac:dyDescent="0.2">
      <c r="A619" s="4">
        <v>45366</v>
      </c>
      <c r="B619" s="5">
        <v>119.84</v>
      </c>
      <c r="C619" s="5">
        <v>121.94</v>
      </c>
      <c r="D619" s="5">
        <v>119.23</v>
      </c>
      <c r="E619" s="5">
        <v>121.52</v>
      </c>
      <c r="F619" s="6">
        <v>46477420</v>
      </c>
    </row>
    <row r="620" spans="1:6" x14ac:dyDescent="0.2">
      <c r="A620" s="4">
        <v>45369</v>
      </c>
      <c r="B620" s="5">
        <v>121.85</v>
      </c>
      <c r="C620" s="5">
        <v>122.51</v>
      </c>
      <c r="D620" s="5">
        <v>121.125</v>
      </c>
      <c r="E620" s="5">
        <v>121.44</v>
      </c>
      <c r="F620" s="6">
        <v>8311895</v>
      </c>
    </row>
    <row r="621" spans="1:6" x14ac:dyDescent="0.2">
      <c r="A621" s="4">
        <v>45370</v>
      </c>
      <c r="B621" s="5">
        <v>121.44</v>
      </c>
      <c r="C621" s="5">
        <v>122.26</v>
      </c>
      <c r="D621" s="5">
        <v>120.42749999999999</v>
      </c>
      <c r="E621" s="5">
        <v>122.2</v>
      </c>
      <c r="F621" s="6">
        <v>11696820</v>
      </c>
    </row>
    <row r="622" spans="1:6" x14ac:dyDescent="0.2">
      <c r="A622" s="4">
        <v>45371</v>
      </c>
      <c r="B622" s="5">
        <v>121.28</v>
      </c>
      <c r="C622" s="5">
        <v>123.91</v>
      </c>
      <c r="D622" s="5">
        <v>120.38</v>
      </c>
      <c r="E622" s="5">
        <v>123.85</v>
      </c>
      <c r="F622" s="6">
        <v>9793420</v>
      </c>
    </row>
    <row r="623" spans="1:6" x14ac:dyDescent="0.2">
      <c r="A623" s="4">
        <v>45372</v>
      </c>
      <c r="B623" s="5">
        <v>123.69</v>
      </c>
      <c r="C623" s="5">
        <v>124.19</v>
      </c>
      <c r="D623" s="5">
        <v>123.06</v>
      </c>
      <c r="E623" s="5">
        <v>123.62</v>
      </c>
      <c r="F623" s="6">
        <v>8156305</v>
      </c>
    </row>
    <row r="624" spans="1:6" x14ac:dyDescent="0.2">
      <c r="A624" s="4">
        <v>45373</v>
      </c>
      <c r="B624" s="5">
        <v>123.79</v>
      </c>
      <c r="C624" s="5">
        <v>124.49</v>
      </c>
      <c r="D624" s="5">
        <v>123.22</v>
      </c>
      <c r="E624" s="5">
        <v>123.85</v>
      </c>
      <c r="F624" s="6">
        <v>7022502</v>
      </c>
    </row>
    <row r="625" spans="1:6" x14ac:dyDescent="0.2">
      <c r="A625" s="4">
        <v>45376</v>
      </c>
      <c r="B625" s="5">
        <v>124.08</v>
      </c>
      <c r="C625" s="5">
        <v>125.58</v>
      </c>
      <c r="D625" s="5">
        <v>123.77</v>
      </c>
      <c r="E625" s="5">
        <v>125.31</v>
      </c>
      <c r="F625" s="6">
        <v>7605755</v>
      </c>
    </row>
    <row r="626" spans="1:6" x14ac:dyDescent="0.2">
      <c r="A626" s="4">
        <v>45377</v>
      </c>
      <c r="B626" s="5">
        <v>125.78</v>
      </c>
      <c r="C626" s="5">
        <v>126.08</v>
      </c>
      <c r="D626" s="5">
        <v>124.85</v>
      </c>
      <c r="E626" s="5">
        <v>125.52</v>
      </c>
      <c r="F626" s="6">
        <v>8864402</v>
      </c>
    </row>
    <row r="627" spans="1:6" x14ac:dyDescent="0.2">
      <c r="A627" s="4">
        <v>45378</v>
      </c>
      <c r="B627" s="5">
        <v>132.87</v>
      </c>
      <c r="C627" s="5">
        <v>133.1</v>
      </c>
      <c r="D627" s="5">
        <v>130.11000000000001</v>
      </c>
      <c r="E627" s="5">
        <v>131.75</v>
      </c>
      <c r="F627" s="6">
        <v>16061580</v>
      </c>
    </row>
    <row r="628" spans="1:6" x14ac:dyDescent="0.2">
      <c r="A628" s="4">
        <v>45379</v>
      </c>
      <c r="B628" s="5">
        <v>132</v>
      </c>
      <c r="C628" s="5">
        <v>132.41999999999999</v>
      </c>
      <c r="D628" s="5">
        <v>131.08000000000001</v>
      </c>
      <c r="E628" s="5">
        <v>131.94999999999999</v>
      </c>
      <c r="F628" s="6">
        <v>10189650</v>
      </c>
    </row>
    <row r="629" spans="1:6" x14ac:dyDescent="0.2">
      <c r="A629" s="4">
        <v>45383</v>
      </c>
      <c r="B629" s="5">
        <v>131.68</v>
      </c>
      <c r="C629" s="5">
        <v>131.93</v>
      </c>
      <c r="D629" s="5">
        <v>130.11000000000001</v>
      </c>
      <c r="E629" s="5">
        <v>130.99</v>
      </c>
      <c r="F629" s="6">
        <v>5377645</v>
      </c>
    </row>
    <row r="630" spans="1:6" x14ac:dyDescent="0.2">
      <c r="A630" s="4">
        <v>45384</v>
      </c>
      <c r="B630" s="5">
        <v>130.1</v>
      </c>
      <c r="C630" s="5">
        <v>130.76</v>
      </c>
      <c r="D630" s="5">
        <v>129.28</v>
      </c>
      <c r="E630" s="5">
        <v>130.35</v>
      </c>
      <c r="F630" s="6">
        <v>6584174</v>
      </c>
    </row>
    <row r="631" spans="1:6" x14ac:dyDescent="0.2">
      <c r="A631" s="4">
        <v>45385</v>
      </c>
      <c r="B631" s="5">
        <v>130.35</v>
      </c>
      <c r="C631" s="5">
        <v>132.30000000000001</v>
      </c>
      <c r="D631" s="5">
        <v>129.42500000000001</v>
      </c>
      <c r="E631" s="5">
        <v>129.9</v>
      </c>
      <c r="F631" s="6">
        <v>7741435</v>
      </c>
    </row>
    <row r="632" spans="1:6" x14ac:dyDescent="0.2">
      <c r="A632" s="4">
        <v>45386</v>
      </c>
      <c r="B632" s="5">
        <v>130.83000000000001</v>
      </c>
      <c r="C632" s="5">
        <v>130.94</v>
      </c>
      <c r="D632" s="5">
        <v>127.33499999999999</v>
      </c>
      <c r="E632" s="5">
        <v>127.66</v>
      </c>
      <c r="F632" s="6">
        <v>6753178</v>
      </c>
    </row>
    <row r="633" spans="1:6" x14ac:dyDescent="0.2">
      <c r="A633" s="4">
        <v>45387</v>
      </c>
      <c r="B633" s="5">
        <v>127.65</v>
      </c>
      <c r="C633" s="5">
        <v>128.6</v>
      </c>
      <c r="D633" s="5">
        <v>127</v>
      </c>
      <c r="E633" s="5">
        <v>127.99</v>
      </c>
      <c r="F633" s="6">
        <v>5692896</v>
      </c>
    </row>
    <row r="634" spans="1:6" x14ac:dyDescent="0.2">
      <c r="A634" s="4">
        <v>45390</v>
      </c>
      <c r="B634" s="5">
        <v>127.64</v>
      </c>
      <c r="C634" s="5">
        <v>127.92</v>
      </c>
      <c r="D634" s="5">
        <v>125.88</v>
      </c>
      <c r="E634" s="5">
        <v>126.56</v>
      </c>
      <c r="F634" s="6">
        <v>6282534</v>
      </c>
    </row>
    <row r="635" spans="1:6" x14ac:dyDescent="0.2">
      <c r="A635" s="4">
        <v>45391</v>
      </c>
      <c r="B635" s="5">
        <v>126.58</v>
      </c>
      <c r="C635" s="5">
        <v>127</v>
      </c>
      <c r="D635" s="5">
        <v>125.51</v>
      </c>
      <c r="E635" s="5">
        <v>126.71</v>
      </c>
      <c r="F635" s="6">
        <v>4696726</v>
      </c>
    </row>
    <row r="636" spans="1:6" x14ac:dyDescent="0.2">
      <c r="A636" s="4">
        <v>45392</v>
      </c>
      <c r="B636" s="5">
        <v>125.86</v>
      </c>
      <c r="C636" s="5">
        <v>127</v>
      </c>
      <c r="D636" s="5">
        <v>125.05</v>
      </c>
      <c r="E636" s="5">
        <v>126.75</v>
      </c>
      <c r="F636" s="6">
        <v>5787733</v>
      </c>
    </row>
    <row r="637" spans="1:6" x14ac:dyDescent="0.2">
      <c r="A637" s="4">
        <v>45393</v>
      </c>
      <c r="B637" s="5">
        <v>126.55</v>
      </c>
      <c r="C637" s="5">
        <v>127.14</v>
      </c>
      <c r="D637" s="5">
        <v>125.46</v>
      </c>
      <c r="E637" s="5">
        <v>126.15</v>
      </c>
      <c r="F637" s="6">
        <v>6187364</v>
      </c>
    </row>
    <row r="638" spans="1:6" x14ac:dyDescent="0.2">
      <c r="A638" s="4">
        <v>45394</v>
      </c>
      <c r="B638" s="5">
        <v>127.035</v>
      </c>
      <c r="C638" s="5">
        <v>127.11</v>
      </c>
      <c r="D638" s="5">
        <v>125.1</v>
      </c>
      <c r="E638" s="5">
        <v>125.74</v>
      </c>
      <c r="F638" s="6">
        <v>7369989</v>
      </c>
    </row>
    <row r="639" spans="1:6" x14ac:dyDescent="0.2">
      <c r="A639" s="4">
        <v>45397</v>
      </c>
      <c r="B639" s="5">
        <v>126.69</v>
      </c>
      <c r="C639" s="5">
        <v>127.82</v>
      </c>
      <c r="D639" s="5">
        <v>125.87</v>
      </c>
      <c r="E639" s="5">
        <v>126.19</v>
      </c>
      <c r="F639" s="6">
        <v>6241069</v>
      </c>
    </row>
    <row r="640" spans="1:6" x14ac:dyDescent="0.2">
      <c r="A640" s="4">
        <v>45398</v>
      </c>
      <c r="B640" s="5">
        <v>126.56</v>
      </c>
      <c r="C640" s="5">
        <v>126.8</v>
      </c>
      <c r="D640" s="5">
        <v>125.03</v>
      </c>
      <c r="E640" s="5">
        <v>125.06</v>
      </c>
      <c r="F640" s="6">
        <v>5587332</v>
      </c>
    </row>
    <row r="641" spans="1:6" x14ac:dyDescent="0.2">
      <c r="A641" s="4">
        <v>45399</v>
      </c>
      <c r="B641" s="5">
        <v>125.67</v>
      </c>
      <c r="C641" s="5">
        <v>126.19</v>
      </c>
      <c r="D641" s="5">
        <v>124.71</v>
      </c>
      <c r="E641" s="5">
        <v>125.37</v>
      </c>
      <c r="F641" s="6">
        <v>6122908</v>
      </c>
    </row>
    <row r="642" spans="1:6" x14ac:dyDescent="0.2">
      <c r="A642" s="4">
        <v>45400</v>
      </c>
      <c r="B642" s="5">
        <v>125.52</v>
      </c>
      <c r="C642" s="5">
        <v>125.52</v>
      </c>
      <c r="D642" s="5">
        <v>124.5</v>
      </c>
      <c r="E642" s="5">
        <v>125.23</v>
      </c>
      <c r="F642" s="6">
        <v>5992700</v>
      </c>
    </row>
    <row r="643" spans="1:6" x14ac:dyDescent="0.2">
      <c r="A643" s="4">
        <v>45401</v>
      </c>
      <c r="B643" s="5">
        <v>125.65</v>
      </c>
      <c r="C643" s="5">
        <v>126.12</v>
      </c>
      <c r="D643" s="5">
        <v>124.89</v>
      </c>
      <c r="E643" s="5">
        <v>125.78</v>
      </c>
      <c r="F643" s="6">
        <v>8404345</v>
      </c>
    </row>
    <row r="644" spans="1:6" x14ac:dyDescent="0.2">
      <c r="A644" s="4">
        <v>45404</v>
      </c>
      <c r="B644" s="5">
        <v>126.71</v>
      </c>
      <c r="C644" s="5">
        <v>128.08000000000001</v>
      </c>
      <c r="D644" s="5">
        <v>126.22</v>
      </c>
      <c r="E644" s="5">
        <v>126.94</v>
      </c>
      <c r="F644" s="6">
        <v>7805992</v>
      </c>
    </row>
    <row r="645" spans="1:6" x14ac:dyDescent="0.2">
      <c r="A645" s="4">
        <v>45405</v>
      </c>
      <c r="B645" s="5">
        <v>128.1</v>
      </c>
      <c r="C645" s="5">
        <v>128.1</v>
      </c>
      <c r="D645" s="5">
        <v>126.74</v>
      </c>
      <c r="E645" s="5">
        <v>126.88</v>
      </c>
      <c r="F645" s="6">
        <v>7743961</v>
      </c>
    </row>
    <row r="646" spans="1:6" x14ac:dyDescent="0.2">
      <c r="A646" s="4">
        <v>45406</v>
      </c>
      <c r="B646" s="5">
        <v>126.815</v>
      </c>
      <c r="C646" s="5">
        <v>127.59</v>
      </c>
      <c r="D646" s="5">
        <v>125.35</v>
      </c>
      <c r="E646" s="5">
        <v>127</v>
      </c>
      <c r="F646" s="6">
        <v>7128300</v>
      </c>
    </row>
    <row r="647" spans="1:6" x14ac:dyDescent="0.2">
      <c r="A647" s="4">
        <v>45407</v>
      </c>
      <c r="B647" s="5">
        <v>129.69</v>
      </c>
      <c r="C647" s="5">
        <v>132.80000000000001</v>
      </c>
      <c r="D647" s="5">
        <v>128.76</v>
      </c>
      <c r="E647" s="5">
        <v>130.72</v>
      </c>
      <c r="F647" s="6">
        <v>12750050</v>
      </c>
    </row>
    <row r="648" spans="1:6" x14ac:dyDescent="0.2">
      <c r="A648" s="4">
        <v>45408</v>
      </c>
      <c r="B648" s="5">
        <v>130.13</v>
      </c>
      <c r="C648" s="5">
        <v>131.91</v>
      </c>
      <c r="D648" s="5">
        <v>130.13</v>
      </c>
      <c r="E648" s="5">
        <v>131.19999999999999</v>
      </c>
      <c r="F648" s="6">
        <v>7758230</v>
      </c>
    </row>
    <row r="649" spans="1:6" x14ac:dyDescent="0.2">
      <c r="A649" s="4">
        <v>45411</v>
      </c>
      <c r="B649" s="5">
        <v>131.72</v>
      </c>
      <c r="C649" s="5">
        <v>132.19999999999999</v>
      </c>
      <c r="D649" s="5">
        <v>129.33000000000001</v>
      </c>
      <c r="E649" s="5">
        <v>130.12</v>
      </c>
      <c r="F649" s="6">
        <v>6829373</v>
      </c>
    </row>
    <row r="650" spans="1:6" x14ac:dyDescent="0.2">
      <c r="A650" s="4">
        <v>45412</v>
      </c>
      <c r="B650" s="5">
        <v>130.91999999999999</v>
      </c>
      <c r="C650" s="5">
        <v>130.91999999999999</v>
      </c>
      <c r="D650" s="5">
        <v>128.97999999999999</v>
      </c>
      <c r="E650" s="5">
        <v>129.22</v>
      </c>
      <c r="F650" s="6">
        <v>6944968</v>
      </c>
    </row>
    <row r="651" spans="1:6" x14ac:dyDescent="0.2">
      <c r="A651" s="4">
        <v>45413</v>
      </c>
      <c r="B651" s="5">
        <v>128.61000000000001</v>
      </c>
      <c r="C651" s="5">
        <v>129.93</v>
      </c>
      <c r="D651" s="5">
        <v>127.8</v>
      </c>
      <c r="E651" s="5">
        <v>128.80000000000001</v>
      </c>
      <c r="F651" s="6">
        <v>5895807</v>
      </c>
    </row>
    <row r="652" spans="1:6" x14ac:dyDescent="0.2">
      <c r="A652" s="4">
        <v>45414</v>
      </c>
      <c r="B652" s="5">
        <v>129.06</v>
      </c>
      <c r="C652" s="5">
        <v>129.69</v>
      </c>
      <c r="D652" s="5">
        <v>127.985</v>
      </c>
      <c r="E652" s="5">
        <v>128.26</v>
      </c>
      <c r="F652" s="6">
        <v>7422542</v>
      </c>
    </row>
    <row r="653" spans="1:6" x14ac:dyDescent="0.2">
      <c r="A653" s="4">
        <v>45415</v>
      </c>
      <c r="B653" s="5">
        <v>128.01</v>
      </c>
      <c r="C653" s="5">
        <v>128.47999999999999</v>
      </c>
      <c r="D653" s="5">
        <v>127.18</v>
      </c>
      <c r="E653" s="5">
        <v>127.51</v>
      </c>
      <c r="F653" s="6">
        <v>6221928</v>
      </c>
    </row>
    <row r="654" spans="1:6" x14ac:dyDescent="0.2">
      <c r="A654" s="4">
        <v>45418</v>
      </c>
      <c r="B654" s="5">
        <v>127.18</v>
      </c>
      <c r="C654" s="5">
        <v>127.73</v>
      </c>
      <c r="D654" s="5">
        <v>126.76</v>
      </c>
      <c r="E654" s="5">
        <v>127.57</v>
      </c>
      <c r="F654" s="6">
        <v>6551962</v>
      </c>
    </row>
    <row r="655" spans="1:6" x14ac:dyDescent="0.2">
      <c r="A655" s="4">
        <v>45419</v>
      </c>
      <c r="B655" s="5">
        <v>127.1</v>
      </c>
      <c r="C655" s="5">
        <v>130.42500000000001</v>
      </c>
      <c r="D655" s="5">
        <v>127.07</v>
      </c>
      <c r="E655" s="5">
        <v>130.38</v>
      </c>
      <c r="F655" s="6">
        <v>6682316</v>
      </c>
    </row>
    <row r="656" spans="1:6" x14ac:dyDescent="0.2">
      <c r="A656" s="4">
        <v>45420</v>
      </c>
      <c r="B656" s="5">
        <v>130.58000000000001</v>
      </c>
      <c r="C656" s="5">
        <v>131.51</v>
      </c>
      <c r="D656" s="5">
        <v>129.33000000000001</v>
      </c>
      <c r="E656" s="5">
        <v>129.55000000000001</v>
      </c>
      <c r="F656" s="6">
        <v>6659121</v>
      </c>
    </row>
    <row r="657" spans="1:6" x14ac:dyDescent="0.2">
      <c r="A657" s="4">
        <v>45421</v>
      </c>
      <c r="B657" s="5">
        <v>128.94</v>
      </c>
      <c r="C657" s="5">
        <v>130.5</v>
      </c>
      <c r="D657" s="5">
        <v>128.94</v>
      </c>
      <c r="E657" s="5">
        <v>130.22999999999999</v>
      </c>
      <c r="F657" s="6">
        <v>9216740</v>
      </c>
    </row>
    <row r="658" spans="1:6" x14ac:dyDescent="0.2">
      <c r="A658" s="4">
        <v>45422</v>
      </c>
      <c r="B658" s="5">
        <v>130.82</v>
      </c>
      <c r="C658" s="5">
        <v>130.88</v>
      </c>
      <c r="D658" s="5">
        <v>129.94999999999999</v>
      </c>
      <c r="E658" s="5">
        <v>130.06</v>
      </c>
      <c r="F658" s="6">
        <v>5722627</v>
      </c>
    </row>
    <row r="659" spans="1:6" x14ac:dyDescent="0.2">
      <c r="A659" s="4">
        <v>45425</v>
      </c>
      <c r="B659" s="5">
        <v>129.51</v>
      </c>
      <c r="C659" s="5">
        <v>129.71</v>
      </c>
      <c r="D659" s="5">
        <v>128.02000000000001</v>
      </c>
      <c r="E659" s="5">
        <v>129.29</v>
      </c>
      <c r="F659" s="6">
        <v>7109912</v>
      </c>
    </row>
    <row r="660" spans="1:6" x14ac:dyDescent="0.2">
      <c r="A660" s="4">
        <v>45426</v>
      </c>
      <c r="B660" s="5">
        <v>129.19999999999999</v>
      </c>
      <c r="C660" s="5">
        <v>129.19999999999999</v>
      </c>
      <c r="D660" s="5">
        <v>128.02690000000001</v>
      </c>
      <c r="E660" s="5">
        <v>128.66</v>
      </c>
      <c r="F660" s="6">
        <v>6154340</v>
      </c>
    </row>
    <row r="661" spans="1:6" x14ac:dyDescent="0.2">
      <c r="A661" s="4">
        <v>45427</v>
      </c>
      <c r="B661" s="5">
        <v>128.88</v>
      </c>
      <c r="C661" s="5">
        <v>131.965</v>
      </c>
      <c r="D661" s="5">
        <v>128.72</v>
      </c>
      <c r="E661" s="5">
        <v>131.72999999999999</v>
      </c>
      <c r="F661" s="6">
        <v>7237125</v>
      </c>
    </row>
    <row r="662" spans="1:6" x14ac:dyDescent="0.2">
      <c r="A662" s="4">
        <v>45428</v>
      </c>
      <c r="B662" s="5">
        <v>131.37</v>
      </c>
      <c r="C662" s="5">
        <v>131.78</v>
      </c>
      <c r="D662" s="5">
        <v>130.79</v>
      </c>
      <c r="E662" s="5">
        <v>130.88</v>
      </c>
      <c r="F662" s="6">
        <v>5518302</v>
      </c>
    </row>
    <row r="663" spans="1:6" x14ac:dyDescent="0.2">
      <c r="A663" s="4">
        <v>45429</v>
      </c>
      <c r="B663" s="5">
        <v>130.69</v>
      </c>
      <c r="C663" s="5">
        <v>131.32</v>
      </c>
      <c r="D663" s="5">
        <v>129.81</v>
      </c>
      <c r="E663" s="5">
        <v>131.19</v>
      </c>
      <c r="F663" s="6">
        <v>8281595</v>
      </c>
    </row>
    <row r="664" spans="1:6" x14ac:dyDescent="0.2">
      <c r="A664" s="4">
        <v>45432</v>
      </c>
      <c r="B664" s="5">
        <v>130.81</v>
      </c>
      <c r="C664" s="5">
        <v>131.74</v>
      </c>
      <c r="D664" s="5">
        <v>130.65</v>
      </c>
      <c r="E664" s="5">
        <v>130.99</v>
      </c>
      <c r="F664" s="6">
        <v>4860410</v>
      </c>
    </row>
    <row r="665" spans="1:6" x14ac:dyDescent="0.2">
      <c r="A665" s="4">
        <v>45433</v>
      </c>
      <c r="B665" s="5">
        <v>131.68</v>
      </c>
      <c r="C665" s="5">
        <v>132.79</v>
      </c>
      <c r="D665" s="5">
        <v>130.47999999999999</v>
      </c>
      <c r="E665" s="5">
        <v>130.76</v>
      </c>
      <c r="F665" s="6">
        <v>6254679</v>
      </c>
    </row>
    <row r="666" spans="1:6" x14ac:dyDescent="0.2">
      <c r="A666" s="4">
        <v>45434</v>
      </c>
      <c r="B666" s="5">
        <v>130.16999999999999</v>
      </c>
      <c r="C666" s="5">
        <v>131.6</v>
      </c>
      <c r="D666" s="5">
        <v>130.15</v>
      </c>
      <c r="E666" s="5">
        <v>131.1</v>
      </c>
      <c r="F666" s="6">
        <v>4407644</v>
      </c>
    </row>
    <row r="667" spans="1:6" x14ac:dyDescent="0.2">
      <c r="A667" s="4">
        <v>45435</v>
      </c>
      <c r="B667" s="5">
        <v>130.9</v>
      </c>
      <c r="C667" s="5">
        <v>131.91999999999999</v>
      </c>
      <c r="D667" s="5">
        <v>130.31</v>
      </c>
      <c r="E667" s="5">
        <v>131.09</v>
      </c>
      <c r="F667" s="6">
        <v>6830987</v>
      </c>
    </row>
    <row r="668" spans="1:6" x14ac:dyDescent="0.2">
      <c r="A668" s="4">
        <v>45436</v>
      </c>
      <c r="B668" s="5">
        <v>131.44999999999999</v>
      </c>
      <c r="C668" s="5">
        <v>131.44999999999999</v>
      </c>
      <c r="D668" s="5">
        <v>129.16</v>
      </c>
      <c r="E668" s="5">
        <v>129.49</v>
      </c>
      <c r="F668" s="6">
        <v>5983846</v>
      </c>
    </row>
    <row r="669" spans="1:6" x14ac:dyDescent="0.2">
      <c r="A669" s="4">
        <v>45440</v>
      </c>
      <c r="B669" s="5">
        <v>128.84</v>
      </c>
      <c r="C669" s="5">
        <v>129.08000000000001</v>
      </c>
      <c r="D669" s="5">
        <v>125.74</v>
      </c>
      <c r="E669" s="5">
        <v>126.09</v>
      </c>
      <c r="F669" s="6">
        <v>10263380</v>
      </c>
    </row>
    <row r="670" spans="1:6" x14ac:dyDescent="0.2">
      <c r="A670" s="4">
        <v>45441</v>
      </c>
      <c r="B670" s="5">
        <v>126.14</v>
      </c>
      <c r="C670" s="5">
        <v>126.45</v>
      </c>
      <c r="D670" s="5">
        <v>125.27500000000001</v>
      </c>
      <c r="E670" s="5">
        <v>125.9</v>
      </c>
      <c r="F670" s="6">
        <v>8527837</v>
      </c>
    </row>
    <row r="671" spans="1:6" x14ac:dyDescent="0.2">
      <c r="A671" s="4">
        <v>45442</v>
      </c>
      <c r="B671" s="5">
        <v>125.98</v>
      </c>
      <c r="C671" s="5">
        <v>127.85</v>
      </c>
      <c r="D671" s="5">
        <v>122.7</v>
      </c>
      <c r="E671" s="5">
        <v>124.53</v>
      </c>
      <c r="F671" s="6">
        <v>13003480</v>
      </c>
    </row>
    <row r="672" spans="1:6" x14ac:dyDescent="0.2">
      <c r="A672" s="4">
        <v>45443</v>
      </c>
      <c r="B672" s="5">
        <v>125.13</v>
      </c>
      <c r="C672" s="5">
        <v>126.61</v>
      </c>
      <c r="D672" s="5">
        <v>124.55</v>
      </c>
      <c r="E672" s="5">
        <v>125.54</v>
      </c>
      <c r="F672" s="6">
        <v>18150450</v>
      </c>
    </row>
    <row r="673" spans="1:6" x14ac:dyDescent="0.2">
      <c r="A673" s="4">
        <v>45446</v>
      </c>
      <c r="B673" s="5">
        <v>125.77</v>
      </c>
      <c r="C673" s="5">
        <v>128.94999999999999</v>
      </c>
      <c r="D673" s="5">
        <v>125.77</v>
      </c>
      <c r="E673" s="5">
        <v>128.41999999999999</v>
      </c>
      <c r="F673" s="6">
        <v>7702676</v>
      </c>
    </row>
    <row r="674" spans="1:6" x14ac:dyDescent="0.2">
      <c r="A674" s="4">
        <v>45447</v>
      </c>
      <c r="B674" s="5">
        <v>127.15</v>
      </c>
      <c r="C674" s="5">
        <v>129.35990000000001</v>
      </c>
      <c r="D674" s="5">
        <v>126.88</v>
      </c>
      <c r="E674" s="5">
        <v>128.71</v>
      </c>
      <c r="F674" s="6">
        <v>6440167</v>
      </c>
    </row>
    <row r="675" spans="1:6" x14ac:dyDescent="0.2">
      <c r="A675" s="4">
        <v>45448</v>
      </c>
      <c r="B675" s="5">
        <v>128.47999999999999</v>
      </c>
      <c r="C675" s="5">
        <v>129.94</v>
      </c>
      <c r="D675" s="5">
        <v>128.07</v>
      </c>
      <c r="E675" s="5">
        <v>129.44999999999999</v>
      </c>
      <c r="F675" s="6">
        <v>5009502</v>
      </c>
    </row>
    <row r="676" spans="1:6" x14ac:dyDescent="0.2">
      <c r="A676" s="4">
        <v>45449</v>
      </c>
      <c r="B676" s="5">
        <v>129.16</v>
      </c>
      <c r="C676" s="5">
        <v>130.93</v>
      </c>
      <c r="D676" s="5">
        <v>128.9</v>
      </c>
      <c r="E676" s="5">
        <v>130.52000000000001</v>
      </c>
      <c r="F676" s="6">
        <v>8088641</v>
      </c>
    </row>
    <row r="677" spans="1:6" x14ac:dyDescent="0.2">
      <c r="A677" s="4">
        <v>45450</v>
      </c>
      <c r="B677" s="5">
        <v>130.35</v>
      </c>
      <c r="C677" s="5">
        <v>131.37</v>
      </c>
      <c r="D677" s="5">
        <v>130.21</v>
      </c>
      <c r="E677" s="5">
        <v>130.66999999999999</v>
      </c>
      <c r="F677" s="6">
        <v>4945599</v>
      </c>
    </row>
    <row r="678" spans="1:6" x14ac:dyDescent="0.2">
      <c r="A678" s="4">
        <v>45453</v>
      </c>
      <c r="B678" s="5">
        <v>130.63</v>
      </c>
      <c r="C678" s="5">
        <v>131.68</v>
      </c>
      <c r="D678" s="5">
        <v>129.65</v>
      </c>
      <c r="E678" s="5">
        <v>131.49</v>
      </c>
      <c r="F678" s="6">
        <v>6033808</v>
      </c>
    </row>
    <row r="679" spans="1:6" x14ac:dyDescent="0.2">
      <c r="A679" s="4">
        <v>45454</v>
      </c>
      <c r="B679" s="5">
        <v>131</v>
      </c>
      <c r="C679" s="5">
        <v>132.16999999999999</v>
      </c>
      <c r="D679" s="5">
        <v>129.74</v>
      </c>
      <c r="E679" s="5">
        <v>131.84</v>
      </c>
      <c r="F679" s="6">
        <v>11453200</v>
      </c>
    </row>
    <row r="680" spans="1:6" x14ac:dyDescent="0.2">
      <c r="A680" s="4">
        <v>45455</v>
      </c>
      <c r="B680" s="5">
        <v>132.69999999999999</v>
      </c>
      <c r="C680" s="5">
        <v>132.71</v>
      </c>
      <c r="D680" s="5">
        <v>130.16309999999999</v>
      </c>
      <c r="E680" s="5">
        <v>130.19999999999999</v>
      </c>
      <c r="F680" s="6">
        <v>5821965</v>
      </c>
    </row>
    <row r="681" spans="1:6" x14ac:dyDescent="0.2">
      <c r="A681" s="4">
        <v>45456</v>
      </c>
      <c r="B681" s="5">
        <v>130.02000000000001</v>
      </c>
      <c r="C681" s="5">
        <v>130.12</v>
      </c>
      <c r="D681" s="5">
        <v>128.59010000000001</v>
      </c>
      <c r="E681" s="5">
        <v>129.37</v>
      </c>
      <c r="F681" s="6">
        <v>5004226</v>
      </c>
    </row>
    <row r="682" spans="1:6" x14ac:dyDescent="0.2">
      <c r="A682" s="4">
        <v>45457</v>
      </c>
      <c r="B682" s="5">
        <v>129.16</v>
      </c>
      <c r="C682" s="5">
        <v>129.87</v>
      </c>
      <c r="D682" s="5">
        <v>128.65</v>
      </c>
      <c r="E682" s="5">
        <v>129.47999999999999</v>
      </c>
      <c r="F682" s="6">
        <v>7338462</v>
      </c>
    </row>
    <row r="683" spans="1:6" x14ac:dyDescent="0.2">
      <c r="A683" s="4">
        <v>45460</v>
      </c>
      <c r="B683" s="5">
        <v>128.21</v>
      </c>
      <c r="C683" s="5">
        <v>128.94</v>
      </c>
      <c r="D683" s="5">
        <v>127.37</v>
      </c>
      <c r="E683" s="5">
        <v>127.5</v>
      </c>
      <c r="F683" s="6">
        <v>8524031</v>
      </c>
    </row>
    <row r="684" spans="1:6" x14ac:dyDescent="0.2">
      <c r="A684" s="4">
        <v>45461</v>
      </c>
      <c r="B684" s="5">
        <v>128.27000000000001</v>
      </c>
      <c r="C684" s="5">
        <v>128.72999999999999</v>
      </c>
      <c r="D684" s="5">
        <v>127.09010000000001</v>
      </c>
      <c r="E684" s="5">
        <v>127.99</v>
      </c>
      <c r="F684" s="6">
        <v>6532400</v>
      </c>
    </row>
    <row r="685" spans="1:6" x14ac:dyDescent="0.2">
      <c r="A685" s="4">
        <v>45463</v>
      </c>
      <c r="B685" s="5">
        <v>127.39</v>
      </c>
      <c r="C685" s="5">
        <v>130.4263</v>
      </c>
      <c r="D685" s="5">
        <v>126.75</v>
      </c>
      <c r="E685" s="5">
        <v>129.66999999999999</v>
      </c>
      <c r="F685" s="6">
        <v>10348370</v>
      </c>
    </row>
    <row r="686" spans="1:6" x14ac:dyDescent="0.2">
      <c r="A686" s="4">
        <v>45464</v>
      </c>
      <c r="B686" s="5">
        <v>130.16999999999999</v>
      </c>
      <c r="C686" s="5">
        <v>131.19999999999999</v>
      </c>
      <c r="D686" s="5">
        <v>129.09</v>
      </c>
      <c r="E686" s="5">
        <v>130.72</v>
      </c>
      <c r="F686" s="6">
        <v>17182700</v>
      </c>
    </row>
    <row r="687" spans="1:6" x14ac:dyDescent="0.2">
      <c r="A687" s="4">
        <v>45467</v>
      </c>
      <c r="B687" s="5">
        <v>131.27000000000001</v>
      </c>
      <c r="C687" s="5">
        <v>133.31</v>
      </c>
      <c r="D687" s="5">
        <v>130.92500000000001</v>
      </c>
      <c r="E687" s="5">
        <v>132.96</v>
      </c>
      <c r="F687" s="6">
        <v>8554044</v>
      </c>
    </row>
    <row r="688" spans="1:6" x14ac:dyDescent="0.2">
      <c r="A688" s="4">
        <v>45468</v>
      </c>
      <c r="B688" s="5">
        <v>133.12</v>
      </c>
      <c r="C688" s="5">
        <v>134.63</v>
      </c>
      <c r="D688" s="5">
        <v>132.60390000000001</v>
      </c>
      <c r="E688" s="5">
        <v>132.91999999999999</v>
      </c>
      <c r="F688" s="6">
        <v>6758429</v>
      </c>
    </row>
    <row r="689" spans="1:6" x14ac:dyDescent="0.2">
      <c r="A689" s="4">
        <v>45469</v>
      </c>
      <c r="B689" s="5">
        <v>133.38</v>
      </c>
      <c r="C689" s="5">
        <v>133.43</v>
      </c>
      <c r="D689" s="5">
        <v>131.49</v>
      </c>
      <c r="E689" s="5">
        <v>131.5</v>
      </c>
      <c r="F689" s="6">
        <v>8492119</v>
      </c>
    </row>
    <row r="690" spans="1:6" x14ac:dyDescent="0.2">
      <c r="A690" s="4">
        <v>45470</v>
      </c>
      <c r="B690" s="5">
        <v>131.99</v>
      </c>
      <c r="C690" s="5">
        <v>132.29</v>
      </c>
      <c r="D690" s="5">
        <v>126.78</v>
      </c>
      <c r="E690" s="5">
        <v>129.82</v>
      </c>
      <c r="F690" s="6">
        <v>11927600</v>
      </c>
    </row>
    <row r="691" spans="1:6" x14ac:dyDescent="0.2">
      <c r="A691" s="4">
        <v>45471</v>
      </c>
      <c r="B691" s="5">
        <v>129.54</v>
      </c>
      <c r="C691" s="5">
        <v>130.97</v>
      </c>
      <c r="D691" s="5">
        <v>120.87</v>
      </c>
      <c r="E691" s="5">
        <v>123.8</v>
      </c>
      <c r="F691" s="6">
        <v>57055460</v>
      </c>
    </row>
    <row r="692" spans="1:6" x14ac:dyDescent="0.2">
      <c r="A692" s="4">
        <v>45474</v>
      </c>
      <c r="B692" s="5">
        <v>125.38</v>
      </c>
      <c r="C692" s="5">
        <v>129.19</v>
      </c>
      <c r="D692" s="5">
        <v>125.1</v>
      </c>
      <c r="E692" s="5">
        <v>127.9</v>
      </c>
      <c r="F692" s="6">
        <v>11532970</v>
      </c>
    </row>
    <row r="693" spans="1:6" x14ac:dyDescent="0.2">
      <c r="A693" s="4">
        <v>45475</v>
      </c>
      <c r="B693" s="5">
        <v>128.21</v>
      </c>
      <c r="C693" s="5">
        <v>128.24</v>
      </c>
      <c r="D693" s="5">
        <v>126.66</v>
      </c>
      <c r="E693" s="5">
        <v>127.72</v>
      </c>
      <c r="F693" s="6">
        <v>5645359</v>
      </c>
    </row>
    <row r="694" spans="1:6" x14ac:dyDescent="0.2">
      <c r="A694" s="4">
        <v>45476</v>
      </c>
      <c r="B694" s="5">
        <v>127.69</v>
      </c>
      <c r="C694" s="5">
        <v>127.94</v>
      </c>
      <c r="D694" s="5">
        <v>125.3</v>
      </c>
      <c r="E694" s="5">
        <v>125.85</v>
      </c>
      <c r="F694" s="6">
        <v>4002054</v>
      </c>
    </row>
    <row r="695" spans="1:6" x14ac:dyDescent="0.2">
      <c r="A695" s="4">
        <v>45478</v>
      </c>
      <c r="B695" s="5">
        <v>126.53</v>
      </c>
      <c r="C695" s="5">
        <v>126.6</v>
      </c>
      <c r="D695" s="5">
        <v>124.91</v>
      </c>
      <c r="E695" s="5">
        <v>126.45</v>
      </c>
      <c r="F695" s="6">
        <v>6786713</v>
      </c>
    </row>
    <row r="696" spans="1:6" x14ac:dyDescent="0.2">
      <c r="A696" s="4">
        <v>45481</v>
      </c>
      <c r="B696" s="5">
        <v>126.8</v>
      </c>
      <c r="C696" s="5">
        <v>127.455</v>
      </c>
      <c r="D696" s="5">
        <v>125.33</v>
      </c>
      <c r="E696" s="5">
        <v>125.78</v>
      </c>
      <c r="F696" s="6">
        <v>5743436</v>
      </c>
    </row>
    <row r="697" spans="1:6" x14ac:dyDescent="0.2">
      <c r="A697" s="4">
        <v>45482</v>
      </c>
      <c r="B697" s="5">
        <v>125.24</v>
      </c>
      <c r="C697" s="5">
        <v>126.095</v>
      </c>
      <c r="D697" s="5">
        <v>123.7</v>
      </c>
      <c r="E697" s="5">
        <v>126.04</v>
      </c>
      <c r="F697" s="6">
        <v>6339265</v>
      </c>
    </row>
    <row r="698" spans="1:6" x14ac:dyDescent="0.2">
      <c r="A698" s="4">
        <v>45483</v>
      </c>
      <c r="B698" s="5">
        <v>125.88</v>
      </c>
      <c r="C698" s="5">
        <v>127.48</v>
      </c>
      <c r="D698" s="5">
        <v>125.83</v>
      </c>
      <c r="E698" s="5">
        <v>127.3</v>
      </c>
      <c r="F698" s="6">
        <v>4588745</v>
      </c>
    </row>
    <row r="699" spans="1:6" x14ac:dyDescent="0.2">
      <c r="A699" s="4">
        <v>45484</v>
      </c>
      <c r="B699" s="5">
        <v>127.61</v>
      </c>
      <c r="C699" s="5">
        <v>129.12</v>
      </c>
      <c r="D699" s="5">
        <v>127.59</v>
      </c>
      <c r="E699" s="5">
        <v>128.97</v>
      </c>
      <c r="F699" s="6">
        <v>7052117</v>
      </c>
    </row>
    <row r="700" spans="1:6" x14ac:dyDescent="0.2">
      <c r="A700" s="4">
        <v>45485</v>
      </c>
      <c r="B700" s="5">
        <v>129.4</v>
      </c>
      <c r="C700" s="5">
        <v>129.93</v>
      </c>
      <c r="D700" s="5">
        <v>127.32</v>
      </c>
      <c r="E700" s="5">
        <v>127.76</v>
      </c>
      <c r="F700" s="6">
        <v>7022250</v>
      </c>
    </row>
    <row r="701" spans="1:6" x14ac:dyDescent="0.2">
      <c r="A701" s="4">
        <v>45488</v>
      </c>
      <c r="B701" s="5">
        <v>128</v>
      </c>
      <c r="C701" s="5">
        <v>128.34</v>
      </c>
      <c r="D701" s="5">
        <v>127.2</v>
      </c>
      <c r="E701" s="5">
        <v>128.12</v>
      </c>
      <c r="F701" s="6">
        <v>6918594</v>
      </c>
    </row>
    <row r="702" spans="1:6" x14ac:dyDescent="0.2">
      <c r="A702" s="4">
        <v>45489</v>
      </c>
      <c r="B702" s="5">
        <v>127.87</v>
      </c>
      <c r="C702" s="5">
        <v>129.03</v>
      </c>
      <c r="D702" s="5">
        <v>125.2</v>
      </c>
      <c r="E702" s="5">
        <v>125.44</v>
      </c>
      <c r="F702" s="6">
        <v>8194439</v>
      </c>
    </row>
    <row r="703" spans="1:6" x14ac:dyDescent="0.2">
      <c r="A703" s="4">
        <v>45490</v>
      </c>
      <c r="B703" s="5">
        <v>125.47</v>
      </c>
      <c r="C703" s="5">
        <v>126.69</v>
      </c>
      <c r="D703" s="5">
        <v>124.56</v>
      </c>
      <c r="E703" s="5">
        <v>125.89</v>
      </c>
      <c r="F703" s="6">
        <v>7627972</v>
      </c>
    </row>
    <row r="704" spans="1:6" x14ac:dyDescent="0.2">
      <c r="A704" s="4">
        <v>45491</v>
      </c>
      <c r="B704" s="5">
        <v>125.3</v>
      </c>
      <c r="C704" s="5">
        <v>125.595</v>
      </c>
      <c r="D704" s="5">
        <v>122.37</v>
      </c>
      <c r="E704" s="5">
        <v>124.25</v>
      </c>
      <c r="F704" s="6">
        <v>9501529</v>
      </c>
    </row>
    <row r="705" spans="1:6" x14ac:dyDescent="0.2">
      <c r="A705" s="4">
        <v>45492</v>
      </c>
      <c r="B705" s="5">
        <v>125.3</v>
      </c>
      <c r="C705" s="5">
        <v>126.99</v>
      </c>
      <c r="D705" s="5">
        <v>125.18</v>
      </c>
      <c r="E705" s="5">
        <v>125.77</v>
      </c>
      <c r="F705" s="6">
        <v>6848758</v>
      </c>
    </row>
    <row r="706" spans="1:6" x14ac:dyDescent="0.2">
      <c r="A706" s="4">
        <v>45495</v>
      </c>
      <c r="B706" s="5">
        <v>125.95</v>
      </c>
      <c r="C706" s="5">
        <v>126.49</v>
      </c>
      <c r="D706" s="5">
        <v>125.03</v>
      </c>
      <c r="E706" s="5">
        <v>125.69</v>
      </c>
      <c r="F706" s="6">
        <v>4341784</v>
      </c>
    </row>
    <row r="707" spans="1:6" x14ac:dyDescent="0.2">
      <c r="A707" s="4">
        <v>45496</v>
      </c>
      <c r="B707" s="5">
        <v>124.99</v>
      </c>
      <c r="C707" s="5">
        <v>125.62</v>
      </c>
      <c r="D707" s="5">
        <v>124.18</v>
      </c>
      <c r="E707" s="5">
        <v>124.38</v>
      </c>
      <c r="F707" s="6">
        <v>4285426</v>
      </c>
    </row>
    <row r="708" spans="1:6" x14ac:dyDescent="0.2">
      <c r="A708" s="4">
        <v>45497</v>
      </c>
      <c r="B708" s="5">
        <v>124.97</v>
      </c>
      <c r="C708" s="5">
        <v>126.17</v>
      </c>
      <c r="D708" s="5">
        <v>124.675</v>
      </c>
      <c r="E708" s="5">
        <v>125.92</v>
      </c>
      <c r="F708" s="6">
        <v>6338450</v>
      </c>
    </row>
    <row r="709" spans="1:6" x14ac:dyDescent="0.2">
      <c r="A709" s="4">
        <v>45498</v>
      </c>
      <c r="B709" s="5">
        <v>126.03</v>
      </c>
      <c r="C709" s="5">
        <v>127.85</v>
      </c>
      <c r="D709" s="5">
        <v>125.71</v>
      </c>
      <c r="E709" s="5">
        <v>125.85</v>
      </c>
      <c r="F709" s="6">
        <v>7357140</v>
      </c>
    </row>
    <row r="710" spans="1:6" x14ac:dyDescent="0.2">
      <c r="A710" s="4">
        <v>45499</v>
      </c>
      <c r="B710" s="5">
        <v>127.235</v>
      </c>
      <c r="C710" s="5">
        <v>128.72999999999999</v>
      </c>
      <c r="D710" s="5">
        <v>125.05</v>
      </c>
      <c r="E710" s="5">
        <v>125.26</v>
      </c>
      <c r="F710" s="6">
        <v>6467036</v>
      </c>
    </row>
    <row r="711" spans="1:6" x14ac:dyDescent="0.2">
      <c r="A711" s="4">
        <v>45502</v>
      </c>
      <c r="B711" s="5">
        <v>125.77500000000001</v>
      </c>
      <c r="C711" s="5">
        <v>127.99</v>
      </c>
      <c r="D711" s="5">
        <v>124.92</v>
      </c>
      <c r="E711" s="5">
        <v>127.78</v>
      </c>
      <c r="F711" s="6">
        <v>9139540</v>
      </c>
    </row>
    <row r="712" spans="1:6" x14ac:dyDescent="0.2">
      <c r="A712" s="4">
        <v>45503</v>
      </c>
      <c r="B712" s="5">
        <v>123.48</v>
      </c>
      <c r="C712" s="5">
        <v>123.94</v>
      </c>
      <c r="D712" s="5">
        <v>113.9101</v>
      </c>
      <c r="E712" s="5">
        <v>115.25</v>
      </c>
      <c r="F712" s="6">
        <v>35509390</v>
      </c>
    </row>
    <row r="713" spans="1:6" x14ac:dyDescent="0.2">
      <c r="A713" s="4">
        <v>45504</v>
      </c>
      <c r="B713" s="5">
        <v>116</v>
      </c>
      <c r="C713" s="5">
        <v>117.84</v>
      </c>
      <c r="D713" s="5">
        <v>112.22</v>
      </c>
      <c r="E713" s="5">
        <v>113.13</v>
      </c>
      <c r="F713" s="6">
        <v>22732990</v>
      </c>
    </row>
    <row r="714" spans="1:6" x14ac:dyDescent="0.2">
      <c r="A714" s="4">
        <v>45505</v>
      </c>
      <c r="B714" s="5">
        <v>113.125</v>
      </c>
      <c r="C714" s="5">
        <v>114.47</v>
      </c>
      <c r="D714" s="5">
        <v>111.405</v>
      </c>
      <c r="E714" s="5">
        <v>113.82</v>
      </c>
      <c r="F714" s="6">
        <v>14117460</v>
      </c>
    </row>
    <row r="715" spans="1:6" x14ac:dyDescent="0.2">
      <c r="A715" s="4">
        <v>45506</v>
      </c>
      <c r="B715" s="5">
        <v>115.16</v>
      </c>
      <c r="C715" s="5">
        <v>117.3</v>
      </c>
      <c r="D715" s="5">
        <v>114.36</v>
      </c>
      <c r="E715" s="5">
        <v>115.2</v>
      </c>
      <c r="F715" s="6">
        <v>16562290</v>
      </c>
    </row>
    <row r="716" spans="1:6" x14ac:dyDescent="0.2">
      <c r="A716" s="4">
        <v>45509</v>
      </c>
      <c r="B716" s="5">
        <v>114.95</v>
      </c>
      <c r="C716" s="5">
        <v>115.12</v>
      </c>
      <c r="D716" s="5">
        <v>111.34</v>
      </c>
      <c r="E716" s="5">
        <v>112.31</v>
      </c>
      <c r="F716" s="6">
        <v>13333990</v>
      </c>
    </row>
    <row r="717" spans="1:6" x14ac:dyDescent="0.2">
      <c r="A717" s="4">
        <v>45510</v>
      </c>
      <c r="B717" s="5">
        <v>112.3</v>
      </c>
      <c r="C717" s="5">
        <v>113.08</v>
      </c>
      <c r="D717" s="5">
        <v>110.92</v>
      </c>
      <c r="E717" s="5">
        <v>111.15</v>
      </c>
      <c r="F717" s="6">
        <v>9761855</v>
      </c>
    </row>
    <row r="718" spans="1:6" x14ac:dyDescent="0.2">
      <c r="A718" s="4">
        <v>45511</v>
      </c>
      <c r="B718" s="5">
        <v>111.68</v>
      </c>
      <c r="C718" s="5">
        <v>112.545</v>
      </c>
      <c r="D718" s="5">
        <v>110.72</v>
      </c>
      <c r="E718" s="5">
        <v>112.49</v>
      </c>
      <c r="F718" s="6">
        <v>9756450</v>
      </c>
    </row>
    <row r="719" spans="1:6" x14ac:dyDescent="0.2">
      <c r="A719" s="4">
        <v>45512</v>
      </c>
      <c r="B719" s="5">
        <v>112.92</v>
      </c>
      <c r="C719" s="5">
        <v>114.23</v>
      </c>
      <c r="D719" s="5">
        <v>112.57</v>
      </c>
      <c r="E719" s="5">
        <v>113.92</v>
      </c>
      <c r="F719" s="6">
        <v>8278156</v>
      </c>
    </row>
    <row r="720" spans="1:6" x14ac:dyDescent="0.2">
      <c r="A720" s="4">
        <v>45513</v>
      </c>
      <c r="B720" s="5">
        <v>113.78</v>
      </c>
      <c r="C720" s="5">
        <v>114.72</v>
      </c>
      <c r="D720" s="5">
        <v>112.87</v>
      </c>
      <c r="E720" s="5">
        <v>114.55</v>
      </c>
      <c r="F720" s="6">
        <v>5914321</v>
      </c>
    </row>
    <row r="721" spans="1:6" x14ac:dyDescent="0.2">
      <c r="A721" s="4">
        <v>45516</v>
      </c>
      <c r="B721" s="5">
        <v>114.71</v>
      </c>
      <c r="C721" s="5">
        <v>114.71</v>
      </c>
      <c r="D721" s="5">
        <v>113.11</v>
      </c>
      <c r="E721" s="5">
        <v>113.48</v>
      </c>
      <c r="F721" s="6">
        <v>6536044</v>
      </c>
    </row>
    <row r="722" spans="1:6" x14ac:dyDescent="0.2">
      <c r="A722" s="4">
        <v>45517</v>
      </c>
      <c r="B722" s="5">
        <v>113.57</v>
      </c>
      <c r="C722" s="5">
        <v>114.86499999999999</v>
      </c>
      <c r="D722" s="5">
        <v>112.84</v>
      </c>
      <c r="E722" s="5">
        <v>114.39</v>
      </c>
      <c r="F722" s="6">
        <v>9040343</v>
      </c>
    </row>
    <row r="723" spans="1:6" x14ac:dyDescent="0.2">
      <c r="A723" s="4">
        <v>45518</v>
      </c>
      <c r="B723" s="5">
        <v>113.66</v>
      </c>
      <c r="C723" s="5">
        <v>113.93</v>
      </c>
      <c r="D723" s="5">
        <v>111.51</v>
      </c>
      <c r="E723" s="5">
        <v>113.58</v>
      </c>
      <c r="F723" s="6">
        <v>11029420</v>
      </c>
    </row>
    <row r="724" spans="1:6" x14ac:dyDescent="0.2">
      <c r="A724" s="4">
        <v>45519</v>
      </c>
      <c r="B724" s="5">
        <v>114.17</v>
      </c>
      <c r="C724" s="5">
        <v>114.5</v>
      </c>
      <c r="D724" s="5">
        <v>112.565</v>
      </c>
      <c r="E724" s="5">
        <v>113.31</v>
      </c>
      <c r="F724" s="6">
        <v>9685136</v>
      </c>
    </row>
    <row r="725" spans="1:6" x14ac:dyDescent="0.2">
      <c r="A725" s="4">
        <v>45520</v>
      </c>
      <c r="B725" s="5">
        <v>113.61</v>
      </c>
      <c r="C725" s="5">
        <v>113.72</v>
      </c>
      <c r="D725" s="5">
        <v>112.62</v>
      </c>
      <c r="E725" s="5">
        <v>113.67</v>
      </c>
      <c r="F725" s="6">
        <v>10102340</v>
      </c>
    </row>
    <row r="726" spans="1:6" x14ac:dyDescent="0.2">
      <c r="A726" s="4">
        <v>45523</v>
      </c>
      <c r="B726" s="5">
        <v>113.66</v>
      </c>
      <c r="C726" s="5">
        <v>114.6</v>
      </c>
      <c r="D726" s="5">
        <v>113.31</v>
      </c>
      <c r="E726" s="5">
        <v>114.42</v>
      </c>
      <c r="F726" s="6">
        <v>6177499</v>
      </c>
    </row>
    <row r="727" spans="1:6" x14ac:dyDescent="0.2">
      <c r="A727" s="4">
        <v>45524</v>
      </c>
      <c r="B727" s="5">
        <v>114.76</v>
      </c>
      <c r="C727" s="5">
        <v>115.3</v>
      </c>
      <c r="D727" s="5">
        <v>114.55</v>
      </c>
      <c r="E727" s="5">
        <v>115.14</v>
      </c>
      <c r="F727" s="6">
        <v>5392280</v>
      </c>
    </row>
    <row r="728" spans="1:6" x14ac:dyDescent="0.2">
      <c r="A728" s="4">
        <v>45525</v>
      </c>
      <c r="B728" s="5">
        <v>114.78</v>
      </c>
      <c r="C728" s="5">
        <v>116.6</v>
      </c>
      <c r="D728" s="5">
        <v>114.55</v>
      </c>
      <c r="E728" s="5">
        <v>116.03</v>
      </c>
      <c r="F728" s="6">
        <v>8144127</v>
      </c>
    </row>
    <row r="729" spans="1:6" x14ac:dyDescent="0.2">
      <c r="A729" s="4">
        <v>45526</v>
      </c>
      <c r="B729" s="5">
        <v>116.3</v>
      </c>
      <c r="C729" s="5">
        <v>116.72</v>
      </c>
      <c r="D729" s="5">
        <v>115.22</v>
      </c>
      <c r="E729" s="5">
        <v>116.55</v>
      </c>
      <c r="F729" s="6">
        <v>8201177</v>
      </c>
    </row>
    <row r="730" spans="1:6" x14ac:dyDescent="0.2">
      <c r="A730" s="4">
        <v>45527</v>
      </c>
      <c r="B730" s="5">
        <v>116.8</v>
      </c>
      <c r="C730" s="5">
        <v>116.80500000000001</v>
      </c>
      <c r="D730" s="5">
        <v>115.92</v>
      </c>
      <c r="E730" s="5">
        <v>116.6</v>
      </c>
      <c r="F730" s="6">
        <v>8368151</v>
      </c>
    </row>
    <row r="731" spans="1:6" x14ac:dyDescent="0.2">
      <c r="A731" s="4">
        <v>45530</v>
      </c>
      <c r="B731" s="5">
        <v>116.73</v>
      </c>
      <c r="C731" s="5">
        <v>117.9</v>
      </c>
      <c r="D731" s="5">
        <v>116.16</v>
      </c>
      <c r="E731" s="5">
        <v>116.27</v>
      </c>
      <c r="F731" s="6">
        <v>6518834</v>
      </c>
    </row>
    <row r="732" spans="1:6" x14ac:dyDescent="0.2">
      <c r="A732" s="4">
        <v>45531</v>
      </c>
      <c r="B732" s="5">
        <v>116.27</v>
      </c>
      <c r="C732" s="5">
        <v>116.62</v>
      </c>
      <c r="D732" s="5">
        <v>115.2501</v>
      </c>
      <c r="E732" s="5">
        <v>116.5</v>
      </c>
      <c r="F732" s="6">
        <v>5502645</v>
      </c>
    </row>
    <row r="733" spans="1:6" x14ac:dyDescent="0.2">
      <c r="A733" s="4">
        <v>45532</v>
      </c>
      <c r="B733" s="5">
        <v>116.6</v>
      </c>
      <c r="C733" s="5">
        <v>118.02</v>
      </c>
      <c r="D733" s="5">
        <v>116.235</v>
      </c>
      <c r="E733" s="5">
        <v>117.4</v>
      </c>
      <c r="F733" s="6">
        <v>5403225</v>
      </c>
    </row>
    <row r="734" spans="1:6" x14ac:dyDescent="0.2">
      <c r="A734" s="4">
        <v>45533</v>
      </c>
      <c r="B734" s="5">
        <v>117.93</v>
      </c>
      <c r="C734" s="5">
        <v>118.395</v>
      </c>
      <c r="D734" s="5">
        <v>116.7901</v>
      </c>
      <c r="E734" s="5">
        <v>117.46</v>
      </c>
      <c r="F734" s="6">
        <v>7202452</v>
      </c>
    </row>
    <row r="735" spans="1:6" x14ac:dyDescent="0.2">
      <c r="A735" s="4">
        <v>45534</v>
      </c>
      <c r="B735" s="5">
        <v>117.27</v>
      </c>
      <c r="C735" s="5">
        <v>118.75</v>
      </c>
      <c r="D735" s="5">
        <v>117.15</v>
      </c>
      <c r="E735" s="5">
        <v>118.45</v>
      </c>
      <c r="F735" s="6">
        <v>8876478</v>
      </c>
    </row>
    <row r="736" spans="1:6" x14ac:dyDescent="0.2">
      <c r="A736" s="4">
        <v>45538</v>
      </c>
      <c r="B736" s="5">
        <v>118.26</v>
      </c>
      <c r="C736" s="5">
        <v>118.84</v>
      </c>
      <c r="D736" s="5">
        <v>116.42</v>
      </c>
      <c r="E736" s="5">
        <v>116.58</v>
      </c>
      <c r="F736" s="6">
        <v>7640303</v>
      </c>
    </row>
    <row r="737" spans="1:6" x14ac:dyDescent="0.2">
      <c r="A737" s="4">
        <v>45539</v>
      </c>
      <c r="B737" s="5">
        <v>116.66</v>
      </c>
      <c r="C737" s="5">
        <v>116.73</v>
      </c>
      <c r="D737" s="5">
        <v>114.47</v>
      </c>
      <c r="E737" s="5">
        <v>115.8</v>
      </c>
      <c r="F737" s="6">
        <v>7693362</v>
      </c>
    </row>
    <row r="738" spans="1:6" x14ac:dyDescent="0.2">
      <c r="A738" s="4">
        <v>45540</v>
      </c>
      <c r="B738" s="5">
        <v>116.61</v>
      </c>
      <c r="C738" s="5">
        <v>120.07</v>
      </c>
      <c r="D738" s="5">
        <v>116.35</v>
      </c>
      <c r="E738" s="5">
        <v>118.59</v>
      </c>
      <c r="F738" s="6">
        <v>12009660</v>
      </c>
    </row>
    <row r="739" spans="1:6" x14ac:dyDescent="0.2">
      <c r="A739" s="4">
        <v>45541</v>
      </c>
      <c r="B739" s="5">
        <v>119.095</v>
      </c>
      <c r="C739" s="5">
        <v>120.3</v>
      </c>
      <c r="D739" s="5">
        <v>117.65</v>
      </c>
      <c r="E739" s="5">
        <v>117.84</v>
      </c>
      <c r="F739" s="6">
        <v>8577276</v>
      </c>
    </row>
    <row r="740" spans="1:6" x14ac:dyDescent="0.2">
      <c r="A740" s="4">
        <v>45544</v>
      </c>
      <c r="B740" s="5">
        <v>113.15</v>
      </c>
      <c r="C740" s="5">
        <v>116.9</v>
      </c>
      <c r="D740" s="5">
        <v>112.41</v>
      </c>
      <c r="E740" s="5">
        <v>115.41</v>
      </c>
      <c r="F740" s="6">
        <v>14880190</v>
      </c>
    </row>
    <row r="741" spans="1:6" x14ac:dyDescent="0.2">
      <c r="A741" s="4">
        <v>45545</v>
      </c>
      <c r="B741" s="5">
        <v>115.21</v>
      </c>
      <c r="C741" s="5">
        <v>116.09</v>
      </c>
      <c r="D741" s="5">
        <v>113.33</v>
      </c>
      <c r="E741" s="5">
        <v>115.33</v>
      </c>
      <c r="F741" s="6">
        <v>12734520</v>
      </c>
    </row>
    <row r="742" spans="1:6" x14ac:dyDescent="0.2">
      <c r="A742" s="4">
        <v>45546</v>
      </c>
      <c r="B742" s="5">
        <v>114.94</v>
      </c>
      <c r="C742" s="5">
        <v>115.89</v>
      </c>
      <c r="D742" s="5">
        <v>114.27</v>
      </c>
      <c r="E742" s="5">
        <v>114.71</v>
      </c>
      <c r="F742" s="6">
        <v>7836628</v>
      </c>
    </row>
    <row r="743" spans="1:6" x14ac:dyDescent="0.2">
      <c r="A743" s="4">
        <v>45547</v>
      </c>
      <c r="B743" s="5">
        <v>114.47</v>
      </c>
      <c r="C743" s="5">
        <v>115.505</v>
      </c>
      <c r="D743" s="5">
        <v>114.04</v>
      </c>
      <c r="E743" s="5">
        <v>115.25</v>
      </c>
      <c r="F743" s="6">
        <v>8331083</v>
      </c>
    </row>
    <row r="744" spans="1:6" x14ac:dyDescent="0.2">
      <c r="A744" s="4">
        <v>45548</v>
      </c>
      <c r="B744" s="5">
        <v>116.09</v>
      </c>
      <c r="C744" s="5">
        <v>116.77</v>
      </c>
      <c r="D744" s="5">
        <v>115</v>
      </c>
      <c r="E744" s="5">
        <v>115.86</v>
      </c>
      <c r="F744" s="6">
        <v>6709621</v>
      </c>
    </row>
    <row r="745" spans="1:6" x14ac:dyDescent="0.2">
      <c r="A745" s="4">
        <v>45551</v>
      </c>
      <c r="B745" s="5">
        <v>115.8</v>
      </c>
      <c r="C745" s="5">
        <v>118.37</v>
      </c>
      <c r="D745" s="5">
        <v>115.8</v>
      </c>
      <c r="E745" s="5">
        <v>117.96</v>
      </c>
      <c r="F745" s="6">
        <v>7846101</v>
      </c>
    </row>
    <row r="746" spans="1:6" x14ac:dyDescent="0.2">
      <c r="A746" s="4">
        <v>45552</v>
      </c>
      <c r="B746" s="5">
        <v>118.97</v>
      </c>
      <c r="C746" s="5">
        <v>119.14</v>
      </c>
      <c r="D746" s="5">
        <v>117.73</v>
      </c>
      <c r="E746" s="5">
        <v>118.29</v>
      </c>
      <c r="F746" s="6">
        <v>7915148</v>
      </c>
    </row>
    <row r="747" spans="1:6" x14ac:dyDescent="0.2">
      <c r="A747" s="4">
        <v>45553</v>
      </c>
      <c r="B747" s="5">
        <v>118.2</v>
      </c>
      <c r="C747" s="5">
        <v>119.38</v>
      </c>
      <c r="D747" s="5">
        <v>117.87</v>
      </c>
      <c r="E747" s="5">
        <v>118.64</v>
      </c>
      <c r="F747" s="6">
        <v>11135560</v>
      </c>
    </row>
    <row r="748" spans="1:6" x14ac:dyDescent="0.2">
      <c r="A748" s="4">
        <v>45554</v>
      </c>
      <c r="B748" s="5">
        <v>118.9</v>
      </c>
      <c r="C748" s="5">
        <v>119.2</v>
      </c>
      <c r="D748" s="5">
        <v>116.29</v>
      </c>
      <c r="E748" s="5">
        <v>117.23</v>
      </c>
      <c r="F748" s="6">
        <v>9963048</v>
      </c>
    </row>
    <row r="749" spans="1:6" x14ac:dyDescent="0.2">
      <c r="A749" s="4">
        <v>45555</v>
      </c>
      <c r="B749" s="5">
        <v>117.27</v>
      </c>
      <c r="C749" s="5">
        <v>117.5</v>
      </c>
      <c r="D749" s="5">
        <v>116.41</v>
      </c>
      <c r="E749" s="5">
        <v>117.17</v>
      </c>
      <c r="F749" s="6">
        <v>21200970</v>
      </c>
    </row>
    <row r="750" spans="1:6" x14ac:dyDescent="0.2">
      <c r="A750" s="4">
        <v>45558</v>
      </c>
      <c r="B750" s="5">
        <v>117.2</v>
      </c>
      <c r="C750" s="5">
        <v>118.16</v>
      </c>
      <c r="D750" s="5">
        <v>115.52</v>
      </c>
      <c r="E750" s="5">
        <v>115.63</v>
      </c>
      <c r="F750" s="6">
        <v>6665286</v>
      </c>
    </row>
    <row r="751" spans="1:6" x14ac:dyDescent="0.2">
      <c r="A751" s="4">
        <v>45559</v>
      </c>
      <c r="B751" s="5">
        <v>115.85</v>
      </c>
      <c r="C751" s="5">
        <v>116.26</v>
      </c>
      <c r="D751" s="5">
        <v>114.32</v>
      </c>
      <c r="E751" s="5">
        <v>114.96</v>
      </c>
      <c r="F751" s="6">
        <v>9840382</v>
      </c>
    </row>
    <row r="752" spans="1:6" x14ac:dyDescent="0.2">
      <c r="A752" s="4">
        <v>45560</v>
      </c>
      <c r="B752" s="5">
        <v>115.3</v>
      </c>
      <c r="C752" s="5">
        <v>116.02</v>
      </c>
      <c r="D752" s="5">
        <v>114.62</v>
      </c>
      <c r="E752" s="5">
        <v>114.73</v>
      </c>
      <c r="F752" s="6">
        <v>7902444</v>
      </c>
    </row>
    <row r="753" spans="1:6" x14ac:dyDescent="0.2">
      <c r="A753" s="4">
        <v>45561</v>
      </c>
      <c r="B753" s="5">
        <v>113.88</v>
      </c>
      <c r="C753" s="5">
        <v>114</v>
      </c>
      <c r="D753" s="5">
        <v>112.93</v>
      </c>
      <c r="E753" s="5">
        <v>113.09</v>
      </c>
      <c r="F753" s="6">
        <v>11132090</v>
      </c>
    </row>
    <row r="754" spans="1:6" x14ac:dyDescent="0.2">
      <c r="A754" s="4">
        <v>45562</v>
      </c>
      <c r="B754" s="5">
        <v>113.17</v>
      </c>
      <c r="C754" s="5">
        <v>114.34</v>
      </c>
      <c r="D754" s="5">
        <v>113</v>
      </c>
      <c r="E754" s="5">
        <v>113.69</v>
      </c>
      <c r="F754" s="6">
        <v>11920110</v>
      </c>
    </row>
    <row r="755" spans="1:6" x14ac:dyDescent="0.2">
      <c r="A755" s="4">
        <v>45565</v>
      </c>
      <c r="B755" s="5">
        <v>113.61</v>
      </c>
      <c r="C755" s="5">
        <v>114.01</v>
      </c>
      <c r="D755" s="5">
        <v>112.7</v>
      </c>
      <c r="E755" s="5">
        <v>113.56</v>
      </c>
      <c r="F755" s="6">
        <v>10949980</v>
      </c>
    </row>
    <row r="756" spans="1:6" x14ac:dyDescent="0.2">
      <c r="A756" s="4">
        <v>45566</v>
      </c>
      <c r="B756" s="5">
        <v>113.96</v>
      </c>
      <c r="C756" s="5">
        <v>114.79</v>
      </c>
      <c r="D756" s="5">
        <v>113.11</v>
      </c>
      <c r="E756" s="5">
        <v>114.74</v>
      </c>
      <c r="F756" s="6">
        <v>7715526</v>
      </c>
    </row>
    <row r="757" spans="1:6" x14ac:dyDescent="0.2">
      <c r="A757" s="4">
        <v>45567</v>
      </c>
      <c r="B757" s="5">
        <v>114.55</v>
      </c>
      <c r="C757" s="5">
        <v>114.6</v>
      </c>
      <c r="D757" s="5">
        <v>111.98</v>
      </c>
      <c r="E757" s="5">
        <v>112.08</v>
      </c>
      <c r="F757" s="6">
        <v>9041754</v>
      </c>
    </row>
    <row r="758" spans="1:6" x14ac:dyDescent="0.2">
      <c r="A758" s="4">
        <v>45568</v>
      </c>
      <c r="B758" s="5">
        <v>111.82</v>
      </c>
      <c r="C758" s="5">
        <v>112.08</v>
      </c>
      <c r="D758" s="5">
        <v>109.825</v>
      </c>
      <c r="E758" s="5">
        <v>110.18</v>
      </c>
      <c r="F758" s="6">
        <v>10280550</v>
      </c>
    </row>
    <row r="759" spans="1:6" x14ac:dyDescent="0.2">
      <c r="A759" s="4">
        <v>45569</v>
      </c>
      <c r="B759" s="5">
        <v>109.49</v>
      </c>
      <c r="C759" s="5">
        <v>110.3</v>
      </c>
      <c r="D759" s="5">
        <v>109.39</v>
      </c>
      <c r="E759" s="5">
        <v>109.77</v>
      </c>
      <c r="F759" s="6">
        <v>9721325</v>
      </c>
    </row>
    <row r="760" spans="1:6" x14ac:dyDescent="0.2">
      <c r="A760" s="4">
        <v>45572</v>
      </c>
      <c r="B760" s="5">
        <v>109.69499999999999</v>
      </c>
      <c r="C760" s="5">
        <v>110.98</v>
      </c>
      <c r="D760" s="5">
        <v>108.18</v>
      </c>
      <c r="E760" s="5">
        <v>108.59</v>
      </c>
      <c r="F760" s="6">
        <v>8654772</v>
      </c>
    </row>
    <row r="761" spans="1:6" x14ac:dyDescent="0.2">
      <c r="A761" s="4">
        <v>45573</v>
      </c>
      <c r="B761" s="5">
        <v>107.97</v>
      </c>
      <c r="C761" s="5">
        <v>108.75</v>
      </c>
      <c r="D761" s="5">
        <v>107.81</v>
      </c>
      <c r="E761" s="5">
        <v>108.52</v>
      </c>
      <c r="F761" s="6">
        <v>8832415</v>
      </c>
    </row>
    <row r="762" spans="1:6" x14ac:dyDescent="0.2">
      <c r="A762" s="4">
        <v>45574</v>
      </c>
      <c r="B762" s="5">
        <v>108.41</v>
      </c>
      <c r="C762" s="5">
        <v>110.3</v>
      </c>
      <c r="D762" s="5">
        <v>108.2</v>
      </c>
      <c r="E762" s="5">
        <v>110.27</v>
      </c>
      <c r="F762" s="6">
        <v>8627785</v>
      </c>
    </row>
    <row r="763" spans="1:6" x14ac:dyDescent="0.2">
      <c r="A763" s="4">
        <v>45575</v>
      </c>
      <c r="B763" s="5">
        <v>110.7</v>
      </c>
      <c r="C763" s="5">
        <v>110.83</v>
      </c>
      <c r="D763" s="5">
        <v>109.17</v>
      </c>
      <c r="E763" s="5">
        <v>109.4</v>
      </c>
      <c r="F763" s="6">
        <v>6006681</v>
      </c>
    </row>
    <row r="764" spans="1:6" x14ac:dyDescent="0.2">
      <c r="A764" s="4">
        <v>45576</v>
      </c>
      <c r="B764" s="5">
        <v>109.1</v>
      </c>
      <c r="C764" s="5">
        <v>109.91500000000001</v>
      </c>
      <c r="D764" s="5">
        <v>107.9</v>
      </c>
      <c r="E764" s="5">
        <v>109.73</v>
      </c>
      <c r="F764" s="6">
        <v>8578442</v>
      </c>
    </row>
    <row r="765" spans="1:6" x14ac:dyDescent="0.2">
      <c r="A765" s="4">
        <v>45579</v>
      </c>
      <c r="B765" s="5">
        <v>109.43</v>
      </c>
      <c r="C765" s="5">
        <v>110.065</v>
      </c>
      <c r="D765" s="5">
        <v>108.68</v>
      </c>
      <c r="E765" s="5">
        <v>109.69</v>
      </c>
      <c r="F765" s="6">
        <v>8130716</v>
      </c>
    </row>
    <row r="766" spans="1:6" x14ac:dyDescent="0.2">
      <c r="A766" s="4">
        <v>45580</v>
      </c>
      <c r="B766" s="5">
        <v>109.96</v>
      </c>
      <c r="C766" s="5">
        <v>111.58</v>
      </c>
      <c r="D766" s="5">
        <v>109.89</v>
      </c>
      <c r="E766" s="5">
        <v>111.53</v>
      </c>
      <c r="F766" s="6">
        <v>9109498</v>
      </c>
    </row>
    <row r="767" spans="1:6" x14ac:dyDescent="0.2">
      <c r="A767" s="4">
        <v>45581</v>
      </c>
      <c r="B767" s="5">
        <v>111</v>
      </c>
      <c r="C767" s="5">
        <v>111.2</v>
      </c>
      <c r="D767" s="5">
        <v>109.02</v>
      </c>
      <c r="E767" s="5">
        <v>110.42</v>
      </c>
      <c r="F767" s="6">
        <v>8729248</v>
      </c>
    </row>
    <row r="768" spans="1:6" x14ac:dyDescent="0.2">
      <c r="A768" s="4">
        <v>45582</v>
      </c>
      <c r="B768" s="5">
        <v>110.13500000000001</v>
      </c>
      <c r="C768" s="5">
        <v>110.19</v>
      </c>
      <c r="D768" s="5">
        <v>109.5</v>
      </c>
      <c r="E768" s="5">
        <v>109.75</v>
      </c>
      <c r="F768" s="6">
        <v>8541678</v>
      </c>
    </row>
    <row r="769" spans="1:6" x14ac:dyDescent="0.2">
      <c r="A769" s="4">
        <v>45583</v>
      </c>
      <c r="B769" s="5">
        <v>109.9</v>
      </c>
      <c r="C769" s="5">
        <v>109.92</v>
      </c>
      <c r="D769" s="5">
        <v>108.55500000000001</v>
      </c>
      <c r="E769" s="5">
        <v>108.7</v>
      </c>
      <c r="F769" s="6">
        <v>9523037</v>
      </c>
    </row>
    <row r="770" spans="1:6" x14ac:dyDescent="0.2">
      <c r="A770" s="4">
        <v>45586</v>
      </c>
      <c r="B770" s="5">
        <v>109.08</v>
      </c>
      <c r="C770" s="5">
        <v>109.17</v>
      </c>
      <c r="D770" s="5">
        <v>106.18</v>
      </c>
      <c r="E770" s="5">
        <v>106.34</v>
      </c>
      <c r="F770" s="6">
        <v>11444860</v>
      </c>
    </row>
    <row r="771" spans="1:6" x14ac:dyDescent="0.2">
      <c r="A771" s="4">
        <v>45587</v>
      </c>
      <c r="B771" s="5">
        <v>105.91</v>
      </c>
      <c r="C771" s="5">
        <v>106.9</v>
      </c>
      <c r="D771" s="5">
        <v>105.71</v>
      </c>
      <c r="E771" s="5">
        <v>106.64</v>
      </c>
      <c r="F771" s="6">
        <v>11576050</v>
      </c>
    </row>
    <row r="772" spans="1:6" x14ac:dyDescent="0.2">
      <c r="A772" s="4">
        <v>45588</v>
      </c>
      <c r="B772" s="5">
        <v>106.74</v>
      </c>
      <c r="C772" s="5">
        <v>107.3623</v>
      </c>
      <c r="D772" s="5">
        <v>106.2</v>
      </c>
      <c r="E772" s="5">
        <v>106.38</v>
      </c>
      <c r="F772" s="6">
        <v>8271659</v>
      </c>
    </row>
    <row r="773" spans="1:6" x14ac:dyDescent="0.2">
      <c r="A773" s="4">
        <v>45589</v>
      </c>
      <c r="B773" s="5">
        <v>106.05</v>
      </c>
      <c r="C773" s="5">
        <v>106.62</v>
      </c>
      <c r="D773" s="5">
        <v>105.26</v>
      </c>
      <c r="E773" s="5">
        <v>105.88</v>
      </c>
      <c r="F773" s="6">
        <v>8295933</v>
      </c>
    </row>
    <row r="774" spans="1:6" x14ac:dyDescent="0.2">
      <c r="A774" s="4">
        <v>45590</v>
      </c>
      <c r="B774" s="5">
        <v>106.49</v>
      </c>
      <c r="C774" s="5">
        <v>106.49</v>
      </c>
      <c r="D774" s="5">
        <v>103.86</v>
      </c>
      <c r="E774" s="5">
        <v>103.98</v>
      </c>
      <c r="F774" s="6">
        <v>9625498</v>
      </c>
    </row>
    <row r="775" spans="1:6" x14ac:dyDescent="0.2">
      <c r="A775" s="4">
        <v>45593</v>
      </c>
      <c r="B775" s="5">
        <v>104.6</v>
      </c>
      <c r="C775" s="5">
        <v>105</v>
      </c>
      <c r="D775" s="5">
        <v>103.93</v>
      </c>
      <c r="E775" s="5">
        <v>104.23</v>
      </c>
      <c r="F775" s="6">
        <v>6968944</v>
      </c>
    </row>
    <row r="776" spans="1:6" x14ac:dyDescent="0.2">
      <c r="A776" s="4">
        <v>45594</v>
      </c>
      <c r="B776" s="5">
        <v>104.315</v>
      </c>
      <c r="C776" s="5">
        <v>105.11</v>
      </c>
      <c r="D776" s="5">
        <v>103.7</v>
      </c>
      <c r="E776" s="5">
        <v>103.73</v>
      </c>
      <c r="F776" s="6">
        <v>9296241</v>
      </c>
    </row>
    <row r="777" spans="1:6" x14ac:dyDescent="0.2">
      <c r="A777" s="4">
        <v>45595</v>
      </c>
      <c r="B777" s="5">
        <v>103.46</v>
      </c>
      <c r="C777" s="5">
        <v>105</v>
      </c>
      <c r="D777" s="5">
        <v>102.9</v>
      </c>
      <c r="E777" s="5">
        <v>104.83</v>
      </c>
      <c r="F777" s="6">
        <v>13897190</v>
      </c>
    </row>
    <row r="778" spans="1:6" x14ac:dyDescent="0.2">
      <c r="A778" s="4">
        <v>45596</v>
      </c>
      <c r="B778" s="5">
        <v>100.93</v>
      </c>
      <c r="C778" s="5">
        <v>103.23</v>
      </c>
      <c r="D778" s="5">
        <v>98.6</v>
      </c>
      <c r="E778" s="5">
        <v>102.32</v>
      </c>
      <c r="F778" s="6">
        <v>17413050</v>
      </c>
    </row>
    <row r="779" spans="1:6" x14ac:dyDescent="0.2">
      <c r="A779" s="4">
        <v>45597</v>
      </c>
      <c r="B779" s="5">
        <v>101.78</v>
      </c>
      <c r="C779" s="5">
        <v>102.72</v>
      </c>
      <c r="D779" s="5">
        <v>101.21</v>
      </c>
      <c r="E779" s="5">
        <v>101.88</v>
      </c>
      <c r="F779" s="6">
        <v>10180980</v>
      </c>
    </row>
    <row r="780" spans="1:6" x14ac:dyDescent="0.2">
      <c r="A780" s="4">
        <v>45600</v>
      </c>
      <c r="B780" s="5">
        <v>102</v>
      </c>
      <c r="C780" s="5">
        <v>102.53</v>
      </c>
      <c r="D780" s="5">
        <v>100.94499999999999</v>
      </c>
      <c r="E780" s="5">
        <v>101.87</v>
      </c>
      <c r="F780" s="6">
        <v>9182560</v>
      </c>
    </row>
    <row r="781" spans="1:6" x14ac:dyDescent="0.2">
      <c r="A781" s="4">
        <v>45601</v>
      </c>
      <c r="B781" s="5">
        <v>101.36</v>
      </c>
      <c r="C781" s="5">
        <v>101.73</v>
      </c>
      <c r="D781" s="5">
        <v>100.52</v>
      </c>
      <c r="E781" s="5">
        <v>101.65</v>
      </c>
      <c r="F781" s="6">
        <v>6741403</v>
      </c>
    </row>
    <row r="782" spans="1:6" x14ac:dyDescent="0.2">
      <c r="A782" s="4">
        <v>45602</v>
      </c>
      <c r="B782" s="5">
        <v>103.18</v>
      </c>
      <c r="C782" s="5">
        <v>103.23</v>
      </c>
      <c r="D782" s="5">
        <v>100.6</v>
      </c>
      <c r="E782" s="5">
        <v>100.73</v>
      </c>
      <c r="F782" s="6">
        <v>9551335</v>
      </c>
    </row>
    <row r="783" spans="1:6" x14ac:dyDescent="0.2">
      <c r="A783" s="4">
        <v>45603</v>
      </c>
      <c r="B783" s="5">
        <v>101.44</v>
      </c>
      <c r="C783" s="5">
        <v>101.69</v>
      </c>
      <c r="D783" s="5">
        <v>100.85</v>
      </c>
      <c r="E783" s="5">
        <v>101.17</v>
      </c>
      <c r="F783" s="6">
        <v>8676105</v>
      </c>
    </row>
    <row r="784" spans="1:6" x14ac:dyDescent="0.2">
      <c r="A784" s="4">
        <v>45604</v>
      </c>
      <c r="B784" s="5">
        <v>101.48</v>
      </c>
      <c r="C784" s="5">
        <v>103.23</v>
      </c>
      <c r="D784" s="5">
        <v>101</v>
      </c>
      <c r="E784" s="5">
        <v>102.92</v>
      </c>
      <c r="F784" s="6">
        <v>9208036</v>
      </c>
    </row>
    <row r="785" spans="1:6" x14ac:dyDescent="0.2">
      <c r="A785" s="4">
        <v>45607</v>
      </c>
      <c r="B785" s="5">
        <v>102.53</v>
      </c>
      <c r="C785" s="5">
        <v>103.4</v>
      </c>
      <c r="D785" s="5">
        <v>100.46</v>
      </c>
      <c r="E785" s="5">
        <v>100.73</v>
      </c>
      <c r="F785" s="6">
        <v>10075260</v>
      </c>
    </row>
    <row r="786" spans="1:6" x14ac:dyDescent="0.2">
      <c r="A786" s="4">
        <v>45608</v>
      </c>
      <c r="B786" s="5">
        <v>100.76</v>
      </c>
      <c r="C786" s="5">
        <v>100.77</v>
      </c>
      <c r="D786" s="5">
        <v>98.5</v>
      </c>
      <c r="E786" s="5">
        <v>98.58</v>
      </c>
      <c r="F786" s="6">
        <v>12282890</v>
      </c>
    </row>
    <row r="787" spans="1:6" x14ac:dyDescent="0.2">
      <c r="A787" s="4">
        <v>45609</v>
      </c>
      <c r="B787" s="5">
        <v>98.51</v>
      </c>
      <c r="C787" s="5">
        <v>99.45</v>
      </c>
      <c r="D787" s="5">
        <v>97.9</v>
      </c>
      <c r="E787" s="5">
        <v>98.5</v>
      </c>
      <c r="F787" s="6">
        <v>8869661</v>
      </c>
    </row>
    <row r="788" spans="1:6" x14ac:dyDescent="0.2">
      <c r="A788" s="4">
        <v>45610</v>
      </c>
      <c r="B788" s="5">
        <v>99.18</v>
      </c>
      <c r="C788" s="5">
        <v>99.4</v>
      </c>
      <c r="D788" s="5">
        <v>97.95</v>
      </c>
      <c r="E788" s="5">
        <v>98.36</v>
      </c>
      <c r="F788" s="6">
        <v>8704483</v>
      </c>
    </row>
    <row r="789" spans="1:6" x14ac:dyDescent="0.2">
      <c r="A789" s="4">
        <v>45611</v>
      </c>
      <c r="B789" s="5">
        <v>97.92</v>
      </c>
      <c r="C789" s="5">
        <v>97.92</v>
      </c>
      <c r="D789" s="5">
        <v>94.48</v>
      </c>
      <c r="E789" s="5">
        <v>96.31</v>
      </c>
      <c r="F789" s="6">
        <v>16464510</v>
      </c>
    </row>
    <row r="790" spans="1:6" x14ac:dyDescent="0.2">
      <c r="A790" s="4">
        <v>45614</v>
      </c>
      <c r="B790" s="5">
        <v>96.56</v>
      </c>
      <c r="C790" s="5">
        <v>97.29</v>
      </c>
      <c r="D790" s="5">
        <v>95.42</v>
      </c>
      <c r="E790" s="5">
        <v>96.56</v>
      </c>
      <c r="F790" s="6">
        <v>14140330</v>
      </c>
    </row>
    <row r="791" spans="1:6" x14ac:dyDescent="0.2">
      <c r="A791" s="4">
        <v>45615</v>
      </c>
      <c r="B791" s="5">
        <v>96.73</v>
      </c>
      <c r="C791" s="5">
        <v>97.55</v>
      </c>
      <c r="D791" s="5">
        <v>95.26</v>
      </c>
      <c r="E791" s="5">
        <v>96.54</v>
      </c>
      <c r="F791" s="6">
        <v>13093070</v>
      </c>
    </row>
    <row r="792" spans="1:6" x14ac:dyDescent="0.2">
      <c r="A792" s="4">
        <v>45616</v>
      </c>
      <c r="B792" s="5">
        <v>96.98</v>
      </c>
      <c r="C792" s="5">
        <v>98.84</v>
      </c>
      <c r="D792" s="5">
        <v>96.66</v>
      </c>
      <c r="E792" s="5">
        <v>97.44</v>
      </c>
      <c r="F792" s="6">
        <v>12136770</v>
      </c>
    </row>
    <row r="793" spans="1:6" x14ac:dyDescent="0.2">
      <c r="A793" s="4">
        <v>45617</v>
      </c>
      <c r="B793" s="5">
        <v>97.72</v>
      </c>
      <c r="C793" s="5">
        <v>100.48</v>
      </c>
      <c r="D793" s="5">
        <v>96.95</v>
      </c>
      <c r="E793" s="5">
        <v>99.86</v>
      </c>
      <c r="F793" s="6">
        <v>15670300</v>
      </c>
    </row>
    <row r="794" spans="1:6" x14ac:dyDescent="0.2">
      <c r="A794" s="4">
        <v>45618</v>
      </c>
      <c r="B794" s="5">
        <v>100.33</v>
      </c>
      <c r="C794" s="5">
        <v>101.785</v>
      </c>
      <c r="D794" s="5">
        <v>98.93</v>
      </c>
      <c r="E794" s="5">
        <v>99.18</v>
      </c>
      <c r="F794" s="6">
        <v>14031190</v>
      </c>
    </row>
    <row r="795" spans="1:6" x14ac:dyDescent="0.2">
      <c r="A795" s="4">
        <v>45621</v>
      </c>
      <c r="B795" s="5">
        <v>100.08499999999999</v>
      </c>
      <c r="C795" s="5">
        <v>101.74</v>
      </c>
      <c r="D795" s="5">
        <v>99.51</v>
      </c>
      <c r="E795" s="5">
        <v>101.16</v>
      </c>
      <c r="F795" s="6">
        <v>34659090</v>
      </c>
    </row>
    <row r="796" spans="1:6" x14ac:dyDescent="0.2">
      <c r="A796" s="4">
        <v>45622</v>
      </c>
      <c r="B796" s="5">
        <v>101.48</v>
      </c>
      <c r="C796" s="5">
        <v>101.8</v>
      </c>
      <c r="D796" s="5">
        <v>99.7</v>
      </c>
      <c r="E796" s="5">
        <v>101.62</v>
      </c>
      <c r="F796" s="6">
        <v>9324084</v>
      </c>
    </row>
    <row r="797" spans="1:6" x14ac:dyDescent="0.2">
      <c r="A797" s="4">
        <v>45623</v>
      </c>
      <c r="B797" s="5">
        <v>101.65</v>
      </c>
      <c r="C797" s="5">
        <v>103.45</v>
      </c>
      <c r="D797" s="5">
        <v>101.64</v>
      </c>
      <c r="E797" s="5">
        <v>103.12</v>
      </c>
      <c r="F797" s="6">
        <v>9802172</v>
      </c>
    </row>
    <row r="798" spans="1:6" x14ac:dyDescent="0.2">
      <c r="A798" s="4">
        <v>45625</v>
      </c>
      <c r="B798" s="5">
        <v>102.875</v>
      </c>
      <c r="C798" s="5">
        <v>103.04</v>
      </c>
      <c r="D798" s="5">
        <v>101.53</v>
      </c>
      <c r="E798" s="5">
        <v>101.64</v>
      </c>
      <c r="F798" s="6">
        <v>6081177</v>
      </c>
    </row>
    <row r="799" spans="1:6" x14ac:dyDescent="0.2">
      <c r="A799" s="4">
        <v>45628</v>
      </c>
      <c r="B799" s="5">
        <v>101.73</v>
      </c>
      <c r="C799" s="5">
        <v>101.85</v>
      </c>
      <c r="D799" s="5">
        <v>100.46</v>
      </c>
      <c r="E799" s="5">
        <v>100.61</v>
      </c>
      <c r="F799" s="6">
        <v>13703140</v>
      </c>
    </row>
    <row r="800" spans="1:6" x14ac:dyDescent="0.2">
      <c r="A800" s="4">
        <v>45629</v>
      </c>
      <c r="B800" s="5">
        <v>100.75</v>
      </c>
      <c r="C800" s="5">
        <v>102.45</v>
      </c>
      <c r="D800" s="5">
        <v>100.62</v>
      </c>
      <c r="E800" s="5">
        <v>101.85</v>
      </c>
      <c r="F800" s="6">
        <v>11395590</v>
      </c>
    </row>
    <row r="801" spans="1:6" x14ac:dyDescent="0.2">
      <c r="A801" s="4">
        <v>45630</v>
      </c>
      <c r="B801" s="5">
        <v>102.03</v>
      </c>
      <c r="C801" s="5">
        <v>102.09</v>
      </c>
      <c r="D801" s="5">
        <v>101.05</v>
      </c>
      <c r="E801" s="5">
        <v>101.37</v>
      </c>
      <c r="F801" s="6">
        <v>11314990</v>
      </c>
    </row>
    <row r="802" spans="1:6" x14ac:dyDescent="0.2">
      <c r="A802" s="4">
        <v>45631</v>
      </c>
      <c r="B802" s="5">
        <v>101.49</v>
      </c>
      <c r="C802" s="5">
        <v>104.14</v>
      </c>
      <c r="D802" s="5">
        <v>101.35</v>
      </c>
      <c r="E802" s="5">
        <v>103.55</v>
      </c>
      <c r="F802" s="6">
        <v>11062660</v>
      </c>
    </row>
    <row r="803" spans="1:6" x14ac:dyDescent="0.2">
      <c r="A803" s="4">
        <v>45632</v>
      </c>
      <c r="B803" s="5">
        <v>103.605</v>
      </c>
      <c r="C803" s="5">
        <v>103.94499999999999</v>
      </c>
      <c r="D803" s="5">
        <v>102.69</v>
      </c>
      <c r="E803" s="5">
        <v>103.09</v>
      </c>
      <c r="F803" s="6">
        <v>11470670</v>
      </c>
    </row>
    <row r="804" spans="1:6" x14ac:dyDescent="0.2">
      <c r="A804" s="4">
        <v>45635</v>
      </c>
      <c r="B804" s="5">
        <v>102.86</v>
      </c>
      <c r="C804" s="5">
        <v>105.0681</v>
      </c>
      <c r="D804" s="5">
        <v>102.33</v>
      </c>
      <c r="E804" s="5">
        <v>103.79</v>
      </c>
      <c r="F804" s="6">
        <v>19162470</v>
      </c>
    </row>
    <row r="805" spans="1:6" x14ac:dyDescent="0.2">
      <c r="A805" s="4">
        <v>45636</v>
      </c>
      <c r="B805" s="5">
        <v>103.77</v>
      </c>
      <c r="C805" s="5">
        <v>103.77</v>
      </c>
      <c r="D805" s="5">
        <v>100.74</v>
      </c>
      <c r="E805" s="5">
        <v>101</v>
      </c>
      <c r="F805" s="6">
        <v>11359440</v>
      </c>
    </row>
    <row r="806" spans="1:6" x14ac:dyDescent="0.2">
      <c r="A806" s="4">
        <v>45637</v>
      </c>
      <c r="B806" s="5">
        <v>100.7</v>
      </c>
      <c r="C806" s="5">
        <v>101.45</v>
      </c>
      <c r="D806" s="5">
        <v>99.26</v>
      </c>
      <c r="E806" s="5">
        <v>99.75</v>
      </c>
      <c r="F806" s="6">
        <v>21612980</v>
      </c>
    </row>
    <row r="807" spans="1:6" x14ac:dyDescent="0.2">
      <c r="A807" s="4">
        <v>45638</v>
      </c>
      <c r="B807" s="5">
        <v>101.69</v>
      </c>
      <c r="C807" s="5">
        <v>103</v>
      </c>
      <c r="D807" s="5">
        <v>100.12</v>
      </c>
      <c r="E807" s="5">
        <v>101.25</v>
      </c>
      <c r="F807" s="6">
        <v>9554399</v>
      </c>
    </row>
    <row r="808" spans="1:6" x14ac:dyDescent="0.2">
      <c r="A808" s="4">
        <v>45639</v>
      </c>
      <c r="B808" s="5">
        <v>101.13</v>
      </c>
      <c r="C808" s="5">
        <v>102.57</v>
      </c>
      <c r="D808" s="5">
        <v>100.53</v>
      </c>
      <c r="E808" s="5">
        <v>102</v>
      </c>
      <c r="F808" s="6">
        <v>10118230</v>
      </c>
    </row>
    <row r="809" spans="1:6" x14ac:dyDescent="0.2">
      <c r="A809" s="4">
        <v>45642</v>
      </c>
      <c r="B809" s="5">
        <v>101.253</v>
      </c>
      <c r="C809" s="5">
        <v>102.28</v>
      </c>
      <c r="D809" s="5">
        <v>100.05</v>
      </c>
      <c r="E809" s="5">
        <v>100.06</v>
      </c>
      <c r="F809" s="6">
        <v>11701060</v>
      </c>
    </row>
    <row r="810" spans="1:6" x14ac:dyDescent="0.2">
      <c r="A810" s="4">
        <v>45643</v>
      </c>
      <c r="B810" s="5">
        <v>99.9</v>
      </c>
      <c r="C810" s="5">
        <v>100.8</v>
      </c>
      <c r="D810" s="5">
        <v>99.36</v>
      </c>
      <c r="E810" s="5">
        <v>100.06</v>
      </c>
      <c r="F810" s="6">
        <v>13975080</v>
      </c>
    </row>
    <row r="811" spans="1:6" x14ac:dyDescent="0.2">
      <c r="A811" s="4">
        <v>45644</v>
      </c>
      <c r="B811" s="5">
        <v>100.19</v>
      </c>
      <c r="C811" s="5">
        <v>101.5</v>
      </c>
      <c r="D811" s="5">
        <v>98.27</v>
      </c>
      <c r="E811" s="5">
        <v>98.34</v>
      </c>
      <c r="F811" s="6">
        <v>11993420</v>
      </c>
    </row>
    <row r="812" spans="1:6" x14ac:dyDescent="0.2">
      <c r="A812" s="4">
        <v>45645</v>
      </c>
      <c r="B812" s="5">
        <v>98.56</v>
      </c>
      <c r="C812" s="5">
        <v>99.935000000000002</v>
      </c>
      <c r="D812" s="5">
        <v>97.82</v>
      </c>
      <c r="E812" s="5">
        <v>99.52</v>
      </c>
      <c r="F812" s="6">
        <v>12110780</v>
      </c>
    </row>
    <row r="813" spans="1:6" x14ac:dyDescent="0.2">
      <c r="A813" s="4">
        <v>45646</v>
      </c>
      <c r="B813" s="5">
        <v>98.83</v>
      </c>
      <c r="C813" s="5">
        <v>99.68</v>
      </c>
      <c r="D813" s="5">
        <v>97.9</v>
      </c>
      <c r="E813" s="5">
        <v>98.05</v>
      </c>
      <c r="F813" s="6">
        <v>29289740</v>
      </c>
    </row>
    <row r="814" spans="1:6" x14ac:dyDescent="0.2">
      <c r="A814" s="4">
        <v>45649</v>
      </c>
      <c r="B814" s="5">
        <v>99.09</v>
      </c>
      <c r="C814" s="5">
        <v>99.59</v>
      </c>
      <c r="D814" s="5">
        <v>98.200900000000004</v>
      </c>
      <c r="E814" s="5">
        <v>99.37</v>
      </c>
      <c r="F814" s="6">
        <v>8460460</v>
      </c>
    </row>
    <row r="815" spans="1:6" x14ac:dyDescent="0.2">
      <c r="A815" s="4">
        <v>45650</v>
      </c>
      <c r="B815" s="5">
        <v>99.22</v>
      </c>
      <c r="C815" s="5">
        <v>99.64</v>
      </c>
      <c r="D815" s="5">
        <v>98.795000000000002</v>
      </c>
      <c r="E815" s="5">
        <v>99.45</v>
      </c>
      <c r="F815" s="6">
        <v>3713479</v>
      </c>
    </row>
    <row r="816" spans="1:6" x14ac:dyDescent="0.2">
      <c r="A816" s="4">
        <v>45652</v>
      </c>
      <c r="B816" s="5">
        <v>99.09</v>
      </c>
      <c r="C816" s="5">
        <v>99.94</v>
      </c>
      <c r="D816" s="5">
        <v>98.92</v>
      </c>
      <c r="E816" s="5">
        <v>99.87</v>
      </c>
      <c r="F816" s="6">
        <v>4760750</v>
      </c>
    </row>
    <row r="817" spans="1:6" x14ac:dyDescent="0.2">
      <c r="A817" s="4">
        <v>45653</v>
      </c>
      <c r="B817" s="5">
        <v>99.5</v>
      </c>
      <c r="C817" s="5">
        <v>100.35</v>
      </c>
      <c r="D817" s="5">
        <v>99.24</v>
      </c>
      <c r="E817" s="5">
        <v>99.7</v>
      </c>
      <c r="F817" s="6">
        <v>6173658</v>
      </c>
    </row>
    <row r="818" spans="1:6" x14ac:dyDescent="0.2">
      <c r="A818" s="4">
        <v>45656</v>
      </c>
      <c r="B818" s="5">
        <v>99.57</v>
      </c>
      <c r="C818" s="5">
        <v>99.57</v>
      </c>
      <c r="D818" s="5">
        <v>98.27</v>
      </c>
      <c r="E818" s="5">
        <v>98.37</v>
      </c>
      <c r="F818" s="6">
        <v>6848715</v>
      </c>
    </row>
    <row r="819" spans="1:6" x14ac:dyDescent="0.2">
      <c r="A819" s="4">
        <v>45657</v>
      </c>
      <c r="B819" s="5">
        <v>98.5</v>
      </c>
      <c r="C819" s="5">
        <v>99.53</v>
      </c>
      <c r="D819" s="5">
        <v>98.433999999999997</v>
      </c>
      <c r="E819" s="5">
        <v>99.48</v>
      </c>
      <c r="F819" s="6">
        <v>6598522</v>
      </c>
    </row>
    <row r="820" spans="1:6" x14ac:dyDescent="0.2">
      <c r="A820" s="4">
        <v>45659</v>
      </c>
      <c r="B820" s="5">
        <v>100.28</v>
      </c>
      <c r="C820" s="5">
        <v>100.35</v>
      </c>
      <c r="D820" s="5">
        <v>98.83</v>
      </c>
      <c r="E820" s="5">
        <v>99.17</v>
      </c>
      <c r="F820" s="6">
        <v>6153261</v>
      </c>
    </row>
    <row r="821" spans="1:6" x14ac:dyDescent="0.2">
      <c r="A821" s="4">
        <v>45660</v>
      </c>
      <c r="B821" s="5">
        <v>99.34</v>
      </c>
      <c r="C821" s="5">
        <v>99.75</v>
      </c>
      <c r="D821" s="5">
        <v>98.69</v>
      </c>
      <c r="E821" s="5">
        <v>99.14</v>
      </c>
      <c r="F821" s="6">
        <v>6072551</v>
      </c>
    </row>
    <row r="822" spans="1:6" x14ac:dyDescent="0.2">
      <c r="A822" s="4">
        <v>45663</v>
      </c>
      <c r="B822" s="5">
        <v>98.77</v>
      </c>
      <c r="C822" s="5">
        <v>100.33</v>
      </c>
      <c r="D822" s="5">
        <v>98.42</v>
      </c>
      <c r="E822" s="5">
        <v>99.72</v>
      </c>
      <c r="F822" s="6">
        <v>10111140</v>
      </c>
    </row>
    <row r="823" spans="1:6" x14ac:dyDescent="0.2">
      <c r="A823" s="4">
        <v>45664</v>
      </c>
      <c r="B823" s="5">
        <v>100.13</v>
      </c>
      <c r="C823" s="5">
        <v>102.97</v>
      </c>
      <c r="D823" s="5">
        <v>100.05</v>
      </c>
      <c r="E823" s="5">
        <v>101.02</v>
      </c>
      <c r="F823" s="6">
        <v>10890890</v>
      </c>
    </row>
    <row r="824" spans="1:6" x14ac:dyDescent="0.2">
      <c r="A824" s="4">
        <v>45665</v>
      </c>
      <c r="B824" s="5">
        <v>100.7</v>
      </c>
      <c r="C824" s="5">
        <v>100.77</v>
      </c>
      <c r="D824" s="5">
        <v>98.05</v>
      </c>
      <c r="E824" s="5">
        <v>99.85</v>
      </c>
      <c r="F824" s="6">
        <v>8654722</v>
      </c>
    </row>
    <row r="825" spans="1:6" x14ac:dyDescent="0.2">
      <c r="A825" s="4">
        <v>45667</v>
      </c>
      <c r="B825" s="5">
        <v>99.21</v>
      </c>
      <c r="C825" s="5">
        <v>100.405</v>
      </c>
      <c r="D825" s="5">
        <v>98.81</v>
      </c>
      <c r="E825" s="5">
        <v>99.25</v>
      </c>
      <c r="F825" s="6">
        <v>11328770</v>
      </c>
    </row>
    <row r="826" spans="1:6" x14ac:dyDescent="0.2">
      <c r="A826" s="4">
        <v>45670</v>
      </c>
      <c r="B826" s="5">
        <v>99.46</v>
      </c>
      <c r="C826" s="5">
        <v>101.15900000000001</v>
      </c>
      <c r="D826" s="5">
        <v>98.99</v>
      </c>
      <c r="E826" s="5">
        <v>100.98</v>
      </c>
      <c r="F826" s="6">
        <v>8168081</v>
      </c>
    </row>
    <row r="827" spans="1:6" x14ac:dyDescent="0.2">
      <c r="A827" s="4">
        <v>45671</v>
      </c>
      <c r="B827" s="5">
        <v>101.26</v>
      </c>
      <c r="C827" s="5">
        <v>101.49</v>
      </c>
      <c r="D827" s="5">
        <v>99.01</v>
      </c>
      <c r="E827" s="5">
        <v>99.65</v>
      </c>
      <c r="F827" s="6">
        <v>10927440</v>
      </c>
    </row>
    <row r="828" spans="1:6" x14ac:dyDescent="0.2">
      <c r="A828" s="4">
        <v>45672</v>
      </c>
      <c r="B828" s="5">
        <v>100.095</v>
      </c>
      <c r="C828" s="5">
        <v>100.82</v>
      </c>
      <c r="D828" s="5">
        <v>99.61</v>
      </c>
      <c r="E828" s="5">
        <v>100.09</v>
      </c>
      <c r="F828" s="6">
        <v>9170335</v>
      </c>
    </row>
    <row r="829" spans="1:6" x14ac:dyDescent="0.2">
      <c r="A829" s="4">
        <v>45673</v>
      </c>
      <c r="B829" s="5">
        <v>100.44</v>
      </c>
      <c r="C829" s="5">
        <v>100.895</v>
      </c>
      <c r="D829" s="5">
        <v>99.95</v>
      </c>
      <c r="E829" s="5">
        <v>100.7</v>
      </c>
      <c r="F829" s="6">
        <v>7749642</v>
      </c>
    </row>
    <row r="830" spans="1:6" x14ac:dyDescent="0.2">
      <c r="A830" s="4">
        <v>45674</v>
      </c>
      <c r="B830" s="5">
        <v>100.47</v>
      </c>
      <c r="C830" s="5">
        <v>100.47</v>
      </c>
      <c r="D830" s="5">
        <v>97.92</v>
      </c>
      <c r="E830" s="5">
        <v>97.92</v>
      </c>
      <c r="F830" s="6">
        <v>16181960</v>
      </c>
    </row>
    <row r="831" spans="1:6" x14ac:dyDescent="0.2">
      <c r="A831" s="4">
        <v>45678</v>
      </c>
      <c r="B831" s="5">
        <v>98.08</v>
      </c>
      <c r="C831" s="5">
        <v>98.27</v>
      </c>
      <c r="D831" s="5">
        <v>95.76</v>
      </c>
      <c r="E831" s="5">
        <v>96.24</v>
      </c>
      <c r="F831" s="6">
        <v>17756060</v>
      </c>
    </row>
    <row r="832" spans="1:6" x14ac:dyDescent="0.2">
      <c r="A832" s="4">
        <v>45679</v>
      </c>
      <c r="B832" s="5">
        <v>95.954999999999998</v>
      </c>
      <c r="C832" s="5">
        <v>97</v>
      </c>
      <c r="D832" s="5">
        <v>95.15</v>
      </c>
      <c r="E832" s="5">
        <v>95.68</v>
      </c>
      <c r="F832" s="6">
        <v>13070880</v>
      </c>
    </row>
    <row r="833" spans="1:6" x14ac:dyDescent="0.2">
      <c r="A833" s="4">
        <v>45680</v>
      </c>
      <c r="B833" s="5">
        <v>96.11</v>
      </c>
      <c r="C833" s="5">
        <v>97.155000000000001</v>
      </c>
      <c r="D833" s="5">
        <v>95.22</v>
      </c>
      <c r="E833" s="5">
        <v>96.63</v>
      </c>
      <c r="F833" s="6">
        <v>11522810</v>
      </c>
    </row>
    <row r="834" spans="1:6" x14ac:dyDescent="0.2">
      <c r="A834" s="4">
        <v>45681</v>
      </c>
      <c r="B834" s="5">
        <v>96.79</v>
      </c>
      <c r="C834" s="5">
        <v>97.1</v>
      </c>
      <c r="D834" s="5">
        <v>95.405000000000001</v>
      </c>
      <c r="E834" s="5">
        <v>95.55</v>
      </c>
      <c r="F834" s="6">
        <v>12244790</v>
      </c>
    </row>
    <row r="835" spans="1:6" x14ac:dyDescent="0.2">
      <c r="A835" s="4">
        <v>45684</v>
      </c>
      <c r="B835" s="5">
        <v>96.63</v>
      </c>
      <c r="C835" s="5">
        <v>98.62</v>
      </c>
      <c r="D835" s="5">
        <v>95.98</v>
      </c>
      <c r="E835" s="5">
        <v>97.94</v>
      </c>
      <c r="F835" s="6">
        <v>15093380</v>
      </c>
    </row>
    <row r="836" spans="1:6" x14ac:dyDescent="0.2">
      <c r="A836" s="4">
        <v>45685</v>
      </c>
      <c r="B836" s="5">
        <v>97.35</v>
      </c>
      <c r="C836" s="5">
        <v>98.88</v>
      </c>
      <c r="D836" s="5">
        <v>96.59</v>
      </c>
      <c r="E836" s="5">
        <v>97.45</v>
      </c>
      <c r="F836" s="6">
        <v>12840950</v>
      </c>
    </row>
    <row r="837" spans="1:6" x14ac:dyDescent="0.2">
      <c r="A837" s="4">
        <v>45686</v>
      </c>
      <c r="B837" s="5">
        <v>97.42</v>
      </c>
      <c r="C837" s="5">
        <v>99.15</v>
      </c>
      <c r="D837" s="5">
        <v>97.39</v>
      </c>
      <c r="E837" s="5">
        <v>98.28</v>
      </c>
      <c r="F837" s="6">
        <v>10225480</v>
      </c>
    </row>
    <row r="838" spans="1:6" x14ac:dyDescent="0.2">
      <c r="A838" s="4">
        <v>45687</v>
      </c>
      <c r="B838" s="5">
        <v>99.41</v>
      </c>
      <c r="C838" s="5">
        <v>99.41</v>
      </c>
      <c r="D838" s="5">
        <v>98.23</v>
      </c>
      <c r="E838" s="5">
        <v>98.95</v>
      </c>
      <c r="F838" s="6">
        <v>10164720</v>
      </c>
    </row>
    <row r="839" spans="1:6" x14ac:dyDescent="0.2">
      <c r="A839" s="4">
        <v>45688</v>
      </c>
      <c r="B839" s="5">
        <v>99.1</v>
      </c>
      <c r="C839" s="5">
        <v>100.0599</v>
      </c>
      <c r="D839" s="5">
        <v>98.58</v>
      </c>
      <c r="E839" s="5">
        <v>98.82</v>
      </c>
      <c r="F839" s="6">
        <v>11421620</v>
      </c>
    </row>
    <row r="840" spans="1:6" x14ac:dyDescent="0.2">
      <c r="A840" s="4">
        <v>45691</v>
      </c>
      <c r="B840" s="5">
        <v>98.13</v>
      </c>
      <c r="C840" s="5">
        <v>100.15</v>
      </c>
      <c r="D840" s="5">
        <v>98</v>
      </c>
      <c r="E840" s="5">
        <v>99.79</v>
      </c>
      <c r="F840" s="6">
        <v>13363890</v>
      </c>
    </row>
    <row r="841" spans="1:6" x14ac:dyDescent="0.2">
      <c r="A841" s="4">
        <v>45692</v>
      </c>
      <c r="B841" s="5">
        <v>89</v>
      </c>
      <c r="C841" s="5">
        <v>91.23</v>
      </c>
      <c r="D841" s="5">
        <v>87.33</v>
      </c>
      <c r="E841" s="5">
        <v>90.74</v>
      </c>
      <c r="F841" s="6">
        <v>50837560</v>
      </c>
    </row>
    <row r="842" spans="1:6" x14ac:dyDescent="0.2">
      <c r="A842" s="4">
        <v>45693</v>
      </c>
      <c r="B842" s="5">
        <v>90.39</v>
      </c>
      <c r="C842" s="5">
        <v>90.74</v>
      </c>
      <c r="D842" s="5">
        <v>87.995000000000005</v>
      </c>
      <c r="E842" s="5">
        <v>89.67</v>
      </c>
      <c r="F842" s="6">
        <v>21670600</v>
      </c>
    </row>
    <row r="843" spans="1:6" x14ac:dyDescent="0.2">
      <c r="A843" s="4">
        <v>45694</v>
      </c>
      <c r="B843" s="5">
        <v>89.41</v>
      </c>
      <c r="C843" s="5">
        <v>89.571299999999994</v>
      </c>
      <c r="D843" s="5">
        <v>87.84</v>
      </c>
      <c r="E843" s="5">
        <v>88.05</v>
      </c>
      <c r="F843" s="6">
        <v>19509700</v>
      </c>
    </row>
    <row r="844" spans="1:6" x14ac:dyDescent="0.2">
      <c r="A844" s="4">
        <v>45695</v>
      </c>
      <c r="B844" s="5">
        <v>87.52</v>
      </c>
      <c r="C844" s="5">
        <v>88.6</v>
      </c>
      <c r="D844" s="5">
        <v>87.12</v>
      </c>
      <c r="E844" s="5">
        <v>87.28</v>
      </c>
      <c r="F844" s="6">
        <v>15814970</v>
      </c>
    </row>
    <row r="845" spans="1:6" x14ac:dyDescent="0.2">
      <c r="A845" s="4">
        <v>45698</v>
      </c>
      <c r="B845" s="5">
        <v>87.2</v>
      </c>
      <c r="C845" s="5">
        <v>87.98</v>
      </c>
      <c r="D845" s="5">
        <v>86.27</v>
      </c>
      <c r="E845" s="5">
        <v>86.4</v>
      </c>
      <c r="F845" s="6">
        <v>21212050</v>
      </c>
    </row>
    <row r="846" spans="1:6" x14ac:dyDescent="0.2">
      <c r="A846" s="4">
        <v>45699</v>
      </c>
      <c r="B846" s="5">
        <v>86.06</v>
      </c>
      <c r="C846" s="5">
        <v>86.99</v>
      </c>
      <c r="D846" s="5">
        <v>85.73</v>
      </c>
      <c r="E846" s="5">
        <v>86.54</v>
      </c>
      <c r="F846" s="6">
        <v>20922340</v>
      </c>
    </row>
    <row r="847" spans="1:6" x14ac:dyDescent="0.2">
      <c r="A847" s="4">
        <v>45700</v>
      </c>
      <c r="B847" s="5">
        <v>86.07</v>
      </c>
      <c r="C847" s="5">
        <v>86.67</v>
      </c>
      <c r="D847" s="5">
        <v>85.61</v>
      </c>
      <c r="E847" s="5">
        <v>85.67</v>
      </c>
      <c r="F847" s="6">
        <v>14785260</v>
      </c>
    </row>
    <row r="848" spans="1:6" x14ac:dyDescent="0.2">
      <c r="A848" s="4">
        <v>45701</v>
      </c>
      <c r="B848" s="5">
        <v>85.584999999999994</v>
      </c>
      <c r="C848" s="5">
        <v>85.7</v>
      </c>
      <c r="D848" s="5">
        <v>84.31</v>
      </c>
      <c r="E848" s="5">
        <v>84.42</v>
      </c>
      <c r="F848" s="6">
        <v>20415060</v>
      </c>
    </row>
    <row r="849" spans="1:6" x14ac:dyDescent="0.2">
      <c r="A849" s="4">
        <v>45702</v>
      </c>
      <c r="B849" s="5">
        <v>84.415000000000006</v>
      </c>
      <c r="C849" s="5">
        <v>84.78</v>
      </c>
      <c r="D849" s="5">
        <v>82.093900000000005</v>
      </c>
      <c r="E849" s="5">
        <v>83.01</v>
      </c>
      <c r="F849" s="6">
        <v>26778990</v>
      </c>
    </row>
    <row r="850" spans="1:6" x14ac:dyDescent="0.2">
      <c r="A850" s="4">
        <v>45706</v>
      </c>
      <c r="B850" s="5">
        <v>81.13</v>
      </c>
      <c r="C850" s="5">
        <v>83.59</v>
      </c>
      <c r="D850" s="5">
        <v>81.040000000000006</v>
      </c>
      <c r="E850" s="5">
        <v>83.29</v>
      </c>
      <c r="F850" s="6">
        <v>25897770</v>
      </c>
    </row>
    <row r="851" spans="1:6" x14ac:dyDescent="0.2">
      <c r="A851" s="4">
        <v>45707</v>
      </c>
      <c r="B851" s="5">
        <v>83.24</v>
      </c>
      <c r="C851" s="5">
        <v>85.63</v>
      </c>
      <c r="D851" s="5">
        <v>82.85</v>
      </c>
      <c r="E851" s="5">
        <v>85.6</v>
      </c>
      <c r="F851" s="6">
        <v>17435060</v>
      </c>
    </row>
    <row r="852" spans="1:6" x14ac:dyDescent="0.2">
      <c r="A852" s="4">
        <v>45708</v>
      </c>
      <c r="B852" s="5">
        <v>85.9</v>
      </c>
      <c r="C852" s="5">
        <v>87.7</v>
      </c>
      <c r="D852" s="5">
        <v>85.9</v>
      </c>
      <c r="E852" s="5">
        <v>87.68</v>
      </c>
      <c r="F852" s="6">
        <v>14851550</v>
      </c>
    </row>
    <row r="853" spans="1:6" x14ac:dyDescent="0.2">
      <c r="A853" s="4">
        <v>45709</v>
      </c>
      <c r="B853" s="5">
        <v>88</v>
      </c>
      <c r="C853" s="5">
        <v>89.53</v>
      </c>
      <c r="D853" s="5">
        <v>87.01</v>
      </c>
      <c r="E853" s="5">
        <v>89.5</v>
      </c>
      <c r="F853" s="6">
        <v>15678890</v>
      </c>
    </row>
    <row r="854" spans="1:6" x14ac:dyDescent="0.2">
      <c r="A854" s="4">
        <v>45712</v>
      </c>
      <c r="B854" s="5">
        <v>89.71</v>
      </c>
      <c r="C854" s="5">
        <v>91.85</v>
      </c>
      <c r="D854" s="5">
        <v>88.93</v>
      </c>
      <c r="E854" s="5">
        <v>91.27</v>
      </c>
      <c r="F854" s="6">
        <v>19452300</v>
      </c>
    </row>
    <row r="855" spans="1:6" x14ac:dyDescent="0.2">
      <c r="A855" s="4">
        <v>45713</v>
      </c>
      <c r="B855" s="5">
        <v>91.75</v>
      </c>
      <c r="C855" s="5">
        <v>93.055000000000007</v>
      </c>
      <c r="D855" s="5">
        <v>90.44</v>
      </c>
      <c r="E855" s="5">
        <v>91.43</v>
      </c>
      <c r="F855" s="6">
        <v>18417270</v>
      </c>
    </row>
    <row r="856" spans="1:6" x14ac:dyDescent="0.2">
      <c r="A856" s="4">
        <v>45714</v>
      </c>
      <c r="B856" s="5">
        <v>91.3</v>
      </c>
      <c r="C856" s="5">
        <v>91.37</v>
      </c>
      <c r="D856" s="5">
        <v>88.86</v>
      </c>
      <c r="E856" s="5">
        <v>89.38</v>
      </c>
      <c r="F856" s="6">
        <v>13534230</v>
      </c>
    </row>
    <row r="857" spans="1:6" x14ac:dyDescent="0.2">
      <c r="A857" s="4">
        <v>45715</v>
      </c>
      <c r="B857" s="5">
        <v>89.35</v>
      </c>
      <c r="C857" s="5">
        <v>90.97</v>
      </c>
      <c r="D857" s="5">
        <v>89.25</v>
      </c>
      <c r="E857" s="5">
        <v>90.58</v>
      </c>
      <c r="F857" s="6">
        <v>10717470</v>
      </c>
    </row>
    <row r="858" spans="1:6" x14ac:dyDescent="0.2">
      <c r="A858" s="4">
        <v>45716</v>
      </c>
      <c r="B858" s="5">
        <v>90.704999999999998</v>
      </c>
      <c r="C858" s="5">
        <v>92.35</v>
      </c>
      <c r="D858" s="5">
        <v>90.704999999999998</v>
      </c>
      <c r="E858" s="5">
        <v>92.25</v>
      </c>
      <c r="F858" s="6">
        <v>15482080</v>
      </c>
    </row>
    <row r="859" spans="1:6" x14ac:dyDescent="0.2">
      <c r="A859" s="4">
        <v>45719</v>
      </c>
      <c r="B859" s="5">
        <v>91.775000000000006</v>
      </c>
      <c r="C859" s="5">
        <v>93.21</v>
      </c>
      <c r="D859" s="5">
        <v>91.775000000000006</v>
      </c>
      <c r="E859" s="5">
        <v>93.15</v>
      </c>
      <c r="F859" s="6">
        <v>13636060</v>
      </c>
    </row>
    <row r="860" spans="1:6" x14ac:dyDescent="0.2">
      <c r="A860" s="4">
        <v>45720</v>
      </c>
      <c r="B860" s="5">
        <v>93.57</v>
      </c>
      <c r="C860" s="5">
        <v>95.36</v>
      </c>
      <c r="D860" s="5">
        <v>92.32</v>
      </c>
      <c r="E860" s="5">
        <v>92.56</v>
      </c>
      <c r="F860" s="6">
        <v>15072990</v>
      </c>
    </row>
    <row r="861" spans="1:6" x14ac:dyDescent="0.2">
      <c r="A861" s="4">
        <v>45721</v>
      </c>
      <c r="B861" s="5">
        <v>91.08</v>
      </c>
      <c r="C861" s="5">
        <v>93.45</v>
      </c>
      <c r="D861" s="5">
        <v>90.5</v>
      </c>
      <c r="E861" s="5">
        <v>93.19</v>
      </c>
      <c r="F861" s="6">
        <v>13117130</v>
      </c>
    </row>
    <row r="862" spans="1:6" x14ac:dyDescent="0.2">
      <c r="A862" s="4">
        <v>45722</v>
      </c>
      <c r="B862" s="5">
        <v>93.13</v>
      </c>
      <c r="C862" s="5">
        <v>94.05</v>
      </c>
      <c r="D862" s="5">
        <v>91.78</v>
      </c>
      <c r="E862" s="5">
        <v>94</v>
      </c>
      <c r="F862" s="6">
        <v>11300180</v>
      </c>
    </row>
    <row r="863" spans="1:6" x14ac:dyDescent="0.2">
      <c r="A863" s="4">
        <v>45723</v>
      </c>
      <c r="B863" s="5">
        <v>94.26</v>
      </c>
      <c r="C863" s="5">
        <v>97.37</v>
      </c>
      <c r="D863" s="5">
        <v>93.85</v>
      </c>
      <c r="E863" s="5">
        <v>94.65</v>
      </c>
      <c r="F863" s="6">
        <v>24100870</v>
      </c>
    </row>
    <row r="864" spans="1:6" x14ac:dyDescent="0.2">
      <c r="A864" s="4">
        <v>45726</v>
      </c>
      <c r="B864" s="5">
        <v>94.685000000000002</v>
      </c>
      <c r="C864" s="5">
        <v>97</v>
      </c>
      <c r="D864" s="5">
        <v>94.685000000000002</v>
      </c>
      <c r="E864" s="5">
        <v>95.23</v>
      </c>
      <c r="F864" s="6">
        <v>20897610</v>
      </c>
    </row>
    <row r="865" spans="1:6" x14ac:dyDescent="0.2">
      <c r="A865" s="4">
        <v>45727</v>
      </c>
      <c r="B865" s="5">
        <v>94.98</v>
      </c>
      <c r="C865" s="5">
        <v>95.38</v>
      </c>
      <c r="D865" s="5">
        <v>93.58</v>
      </c>
      <c r="E865" s="5">
        <v>94.73</v>
      </c>
      <c r="F865" s="6">
        <v>21734790</v>
      </c>
    </row>
    <row r="866" spans="1:6" x14ac:dyDescent="0.2">
      <c r="A866" s="4">
        <v>45728</v>
      </c>
      <c r="B866" s="5">
        <v>94.07</v>
      </c>
      <c r="C866" s="5">
        <v>94.4</v>
      </c>
      <c r="D866" s="5">
        <v>92.857500000000002</v>
      </c>
      <c r="E866" s="5">
        <v>93.35</v>
      </c>
      <c r="F866" s="6">
        <v>11896010</v>
      </c>
    </row>
    <row r="867" spans="1:6" x14ac:dyDescent="0.2">
      <c r="A867" s="4">
        <v>45729</v>
      </c>
      <c r="B867" s="5">
        <v>93.4</v>
      </c>
      <c r="C867" s="5">
        <v>96.34</v>
      </c>
      <c r="D867" s="5">
        <v>93.4</v>
      </c>
      <c r="E867" s="5">
        <v>94.71</v>
      </c>
      <c r="F867" s="6">
        <v>16570140</v>
      </c>
    </row>
    <row r="868" spans="1:6" x14ac:dyDescent="0.2">
      <c r="A868" s="4">
        <v>45730</v>
      </c>
      <c r="B868" s="5">
        <v>94.28</v>
      </c>
      <c r="C868" s="5">
        <v>94.875</v>
      </c>
      <c r="D868" s="5">
        <v>93.45</v>
      </c>
      <c r="E868" s="5">
        <v>94.57</v>
      </c>
      <c r="F868" s="6">
        <v>12681130</v>
      </c>
    </row>
    <row r="869" spans="1:6" x14ac:dyDescent="0.2">
      <c r="A869" s="4">
        <v>45733</v>
      </c>
      <c r="B869" s="5">
        <v>93.644999999999996</v>
      </c>
      <c r="C869" s="5">
        <v>95.295599999999993</v>
      </c>
      <c r="D869" s="5">
        <v>93.08</v>
      </c>
      <c r="E869" s="5">
        <v>94.79</v>
      </c>
      <c r="F869" s="6">
        <v>12237910</v>
      </c>
    </row>
    <row r="870" spans="1:6" x14ac:dyDescent="0.2">
      <c r="A870" s="4">
        <v>45734</v>
      </c>
      <c r="B870" s="5">
        <v>95.224999999999994</v>
      </c>
      <c r="C870" s="5">
        <v>95.41</v>
      </c>
      <c r="D870" s="5">
        <v>93.84</v>
      </c>
      <c r="E870" s="5">
        <v>94.72</v>
      </c>
      <c r="F870" s="6">
        <v>8670307</v>
      </c>
    </row>
    <row r="871" spans="1:6" x14ac:dyDescent="0.2">
      <c r="A871" s="4">
        <v>45735</v>
      </c>
      <c r="B871" s="5">
        <v>95.25</v>
      </c>
      <c r="C871" s="5">
        <v>95.43</v>
      </c>
      <c r="D871" s="5">
        <v>93.64</v>
      </c>
      <c r="E871" s="5">
        <v>94.02</v>
      </c>
      <c r="F871" s="6">
        <v>11355880</v>
      </c>
    </row>
    <row r="872" spans="1:6" x14ac:dyDescent="0.2">
      <c r="A872" s="4">
        <v>45736</v>
      </c>
      <c r="B872" s="5">
        <v>93.995000000000005</v>
      </c>
      <c r="C872" s="5">
        <v>95.16</v>
      </c>
      <c r="D872" s="5">
        <v>93.68</v>
      </c>
      <c r="E872" s="5">
        <v>94.73</v>
      </c>
      <c r="F872" s="6">
        <v>12970170</v>
      </c>
    </row>
    <row r="873" spans="1:6" x14ac:dyDescent="0.2">
      <c r="A873" s="4">
        <v>45737</v>
      </c>
      <c r="B873" s="5">
        <v>94.58</v>
      </c>
      <c r="C873" s="5">
        <v>94.68</v>
      </c>
      <c r="D873" s="5">
        <v>93.07</v>
      </c>
      <c r="E873" s="5">
        <v>93.11</v>
      </c>
      <c r="F873" s="6">
        <v>68435790</v>
      </c>
    </row>
    <row r="874" spans="1:6" x14ac:dyDescent="0.2">
      <c r="A874" s="4">
        <v>45740</v>
      </c>
      <c r="B874" s="5">
        <v>92.9</v>
      </c>
      <c r="C874" s="5">
        <v>93.11</v>
      </c>
      <c r="D874" s="5">
        <v>91.56</v>
      </c>
      <c r="E874" s="5">
        <v>92.31</v>
      </c>
      <c r="F874" s="6">
        <v>16950120</v>
      </c>
    </row>
    <row r="875" spans="1:6" x14ac:dyDescent="0.2">
      <c r="A875" s="4">
        <v>45741</v>
      </c>
      <c r="B875" s="5">
        <v>92.31</v>
      </c>
      <c r="C875" s="5">
        <v>92.31</v>
      </c>
      <c r="D875" s="5">
        <v>87.08</v>
      </c>
      <c r="E875" s="5">
        <v>87.87</v>
      </c>
      <c r="F875" s="6">
        <v>20640190</v>
      </c>
    </row>
    <row r="876" spans="1:6" x14ac:dyDescent="0.2">
      <c r="A876" s="4">
        <v>45742</v>
      </c>
      <c r="B876" s="5">
        <v>88.24</v>
      </c>
      <c r="C876" s="5">
        <v>89.32</v>
      </c>
      <c r="D876" s="5">
        <v>87.31</v>
      </c>
      <c r="E876" s="5">
        <v>88.11</v>
      </c>
      <c r="F876" s="6">
        <v>13810070</v>
      </c>
    </row>
    <row r="877" spans="1:6" x14ac:dyDescent="0.2">
      <c r="A877" s="4">
        <v>45743</v>
      </c>
      <c r="B877" s="5">
        <v>88.5</v>
      </c>
      <c r="C877" s="5">
        <v>88.555000000000007</v>
      </c>
      <c r="D877" s="5">
        <v>87.38</v>
      </c>
      <c r="E877" s="5">
        <v>87.6</v>
      </c>
      <c r="F877" s="6">
        <v>12931940</v>
      </c>
    </row>
    <row r="878" spans="1:6" x14ac:dyDescent="0.2">
      <c r="A878" s="4">
        <v>45744</v>
      </c>
      <c r="B878" s="5">
        <v>88.2</v>
      </c>
      <c r="C878" s="5">
        <v>90.14</v>
      </c>
      <c r="D878" s="5">
        <v>87.670100000000005</v>
      </c>
      <c r="E878" s="5">
        <v>89.23</v>
      </c>
      <c r="F878" s="6">
        <v>12393480</v>
      </c>
    </row>
    <row r="879" spans="1:6" x14ac:dyDescent="0.2">
      <c r="A879" s="4">
        <v>45747</v>
      </c>
      <c r="B879" s="5">
        <v>89.25</v>
      </c>
      <c r="C879" s="5">
        <v>90.265000000000001</v>
      </c>
      <c r="D879" s="5">
        <v>88.37</v>
      </c>
      <c r="E879" s="5">
        <v>89.76</v>
      </c>
      <c r="F879" s="6">
        <v>15002990</v>
      </c>
    </row>
    <row r="880" spans="1:6" x14ac:dyDescent="0.2">
      <c r="A880" s="4">
        <v>45748</v>
      </c>
      <c r="B880" s="5">
        <v>89.75</v>
      </c>
      <c r="C880" s="5">
        <v>89.75</v>
      </c>
      <c r="D880" s="5">
        <v>86.61</v>
      </c>
      <c r="E880" s="5">
        <v>87.12</v>
      </c>
      <c r="F880" s="6">
        <v>13922110</v>
      </c>
    </row>
    <row r="881" spans="1:6" x14ac:dyDescent="0.2">
      <c r="A881" s="4">
        <v>45749</v>
      </c>
      <c r="B881" s="5">
        <v>86.88</v>
      </c>
      <c r="C881" s="5">
        <v>87.07</v>
      </c>
      <c r="D881" s="5">
        <v>85.32</v>
      </c>
      <c r="E881" s="5">
        <v>86.6</v>
      </c>
      <c r="F881" s="6">
        <v>10590840</v>
      </c>
    </row>
    <row r="882" spans="1:6" x14ac:dyDescent="0.2">
      <c r="A882" s="4">
        <v>45750</v>
      </c>
      <c r="B882" s="5">
        <v>88.73</v>
      </c>
      <c r="C882" s="5">
        <v>88.9</v>
      </c>
      <c r="D882" s="5">
        <v>86.26</v>
      </c>
      <c r="E882" s="5">
        <v>86.39</v>
      </c>
      <c r="F882" s="6">
        <v>12684130</v>
      </c>
    </row>
    <row r="883" spans="1:6" x14ac:dyDescent="0.2">
      <c r="A883" s="4">
        <v>45751</v>
      </c>
      <c r="B883" s="5">
        <v>86.12</v>
      </c>
      <c r="C883" s="5">
        <v>86.27</v>
      </c>
      <c r="D883" s="5">
        <v>81.08</v>
      </c>
      <c r="E883" s="5">
        <v>81.47</v>
      </c>
      <c r="F883" s="6">
        <v>22965750</v>
      </c>
    </row>
    <row r="884" spans="1:6" x14ac:dyDescent="0.2">
      <c r="A884" s="4">
        <v>45754</v>
      </c>
      <c r="B884" s="5">
        <v>81.010000000000005</v>
      </c>
      <c r="C884" s="5">
        <v>83.21</v>
      </c>
      <c r="D884" s="5">
        <v>79.3</v>
      </c>
      <c r="E884" s="5">
        <v>81.180000000000007</v>
      </c>
      <c r="F884" s="6">
        <v>26581980</v>
      </c>
    </row>
    <row r="885" spans="1:6" x14ac:dyDescent="0.2">
      <c r="A885" s="4">
        <v>45755</v>
      </c>
      <c r="B885" s="5">
        <v>83.21</v>
      </c>
      <c r="C885" s="5">
        <v>83.27</v>
      </c>
      <c r="D885" s="5">
        <v>77.540000000000006</v>
      </c>
      <c r="E885" s="5">
        <v>78.95</v>
      </c>
      <c r="F885" s="6">
        <v>20571570</v>
      </c>
    </row>
    <row r="886" spans="1:6" x14ac:dyDescent="0.2">
      <c r="A886" s="4">
        <v>45756</v>
      </c>
      <c r="B886" s="5">
        <v>76.760000000000005</v>
      </c>
      <c r="C886" s="5">
        <v>81.99</v>
      </c>
      <c r="D886" s="5">
        <v>76</v>
      </c>
      <c r="E886" s="5">
        <v>81.91</v>
      </c>
      <c r="F886" s="6">
        <v>22928260</v>
      </c>
    </row>
    <row r="887" spans="1:6" x14ac:dyDescent="0.2">
      <c r="A887" s="4">
        <v>45757</v>
      </c>
      <c r="B887" s="5">
        <v>80.61</v>
      </c>
      <c r="C887" s="5">
        <v>81.12</v>
      </c>
      <c r="D887" s="5">
        <v>75.959999999999994</v>
      </c>
      <c r="E887" s="5">
        <v>77.55</v>
      </c>
      <c r="F887" s="6">
        <v>19466860</v>
      </c>
    </row>
    <row r="888" spans="1:6" x14ac:dyDescent="0.2">
      <c r="A888" s="4">
        <v>45758</v>
      </c>
      <c r="B888" s="5">
        <v>77.87</v>
      </c>
      <c r="C888" s="5">
        <v>79.44</v>
      </c>
      <c r="D888" s="5">
        <v>76.349999999999994</v>
      </c>
      <c r="E888" s="5">
        <v>79.180000000000007</v>
      </c>
      <c r="F888" s="6">
        <v>16194430</v>
      </c>
    </row>
    <row r="889" spans="1:6" x14ac:dyDescent="0.2">
      <c r="A889" s="4">
        <v>45761</v>
      </c>
      <c r="B889" s="5">
        <v>80.02</v>
      </c>
      <c r="C889" s="5">
        <v>80.02</v>
      </c>
      <c r="D889" s="5">
        <v>78.36</v>
      </c>
      <c r="E889" s="5">
        <v>79.17</v>
      </c>
      <c r="F889" s="6">
        <v>15796690</v>
      </c>
    </row>
    <row r="890" spans="1:6" x14ac:dyDescent="0.2">
      <c r="A890" s="4">
        <v>45762</v>
      </c>
      <c r="B890" s="5">
        <v>79.55</v>
      </c>
      <c r="C890" s="5">
        <v>79.959999999999994</v>
      </c>
      <c r="D890" s="5">
        <v>77.72</v>
      </c>
      <c r="E890" s="5">
        <v>78.39</v>
      </c>
      <c r="F890" s="6">
        <v>16042490</v>
      </c>
    </row>
    <row r="891" spans="1:6" x14ac:dyDescent="0.2">
      <c r="A891" s="4">
        <v>45763</v>
      </c>
      <c r="B891" s="5">
        <v>78.47</v>
      </c>
      <c r="C891" s="5">
        <v>78.69</v>
      </c>
      <c r="D891" s="5">
        <v>75.930000000000007</v>
      </c>
      <c r="E891" s="5">
        <v>76.459999999999994</v>
      </c>
      <c r="F891" s="6">
        <v>16551290</v>
      </c>
    </row>
    <row r="892" spans="1:6" x14ac:dyDescent="0.2">
      <c r="A892" s="4">
        <v>45764</v>
      </c>
      <c r="B892" s="5">
        <v>76.89</v>
      </c>
      <c r="C892" s="5">
        <v>78.75</v>
      </c>
      <c r="D892" s="5">
        <v>76.88</v>
      </c>
      <c r="E892" s="5">
        <v>78</v>
      </c>
      <c r="F892" s="6">
        <v>21416490</v>
      </c>
    </row>
    <row r="893" spans="1:6" x14ac:dyDescent="0.2">
      <c r="A893" s="4">
        <v>45768</v>
      </c>
      <c r="B893" s="5">
        <v>78.08</v>
      </c>
      <c r="C893" s="5">
        <v>78.19</v>
      </c>
      <c r="D893" s="5">
        <v>76.989999999999995</v>
      </c>
      <c r="E893" s="5">
        <v>77.849999999999994</v>
      </c>
      <c r="F893" s="6">
        <v>11009960</v>
      </c>
    </row>
    <row r="894" spans="1:6" x14ac:dyDescent="0.2">
      <c r="A894" s="4">
        <v>45769</v>
      </c>
      <c r="B894" s="5">
        <v>78.025000000000006</v>
      </c>
      <c r="C894" s="5">
        <v>79.040000000000006</v>
      </c>
      <c r="D894" s="5">
        <v>77.66</v>
      </c>
      <c r="E894" s="5">
        <v>78.97</v>
      </c>
      <c r="F894" s="6">
        <v>12918170</v>
      </c>
    </row>
    <row r="895" spans="1:6" x14ac:dyDescent="0.2">
      <c r="A895" s="4">
        <v>45770</v>
      </c>
      <c r="B895" s="5">
        <v>78.5</v>
      </c>
      <c r="C895" s="5">
        <v>80.2</v>
      </c>
      <c r="D895" s="5">
        <v>78</v>
      </c>
      <c r="E895" s="5">
        <v>78.739999999999995</v>
      </c>
      <c r="F895" s="6">
        <v>17935740</v>
      </c>
    </row>
    <row r="896" spans="1:6" x14ac:dyDescent="0.2">
      <c r="A896" s="4">
        <v>45771</v>
      </c>
      <c r="B896" s="5">
        <v>78.28</v>
      </c>
      <c r="C896" s="5">
        <v>79.97</v>
      </c>
      <c r="D896" s="5">
        <v>76.03</v>
      </c>
      <c r="E896" s="5">
        <v>79.84</v>
      </c>
      <c r="F896" s="6">
        <v>18471540</v>
      </c>
    </row>
    <row r="897" spans="1:6" x14ac:dyDescent="0.2">
      <c r="A897" s="4">
        <v>45772</v>
      </c>
      <c r="B897" s="5">
        <v>80.17</v>
      </c>
      <c r="C897" s="5">
        <v>83.28</v>
      </c>
      <c r="D897" s="5">
        <v>78.06</v>
      </c>
      <c r="E897" s="5">
        <v>82.74</v>
      </c>
      <c r="F897" s="6">
        <v>28377960</v>
      </c>
    </row>
    <row r="898" spans="1:6" x14ac:dyDescent="0.2">
      <c r="A898" s="4">
        <v>45775</v>
      </c>
      <c r="B898" s="5">
        <v>83</v>
      </c>
      <c r="C898" s="5">
        <v>83.68</v>
      </c>
      <c r="D898" s="5">
        <v>82.4</v>
      </c>
      <c r="E898" s="5">
        <v>83.19</v>
      </c>
      <c r="F898" s="6">
        <v>14240980</v>
      </c>
    </row>
    <row r="899" spans="1:6" x14ac:dyDescent="0.2">
      <c r="A899" s="4">
        <v>45776</v>
      </c>
      <c r="B899" s="5">
        <v>83.78</v>
      </c>
      <c r="C899" s="5">
        <v>85.69</v>
      </c>
      <c r="D899" s="5">
        <v>82.75</v>
      </c>
      <c r="E899" s="5">
        <v>84.71</v>
      </c>
      <c r="F899" s="6">
        <v>18802900</v>
      </c>
    </row>
    <row r="900" spans="1:6" x14ac:dyDescent="0.2">
      <c r="A900" s="4">
        <v>45777</v>
      </c>
      <c r="B900" s="5">
        <v>85.27</v>
      </c>
      <c r="C900" s="5">
        <v>85.83</v>
      </c>
      <c r="D900" s="5">
        <v>83.79</v>
      </c>
      <c r="E900" s="5">
        <v>85.2</v>
      </c>
      <c r="F900" s="6">
        <v>13825120</v>
      </c>
    </row>
    <row r="901" spans="1:6" x14ac:dyDescent="0.2">
      <c r="A901" s="4">
        <v>45778</v>
      </c>
      <c r="B901" s="5">
        <v>84.504999999999995</v>
      </c>
      <c r="C901" s="5">
        <v>84.575000000000003</v>
      </c>
      <c r="D901" s="5">
        <v>83.17</v>
      </c>
      <c r="E901" s="5">
        <v>83.26</v>
      </c>
      <c r="F901" s="6">
        <v>10036430</v>
      </c>
    </row>
    <row r="902" spans="1:6" x14ac:dyDescent="0.2">
      <c r="A902" s="4">
        <v>45779</v>
      </c>
      <c r="B902" s="5">
        <v>84.19</v>
      </c>
      <c r="C902" s="5">
        <v>84.71</v>
      </c>
      <c r="D902" s="5">
        <v>82.95</v>
      </c>
      <c r="E902" s="5">
        <v>83.18</v>
      </c>
      <c r="F902" s="6">
        <v>11755590</v>
      </c>
    </row>
    <row r="903" spans="1:6" x14ac:dyDescent="0.2">
      <c r="A903" s="4">
        <v>45782</v>
      </c>
      <c r="B903" s="5">
        <v>83.23</v>
      </c>
      <c r="C903" s="5">
        <v>83.58</v>
      </c>
      <c r="D903" s="5">
        <v>81.91</v>
      </c>
      <c r="E903" s="5">
        <v>82.84</v>
      </c>
      <c r="F903" s="6">
        <v>8688011</v>
      </c>
    </row>
    <row r="904" spans="1:6" x14ac:dyDescent="0.2">
      <c r="A904" s="4">
        <v>45783</v>
      </c>
      <c r="B904" s="5">
        <v>82.47</v>
      </c>
      <c r="C904" s="5">
        <v>82.48</v>
      </c>
      <c r="D904" s="5">
        <v>78.290099999999995</v>
      </c>
      <c r="E904" s="5">
        <v>79.040000000000006</v>
      </c>
      <c r="F904" s="6">
        <v>16991070</v>
      </c>
    </row>
    <row r="905" spans="1:6" x14ac:dyDescent="0.2">
      <c r="A905" s="4">
        <v>45784</v>
      </c>
      <c r="B905" s="5">
        <v>79.62</v>
      </c>
      <c r="C905" s="5">
        <v>79.900000000000006</v>
      </c>
      <c r="D905" s="5">
        <v>78.760000000000005</v>
      </c>
      <c r="E905" s="5">
        <v>79.12</v>
      </c>
      <c r="F905" s="6">
        <v>12227180</v>
      </c>
    </row>
    <row r="906" spans="1:6" x14ac:dyDescent="0.2">
      <c r="A906" s="4">
        <v>45785</v>
      </c>
      <c r="B906" s="5">
        <v>78.5</v>
      </c>
      <c r="C906" s="5">
        <v>78.8</v>
      </c>
      <c r="D906" s="5">
        <v>76.930000000000007</v>
      </c>
      <c r="E906" s="5">
        <v>77.650000000000006</v>
      </c>
      <c r="F906" s="6">
        <v>15059050</v>
      </c>
    </row>
    <row r="907" spans="1:6" x14ac:dyDescent="0.2">
      <c r="A907" s="4">
        <v>45786</v>
      </c>
      <c r="B907" s="5">
        <v>77.959999999999994</v>
      </c>
      <c r="C907" s="5">
        <v>78.45</v>
      </c>
      <c r="D907" s="5">
        <v>75.819999999999993</v>
      </c>
      <c r="E907" s="5">
        <v>75.97</v>
      </c>
      <c r="F907" s="6">
        <v>15614540</v>
      </c>
    </row>
    <row r="908" spans="1:6" x14ac:dyDescent="0.2">
      <c r="A908" s="4">
        <v>45789</v>
      </c>
      <c r="B908" s="5">
        <v>75.92</v>
      </c>
      <c r="C908" s="5">
        <v>81.27</v>
      </c>
      <c r="D908" s="5">
        <v>75.83</v>
      </c>
      <c r="E908" s="5">
        <v>80.430000000000007</v>
      </c>
      <c r="F908" s="6">
        <v>21761070</v>
      </c>
    </row>
    <row r="909" spans="1:6" x14ac:dyDescent="0.2">
      <c r="A909" s="4">
        <v>45790</v>
      </c>
      <c r="B909" s="5">
        <v>76.95</v>
      </c>
      <c r="C909" s="5">
        <v>78.55</v>
      </c>
      <c r="D909" s="5">
        <v>76.56</v>
      </c>
      <c r="E909" s="5">
        <v>76.63</v>
      </c>
      <c r="F909" s="6">
        <v>23353180</v>
      </c>
    </row>
    <row r="910" spans="1:6" x14ac:dyDescent="0.2">
      <c r="A910" s="4">
        <v>45791</v>
      </c>
      <c r="B910" s="5">
        <v>77.459999999999994</v>
      </c>
      <c r="C910" s="5">
        <v>77.459999999999994</v>
      </c>
      <c r="D910" s="5">
        <v>73.319999999999993</v>
      </c>
      <c r="E910" s="5">
        <v>73.47</v>
      </c>
      <c r="F910" s="6">
        <v>23721800</v>
      </c>
    </row>
    <row r="911" spans="1:6" x14ac:dyDescent="0.2">
      <c r="A911" s="4">
        <v>45792</v>
      </c>
      <c r="B911" s="5">
        <v>73.77</v>
      </c>
      <c r="C911" s="5">
        <v>74.81</v>
      </c>
      <c r="D911" s="5">
        <v>73.31</v>
      </c>
      <c r="E911" s="5">
        <v>74.8</v>
      </c>
      <c r="F911" s="6">
        <v>15274780</v>
      </c>
    </row>
    <row r="912" spans="1:6" x14ac:dyDescent="0.2">
      <c r="A912" s="4">
        <v>45793</v>
      </c>
      <c r="B912" s="5">
        <v>74.984999999999999</v>
      </c>
      <c r="C912" s="5">
        <v>76.165000000000006</v>
      </c>
      <c r="D912" s="5">
        <v>74.367500000000007</v>
      </c>
      <c r="E912" s="5">
        <v>76.06</v>
      </c>
      <c r="F912" s="6">
        <v>15021780</v>
      </c>
    </row>
    <row r="913" spans="1:6" x14ac:dyDescent="0.2">
      <c r="A913" s="4">
        <v>45796</v>
      </c>
      <c r="B913" s="5">
        <v>75.959999999999994</v>
      </c>
      <c r="C913" s="5">
        <v>77.25</v>
      </c>
      <c r="D913" s="5">
        <v>75.69</v>
      </c>
      <c r="E913" s="5">
        <v>77.23</v>
      </c>
      <c r="F913" s="6">
        <v>11682620</v>
      </c>
    </row>
    <row r="914" spans="1:6" x14ac:dyDescent="0.2">
      <c r="A914" s="4">
        <v>45797</v>
      </c>
      <c r="B914" s="5">
        <v>77.545000000000002</v>
      </c>
      <c r="C914" s="5">
        <v>79.180000000000007</v>
      </c>
      <c r="D914" s="5">
        <v>77.421599999999998</v>
      </c>
      <c r="E914" s="5">
        <v>77.97</v>
      </c>
      <c r="F914" s="6">
        <v>13262430</v>
      </c>
    </row>
    <row r="915" spans="1:6" x14ac:dyDescent="0.2">
      <c r="A915" s="4">
        <v>45798</v>
      </c>
      <c r="B915" s="5">
        <v>77.765000000000001</v>
      </c>
      <c r="C915" s="5">
        <v>78.099999999999994</v>
      </c>
      <c r="D915" s="5">
        <v>76.87</v>
      </c>
      <c r="E915" s="5">
        <v>76.98</v>
      </c>
      <c r="F915" s="6">
        <v>11879470</v>
      </c>
    </row>
    <row r="916" spans="1:6" x14ac:dyDescent="0.2">
      <c r="A916" s="4">
        <v>45799</v>
      </c>
      <c r="B916" s="5">
        <v>76.72</v>
      </c>
      <c r="C916" s="5">
        <v>78.36</v>
      </c>
      <c r="D916" s="5">
        <v>76.680000000000007</v>
      </c>
      <c r="E916" s="5">
        <v>77.84</v>
      </c>
      <c r="F916" s="6">
        <v>11799980</v>
      </c>
    </row>
    <row r="917" spans="1:6" x14ac:dyDescent="0.2">
      <c r="A917" s="4">
        <v>45800</v>
      </c>
      <c r="B917" s="5">
        <v>77.545000000000002</v>
      </c>
      <c r="C917" s="5">
        <v>77.900000000000006</v>
      </c>
      <c r="D917" s="5">
        <v>77.08</v>
      </c>
      <c r="E917" s="5">
        <v>77.58</v>
      </c>
      <c r="F917" s="6">
        <v>10902220</v>
      </c>
    </row>
    <row r="918" spans="1:6" x14ac:dyDescent="0.2">
      <c r="A918" s="4">
        <v>45804</v>
      </c>
      <c r="B918" s="5">
        <v>78.015000000000001</v>
      </c>
      <c r="C918" s="5">
        <v>78.2</v>
      </c>
      <c r="D918" s="5">
        <v>77.05</v>
      </c>
      <c r="E918" s="5">
        <v>77.59</v>
      </c>
      <c r="F918" s="6">
        <v>11884520</v>
      </c>
    </row>
    <row r="919" spans="1:6" x14ac:dyDescent="0.2">
      <c r="A919" s="4">
        <v>45805</v>
      </c>
      <c r="B919" s="5">
        <v>77.430000000000007</v>
      </c>
      <c r="C919" s="5">
        <v>77.724999999999994</v>
      </c>
      <c r="D919" s="5">
        <v>75.59</v>
      </c>
      <c r="E919" s="5">
        <v>76.17</v>
      </c>
      <c r="F919" s="6">
        <v>12293150</v>
      </c>
    </row>
    <row r="920" spans="1:6" x14ac:dyDescent="0.2">
      <c r="A920" s="4">
        <v>45806</v>
      </c>
      <c r="B920" s="5">
        <v>75.69</v>
      </c>
      <c r="C920" s="5">
        <v>77</v>
      </c>
      <c r="D920" s="5">
        <v>75.69</v>
      </c>
      <c r="E920" s="5">
        <v>76.400000000000006</v>
      </c>
      <c r="F920" s="6">
        <v>10787280</v>
      </c>
    </row>
    <row r="921" spans="1:6" x14ac:dyDescent="0.2">
      <c r="A921" s="4">
        <v>45807</v>
      </c>
      <c r="B921" s="5">
        <v>76.94</v>
      </c>
      <c r="C921" s="5">
        <v>77.56</v>
      </c>
      <c r="D921" s="5">
        <v>75.59</v>
      </c>
      <c r="E921" s="5">
        <v>76.84</v>
      </c>
      <c r="F921" s="6">
        <v>20641470</v>
      </c>
    </row>
    <row r="922" spans="1:6" x14ac:dyDescent="0.2">
      <c r="A922" s="4">
        <v>45810</v>
      </c>
      <c r="B922" s="5">
        <v>77.02</v>
      </c>
      <c r="C922" s="5">
        <v>77.02</v>
      </c>
      <c r="D922" s="5">
        <v>75.400000000000006</v>
      </c>
      <c r="E922" s="5">
        <v>76.25</v>
      </c>
      <c r="F922" s="6">
        <v>11271830</v>
      </c>
    </row>
    <row r="923" spans="1:6" x14ac:dyDescent="0.2">
      <c r="A923" s="4">
        <v>45811</v>
      </c>
      <c r="B923" s="5">
        <v>75.995000000000005</v>
      </c>
      <c r="C923" s="5">
        <v>77.185000000000002</v>
      </c>
      <c r="D923" s="5">
        <v>75.435000000000002</v>
      </c>
      <c r="E923" s="5">
        <v>77.14</v>
      </c>
      <c r="F923" s="6">
        <v>18139180</v>
      </c>
    </row>
    <row r="924" spans="1:6" x14ac:dyDescent="0.2">
      <c r="A924" s="4">
        <v>45812</v>
      </c>
      <c r="B924" s="5">
        <v>77.474000000000004</v>
      </c>
      <c r="C924" s="5">
        <v>79.135000000000005</v>
      </c>
      <c r="D924" s="5">
        <v>77.33</v>
      </c>
      <c r="E924" s="5">
        <v>78.27</v>
      </c>
      <c r="F924" s="6">
        <v>13009330</v>
      </c>
    </row>
    <row r="925" spans="1:6" x14ac:dyDescent="0.2">
      <c r="A925" s="4">
        <v>45813</v>
      </c>
      <c r="B925" s="5">
        <v>78.41</v>
      </c>
      <c r="C925" s="5">
        <v>78.545000000000002</v>
      </c>
      <c r="D925" s="5">
        <v>77.25</v>
      </c>
      <c r="E925" s="5">
        <v>77.62</v>
      </c>
      <c r="F925" s="6">
        <v>13996570</v>
      </c>
    </row>
    <row r="926" spans="1:6" x14ac:dyDescent="0.2">
      <c r="A926" s="4">
        <v>45814</v>
      </c>
      <c r="B926" s="5">
        <v>78.3</v>
      </c>
      <c r="C926" s="5">
        <v>79.489999999999995</v>
      </c>
      <c r="D926" s="5">
        <v>78.209999999999994</v>
      </c>
      <c r="E926" s="5">
        <v>78.97</v>
      </c>
      <c r="F926" s="6">
        <v>9863134</v>
      </c>
    </row>
    <row r="927" spans="1:6" x14ac:dyDescent="0.2">
      <c r="A927" s="4">
        <v>45817</v>
      </c>
      <c r="B927" s="5">
        <v>79.61</v>
      </c>
      <c r="C927" s="5">
        <v>80.405000000000001</v>
      </c>
      <c r="D927" s="5">
        <v>78.67</v>
      </c>
      <c r="E927" s="5">
        <v>79.33</v>
      </c>
      <c r="F927" s="6">
        <v>18305760</v>
      </c>
    </row>
    <row r="928" spans="1:6" x14ac:dyDescent="0.2">
      <c r="A928" s="4">
        <v>45818</v>
      </c>
      <c r="B928" s="5">
        <v>79.34</v>
      </c>
      <c r="C928" s="5">
        <v>81.88</v>
      </c>
      <c r="D928" s="5">
        <v>79.33</v>
      </c>
      <c r="E928" s="5">
        <v>81.349999999999994</v>
      </c>
      <c r="F928" s="6">
        <v>13254090</v>
      </c>
    </row>
    <row r="929" spans="1:6" x14ac:dyDescent="0.2">
      <c r="A929" s="4">
        <v>45819</v>
      </c>
      <c r="B929" s="5">
        <v>81.349999999999994</v>
      </c>
      <c r="C929" s="5">
        <v>81.680000000000007</v>
      </c>
      <c r="D929" s="5">
        <v>79.98</v>
      </c>
      <c r="E929" s="5">
        <v>80.319999999999993</v>
      </c>
      <c r="F929" s="6">
        <v>11803340</v>
      </c>
    </row>
    <row r="930" spans="1:6" x14ac:dyDescent="0.2">
      <c r="A930" s="4">
        <v>45820</v>
      </c>
      <c r="B930" s="5">
        <v>80.19</v>
      </c>
      <c r="C930" s="5">
        <v>82.11</v>
      </c>
      <c r="D930" s="5">
        <v>80.069999999999993</v>
      </c>
      <c r="E930" s="5">
        <v>81.819999999999993</v>
      </c>
      <c r="F930" s="6">
        <v>13169180</v>
      </c>
    </row>
    <row r="931" spans="1:6" x14ac:dyDescent="0.2">
      <c r="A931" s="4">
        <v>45821</v>
      </c>
      <c r="B931" s="5">
        <v>81.650000000000006</v>
      </c>
      <c r="C931" s="5">
        <v>82.44</v>
      </c>
      <c r="D931" s="5">
        <v>81.45</v>
      </c>
      <c r="E931" s="5">
        <v>81.709999999999994</v>
      </c>
      <c r="F931" s="6">
        <v>14550530</v>
      </c>
    </row>
    <row r="932" spans="1:6" x14ac:dyDescent="0.2">
      <c r="A932" s="4">
        <v>45824</v>
      </c>
      <c r="B932" s="5">
        <v>80.88</v>
      </c>
      <c r="C932" s="5">
        <v>81.349999999999994</v>
      </c>
      <c r="D932" s="5">
        <v>79.709999999999994</v>
      </c>
      <c r="E932" s="5">
        <v>80.959999999999994</v>
      </c>
      <c r="F932" s="6">
        <v>12569440</v>
      </c>
    </row>
    <row r="933" spans="1:6" x14ac:dyDescent="0.2">
      <c r="A933" s="4">
        <v>45825</v>
      </c>
      <c r="B933" s="5">
        <v>80.28</v>
      </c>
      <c r="C933" s="5">
        <v>80.7</v>
      </c>
      <c r="D933" s="5">
        <v>78.185000000000002</v>
      </c>
      <c r="E933" s="5">
        <v>78.28</v>
      </c>
      <c r="F933" s="6">
        <v>14040590</v>
      </c>
    </row>
    <row r="934" spans="1:6" x14ac:dyDescent="0.2">
      <c r="A934" s="4">
        <v>45826</v>
      </c>
      <c r="B934" s="5">
        <v>78.05</v>
      </c>
      <c r="C934" s="5">
        <v>80.31</v>
      </c>
      <c r="D934" s="5">
        <v>77.099999999999994</v>
      </c>
      <c r="E934" s="5">
        <v>79.290000000000006</v>
      </c>
      <c r="F934" s="6">
        <v>23803430</v>
      </c>
    </row>
    <row r="935" spans="1:6" x14ac:dyDescent="0.2">
      <c r="A935" s="4">
        <v>45828</v>
      </c>
      <c r="B935" s="5">
        <v>79.245000000000005</v>
      </c>
      <c r="C935" s="5">
        <v>79.915000000000006</v>
      </c>
      <c r="D935" s="5">
        <v>78.599999999999994</v>
      </c>
      <c r="E935" s="5">
        <v>79.06</v>
      </c>
      <c r="F935" s="6">
        <v>34052300</v>
      </c>
    </row>
    <row r="936" spans="1:6" x14ac:dyDescent="0.2">
      <c r="A936" s="4">
        <v>45831</v>
      </c>
      <c r="B936" s="5">
        <v>79.239999999999995</v>
      </c>
      <c r="C936" s="5">
        <v>80.22</v>
      </c>
      <c r="D936" s="5">
        <v>78.989999999999995</v>
      </c>
      <c r="E936" s="5">
        <v>80.16</v>
      </c>
      <c r="F936" s="6">
        <v>18553810</v>
      </c>
    </row>
    <row r="937" spans="1:6" x14ac:dyDescent="0.2">
      <c r="A937" s="4">
        <v>45832</v>
      </c>
      <c r="B937" s="5">
        <v>80.37</v>
      </c>
      <c r="C937" s="5">
        <v>81.459999999999994</v>
      </c>
      <c r="D937" s="5">
        <v>79.09</v>
      </c>
      <c r="E937" s="5">
        <v>80.319999999999993</v>
      </c>
      <c r="F937" s="6">
        <v>15906440</v>
      </c>
    </row>
    <row r="938" spans="1:6" x14ac:dyDescent="0.2">
      <c r="A938" s="4">
        <v>45833</v>
      </c>
      <c r="B938" s="5">
        <v>79.64</v>
      </c>
      <c r="C938" s="5">
        <v>80.115799999999993</v>
      </c>
      <c r="D938" s="5">
        <v>79.16</v>
      </c>
      <c r="E938" s="5">
        <v>79.67</v>
      </c>
      <c r="F938" s="6">
        <v>12753180</v>
      </c>
    </row>
    <row r="939" spans="1:6" x14ac:dyDescent="0.2">
      <c r="A939" s="4">
        <v>45834</v>
      </c>
      <c r="B939" s="5">
        <v>79.84</v>
      </c>
      <c r="C939" s="5">
        <v>80.25</v>
      </c>
      <c r="D939" s="5">
        <v>78.37</v>
      </c>
      <c r="E939" s="5">
        <v>78.83</v>
      </c>
      <c r="F939" s="6">
        <v>13760100</v>
      </c>
    </row>
    <row r="940" spans="1:6" x14ac:dyDescent="0.2">
      <c r="A940" s="4">
        <v>45835</v>
      </c>
      <c r="B940" s="5">
        <v>79.06</v>
      </c>
      <c r="C940" s="5">
        <v>79.540000000000006</v>
      </c>
      <c r="D940" s="5">
        <v>78.135000000000005</v>
      </c>
      <c r="E940" s="5">
        <v>79.099999999999994</v>
      </c>
      <c r="F940" s="6">
        <v>60202470</v>
      </c>
    </row>
    <row r="941" spans="1:6" x14ac:dyDescent="0.2">
      <c r="A941" s="4">
        <v>45838</v>
      </c>
      <c r="B941" s="5">
        <v>79.25</v>
      </c>
      <c r="C941" s="5">
        <v>79.39</v>
      </c>
      <c r="D941" s="5">
        <v>78.38</v>
      </c>
      <c r="E941" s="5">
        <v>79.16</v>
      </c>
      <c r="F941" s="6">
        <v>13895180</v>
      </c>
    </row>
    <row r="942" spans="1:6" x14ac:dyDescent="0.2">
      <c r="A942" s="4">
        <v>45839</v>
      </c>
      <c r="B942" s="5">
        <v>78.959999999999994</v>
      </c>
      <c r="C942" s="5">
        <v>83.07</v>
      </c>
      <c r="D942" s="5">
        <v>78.599999999999994</v>
      </c>
      <c r="E942" s="5">
        <v>81.81</v>
      </c>
      <c r="F942" s="6">
        <v>21800790</v>
      </c>
    </row>
    <row r="943" spans="1:6" x14ac:dyDescent="0.2">
      <c r="A943" s="4">
        <v>45840</v>
      </c>
      <c r="B943" s="5">
        <v>82.06</v>
      </c>
      <c r="C943" s="5">
        <v>82.81</v>
      </c>
      <c r="D943" s="5">
        <v>81.893500000000003</v>
      </c>
      <c r="E943" s="5">
        <v>82.39</v>
      </c>
      <c r="F943" s="6">
        <v>16052700</v>
      </c>
    </row>
    <row r="944" spans="1:6" x14ac:dyDescent="0.2">
      <c r="A944" s="4">
        <v>45841</v>
      </c>
      <c r="B944" s="5">
        <v>82.55</v>
      </c>
      <c r="C944" s="5">
        <v>82.604799999999997</v>
      </c>
      <c r="D944" s="5">
        <v>80.7</v>
      </c>
      <c r="E944" s="5">
        <v>80.930000000000007</v>
      </c>
      <c r="F944" s="6">
        <v>7734538</v>
      </c>
    </row>
    <row r="945" spans="1:6" x14ac:dyDescent="0.2">
      <c r="A945" s="4">
        <v>45845</v>
      </c>
      <c r="B945" s="5">
        <v>80.95</v>
      </c>
      <c r="C945" s="5">
        <v>81.540000000000006</v>
      </c>
      <c r="D945" s="5">
        <v>80.150000000000006</v>
      </c>
      <c r="E945" s="5">
        <v>80.900000000000006</v>
      </c>
      <c r="F945" s="6">
        <v>15777350</v>
      </c>
    </row>
    <row r="946" spans="1:6" x14ac:dyDescent="0.2">
      <c r="A946" s="4">
        <v>45846</v>
      </c>
      <c r="B946" s="5">
        <v>80.94</v>
      </c>
      <c r="C946" s="5">
        <v>82.38</v>
      </c>
      <c r="D946" s="5">
        <v>80.34</v>
      </c>
      <c r="E946" s="5">
        <v>81.37</v>
      </c>
      <c r="F946" s="6">
        <v>12752910</v>
      </c>
    </row>
    <row r="947" spans="1:6" x14ac:dyDescent="0.2">
      <c r="A947" s="4">
        <v>45847</v>
      </c>
      <c r="B947" s="5">
        <v>82.38</v>
      </c>
      <c r="C947" s="5">
        <v>84.48</v>
      </c>
      <c r="D947" s="5">
        <v>81.89</v>
      </c>
      <c r="E947" s="5">
        <v>83.71</v>
      </c>
      <c r="F947" s="6">
        <v>18394620</v>
      </c>
    </row>
    <row r="948" spans="1:6" x14ac:dyDescent="0.2">
      <c r="A948" s="4">
        <v>45848</v>
      </c>
      <c r="B948" s="5">
        <v>83.64</v>
      </c>
      <c r="C948" s="5">
        <v>85</v>
      </c>
      <c r="D948" s="5">
        <v>83.17</v>
      </c>
      <c r="E948" s="5">
        <v>84.02</v>
      </c>
      <c r="F948" s="6">
        <v>14728600</v>
      </c>
    </row>
    <row r="949" spans="1:6" x14ac:dyDescent="0.2">
      <c r="A949" s="4">
        <v>45849</v>
      </c>
      <c r="B949" s="5">
        <v>84.02</v>
      </c>
      <c r="C949" s="5">
        <v>84.13</v>
      </c>
      <c r="D949" s="5">
        <v>82.26</v>
      </c>
      <c r="E949" s="5">
        <v>83.36</v>
      </c>
      <c r="F949" s="6">
        <v>9717398</v>
      </c>
    </row>
    <row r="950" spans="1:6" x14ac:dyDescent="0.2">
      <c r="A950" s="4">
        <v>45852</v>
      </c>
      <c r="B950" s="5">
        <v>83.424999999999997</v>
      </c>
      <c r="C950" s="5">
        <v>84.3</v>
      </c>
      <c r="D950" s="5">
        <v>83.11</v>
      </c>
      <c r="E950" s="5">
        <v>83.67</v>
      </c>
      <c r="F950" s="6">
        <v>10368750</v>
      </c>
    </row>
    <row r="951" spans="1:6" x14ac:dyDescent="0.2">
      <c r="A951" s="4">
        <v>45853</v>
      </c>
      <c r="B951" s="5">
        <v>83.78</v>
      </c>
      <c r="C951" s="5">
        <v>84.36</v>
      </c>
      <c r="D951" s="5">
        <v>81.301000000000002</v>
      </c>
      <c r="E951" s="5">
        <v>81.52</v>
      </c>
      <c r="F951" s="6">
        <v>10826960</v>
      </c>
    </row>
    <row r="952" spans="1:6" x14ac:dyDescent="0.2">
      <c r="A952" s="4">
        <v>45854</v>
      </c>
      <c r="B952" s="5">
        <v>81.454999999999998</v>
      </c>
      <c r="C952" s="5">
        <v>82.635000000000005</v>
      </c>
      <c r="D952" s="5">
        <v>81.454999999999998</v>
      </c>
      <c r="E952" s="5">
        <v>82.43</v>
      </c>
      <c r="F952" s="6">
        <v>11517790</v>
      </c>
    </row>
    <row r="953" spans="1:6" x14ac:dyDescent="0.2">
      <c r="A953" s="4">
        <v>45855</v>
      </c>
      <c r="B953" s="5">
        <v>81.98</v>
      </c>
      <c r="C953" s="5">
        <v>82.66</v>
      </c>
      <c r="D953" s="5">
        <v>81.335499999999996</v>
      </c>
      <c r="E953" s="5">
        <v>81.52</v>
      </c>
      <c r="F953" s="6">
        <v>8984797</v>
      </c>
    </row>
    <row r="954" spans="1:6" x14ac:dyDescent="0.2">
      <c r="A954" s="4">
        <v>45856</v>
      </c>
      <c r="B954" s="5">
        <v>81.7</v>
      </c>
      <c r="C954" s="5">
        <v>81.920599999999993</v>
      </c>
      <c r="D954" s="5">
        <v>79.855000000000004</v>
      </c>
      <c r="E954" s="5">
        <v>79.959999999999994</v>
      </c>
      <c r="F954" s="6">
        <v>11823600</v>
      </c>
    </row>
    <row r="955" spans="1:6" x14ac:dyDescent="0.2">
      <c r="A955" s="4">
        <v>45859</v>
      </c>
      <c r="B955" s="5">
        <v>80.155000000000001</v>
      </c>
      <c r="C955" s="5">
        <v>80.31</v>
      </c>
      <c r="D955" s="5">
        <v>78.95</v>
      </c>
      <c r="E955" s="5">
        <v>79.31</v>
      </c>
      <c r="F955" s="6">
        <v>11620840</v>
      </c>
    </row>
    <row r="956" spans="1:6" x14ac:dyDescent="0.2">
      <c r="A956" s="4">
        <v>45860</v>
      </c>
      <c r="B956" s="5">
        <v>79.87</v>
      </c>
      <c r="C956" s="5">
        <v>81.765000000000001</v>
      </c>
      <c r="D956" s="5">
        <v>79.87</v>
      </c>
      <c r="E956" s="5">
        <v>81.61</v>
      </c>
      <c r="F956" s="6">
        <v>10570990</v>
      </c>
    </row>
    <row r="957" spans="1:6" x14ac:dyDescent="0.2">
      <c r="A957" s="4">
        <v>45861</v>
      </c>
      <c r="B957" s="5">
        <v>82.62</v>
      </c>
      <c r="C957" s="5">
        <v>84.14</v>
      </c>
      <c r="D957" s="5">
        <v>82.41</v>
      </c>
      <c r="E957" s="5">
        <v>83.98</v>
      </c>
      <c r="F957" s="6">
        <v>11542090</v>
      </c>
    </row>
    <row r="958" spans="1:6" x14ac:dyDescent="0.2">
      <c r="A958" s="4">
        <v>45862</v>
      </c>
      <c r="B958" s="5">
        <v>84.2</v>
      </c>
      <c r="C958" s="5">
        <v>84.51</v>
      </c>
      <c r="D958" s="5">
        <v>83.52</v>
      </c>
      <c r="E958" s="5">
        <v>84.11</v>
      </c>
      <c r="F958" s="6">
        <v>8016947</v>
      </c>
    </row>
    <row r="959" spans="1:6" x14ac:dyDescent="0.2">
      <c r="A959" s="4">
        <v>45863</v>
      </c>
      <c r="B959" s="5">
        <v>84.16</v>
      </c>
      <c r="C959" s="5">
        <v>85.22</v>
      </c>
      <c r="D959" s="5">
        <v>83.84</v>
      </c>
      <c r="E959" s="5">
        <v>84.71</v>
      </c>
      <c r="F959" s="6">
        <v>10058810</v>
      </c>
    </row>
    <row r="960" spans="1:6" x14ac:dyDescent="0.2">
      <c r="A960" s="4">
        <v>45866</v>
      </c>
      <c r="B960" s="5">
        <v>84.47</v>
      </c>
      <c r="C960" s="5">
        <v>84.97</v>
      </c>
      <c r="D960" s="5">
        <v>83.87</v>
      </c>
      <c r="E960" s="5">
        <v>84.06</v>
      </c>
      <c r="F960" s="6">
        <v>12881970</v>
      </c>
    </row>
    <row r="961" spans="1:6" x14ac:dyDescent="0.2">
      <c r="A961" s="4">
        <v>45867</v>
      </c>
      <c r="B961" s="5">
        <v>79.849999999999994</v>
      </c>
      <c r="C961" s="5">
        <v>82.885000000000005</v>
      </c>
      <c r="D961" s="5">
        <v>76.66</v>
      </c>
      <c r="E961" s="5">
        <v>82.63</v>
      </c>
      <c r="F961" s="6">
        <v>27826420</v>
      </c>
    </row>
    <row r="962" spans="1:6" x14ac:dyDescent="0.2">
      <c r="A962" s="4">
        <v>45868</v>
      </c>
      <c r="B962" s="5">
        <v>82.91</v>
      </c>
      <c r="C962" s="5">
        <v>83.58</v>
      </c>
      <c r="D962" s="5">
        <v>81.515000000000001</v>
      </c>
      <c r="E962" s="5">
        <v>81.75</v>
      </c>
      <c r="F962" s="6">
        <v>13055190</v>
      </c>
    </row>
    <row r="963" spans="1:6" x14ac:dyDescent="0.2">
      <c r="A963" s="4">
        <v>45869</v>
      </c>
      <c r="B963" s="5">
        <v>80.8</v>
      </c>
      <c r="C963" s="5">
        <v>81.484999999999999</v>
      </c>
      <c r="D963" s="5">
        <v>77.849999999999994</v>
      </c>
      <c r="E963" s="5">
        <v>78.12</v>
      </c>
      <c r="F963" s="6">
        <v>19813300</v>
      </c>
    </row>
    <row r="964" spans="1:6" x14ac:dyDescent="0.2">
      <c r="A964" s="4">
        <v>45870</v>
      </c>
      <c r="B964" s="5">
        <v>78.02</v>
      </c>
      <c r="C964" s="5">
        <v>79.87</v>
      </c>
      <c r="D964" s="5">
        <v>77.53</v>
      </c>
      <c r="E964" s="5">
        <v>79.290000000000006</v>
      </c>
      <c r="F964" s="6">
        <v>11900300</v>
      </c>
    </row>
    <row r="965" spans="1:6" x14ac:dyDescent="0.2">
      <c r="A965" s="4">
        <v>45873</v>
      </c>
      <c r="B965" s="5">
        <v>79.06</v>
      </c>
      <c r="C965" s="5">
        <v>79.989999999999995</v>
      </c>
      <c r="D965" s="5">
        <v>78.430000000000007</v>
      </c>
      <c r="E965" s="5">
        <v>79.86</v>
      </c>
      <c r="F965" s="6">
        <v>13380720</v>
      </c>
    </row>
    <row r="966" spans="1:6" x14ac:dyDescent="0.2">
      <c r="A966" s="4">
        <v>45874</v>
      </c>
      <c r="B966" s="5">
        <v>79.900000000000006</v>
      </c>
      <c r="C966" s="5">
        <v>81.125</v>
      </c>
      <c r="D966" s="5">
        <v>79.564999999999998</v>
      </c>
      <c r="E966" s="5">
        <v>80.790000000000006</v>
      </c>
      <c r="F966" s="6">
        <v>9984272</v>
      </c>
    </row>
    <row r="967" spans="1:6" x14ac:dyDescent="0.2">
      <c r="A967" s="4">
        <v>45875</v>
      </c>
      <c r="B967" s="5">
        <v>80.290000000000006</v>
      </c>
      <c r="C967" s="5">
        <v>81.319999999999993</v>
      </c>
      <c r="D967" s="5">
        <v>79.27</v>
      </c>
      <c r="E967" s="5">
        <v>79.44</v>
      </c>
      <c r="F967" s="6">
        <v>13028690</v>
      </c>
    </row>
    <row r="968" spans="1:6" x14ac:dyDescent="0.2">
      <c r="A968" s="4">
        <v>45876</v>
      </c>
      <c r="B968" s="5">
        <v>79.650000000000006</v>
      </c>
      <c r="C968" s="5">
        <v>80.819900000000004</v>
      </c>
      <c r="D968" s="5">
        <v>78.650000000000006</v>
      </c>
      <c r="E968" s="5">
        <v>80.37</v>
      </c>
      <c r="F968" s="6">
        <v>10830080</v>
      </c>
    </row>
    <row r="969" spans="1:6" x14ac:dyDescent="0.2">
      <c r="A969" s="4">
        <v>45877</v>
      </c>
      <c r="B969" s="5">
        <v>80.114999999999995</v>
      </c>
      <c r="C969" s="5">
        <v>81.17</v>
      </c>
      <c r="D969" s="5">
        <v>80.114999999999995</v>
      </c>
      <c r="E969" s="5">
        <v>80.69</v>
      </c>
      <c r="F969" s="6">
        <v>6882894</v>
      </c>
    </row>
    <row r="970" spans="1:6" x14ac:dyDescent="0.2">
      <c r="A970" s="4">
        <v>45880</v>
      </c>
      <c r="B970" s="5">
        <v>80.959999999999994</v>
      </c>
      <c r="C970" s="5">
        <v>81.6434</v>
      </c>
      <c r="D970" s="5">
        <v>79.63</v>
      </c>
      <c r="E970" s="5">
        <v>80.03</v>
      </c>
      <c r="F970" s="6">
        <v>8210702</v>
      </c>
    </row>
    <row r="971" spans="1:6" x14ac:dyDescent="0.2">
      <c r="A971" s="4">
        <v>45881</v>
      </c>
      <c r="B971" s="5">
        <v>80.465000000000003</v>
      </c>
      <c r="C971" s="5">
        <v>80.94</v>
      </c>
      <c r="D971" s="5">
        <v>79.67</v>
      </c>
      <c r="E971" s="5">
        <v>80.3</v>
      </c>
      <c r="F971" s="6">
        <v>7857120</v>
      </c>
    </row>
    <row r="972" spans="1:6" x14ac:dyDescent="0.2">
      <c r="A972" s="4">
        <v>45882</v>
      </c>
      <c r="B972" s="5">
        <v>80.75</v>
      </c>
      <c r="C972" s="5">
        <v>82.84</v>
      </c>
      <c r="D972" s="5">
        <v>80.2</v>
      </c>
      <c r="E972" s="5">
        <v>82.71</v>
      </c>
      <c r="F972" s="6">
        <v>11043790</v>
      </c>
    </row>
    <row r="973" spans="1:6" x14ac:dyDescent="0.2">
      <c r="A973" s="4">
        <v>45883</v>
      </c>
      <c r="B973" s="5">
        <v>82.01</v>
      </c>
      <c r="C973" s="5">
        <v>83.4</v>
      </c>
      <c r="D973" s="5">
        <v>81.603499999999997</v>
      </c>
      <c r="E973" s="5">
        <v>82.76</v>
      </c>
      <c r="F973" s="6">
        <v>10217600</v>
      </c>
    </row>
    <row r="974" spans="1:6" x14ac:dyDescent="0.2">
      <c r="A974" s="4">
        <v>45884</v>
      </c>
      <c r="B974" s="5">
        <v>83.72</v>
      </c>
      <c r="C974" s="5">
        <v>84.737200000000001</v>
      </c>
      <c r="D974" s="5">
        <v>83.36</v>
      </c>
      <c r="E974" s="5">
        <v>84.21</v>
      </c>
      <c r="F974" s="6">
        <v>10481380</v>
      </c>
    </row>
    <row r="975" spans="1:6" x14ac:dyDescent="0.2">
      <c r="A975" s="4">
        <v>45887</v>
      </c>
      <c r="B975" s="5">
        <v>84.26</v>
      </c>
      <c r="C975" s="5">
        <v>85.144999999999996</v>
      </c>
      <c r="D975" s="5">
        <v>84.08</v>
      </c>
      <c r="E975" s="5">
        <v>84.22</v>
      </c>
      <c r="F975" s="6">
        <v>8273573</v>
      </c>
    </row>
    <row r="976" spans="1:6" x14ac:dyDescent="0.2">
      <c r="A976" s="4">
        <v>45888</v>
      </c>
      <c r="B976" s="5">
        <v>84.375</v>
      </c>
      <c r="C976" s="5">
        <v>85.8</v>
      </c>
      <c r="D976" s="5">
        <v>84.375</v>
      </c>
      <c r="E976" s="5">
        <v>84.93</v>
      </c>
      <c r="F976" s="6">
        <v>14307710</v>
      </c>
    </row>
    <row r="977" spans="1:6" x14ac:dyDescent="0.2">
      <c r="A977" s="4">
        <v>45889</v>
      </c>
      <c r="B977" s="5">
        <v>85.31</v>
      </c>
      <c r="C977" s="5">
        <v>86.25</v>
      </c>
      <c r="D977" s="5">
        <v>84.55</v>
      </c>
      <c r="E977" s="5">
        <v>84.66</v>
      </c>
      <c r="F977" s="6">
        <v>8904738</v>
      </c>
    </row>
    <row r="978" spans="1:6" x14ac:dyDescent="0.2">
      <c r="A978" s="4">
        <v>45890</v>
      </c>
      <c r="B978" s="5">
        <v>84.88</v>
      </c>
      <c r="C978" s="5">
        <v>87.32</v>
      </c>
      <c r="D978" s="5">
        <v>84.6</v>
      </c>
      <c r="E978" s="5">
        <v>86.08</v>
      </c>
      <c r="F978" s="6">
        <v>13889010</v>
      </c>
    </row>
    <row r="979" spans="1:6" x14ac:dyDescent="0.2">
      <c r="A979" s="4">
        <v>45891</v>
      </c>
      <c r="B979" s="5">
        <v>87.5</v>
      </c>
      <c r="C979" s="5">
        <v>87.834999999999994</v>
      </c>
      <c r="D979" s="5">
        <v>86.76</v>
      </c>
      <c r="E979" s="5">
        <v>87.37</v>
      </c>
      <c r="F979" s="6">
        <v>11977430</v>
      </c>
    </row>
    <row r="980" spans="1:6" x14ac:dyDescent="0.2">
      <c r="A980" s="4">
        <v>45894</v>
      </c>
      <c r="B980" s="5">
        <v>87.21</v>
      </c>
      <c r="C980" s="5">
        <v>87.39</v>
      </c>
      <c r="D980" s="5">
        <v>84.95</v>
      </c>
      <c r="E980" s="5">
        <v>85.31</v>
      </c>
      <c r="F980" s="6">
        <v>9417659</v>
      </c>
    </row>
    <row r="981" spans="1:6" x14ac:dyDescent="0.2">
      <c r="A981" s="4">
        <v>45895</v>
      </c>
      <c r="B981" s="5">
        <v>85.56</v>
      </c>
      <c r="C981" s="5">
        <v>85.59</v>
      </c>
      <c r="D981" s="5">
        <v>84.665000000000006</v>
      </c>
      <c r="E981" s="5">
        <v>84.99</v>
      </c>
      <c r="F981" s="6">
        <v>14062690</v>
      </c>
    </row>
    <row r="982" spans="1:6" x14ac:dyDescent="0.2">
      <c r="A982" s="4">
        <v>45896</v>
      </c>
      <c r="B982" s="5">
        <v>85.07</v>
      </c>
      <c r="C982" s="5">
        <v>85.48</v>
      </c>
      <c r="D982" s="5">
        <v>83.875</v>
      </c>
      <c r="E982" s="5">
        <v>84.07</v>
      </c>
      <c r="F982" s="6">
        <v>10588090</v>
      </c>
    </row>
    <row r="983" spans="1:6" x14ac:dyDescent="0.2">
      <c r="A983" s="4">
        <v>45897</v>
      </c>
      <c r="B983" s="5">
        <v>84.25</v>
      </c>
      <c r="C983" s="5">
        <v>84.25</v>
      </c>
      <c r="D983" s="5">
        <v>82.65</v>
      </c>
      <c r="E983" s="5">
        <v>83.21</v>
      </c>
      <c r="F983" s="6">
        <v>14485300</v>
      </c>
    </row>
    <row r="984" spans="1:6" x14ac:dyDescent="0.2">
      <c r="A984" s="4">
        <v>45898</v>
      </c>
      <c r="B984" s="5">
        <v>83.42</v>
      </c>
      <c r="C984" s="5">
        <v>84.239900000000006</v>
      </c>
      <c r="D984" s="5">
        <v>83.28</v>
      </c>
      <c r="E984" s="5">
        <v>84.12</v>
      </c>
      <c r="F984" s="6">
        <v>10872920</v>
      </c>
    </row>
    <row r="985" spans="1:6" x14ac:dyDescent="0.2">
      <c r="A985" s="4">
        <v>45902</v>
      </c>
      <c r="B985" s="5">
        <v>84.5</v>
      </c>
      <c r="C985" s="5">
        <v>85.5</v>
      </c>
      <c r="D985" s="5">
        <v>84.34</v>
      </c>
      <c r="E985" s="5">
        <v>85.48</v>
      </c>
      <c r="F985" s="6">
        <v>11642710</v>
      </c>
    </row>
    <row r="986" spans="1:6" x14ac:dyDescent="0.2">
      <c r="A986" s="4">
        <v>45903</v>
      </c>
      <c r="B986" s="5">
        <v>85.37</v>
      </c>
      <c r="C986" s="5">
        <v>85.805000000000007</v>
      </c>
      <c r="D986" s="5">
        <v>84.071600000000004</v>
      </c>
      <c r="E986" s="5">
        <v>84.18</v>
      </c>
      <c r="F986" s="6">
        <v>12714390</v>
      </c>
    </row>
    <row r="987" spans="1:6" x14ac:dyDescent="0.2">
      <c r="A987" s="4">
        <v>45904</v>
      </c>
      <c r="B987" s="5">
        <v>84.2</v>
      </c>
      <c r="C987" s="5">
        <v>84.41</v>
      </c>
      <c r="D987" s="5">
        <v>83</v>
      </c>
      <c r="E987" s="5">
        <v>84.05</v>
      </c>
      <c r="F987" s="6">
        <v>12554840</v>
      </c>
    </row>
    <row r="988" spans="1:6" x14ac:dyDescent="0.2">
      <c r="A988" s="4">
        <v>45905</v>
      </c>
      <c r="B988" s="5">
        <v>83.79</v>
      </c>
      <c r="C988" s="5">
        <v>85.27</v>
      </c>
      <c r="D988" s="5">
        <v>83.25</v>
      </c>
      <c r="E988" s="5">
        <v>84.71</v>
      </c>
      <c r="F988" s="6">
        <v>13231140</v>
      </c>
    </row>
    <row r="989" spans="1:6" x14ac:dyDescent="0.2">
      <c r="A989" s="4">
        <v>45908</v>
      </c>
      <c r="B989" s="5">
        <v>84.16</v>
      </c>
      <c r="C989" s="5">
        <v>84.32</v>
      </c>
      <c r="D989" s="5">
        <v>82.82</v>
      </c>
      <c r="E989" s="5">
        <v>84.09</v>
      </c>
      <c r="F989" s="6">
        <v>13111170</v>
      </c>
    </row>
    <row r="990" spans="1:6" x14ac:dyDescent="0.2">
      <c r="A990" s="4">
        <v>45909</v>
      </c>
      <c r="B990" s="5">
        <v>84.18</v>
      </c>
      <c r="C990" s="5">
        <v>84.8</v>
      </c>
      <c r="D990" s="5">
        <v>84.13</v>
      </c>
      <c r="E990" s="5">
        <v>84.61</v>
      </c>
      <c r="F990" s="6">
        <v>9767468</v>
      </c>
    </row>
    <row r="991" spans="1:6" x14ac:dyDescent="0.2">
      <c r="A991" s="4">
        <v>45910</v>
      </c>
      <c r="B991" s="5">
        <v>84.27</v>
      </c>
      <c r="C991" s="5">
        <v>84.57</v>
      </c>
      <c r="D991" s="5">
        <v>83.534999999999997</v>
      </c>
      <c r="E991" s="5">
        <v>84.03</v>
      </c>
      <c r="F991" s="6">
        <v>13073270</v>
      </c>
    </row>
    <row r="992" spans="1:6" x14ac:dyDescent="0.2">
      <c r="A992" s="4">
        <v>45911</v>
      </c>
      <c r="B992" s="5">
        <v>84.34</v>
      </c>
      <c r="C992" s="5">
        <v>85.55</v>
      </c>
      <c r="D992" s="5">
        <v>84</v>
      </c>
      <c r="E992" s="5">
        <v>85.15</v>
      </c>
      <c r="F992" s="6">
        <v>9667174</v>
      </c>
    </row>
    <row r="993" spans="1:6" x14ac:dyDescent="0.2">
      <c r="A993" s="4">
        <v>45912</v>
      </c>
      <c r="B993" s="5">
        <v>84.62</v>
      </c>
      <c r="C993" s="5">
        <v>85.18</v>
      </c>
      <c r="D993" s="5">
        <v>82.8</v>
      </c>
      <c r="E993" s="5">
        <v>82.81</v>
      </c>
      <c r="F993" s="6">
        <v>9939451</v>
      </c>
    </row>
    <row r="994" spans="1:6" x14ac:dyDescent="0.2">
      <c r="A994" s="4">
        <v>45915</v>
      </c>
      <c r="B994" s="5">
        <v>82.11</v>
      </c>
      <c r="C994" s="5">
        <v>82.75</v>
      </c>
      <c r="D994" s="5">
        <v>80.92</v>
      </c>
      <c r="E994" s="5">
        <v>81.02</v>
      </c>
      <c r="F994" s="6">
        <v>10229750</v>
      </c>
    </row>
    <row r="995" spans="1:6" x14ac:dyDescent="0.2">
      <c r="A995" s="4">
        <v>45916</v>
      </c>
      <c r="B995" s="5">
        <v>81.010000000000005</v>
      </c>
      <c r="C995" s="5">
        <v>81.48</v>
      </c>
      <c r="D995" s="5">
        <v>80.534999999999997</v>
      </c>
      <c r="E995" s="5">
        <v>81.09</v>
      </c>
      <c r="F995" s="6">
        <v>10065900</v>
      </c>
    </row>
    <row r="996" spans="1:6" x14ac:dyDescent="0.2">
      <c r="A996" s="4">
        <v>45917</v>
      </c>
      <c r="B996" s="5">
        <v>80.98</v>
      </c>
      <c r="C996" s="5">
        <v>82.245000000000005</v>
      </c>
      <c r="D996" s="5">
        <v>80.800399999999996</v>
      </c>
      <c r="E996" s="5">
        <v>81.14</v>
      </c>
      <c r="F996" s="6">
        <v>12642100</v>
      </c>
    </row>
    <row r="997" spans="1:6" x14ac:dyDescent="0.2">
      <c r="A997" s="4">
        <v>45918</v>
      </c>
      <c r="B997" s="5">
        <v>81.22</v>
      </c>
      <c r="C997" s="5">
        <v>81.685000000000002</v>
      </c>
      <c r="D997" s="5">
        <v>80.819999999999993</v>
      </c>
      <c r="E997" s="5">
        <v>81.53</v>
      </c>
      <c r="F997" s="6">
        <v>10458880</v>
      </c>
    </row>
    <row r="998" spans="1:6" x14ac:dyDescent="0.2">
      <c r="A998" s="4">
        <v>45919</v>
      </c>
      <c r="B998" s="5">
        <v>81.805000000000007</v>
      </c>
      <c r="C998" s="5">
        <v>82.4</v>
      </c>
      <c r="D998" s="5">
        <v>81</v>
      </c>
      <c r="E998" s="5">
        <v>81.510000000000005</v>
      </c>
      <c r="F998" s="6">
        <v>25627810</v>
      </c>
    </row>
    <row r="999" spans="1:6" x14ac:dyDescent="0.2">
      <c r="A999" s="4">
        <v>45922</v>
      </c>
      <c r="B999" s="5">
        <v>81.760000000000005</v>
      </c>
      <c r="C999" s="5">
        <v>81.94</v>
      </c>
      <c r="D999" s="5">
        <v>80.260000000000005</v>
      </c>
      <c r="E999" s="5">
        <v>80.400000000000006</v>
      </c>
      <c r="F999" s="6">
        <v>11986450</v>
      </c>
    </row>
    <row r="1000" spans="1:6" x14ac:dyDescent="0.2">
      <c r="A1000" s="4">
        <v>45923</v>
      </c>
      <c r="B1000" s="5">
        <v>80.09</v>
      </c>
      <c r="C1000" s="5">
        <v>81.109099999999998</v>
      </c>
      <c r="D1000" s="5">
        <v>79.665000000000006</v>
      </c>
      <c r="E1000" s="5">
        <v>79.959999999999994</v>
      </c>
      <c r="F1000" s="6">
        <v>13145290</v>
      </c>
    </row>
    <row r="1001" spans="1:6" x14ac:dyDescent="0.2">
      <c r="A1001" s="4">
        <v>45924</v>
      </c>
      <c r="B1001" s="5">
        <v>79.900000000000006</v>
      </c>
      <c r="C1001" s="5">
        <v>80.114999999999995</v>
      </c>
      <c r="D1001" s="5">
        <v>79.33</v>
      </c>
      <c r="E1001" s="5">
        <v>79.67</v>
      </c>
      <c r="F1001" s="6">
        <v>11804180</v>
      </c>
    </row>
    <row r="1002" spans="1:6" x14ac:dyDescent="0.2">
      <c r="A1002" s="4">
        <v>45925</v>
      </c>
      <c r="B1002" s="5">
        <v>79.78</v>
      </c>
      <c r="C1002" s="5">
        <v>79.88</v>
      </c>
      <c r="D1002" s="5">
        <v>77.58</v>
      </c>
      <c r="E1002" s="5">
        <v>77.599999999999994</v>
      </c>
      <c r="F1002" s="6">
        <v>14923790</v>
      </c>
    </row>
    <row r="1003" spans="1:6" x14ac:dyDescent="0.2">
      <c r="A1003" s="4">
        <v>45926</v>
      </c>
      <c r="B1003" s="5">
        <v>78.760000000000005</v>
      </c>
      <c r="C1003" s="5">
        <v>78.959999999999994</v>
      </c>
      <c r="D1003" s="5">
        <v>77.694400000000002</v>
      </c>
      <c r="E1003" s="5">
        <v>78.56</v>
      </c>
      <c r="F1003" s="6">
        <v>12205420</v>
      </c>
    </row>
    <row r="1004" spans="1:6" x14ac:dyDescent="0.2">
      <c r="A1004" s="4">
        <v>45929</v>
      </c>
      <c r="B1004" s="5">
        <v>78.599999999999994</v>
      </c>
      <c r="C1004" s="5">
        <v>78.8</v>
      </c>
      <c r="D1004" s="5">
        <v>78.03</v>
      </c>
      <c r="E1004" s="5">
        <v>78.58</v>
      </c>
      <c r="F1004" s="6">
        <v>12739030</v>
      </c>
    </row>
    <row r="1005" spans="1:6" x14ac:dyDescent="0.2">
      <c r="A1005" s="4">
        <v>45930</v>
      </c>
      <c r="B1005" s="5">
        <v>78.415000000000006</v>
      </c>
      <c r="C1005" s="5">
        <v>84</v>
      </c>
      <c r="D1005" s="5">
        <v>78.394999999999996</v>
      </c>
      <c r="E1005" s="5">
        <v>83.93</v>
      </c>
      <c r="F1005" s="6">
        <v>21636630</v>
      </c>
    </row>
    <row r="1006" spans="1:6" x14ac:dyDescent="0.2">
      <c r="A1006" s="4">
        <v>45931</v>
      </c>
      <c r="B1006" s="5">
        <v>85.19</v>
      </c>
      <c r="C1006" s="5">
        <v>90.75</v>
      </c>
      <c r="D1006" s="5">
        <v>85.19</v>
      </c>
      <c r="E1006" s="5">
        <v>90.13</v>
      </c>
      <c r="F1006" s="6">
        <v>33460880</v>
      </c>
    </row>
    <row r="1007" spans="1:6" x14ac:dyDescent="0.2">
      <c r="A1007" s="4">
        <v>45932</v>
      </c>
      <c r="B1007" s="5">
        <v>89.95</v>
      </c>
      <c r="C1007" s="5">
        <v>91</v>
      </c>
      <c r="D1007" s="5">
        <v>88.22</v>
      </c>
      <c r="E1007" s="5">
        <v>89.51</v>
      </c>
      <c r="F1007" s="6">
        <v>14575380</v>
      </c>
    </row>
    <row r="1008" spans="1:6" x14ac:dyDescent="0.2">
      <c r="A1008" s="4">
        <v>45933</v>
      </c>
      <c r="B1008" s="5">
        <v>89.625</v>
      </c>
      <c r="C1008" s="5">
        <v>90.7</v>
      </c>
      <c r="D1008" s="5">
        <v>88.1</v>
      </c>
      <c r="E1008" s="5">
        <v>89.19</v>
      </c>
      <c r="F1008" s="6">
        <v>12970580</v>
      </c>
    </row>
    <row r="1009" spans="1:6" x14ac:dyDescent="0.2">
      <c r="A1009" s="4">
        <v>45936</v>
      </c>
      <c r="B1009" s="5">
        <v>88.83</v>
      </c>
      <c r="C1009" s="5">
        <v>90.31</v>
      </c>
      <c r="D1009" s="5">
        <v>88.55</v>
      </c>
      <c r="E1009" s="5">
        <v>88.8</v>
      </c>
      <c r="F1009" s="6">
        <v>11648300</v>
      </c>
    </row>
    <row r="1010" spans="1:6" x14ac:dyDescent="0.2">
      <c r="A1010" s="4">
        <v>45937</v>
      </c>
      <c r="B1010" s="5">
        <v>88.67</v>
      </c>
      <c r="C1010" s="5">
        <v>88.94</v>
      </c>
      <c r="D1010" s="5">
        <v>87.14</v>
      </c>
      <c r="E1010" s="5">
        <v>87.61</v>
      </c>
      <c r="F1010" s="6">
        <v>9449085</v>
      </c>
    </row>
    <row r="1011" spans="1:6" x14ac:dyDescent="0.2">
      <c r="A1011" s="4">
        <v>45938</v>
      </c>
      <c r="B1011" s="5">
        <v>87.93</v>
      </c>
      <c r="C1011" s="5">
        <v>87.93</v>
      </c>
      <c r="D1011" s="5">
        <v>86.2</v>
      </c>
      <c r="E1011" s="5">
        <v>86.4</v>
      </c>
      <c r="F1011" s="6">
        <v>9696200</v>
      </c>
    </row>
    <row r="1012" spans="1:6" x14ac:dyDescent="0.2">
      <c r="A1012" s="4">
        <v>45939</v>
      </c>
      <c r="B1012" s="5">
        <v>86.96</v>
      </c>
      <c r="C1012" s="5">
        <v>87.8</v>
      </c>
      <c r="D1012" s="5">
        <v>86.64</v>
      </c>
      <c r="E1012" s="5">
        <v>87.5</v>
      </c>
      <c r="F1012" s="6">
        <v>10938200</v>
      </c>
    </row>
    <row r="1013" spans="1:6" x14ac:dyDescent="0.2">
      <c r="A1013" s="4">
        <v>45940</v>
      </c>
      <c r="B1013" s="5">
        <v>87.935000000000002</v>
      </c>
      <c r="C1013" s="5">
        <v>88.24</v>
      </c>
      <c r="D1013" s="5">
        <v>85.92</v>
      </c>
      <c r="E1013" s="5">
        <v>85.99</v>
      </c>
      <c r="F1013" s="6">
        <v>11230690</v>
      </c>
    </row>
    <row r="1014" spans="1:6" x14ac:dyDescent="0.2">
      <c r="A1014" s="4">
        <v>45943</v>
      </c>
      <c r="B1014" s="5">
        <v>85.655000000000001</v>
      </c>
      <c r="C1014" s="5">
        <v>86.46</v>
      </c>
      <c r="D1014" s="5">
        <v>85.24</v>
      </c>
      <c r="E1014" s="5">
        <v>85.7</v>
      </c>
      <c r="F1014" s="6">
        <v>6553942</v>
      </c>
    </row>
    <row r="1015" spans="1:6" x14ac:dyDescent="0.2">
      <c r="A1015" s="4">
        <v>45944</v>
      </c>
      <c r="B1015" s="5">
        <v>85.38</v>
      </c>
      <c r="C1015" s="5">
        <v>85.68</v>
      </c>
      <c r="D1015" s="5">
        <v>84.15</v>
      </c>
      <c r="E1015" s="5">
        <v>84.7</v>
      </c>
      <c r="F1015" s="6">
        <v>9675036</v>
      </c>
    </row>
    <row r="1016" spans="1:6" x14ac:dyDescent="0.2">
      <c r="A1016" s="4">
        <v>45945</v>
      </c>
      <c r="B1016" s="5">
        <v>84.19</v>
      </c>
      <c r="C1016" s="5">
        <v>84.69</v>
      </c>
      <c r="D1016" s="5">
        <v>83.61</v>
      </c>
      <c r="E1016" s="5">
        <v>84.11</v>
      </c>
      <c r="F1016" s="6">
        <v>9168705</v>
      </c>
    </row>
    <row r="1017" spans="1:6" x14ac:dyDescent="0.2">
      <c r="A1017" s="4">
        <v>45946</v>
      </c>
      <c r="B1017" s="5">
        <v>84.41</v>
      </c>
      <c r="C1017" s="5">
        <v>85.5</v>
      </c>
      <c r="D1017" s="5">
        <v>83.6</v>
      </c>
      <c r="E1017" s="5">
        <v>83.92</v>
      </c>
      <c r="F1017" s="6">
        <v>11709060</v>
      </c>
    </row>
    <row r="1018" spans="1:6" x14ac:dyDescent="0.2">
      <c r="A1018" s="4">
        <v>45947</v>
      </c>
      <c r="B1018" s="5">
        <v>83.275000000000006</v>
      </c>
      <c r="C1018" s="5">
        <v>84.89</v>
      </c>
      <c r="D1018" s="5">
        <v>83.163200000000003</v>
      </c>
      <c r="E1018" s="5">
        <v>84.79</v>
      </c>
      <c r="F1018" s="6">
        <v>10758920</v>
      </c>
    </row>
    <row r="1019" spans="1:6" x14ac:dyDescent="0.2">
      <c r="A1019" s="4">
        <v>45950</v>
      </c>
      <c r="B1019" s="5">
        <v>85.245000000000005</v>
      </c>
      <c r="C1019" s="5">
        <v>87</v>
      </c>
      <c r="D1019" s="5">
        <v>85.03</v>
      </c>
      <c r="E1019" s="5">
        <v>86.32</v>
      </c>
      <c r="F1019" s="6">
        <v>8611782</v>
      </c>
    </row>
    <row r="1020" spans="1:6" x14ac:dyDescent="0.2">
      <c r="A1020" s="4">
        <v>45951</v>
      </c>
      <c r="B1020" s="5">
        <v>86.96</v>
      </c>
      <c r="C1020" s="5">
        <v>87.67</v>
      </c>
      <c r="D1020" s="5">
        <v>86.23</v>
      </c>
      <c r="E1020" s="5">
        <v>87.62</v>
      </c>
      <c r="F1020" s="6">
        <v>9852403</v>
      </c>
    </row>
    <row r="1021" spans="1:6" x14ac:dyDescent="0.2">
      <c r="A1021" s="4">
        <v>45952</v>
      </c>
      <c r="B1021" s="5">
        <v>87.68</v>
      </c>
      <c r="C1021" s="5">
        <v>88.7898</v>
      </c>
      <c r="D1021" s="5">
        <v>87.013900000000007</v>
      </c>
      <c r="E1021" s="5">
        <v>87.61</v>
      </c>
      <c r="F1021" s="6">
        <v>10926340</v>
      </c>
    </row>
    <row r="1022" spans="1:6" x14ac:dyDescent="0.2">
      <c r="A1022" s="4">
        <v>45953</v>
      </c>
      <c r="B1022" s="5">
        <v>87.56</v>
      </c>
      <c r="C1022" s="5">
        <v>88.105000000000004</v>
      </c>
      <c r="D1022" s="5">
        <v>86.91</v>
      </c>
      <c r="E1022" s="5">
        <v>87.18</v>
      </c>
      <c r="F1022" s="6">
        <v>7687450</v>
      </c>
    </row>
    <row r="1023" spans="1:6" x14ac:dyDescent="0.2">
      <c r="A1023" s="4">
        <v>45954</v>
      </c>
      <c r="B1023" s="5">
        <v>87.33</v>
      </c>
      <c r="C1023" s="5">
        <v>88.06</v>
      </c>
      <c r="D1023" s="5">
        <v>87.1083</v>
      </c>
      <c r="E1023" s="5">
        <v>87.49</v>
      </c>
      <c r="F1023" s="6">
        <v>7902072</v>
      </c>
    </row>
    <row r="1024" spans="1:6" x14ac:dyDescent="0.2">
      <c r="A1024" s="4">
        <v>45957</v>
      </c>
      <c r="B1024" s="5">
        <v>87.51</v>
      </c>
      <c r="C1024" s="5">
        <v>88.295000000000002</v>
      </c>
      <c r="D1024" s="5">
        <v>87.030100000000004</v>
      </c>
      <c r="E1024" s="5">
        <v>88</v>
      </c>
      <c r="F1024" s="6">
        <v>7226555</v>
      </c>
    </row>
    <row r="1025" spans="1:6" x14ac:dyDescent="0.2">
      <c r="A1025" s="4">
        <v>45958</v>
      </c>
      <c r="B1025" s="5">
        <v>88.105000000000004</v>
      </c>
      <c r="C1025" s="5">
        <v>88.105000000000004</v>
      </c>
      <c r="D1025" s="5">
        <v>86.93</v>
      </c>
      <c r="E1025" s="5">
        <v>87.03</v>
      </c>
      <c r="F1025" s="6">
        <v>8345943</v>
      </c>
    </row>
    <row r="1026" spans="1:6" x14ac:dyDescent="0.2">
      <c r="A1026" s="4">
        <v>45959</v>
      </c>
      <c r="B1026" s="5">
        <v>86.944999999999993</v>
      </c>
      <c r="C1026" s="5">
        <v>87.84</v>
      </c>
      <c r="D1026" s="5">
        <v>86.0715</v>
      </c>
      <c r="E1026" s="5">
        <v>86.58</v>
      </c>
      <c r="F1026" s="6">
        <v>10921910</v>
      </c>
    </row>
    <row r="1027" spans="1:6" x14ac:dyDescent="0.2">
      <c r="A1027" s="4">
        <v>45960</v>
      </c>
      <c r="B1027" s="5">
        <v>84.62</v>
      </c>
      <c r="C1027" s="5">
        <v>87.3</v>
      </c>
      <c r="D1027" s="5">
        <v>83.3</v>
      </c>
      <c r="E1027" s="5">
        <v>86.28</v>
      </c>
      <c r="F1027" s="6">
        <v>16678840</v>
      </c>
    </row>
    <row r="1028" spans="1:6" x14ac:dyDescent="0.2">
      <c r="A1028" s="4">
        <v>45961</v>
      </c>
      <c r="B1028" s="5">
        <v>85.415000000000006</v>
      </c>
      <c r="C1028" s="5">
        <v>86.46</v>
      </c>
      <c r="D1028" s="5">
        <v>84.56</v>
      </c>
      <c r="E1028" s="5">
        <v>85.98</v>
      </c>
      <c r="F1028" s="6">
        <v>12384990</v>
      </c>
    </row>
    <row r="1029" spans="1:6" x14ac:dyDescent="0.2">
      <c r="A1029" s="4">
        <v>45964</v>
      </c>
      <c r="B1029" s="5">
        <v>85.765000000000001</v>
      </c>
      <c r="C1029" s="5">
        <v>86.1</v>
      </c>
      <c r="D1029" s="5">
        <v>82.34</v>
      </c>
      <c r="E1029" s="5">
        <v>82.49</v>
      </c>
      <c r="F1029" s="6">
        <v>13875810</v>
      </c>
    </row>
    <row r="1030" spans="1:6" x14ac:dyDescent="0.2">
      <c r="A1030" s="4">
        <v>45965</v>
      </c>
      <c r="B1030" s="5">
        <v>82.7</v>
      </c>
      <c r="C1030" s="5">
        <v>84.96</v>
      </c>
      <c r="D1030" s="5">
        <v>82.01</v>
      </c>
      <c r="E1030" s="5">
        <v>83.86</v>
      </c>
      <c r="F1030" s="6">
        <v>12846090</v>
      </c>
    </row>
    <row r="1031" spans="1:6" x14ac:dyDescent="0.2">
      <c r="A1031" s="4">
        <v>45966</v>
      </c>
      <c r="B1031" s="5">
        <v>84.03</v>
      </c>
      <c r="C1031" s="5">
        <v>85.38</v>
      </c>
      <c r="D1031" s="5">
        <v>82.911699999999996</v>
      </c>
      <c r="E1031" s="5">
        <v>84.39</v>
      </c>
      <c r="F1031" s="6">
        <v>9440157</v>
      </c>
    </row>
    <row r="1032" spans="1:6" x14ac:dyDescent="0.2">
      <c r="A1032" s="4">
        <v>45967</v>
      </c>
      <c r="B1032" s="5">
        <v>84.48</v>
      </c>
      <c r="C1032" s="5">
        <v>86.17</v>
      </c>
      <c r="D1032" s="5">
        <v>84.35</v>
      </c>
      <c r="E1032" s="5">
        <v>85.78</v>
      </c>
      <c r="F1032" s="6">
        <v>10601450</v>
      </c>
    </row>
    <row r="1033" spans="1:6" x14ac:dyDescent="0.2">
      <c r="A1033" s="4">
        <v>45968</v>
      </c>
      <c r="B1033" s="5">
        <v>85.95</v>
      </c>
      <c r="C1033" s="5">
        <v>86.584999999999994</v>
      </c>
      <c r="D1033" s="5">
        <v>85.24</v>
      </c>
      <c r="E1033" s="5">
        <v>86.28</v>
      </c>
      <c r="F1033" s="6">
        <v>9214301</v>
      </c>
    </row>
    <row r="1034" spans="1:6" x14ac:dyDescent="0.2">
      <c r="A1034" s="4">
        <v>45971</v>
      </c>
      <c r="B1034" s="5">
        <v>86.69</v>
      </c>
      <c r="C1034" s="5">
        <v>87.37</v>
      </c>
      <c r="D1034" s="5">
        <v>85.8</v>
      </c>
      <c r="E1034" s="5">
        <v>86.75</v>
      </c>
      <c r="F1034" s="6">
        <v>8319573</v>
      </c>
    </row>
    <row r="1035" spans="1:6" x14ac:dyDescent="0.2">
      <c r="A1035" s="4">
        <v>45972</v>
      </c>
      <c r="B1035" s="5">
        <v>87.35</v>
      </c>
      <c r="C1035" s="5">
        <v>91.064999999999998</v>
      </c>
      <c r="D1035" s="5">
        <v>87.26</v>
      </c>
      <c r="E1035" s="5">
        <v>90.95</v>
      </c>
      <c r="F1035" s="6">
        <v>15436040</v>
      </c>
    </row>
    <row r="1036" spans="1:6" x14ac:dyDescent="0.2">
      <c r="A1036" s="4">
        <v>45973</v>
      </c>
      <c r="B1036" s="5">
        <v>91.41</v>
      </c>
      <c r="C1036" s="5">
        <v>92.91</v>
      </c>
      <c r="D1036" s="5">
        <v>91.16</v>
      </c>
      <c r="E1036" s="5">
        <v>91.45</v>
      </c>
      <c r="F1036" s="6">
        <v>13218930</v>
      </c>
    </row>
    <row r="1037" spans="1:6" x14ac:dyDescent="0.2">
      <c r="A1037" s="4">
        <v>45974</v>
      </c>
      <c r="B1037" s="5">
        <v>91.31</v>
      </c>
      <c r="C1037" s="5">
        <v>94.26</v>
      </c>
      <c r="D1037" s="5">
        <v>90.9</v>
      </c>
      <c r="E1037" s="5">
        <v>92.93</v>
      </c>
      <c r="F1037" s="6">
        <v>16086080</v>
      </c>
    </row>
    <row r="1038" spans="1:6" x14ac:dyDescent="0.2">
      <c r="A1038" s="4">
        <v>45975</v>
      </c>
      <c r="B1038" s="5">
        <v>92.2</v>
      </c>
      <c r="C1038" s="5">
        <v>95.075000000000003</v>
      </c>
      <c r="D1038" s="5">
        <v>91.490099999999998</v>
      </c>
      <c r="E1038" s="5">
        <v>92.92</v>
      </c>
      <c r="F1038" s="6">
        <v>19632020</v>
      </c>
    </row>
    <row r="1039" spans="1:6" x14ac:dyDescent="0.2">
      <c r="A1039" s="4">
        <v>45978</v>
      </c>
      <c r="B1039" s="5">
        <v>93.23</v>
      </c>
      <c r="C1039" s="5">
        <v>94.75</v>
      </c>
      <c r="D1039" s="5">
        <v>92.674999999999997</v>
      </c>
      <c r="E1039" s="5">
        <v>92.86</v>
      </c>
      <c r="F1039" s="6">
        <v>14345820</v>
      </c>
    </row>
    <row r="1040" spans="1:6" x14ac:dyDescent="0.2">
      <c r="A1040" s="4">
        <v>45979</v>
      </c>
      <c r="B1040" s="5">
        <v>94.11</v>
      </c>
      <c r="C1040" s="5">
        <v>97.66</v>
      </c>
      <c r="D1040" s="5">
        <v>92.11</v>
      </c>
      <c r="E1040" s="5">
        <v>96.43</v>
      </c>
      <c r="F1040" s="6">
        <v>28153550</v>
      </c>
    </row>
    <row r="1041" spans="1:6" x14ac:dyDescent="0.2">
      <c r="A1041" s="4">
        <v>45980</v>
      </c>
      <c r="B1041" s="5">
        <v>96</v>
      </c>
      <c r="C1041" s="5">
        <v>97.14</v>
      </c>
      <c r="D1041" s="5">
        <v>94.09</v>
      </c>
      <c r="E1041" s="5">
        <v>95.05</v>
      </c>
      <c r="F1041" s="6">
        <v>14641310</v>
      </c>
    </row>
    <row r="1042" spans="1:6" x14ac:dyDescent="0.2">
      <c r="A1042" s="4">
        <v>45981</v>
      </c>
      <c r="B1042" s="5">
        <v>94.97</v>
      </c>
      <c r="C1042" s="5">
        <v>96</v>
      </c>
      <c r="D1042" s="5">
        <v>93.9</v>
      </c>
      <c r="E1042" s="5">
        <v>94.97</v>
      </c>
      <c r="F1042" s="6">
        <v>12554220</v>
      </c>
    </row>
    <row r="1043" spans="1:6" x14ac:dyDescent="0.2">
      <c r="A1043" s="4">
        <v>45982</v>
      </c>
      <c r="B1043" s="5">
        <v>95.48</v>
      </c>
      <c r="C1043" s="5">
        <v>100.27</v>
      </c>
      <c r="D1043" s="5">
        <v>95.36</v>
      </c>
      <c r="E1043" s="5">
        <v>97.76</v>
      </c>
      <c r="F1043" s="6">
        <v>23183280</v>
      </c>
    </row>
    <row r="1044" spans="1:6" x14ac:dyDescent="0.2">
      <c r="A1044" s="4">
        <v>45985</v>
      </c>
      <c r="B1044" s="5">
        <v>99.12</v>
      </c>
      <c r="C1044" s="5">
        <v>102.355</v>
      </c>
      <c r="D1044" s="5">
        <v>99.12</v>
      </c>
      <c r="E1044" s="5">
        <v>100.4</v>
      </c>
      <c r="F1044" s="6">
        <v>28320940</v>
      </c>
    </row>
    <row r="1045" spans="1:6" x14ac:dyDescent="0.2">
      <c r="A1045" s="4">
        <v>45986</v>
      </c>
      <c r="B1045" s="5">
        <v>100.73</v>
      </c>
      <c r="C1045" s="5">
        <v>105.84</v>
      </c>
      <c r="D1045" s="5">
        <v>100.705</v>
      </c>
      <c r="E1045" s="5">
        <v>105.66</v>
      </c>
      <c r="F1045" s="6">
        <v>22225530</v>
      </c>
    </row>
    <row r="1046" spans="1:6" x14ac:dyDescent="0.2">
      <c r="A1046" s="4">
        <v>45987</v>
      </c>
      <c r="B1046" s="5">
        <v>104.595</v>
      </c>
      <c r="C1046" s="5">
        <v>105.752</v>
      </c>
      <c r="D1046" s="5">
        <v>104.2</v>
      </c>
      <c r="E1046" s="5">
        <v>104.63</v>
      </c>
      <c r="F1046" s="6">
        <v>12624020</v>
      </c>
    </row>
    <row r="1047" spans="1:6" x14ac:dyDescent="0.2">
      <c r="A1047" s="4">
        <v>45989</v>
      </c>
      <c r="B1047" s="5">
        <v>104.83499999999999</v>
      </c>
      <c r="C1047" s="5">
        <v>105.405</v>
      </c>
      <c r="D1047" s="5">
        <v>104.12</v>
      </c>
      <c r="E1047" s="5">
        <v>104.83</v>
      </c>
      <c r="F1047" s="6">
        <v>6154508</v>
      </c>
    </row>
    <row r="1048" spans="1:6" x14ac:dyDescent="0.2">
      <c r="A1048" s="4">
        <v>45992</v>
      </c>
      <c r="B1048" s="5">
        <v>104.72</v>
      </c>
      <c r="C1048" s="5">
        <v>105.68</v>
      </c>
      <c r="D1048" s="5">
        <v>101.71</v>
      </c>
      <c r="E1048" s="5">
        <v>101.83</v>
      </c>
      <c r="F1048" s="6">
        <v>14178310</v>
      </c>
    </row>
    <row r="1049" spans="1:6" x14ac:dyDescent="0.2">
      <c r="A1049" s="4">
        <v>45993</v>
      </c>
      <c r="B1049" s="5">
        <v>101.53</v>
      </c>
      <c r="C1049" s="5">
        <v>101.8</v>
      </c>
      <c r="D1049" s="5">
        <v>100.31</v>
      </c>
      <c r="E1049" s="5">
        <v>101.03</v>
      </c>
      <c r="F1049" s="6">
        <v>11794980</v>
      </c>
    </row>
    <row r="1050" spans="1:6" x14ac:dyDescent="0.2">
      <c r="A1050" s="4">
        <v>45994</v>
      </c>
      <c r="B1050" s="5">
        <v>101.895</v>
      </c>
      <c r="C1050" s="5">
        <v>103.09</v>
      </c>
      <c r="D1050" s="5">
        <v>101.52</v>
      </c>
      <c r="E1050" s="5">
        <v>102.27</v>
      </c>
      <c r="F1050" s="6">
        <v>12541640</v>
      </c>
    </row>
    <row r="1051" spans="1:6" x14ac:dyDescent="0.2">
      <c r="A1051" s="4">
        <v>45995</v>
      </c>
      <c r="B1051" s="5">
        <v>102.1</v>
      </c>
      <c r="C1051" s="5">
        <v>102.6</v>
      </c>
      <c r="D1051" s="5">
        <v>100.54</v>
      </c>
      <c r="E1051" s="5">
        <v>100.89</v>
      </c>
      <c r="F1051" s="6">
        <v>12770710</v>
      </c>
    </row>
    <row r="1052" spans="1:6" x14ac:dyDescent="0.2">
      <c r="A1052" s="4">
        <v>45996</v>
      </c>
      <c r="B1052" s="5">
        <v>101.4</v>
      </c>
      <c r="C1052" s="5">
        <v>102.09</v>
      </c>
      <c r="D1052" s="5">
        <v>99.19</v>
      </c>
      <c r="E1052" s="5">
        <v>99.72</v>
      </c>
      <c r="F1052" s="6">
        <v>16430390</v>
      </c>
    </row>
    <row r="1053" spans="1:6" x14ac:dyDescent="0.2">
      <c r="A1053" s="4">
        <v>45999</v>
      </c>
      <c r="B1053" s="5">
        <v>99.38</v>
      </c>
      <c r="C1053" s="5">
        <v>99.67</v>
      </c>
      <c r="D1053" s="5">
        <v>97.81</v>
      </c>
      <c r="E1053" s="5">
        <v>98.93</v>
      </c>
      <c r="F1053" s="6">
        <v>12902590</v>
      </c>
    </row>
    <row r="1054" spans="1:6" x14ac:dyDescent="0.2">
      <c r="A1054" s="4">
        <v>46000</v>
      </c>
      <c r="B1054" s="5">
        <v>99.32</v>
      </c>
      <c r="C1054" s="5">
        <v>99.85</v>
      </c>
      <c r="D1054" s="5">
        <v>96.055000000000007</v>
      </c>
      <c r="E1054" s="5">
        <v>96.89</v>
      </c>
      <c r="F1054" s="6">
        <v>16283950</v>
      </c>
    </row>
    <row r="1055" spans="1:6" x14ac:dyDescent="0.2">
      <c r="A1055" s="4">
        <v>46001</v>
      </c>
      <c r="B1055" s="5">
        <v>98.05</v>
      </c>
      <c r="C1055" s="5">
        <v>98.17</v>
      </c>
      <c r="D1055" s="5">
        <v>96.47</v>
      </c>
      <c r="E1055" s="5">
        <v>97.62</v>
      </c>
      <c r="F1055" s="6">
        <v>18077710</v>
      </c>
    </row>
    <row r="1056" spans="1:6" x14ac:dyDescent="0.2">
      <c r="A1056" s="4">
        <v>46002</v>
      </c>
      <c r="B1056" s="5">
        <v>98.44</v>
      </c>
      <c r="C1056" s="5">
        <v>99.14</v>
      </c>
      <c r="D1056" s="5">
        <v>97.578000000000003</v>
      </c>
      <c r="E1056" s="5">
        <v>99.01</v>
      </c>
      <c r="F1056" s="6">
        <v>11808180</v>
      </c>
    </row>
    <row r="1057" spans="1:6" x14ac:dyDescent="0.2">
      <c r="A1057" s="4">
        <v>46003</v>
      </c>
      <c r="B1057" s="5">
        <v>98.96</v>
      </c>
      <c r="C1057" s="5">
        <v>100.66</v>
      </c>
      <c r="D1057" s="5">
        <v>98.314999999999998</v>
      </c>
      <c r="E1057" s="5">
        <v>100.3</v>
      </c>
      <c r="F1057" s="6">
        <v>11810790</v>
      </c>
    </row>
    <row r="1058" spans="1:6" x14ac:dyDescent="0.2">
      <c r="A1058" s="4">
        <v>46006</v>
      </c>
      <c r="B1058" s="5">
        <v>99.99</v>
      </c>
      <c r="C1058" s="5">
        <v>100.94</v>
      </c>
      <c r="D1058" s="5">
        <v>98</v>
      </c>
      <c r="E1058" s="5">
        <v>100.26</v>
      </c>
      <c r="F1058" s="6">
        <v>16735870</v>
      </c>
    </row>
    <row r="1059" spans="1:6" x14ac:dyDescent="0.2">
      <c r="A1059" s="4">
        <v>46007</v>
      </c>
      <c r="B1059" s="5">
        <v>100.3</v>
      </c>
      <c r="C1059" s="5">
        <v>100.34</v>
      </c>
      <c r="D1059" s="5">
        <v>96.79</v>
      </c>
      <c r="E1059" s="5">
        <v>98.27</v>
      </c>
      <c r="F1059" s="6">
        <v>16663610</v>
      </c>
    </row>
    <row r="1060" spans="1:6" x14ac:dyDescent="0.2">
      <c r="A1060" s="4">
        <v>46008</v>
      </c>
      <c r="B1060" s="5">
        <v>98.18</v>
      </c>
      <c r="C1060" s="5">
        <v>100.13500000000001</v>
      </c>
      <c r="D1060" s="5">
        <v>98.06</v>
      </c>
      <c r="E1060" s="5">
        <v>99.18</v>
      </c>
      <c r="F1060" s="6">
        <v>13180990</v>
      </c>
    </row>
    <row r="1061" spans="1:6" x14ac:dyDescent="0.2">
      <c r="A1061" s="4">
        <v>46009</v>
      </c>
      <c r="B1061" s="5">
        <v>99.27</v>
      </c>
      <c r="C1061" s="5">
        <v>101.37</v>
      </c>
      <c r="D1061" s="5">
        <v>98.86</v>
      </c>
      <c r="E1061" s="5">
        <v>100.69</v>
      </c>
      <c r="F1061" s="6">
        <v>14312770</v>
      </c>
    </row>
    <row r="1062" spans="1:6" x14ac:dyDescent="0.2">
      <c r="A1062" s="4">
        <v>46010</v>
      </c>
      <c r="B1062" s="5">
        <v>100.6</v>
      </c>
      <c r="C1062" s="5">
        <v>102.19499999999999</v>
      </c>
      <c r="D1062" s="5">
        <v>100.11</v>
      </c>
      <c r="E1062" s="5">
        <v>101.09</v>
      </c>
      <c r="F1062" s="6">
        <v>44980250</v>
      </c>
    </row>
    <row r="1063" spans="1:6" x14ac:dyDescent="0.2">
      <c r="A1063" s="4">
        <v>46013</v>
      </c>
      <c r="B1063" s="5">
        <v>100.63</v>
      </c>
      <c r="C1063" s="5">
        <v>104.95</v>
      </c>
      <c r="D1063" s="5">
        <v>100.4</v>
      </c>
      <c r="E1063" s="5">
        <v>104.72</v>
      </c>
      <c r="F1063" s="6">
        <v>17136250</v>
      </c>
    </row>
    <row r="1064" spans="1:6" x14ac:dyDescent="0.2">
      <c r="A1064" s="4">
        <v>46014</v>
      </c>
      <c r="B1064" s="5">
        <v>104.56</v>
      </c>
      <c r="C1064" s="5">
        <v>105.3899</v>
      </c>
      <c r="D1064" s="5">
        <v>104.325</v>
      </c>
      <c r="E1064" s="5">
        <v>105.04</v>
      </c>
      <c r="F1064" s="6">
        <v>13587460</v>
      </c>
    </row>
    <row r="1065" spans="1:6" x14ac:dyDescent="0.2">
      <c r="A1065" s="4">
        <v>46015</v>
      </c>
      <c r="B1065" s="5">
        <v>105.36499999999999</v>
      </c>
      <c r="C1065" s="5">
        <v>106.95</v>
      </c>
      <c r="D1065" s="5">
        <v>105.28</v>
      </c>
      <c r="E1065" s="5">
        <v>106.45</v>
      </c>
      <c r="F1065" s="6">
        <v>5335048</v>
      </c>
    </row>
    <row r="1066" spans="1:6" x14ac:dyDescent="0.2">
      <c r="A1066" s="4">
        <v>46017</v>
      </c>
      <c r="B1066" s="5">
        <v>106.45</v>
      </c>
      <c r="C1066" s="5">
        <v>107.05</v>
      </c>
      <c r="D1066" s="5">
        <v>106.0301</v>
      </c>
      <c r="E1066" s="5">
        <v>106.78</v>
      </c>
      <c r="F1066" s="6">
        <v>6280701</v>
      </c>
    </row>
    <row r="1067" spans="1:6" x14ac:dyDescent="0.2">
      <c r="A1067" s="4">
        <v>46020</v>
      </c>
      <c r="B1067" s="5">
        <v>106.85</v>
      </c>
      <c r="C1067" s="5">
        <v>107.59</v>
      </c>
      <c r="D1067" s="5">
        <v>106.425</v>
      </c>
      <c r="E1067" s="5">
        <v>106.62</v>
      </c>
      <c r="F1067" s="6">
        <v>8086890</v>
      </c>
    </row>
    <row r="1068" spans="1:6" x14ac:dyDescent="0.2">
      <c r="A1068" s="4">
        <v>46021</v>
      </c>
      <c r="B1068" s="5">
        <v>106.73</v>
      </c>
      <c r="C1068" s="5">
        <v>106.88</v>
      </c>
      <c r="D1068" s="5">
        <v>105.64</v>
      </c>
      <c r="E1068" s="5">
        <v>106.06</v>
      </c>
      <c r="F1068" s="6">
        <v>6498303</v>
      </c>
    </row>
    <row r="1069" spans="1:6" x14ac:dyDescent="0.2">
      <c r="A1069" s="4">
        <v>46022</v>
      </c>
      <c r="B1069" s="5">
        <v>105.935</v>
      </c>
      <c r="C1069" s="5">
        <v>106.1</v>
      </c>
      <c r="D1069" s="5">
        <v>104.99</v>
      </c>
      <c r="E1069" s="5">
        <v>105.26</v>
      </c>
      <c r="F1069" s="6">
        <v>7557325</v>
      </c>
    </row>
    <row r="1070" spans="1:6" x14ac:dyDescent="0.2">
      <c r="A1070" s="4">
        <v>46024</v>
      </c>
      <c r="B1070" s="5">
        <v>105.53</v>
      </c>
      <c r="C1070" s="5">
        <v>106.62479999999999</v>
      </c>
      <c r="D1070" s="5">
        <v>104.43</v>
      </c>
      <c r="E1070" s="5">
        <v>106.45</v>
      </c>
      <c r="F1070" s="6">
        <v>9992435</v>
      </c>
    </row>
    <row r="1071" spans="1:6" x14ac:dyDescent="0.2">
      <c r="A1071" s="4">
        <v>46027</v>
      </c>
      <c r="B1071" s="5">
        <v>107.01</v>
      </c>
      <c r="C1071" s="5">
        <v>108.44</v>
      </c>
      <c r="D1071" s="5">
        <v>105.8</v>
      </c>
      <c r="E1071" s="5">
        <v>107.44</v>
      </c>
      <c r="F1071" s="6">
        <v>15863320</v>
      </c>
    </row>
    <row r="1072" spans="1:6" x14ac:dyDescent="0.2">
      <c r="A1072" s="4">
        <v>46028</v>
      </c>
      <c r="B1072" s="5">
        <v>107.68</v>
      </c>
      <c r="C1072" s="5">
        <v>110.17</v>
      </c>
      <c r="D1072" s="5">
        <v>107.68</v>
      </c>
      <c r="E1072" s="5">
        <v>108.87</v>
      </c>
      <c r="F1072" s="6">
        <v>14478960</v>
      </c>
    </row>
    <row r="1073" spans="1:6" x14ac:dyDescent="0.2">
      <c r="A1073" s="4">
        <v>46029</v>
      </c>
      <c r="B1073" s="5">
        <v>109.505</v>
      </c>
      <c r="C1073" s="5">
        <v>111.46</v>
      </c>
      <c r="D1073" s="5">
        <v>107.95</v>
      </c>
      <c r="E1073" s="5">
        <v>108.6</v>
      </c>
      <c r="F1073" s="6">
        <v>16322350</v>
      </c>
    </row>
    <row r="1074" spans="1:6" x14ac:dyDescent="0.2">
      <c r="A1074" s="4">
        <v>46030</v>
      </c>
      <c r="B1074" s="5">
        <v>110.61</v>
      </c>
      <c r="C1074" s="5">
        <v>112.9</v>
      </c>
      <c r="D1074" s="5">
        <v>109.25</v>
      </c>
      <c r="E1074" s="5">
        <v>110.99</v>
      </c>
      <c r="F1074" s="6">
        <v>20278830</v>
      </c>
    </row>
    <row r="1075" spans="1:6" x14ac:dyDescent="0.2">
      <c r="A1075" s="4">
        <v>46031</v>
      </c>
      <c r="B1075" s="5">
        <v>110.87</v>
      </c>
      <c r="C1075" s="5">
        <v>112.4799</v>
      </c>
      <c r="D1075" s="5">
        <v>110.22</v>
      </c>
      <c r="E1075" s="5">
        <v>110.53</v>
      </c>
      <c r="F1075" s="6">
        <v>11040800</v>
      </c>
    </row>
    <row r="1076" spans="1:6" x14ac:dyDescent="0.2">
      <c r="A1076" s="4">
        <v>46034</v>
      </c>
      <c r="B1076" s="5">
        <v>110.97</v>
      </c>
      <c r="C1076" s="5">
        <v>111.46</v>
      </c>
      <c r="D1076" s="5">
        <v>108.78</v>
      </c>
      <c r="E1076" s="5">
        <v>109.19</v>
      </c>
      <c r="F1076" s="6">
        <v>10671910</v>
      </c>
    </row>
    <row r="1077" spans="1:6" x14ac:dyDescent="0.2">
      <c r="A1077" s="4">
        <v>46035</v>
      </c>
      <c r="B1077" s="5">
        <v>109.05</v>
      </c>
      <c r="C1077" s="5">
        <v>109.31</v>
      </c>
      <c r="D1077" s="5">
        <v>107.22</v>
      </c>
      <c r="E1077" s="5">
        <v>108.26</v>
      </c>
      <c r="F1077" s="6">
        <v>9338579</v>
      </c>
    </row>
    <row r="1078" spans="1:6" x14ac:dyDescent="0.2">
      <c r="A1078" s="4">
        <v>46036</v>
      </c>
      <c r="B1078" s="5">
        <v>108.97</v>
      </c>
      <c r="C1078" s="5">
        <v>111.22499999999999</v>
      </c>
      <c r="D1078" s="5">
        <v>107.95</v>
      </c>
      <c r="E1078" s="5">
        <v>111.01</v>
      </c>
      <c r="F1078" s="6">
        <v>11964630</v>
      </c>
    </row>
    <row r="1079" spans="1:6" x14ac:dyDescent="0.2">
      <c r="A1079" s="4">
        <v>46037</v>
      </c>
      <c r="B1079" s="5">
        <v>110.62</v>
      </c>
      <c r="C1079" s="5">
        <v>111.58</v>
      </c>
      <c r="D1079" s="5">
        <v>108.45</v>
      </c>
      <c r="E1079" s="5">
        <v>110.97</v>
      </c>
      <c r="F1079" s="6">
        <v>11775840</v>
      </c>
    </row>
    <row r="1080" spans="1:6" x14ac:dyDescent="0.2">
      <c r="A1080" s="4">
        <v>46038</v>
      </c>
      <c r="B1080" s="5">
        <v>110.715</v>
      </c>
      <c r="C1080" s="5">
        <v>110.73</v>
      </c>
      <c r="D1080" s="5">
        <v>108.43</v>
      </c>
      <c r="E1080" s="5">
        <v>108.83</v>
      </c>
      <c r="F1080" s="6">
        <v>14852070</v>
      </c>
    </row>
    <row r="1081" spans="1:6" x14ac:dyDescent="0.2">
      <c r="A1081" s="4">
        <v>46042</v>
      </c>
      <c r="B1081" s="5">
        <v>108.11</v>
      </c>
      <c r="C1081" s="5">
        <v>109.64</v>
      </c>
      <c r="D1081" s="5">
        <v>106.93</v>
      </c>
      <c r="E1081" s="5">
        <v>109.45</v>
      </c>
      <c r="F1081" s="6">
        <v>15241140</v>
      </c>
    </row>
    <row r="1082" spans="1:6" x14ac:dyDescent="0.2">
      <c r="A1082" s="4">
        <v>46043</v>
      </c>
      <c r="B1082" s="5">
        <v>109.19</v>
      </c>
      <c r="C1082" s="5">
        <v>111.97</v>
      </c>
      <c r="D1082" s="5">
        <v>108.73</v>
      </c>
      <c r="E1082" s="5">
        <v>111.11</v>
      </c>
      <c r="F1082" s="6">
        <v>12844380</v>
      </c>
    </row>
    <row r="1083" spans="1:6" x14ac:dyDescent="0.2">
      <c r="A1083" s="4">
        <v>46044</v>
      </c>
      <c r="B1083" s="5">
        <v>110.78</v>
      </c>
      <c r="C1083" s="5">
        <v>111.32</v>
      </c>
      <c r="D1083" s="5">
        <v>108.58499999999999</v>
      </c>
      <c r="E1083" s="5">
        <v>109.18</v>
      </c>
      <c r="F1083" s="6">
        <v>9362585</v>
      </c>
    </row>
    <row r="1084" spans="1:6" x14ac:dyDescent="0.2">
      <c r="A1084" s="4">
        <v>46045</v>
      </c>
      <c r="B1084" s="5">
        <v>109.09</v>
      </c>
      <c r="C1084" s="5">
        <v>109.09</v>
      </c>
      <c r="D1084" s="5">
        <v>107.21</v>
      </c>
      <c r="E1084" s="5">
        <v>108.18</v>
      </c>
      <c r="F1084" s="6">
        <v>10489490</v>
      </c>
    </row>
    <row r="1085" spans="1:6" x14ac:dyDescent="0.2">
      <c r="A1085" s="4">
        <v>46048</v>
      </c>
      <c r="B1085" s="5">
        <v>107.8</v>
      </c>
      <c r="C1085" s="5">
        <v>108.42</v>
      </c>
      <c r="D1085" s="5">
        <v>107.06</v>
      </c>
      <c r="E1085" s="5">
        <v>107.4</v>
      </c>
      <c r="F1085" s="6">
        <v>9903240</v>
      </c>
    </row>
    <row r="1086" spans="1:6" x14ac:dyDescent="0.2">
      <c r="A1086" s="4">
        <v>46049</v>
      </c>
      <c r="B1086" s="5">
        <v>107.5</v>
      </c>
      <c r="C1086" s="5">
        <v>108.35</v>
      </c>
      <c r="D1086" s="5">
        <v>106.84</v>
      </c>
      <c r="E1086" s="5">
        <v>107.92</v>
      </c>
      <c r="F1086" s="6">
        <v>7907088</v>
      </c>
    </row>
    <row r="1087" spans="1:6" x14ac:dyDescent="0.2">
      <c r="A1087" s="4">
        <v>46050</v>
      </c>
      <c r="B1087" s="5">
        <v>106.85</v>
      </c>
      <c r="C1087" s="5">
        <v>107.93</v>
      </c>
      <c r="D1087" s="5">
        <v>106.03</v>
      </c>
      <c r="E1087" s="5">
        <v>106.9</v>
      </c>
      <c r="F1087" s="6">
        <v>7491691</v>
      </c>
    </row>
    <row r="1088" spans="1:6" x14ac:dyDescent="0.2">
      <c r="A1088" s="4">
        <v>46051</v>
      </c>
      <c r="B1088" s="5">
        <v>107.325</v>
      </c>
      <c r="C1088" s="5">
        <v>109.93</v>
      </c>
      <c r="D1088" s="5">
        <v>107.1</v>
      </c>
      <c r="E1088" s="5">
        <v>108.34</v>
      </c>
      <c r="F1088" s="6">
        <v>13572810</v>
      </c>
    </row>
    <row r="1089" spans="1:6" x14ac:dyDescent="0.2">
      <c r="A1089" s="4">
        <v>46052</v>
      </c>
      <c r="B1089" s="5">
        <v>108.59</v>
      </c>
      <c r="C1089" s="5">
        <v>110.535</v>
      </c>
      <c r="D1089" s="5">
        <v>107.95</v>
      </c>
      <c r="E1089" s="5">
        <v>110.27</v>
      </c>
      <c r="F1089" s="6">
        <v>19060600</v>
      </c>
    </row>
    <row r="1090" spans="1:6" x14ac:dyDescent="0.2">
      <c r="A1090" s="4">
        <v>46055</v>
      </c>
      <c r="B1090" s="5">
        <v>110.12</v>
      </c>
      <c r="C1090" s="5">
        <v>113.89</v>
      </c>
      <c r="D1090" s="5">
        <v>109.9472</v>
      </c>
      <c r="E1090" s="5">
        <v>113.37</v>
      </c>
      <c r="F1090" s="6">
        <v>18000110</v>
      </c>
    </row>
    <row r="1091" spans="1:6" x14ac:dyDescent="0.2">
      <c r="A1091" s="4">
        <v>46056</v>
      </c>
      <c r="B1091" s="5">
        <v>111.67</v>
      </c>
      <c r="C1091" s="5">
        <v>118.46</v>
      </c>
      <c r="D1091" s="5">
        <v>111.44</v>
      </c>
      <c r="E1091" s="5">
        <v>115.84</v>
      </c>
      <c r="F1091" s="6">
        <v>25793560</v>
      </c>
    </row>
    <row r="1092" spans="1:6" x14ac:dyDescent="0.2">
      <c r="A1092" s="4">
        <v>46057</v>
      </c>
      <c r="B1092" s="5">
        <v>116.9</v>
      </c>
      <c r="C1092" s="5">
        <v>120.39</v>
      </c>
      <c r="D1092" s="5">
        <v>116.5</v>
      </c>
      <c r="E1092" s="5">
        <v>118.33</v>
      </c>
      <c r="F1092" s="6">
        <v>21954560</v>
      </c>
    </row>
    <row r="1093" spans="1:6" x14ac:dyDescent="0.2">
      <c r="A1093" s="4">
        <v>46058</v>
      </c>
      <c r="B1093" s="5">
        <v>118.30500000000001</v>
      </c>
      <c r="C1093" s="5">
        <v>122.43</v>
      </c>
      <c r="D1093" s="5">
        <v>118.30500000000001</v>
      </c>
      <c r="E1093" s="5">
        <v>119.75</v>
      </c>
      <c r="F1093" s="6">
        <v>24010550</v>
      </c>
    </row>
    <row r="1094" spans="1:6" x14ac:dyDescent="0.2">
      <c r="A1094" s="4">
        <v>46059</v>
      </c>
      <c r="B1094" s="5">
        <v>120.76</v>
      </c>
      <c r="C1094" s="5">
        <v>122.66</v>
      </c>
      <c r="D1094" s="5">
        <v>120.44</v>
      </c>
      <c r="E1094" s="5">
        <v>121.93</v>
      </c>
      <c r="F1094" s="6">
        <v>13083320</v>
      </c>
    </row>
    <row r="1095" spans="1:6" x14ac:dyDescent="0.2">
      <c r="A1095" s="4">
        <v>46062</v>
      </c>
      <c r="B1095" s="5">
        <v>121.41</v>
      </c>
      <c r="C1095" s="5">
        <v>121.88</v>
      </c>
      <c r="D1095" s="5">
        <v>116.98</v>
      </c>
      <c r="E1095" s="5">
        <v>117.65</v>
      </c>
      <c r="F1095" s="6">
        <v>16158730</v>
      </c>
    </row>
    <row r="1096" spans="1:6" x14ac:dyDescent="0.2">
      <c r="A1096" s="4">
        <v>46063</v>
      </c>
      <c r="B1096" s="5">
        <v>117.69</v>
      </c>
      <c r="C1096" s="5">
        <v>118.18</v>
      </c>
      <c r="D1096" s="5">
        <v>116.1</v>
      </c>
      <c r="E1096" s="5">
        <v>117.15</v>
      </c>
      <c r="F1096" s="6">
        <v>11849550</v>
      </c>
    </row>
    <row r="1097" spans="1:6" x14ac:dyDescent="0.2">
      <c r="A1097" s="4">
        <v>46064</v>
      </c>
      <c r="B1097" s="5">
        <v>117.04</v>
      </c>
      <c r="C1097" s="5">
        <v>119.36</v>
      </c>
      <c r="D1097" s="5">
        <v>116.31</v>
      </c>
      <c r="E1097" s="5">
        <v>119.31</v>
      </c>
      <c r="F1097" s="6">
        <v>10885290</v>
      </c>
    </row>
    <row r="1098" spans="1:6" x14ac:dyDescent="0.2">
      <c r="A1098" s="4">
        <v>46065</v>
      </c>
      <c r="B1098" s="5">
        <v>119.01</v>
      </c>
      <c r="C1098" s="5">
        <v>121.61</v>
      </c>
      <c r="D1098" s="5">
        <v>118.12479999999999</v>
      </c>
      <c r="E1098" s="5">
        <v>119.24</v>
      </c>
      <c r="F1098" s="6">
        <v>13453270</v>
      </c>
    </row>
    <row r="1099" spans="1:6" x14ac:dyDescent="0.2">
      <c r="A1099" s="4">
        <v>46066</v>
      </c>
      <c r="B1099" s="5">
        <v>121.5</v>
      </c>
      <c r="C1099" s="5">
        <v>123.33</v>
      </c>
      <c r="D1099" s="5">
        <v>121.03</v>
      </c>
      <c r="E1099" s="5">
        <v>121.41</v>
      </c>
      <c r="F1099" s="6">
        <v>10102320</v>
      </c>
    </row>
    <row r="1100" spans="1:6" x14ac:dyDescent="0.2">
      <c r="A1100" s="4">
        <v>46070</v>
      </c>
      <c r="B1100" s="5">
        <v>122.355</v>
      </c>
      <c r="C1100" s="5">
        <v>123.08</v>
      </c>
      <c r="D1100" s="5">
        <v>120.795</v>
      </c>
      <c r="E1100" s="5">
        <v>121.57</v>
      </c>
      <c r="F1100" s="6">
        <v>9899761</v>
      </c>
    </row>
    <row r="1101" spans="1:6" x14ac:dyDescent="0.2">
      <c r="A1101" s="4">
        <v>46071</v>
      </c>
      <c r="B1101" s="5">
        <v>121.25</v>
      </c>
      <c r="C1101" s="5">
        <v>121.81</v>
      </c>
      <c r="D1101" s="5">
        <v>120.39</v>
      </c>
      <c r="E1101" s="5">
        <v>121.66</v>
      </c>
      <c r="F1101" s="6">
        <v>7803418</v>
      </c>
    </row>
    <row r="1102" spans="1:6" x14ac:dyDescent="0.2">
      <c r="A1102" s="4">
        <v>46072</v>
      </c>
      <c r="B1102" s="5">
        <v>121.4</v>
      </c>
      <c r="C1102" s="5">
        <v>122.6</v>
      </c>
      <c r="D1102" s="5">
        <v>120.5</v>
      </c>
      <c r="E1102" s="5">
        <v>121.86</v>
      </c>
      <c r="F1102" s="6">
        <v>8933309</v>
      </c>
    </row>
    <row r="1103" spans="1:6" x14ac:dyDescent="0.2">
      <c r="A1103" s="4">
        <v>46073</v>
      </c>
      <c r="B1103" s="5">
        <v>122.64</v>
      </c>
      <c r="C1103" s="5">
        <v>122.69499999999999</v>
      </c>
      <c r="D1103" s="5">
        <v>120.6</v>
      </c>
      <c r="E1103" s="5">
        <v>122.26</v>
      </c>
      <c r="F1103" s="6">
        <v>9442855</v>
      </c>
    </row>
    <row r="1104" spans="1:6" x14ac:dyDescent="0.2">
      <c r="A1104" s="4">
        <v>46076</v>
      </c>
      <c r="B1104" s="5">
        <v>122.31</v>
      </c>
      <c r="C1104" s="5">
        <v>124.19</v>
      </c>
      <c r="D1104" s="5">
        <v>121.503</v>
      </c>
      <c r="E1104" s="5">
        <v>123.82</v>
      </c>
      <c r="F1104" s="6">
        <v>9661094</v>
      </c>
    </row>
    <row r="1105" spans="1:6" x14ac:dyDescent="0.2">
      <c r="A1105" s="4">
        <v>46077</v>
      </c>
      <c r="B1105" s="5">
        <v>123.41</v>
      </c>
      <c r="C1105" s="5">
        <v>124.84</v>
      </c>
      <c r="D1105" s="5">
        <v>122.6301</v>
      </c>
      <c r="E1105" s="5">
        <v>123.93</v>
      </c>
      <c r="F1105" s="6">
        <v>8460699</v>
      </c>
    </row>
    <row r="1106" spans="1:6" x14ac:dyDescent="0.2">
      <c r="A1106" s="4">
        <v>46078</v>
      </c>
      <c r="B1106" s="5">
        <v>124.01</v>
      </c>
      <c r="C1106" s="5">
        <v>125.14</v>
      </c>
      <c r="D1106" s="5">
        <v>122.26009999999999</v>
      </c>
      <c r="E1106" s="5">
        <v>122.46</v>
      </c>
      <c r="F1106" s="6">
        <v>11082460</v>
      </c>
    </row>
    <row r="1107" spans="1:6" x14ac:dyDescent="0.2">
      <c r="A1107" s="4">
        <v>46079</v>
      </c>
      <c r="B1107" s="5">
        <v>122.4</v>
      </c>
      <c r="C1107" s="5">
        <v>122.5</v>
      </c>
      <c r="D1107" s="5">
        <v>119</v>
      </c>
      <c r="E1107" s="5">
        <v>119.3</v>
      </c>
      <c r="F1107" s="6">
        <v>10327290</v>
      </c>
    </row>
    <row r="1108" spans="1:6" x14ac:dyDescent="0.2">
      <c r="A1108" s="4">
        <v>46080</v>
      </c>
      <c r="B1108" s="5">
        <v>119.68</v>
      </c>
      <c r="C1108" s="5">
        <v>124</v>
      </c>
      <c r="D1108" s="5">
        <v>119.68</v>
      </c>
      <c r="E1108" s="5">
        <v>123.82</v>
      </c>
      <c r="F1108" s="6">
        <v>17636440</v>
      </c>
    </row>
    <row r="1109" spans="1:6" x14ac:dyDescent="0.2">
      <c r="A1109" s="4">
        <v>46083</v>
      </c>
      <c r="B1109" s="5">
        <v>123.51</v>
      </c>
      <c r="C1109" s="5">
        <v>123.7</v>
      </c>
      <c r="D1109" s="5">
        <v>121.04</v>
      </c>
      <c r="E1109" s="5">
        <v>121.41</v>
      </c>
      <c r="F1109" s="6">
        <v>11564490</v>
      </c>
    </row>
    <row r="1110" spans="1:6" x14ac:dyDescent="0.2">
      <c r="A1110" s="4">
        <v>46084</v>
      </c>
      <c r="B1110" s="5">
        <v>119.67</v>
      </c>
      <c r="C1110" s="5">
        <v>120.97</v>
      </c>
      <c r="D1110" s="5">
        <v>118.61</v>
      </c>
      <c r="E1110" s="5">
        <v>119.83</v>
      </c>
      <c r="F1110" s="6">
        <v>9334139</v>
      </c>
    </row>
    <row r="1111" spans="1:6" x14ac:dyDescent="0.2">
      <c r="A1111" s="4">
        <v>46085</v>
      </c>
      <c r="B1111" s="5">
        <v>119.43</v>
      </c>
      <c r="C1111" s="5">
        <v>120.87</v>
      </c>
      <c r="D1111" s="5">
        <v>117.86</v>
      </c>
      <c r="E1111" s="5">
        <v>120.28</v>
      </c>
      <c r="F1111" s="6">
        <v>6700910</v>
      </c>
    </row>
    <row r="1112" spans="1:6" x14ac:dyDescent="0.2">
      <c r="A1112" s="4">
        <v>46086</v>
      </c>
      <c r="B1112" s="5">
        <v>119.11</v>
      </c>
      <c r="C1112" s="5">
        <v>119.52500000000001</v>
      </c>
      <c r="D1112" s="5">
        <v>114.45</v>
      </c>
      <c r="E1112" s="5">
        <v>116.07</v>
      </c>
      <c r="F1112" s="6">
        <v>14524750</v>
      </c>
    </row>
    <row r="1113" spans="1:6" x14ac:dyDescent="0.2">
      <c r="A1113" s="4">
        <v>46087</v>
      </c>
      <c r="B1113" s="5">
        <v>115.155</v>
      </c>
      <c r="C1113" s="5">
        <v>116.36</v>
      </c>
      <c r="D1113" s="5">
        <v>113.82</v>
      </c>
      <c r="E1113" s="5">
        <v>115.79</v>
      </c>
      <c r="F1113" s="6">
        <v>12809310</v>
      </c>
    </row>
    <row r="1114" spans="1:6" x14ac:dyDescent="0.2">
      <c r="A1114" s="4">
        <v>46090</v>
      </c>
      <c r="B1114" s="5">
        <v>114.98</v>
      </c>
      <c r="C1114" s="5">
        <v>117.26</v>
      </c>
      <c r="D1114" s="5">
        <v>114.11</v>
      </c>
      <c r="E1114" s="5">
        <v>117.11</v>
      </c>
      <c r="F1114" s="6">
        <v>8321571</v>
      </c>
    </row>
    <row r="1115" spans="1:6" x14ac:dyDescent="0.2">
      <c r="A1115" s="4">
        <v>46091</v>
      </c>
      <c r="B1115" s="5">
        <v>117.24</v>
      </c>
      <c r="C1115" s="5">
        <v>119</v>
      </c>
      <c r="D1115" s="5">
        <v>116.67</v>
      </c>
      <c r="E1115" s="5">
        <v>117.09</v>
      </c>
      <c r="F1115" s="6">
        <v>9739257</v>
      </c>
    </row>
    <row r="1116" spans="1:6" x14ac:dyDescent="0.2">
      <c r="A1116" s="4">
        <v>46092</v>
      </c>
      <c r="B1116" s="5">
        <v>116.76</v>
      </c>
      <c r="C1116" s="5">
        <v>116.95</v>
      </c>
      <c r="D1116" s="5">
        <v>115.285</v>
      </c>
      <c r="E1116" s="5">
        <v>116.21</v>
      </c>
      <c r="F1116" s="6">
        <v>6769631</v>
      </c>
    </row>
    <row r="1117" spans="1:6" x14ac:dyDescent="0.2">
      <c r="A1117" s="4">
        <v>46093</v>
      </c>
      <c r="B1117" s="5">
        <v>115.465</v>
      </c>
      <c r="C1117" s="5">
        <v>116.6</v>
      </c>
      <c r="D1117" s="5">
        <v>114.3</v>
      </c>
      <c r="E1117" s="5">
        <v>115.91</v>
      </c>
      <c r="F1117" s="6">
        <v>8349180</v>
      </c>
    </row>
    <row r="1118" spans="1:6" x14ac:dyDescent="0.2">
      <c r="A1118" s="4">
        <v>46094</v>
      </c>
      <c r="B1118" s="5">
        <v>116.92</v>
      </c>
      <c r="C1118" s="5">
        <v>117.8947</v>
      </c>
      <c r="D1118" s="5">
        <v>115.53</v>
      </c>
      <c r="E1118" s="5">
        <v>115.61</v>
      </c>
      <c r="F1118" s="6">
        <v>7111035</v>
      </c>
    </row>
    <row r="1119" spans="1:6" x14ac:dyDescent="0.2">
      <c r="A1119" s="4">
        <v>46097</v>
      </c>
      <c r="B1119" s="5">
        <v>115.34</v>
      </c>
      <c r="C1119" s="5">
        <v>116.06</v>
      </c>
      <c r="D1119" s="5">
        <v>114.22</v>
      </c>
      <c r="E1119" s="5">
        <v>115.43</v>
      </c>
      <c r="F1119" s="6">
        <v>8785305</v>
      </c>
    </row>
    <row r="1120" spans="1:6" x14ac:dyDescent="0.2">
      <c r="A1120" s="4">
        <v>46098</v>
      </c>
      <c r="B1120" s="5">
        <v>115.78</v>
      </c>
      <c r="C1120" s="5">
        <v>116.8</v>
      </c>
      <c r="D1120" s="5">
        <v>114.38</v>
      </c>
      <c r="E1120" s="5">
        <v>115.87</v>
      </c>
      <c r="F1120" s="6">
        <v>7952157</v>
      </c>
    </row>
    <row r="1121" spans="1:6" x14ac:dyDescent="0.2">
      <c r="A1121" s="4">
        <v>46099</v>
      </c>
      <c r="B1121" s="5">
        <v>115.06</v>
      </c>
      <c r="C1121" s="5">
        <v>115.56</v>
      </c>
      <c r="D1121" s="5">
        <v>113.345</v>
      </c>
      <c r="E1121" s="5">
        <v>114.5</v>
      </c>
      <c r="F1121" s="6">
        <v>6736269</v>
      </c>
    </row>
    <row r="1122" spans="1:6" x14ac:dyDescent="0.2">
      <c r="A1122" s="4">
        <v>46100</v>
      </c>
      <c r="B1122" s="5">
        <v>114.66</v>
      </c>
      <c r="C1122" s="5">
        <v>115.76</v>
      </c>
      <c r="D1122" s="5">
        <v>113.75</v>
      </c>
      <c r="E1122" s="5">
        <v>114.2</v>
      </c>
      <c r="F1122" s="6">
        <v>8383761</v>
      </c>
    </row>
    <row r="1123" spans="1:6" x14ac:dyDescent="0.2">
      <c r="A1123" s="4">
        <v>46101</v>
      </c>
      <c r="B1123" s="5">
        <v>114.245</v>
      </c>
      <c r="C1123" s="5">
        <v>115.18</v>
      </c>
      <c r="D1123" s="5">
        <v>112.72</v>
      </c>
      <c r="E1123" s="5">
        <v>114.18</v>
      </c>
      <c r="F1123" s="6">
        <v>36355420</v>
      </c>
    </row>
    <row r="1124" spans="1:6" x14ac:dyDescent="0.2">
      <c r="A1124" s="4">
        <v>46104</v>
      </c>
      <c r="B1124" s="5">
        <v>116.17</v>
      </c>
      <c r="C1124" s="5">
        <v>116.47</v>
      </c>
      <c r="D1124" s="5">
        <v>114.77</v>
      </c>
      <c r="E1124" s="5">
        <v>115.68</v>
      </c>
      <c r="F1124" s="6">
        <v>9096367</v>
      </c>
    </row>
    <row r="1125" spans="1:6" x14ac:dyDescent="0.2">
      <c r="A1125" s="4">
        <v>46105</v>
      </c>
      <c r="B1125" s="5">
        <v>114.7</v>
      </c>
      <c r="C1125" s="5">
        <v>116.54</v>
      </c>
      <c r="D1125" s="5">
        <v>114.02</v>
      </c>
      <c r="E1125" s="5">
        <v>116.37</v>
      </c>
      <c r="F1125" s="6">
        <v>7411878</v>
      </c>
    </row>
    <row r="1126" spans="1:6" x14ac:dyDescent="0.2">
      <c r="A1126" s="4">
        <v>46106</v>
      </c>
      <c r="B1126" s="5">
        <v>117.3</v>
      </c>
      <c r="C1126" s="5">
        <v>120.12</v>
      </c>
      <c r="D1126" s="5">
        <v>116.79519999999999</v>
      </c>
      <c r="E1126" s="5">
        <v>119.37</v>
      </c>
      <c r="F1126" s="6">
        <v>10220310</v>
      </c>
    </row>
    <row r="1127" spans="1:6" x14ac:dyDescent="0.2">
      <c r="A1127" s="4">
        <v>46107</v>
      </c>
      <c r="B1127" s="5">
        <v>118.955</v>
      </c>
      <c r="C1127" s="5">
        <v>120.06</v>
      </c>
      <c r="D1127" s="5">
        <v>118.65</v>
      </c>
      <c r="E1127" s="5">
        <v>118.93</v>
      </c>
      <c r="F1127" s="6">
        <v>6497238</v>
      </c>
    </row>
    <row r="1128" spans="1:6" x14ac:dyDescent="0.2">
      <c r="A1128" s="4">
        <v>46108</v>
      </c>
      <c r="B1128" s="5">
        <v>119.285</v>
      </c>
      <c r="C1128" s="5">
        <v>121.07</v>
      </c>
      <c r="D1128" s="5">
        <v>118.6</v>
      </c>
      <c r="E1128" s="5">
        <v>119.63</v>
      </c>
      <c r="F1128" s="6">
        <v>8345762</v>
      </c>
    </row>
    <row r="1129" spans="1:6" x14ac:dyDescent="0.2">
      <c r="A1129" s="4">
        <v>46111</v>
      </c>
      <c r="B1129" s="5">
        <v>120.565</v>
      </c>
      <c r="C1129" s="5">
        <v>121.64</v>
      </c>
      <c r="D1129" s="5">
        <v>117.22</v>
      </c>
      <c r="E1129" s="5">
        <v>118.1</v>
      </c>
      <c r="F1129" s="6">
        <v>11083960</v>
      </c>
    </row>
    <row r="1130" spans="1:6" x14ac:dyDescent="0.2">
      <c r="A1130" s="4">
        <v>46112</v>
      </c>
      <c r="B1130" s="5">
        <v>119.03</v>
      </c>
      <c r="C1130" s="5">
        <v>121.27</v>
      </c>
      <c r="D1130" s="5">
        <v>118.77</v>
      </c>
      <c r="E1130" s="5">
        <v>120.29</v>
      </c>
      <c r="F1130" s="6">
        <v>10713330</v>
      </c>
    </row>
    <row r="1131" spans="1:6" x14ac:dyDescent="0.2">
      <c r="A1131" s="4">
        <v>46113</v>
      </c>
      <c r="B1131" s="5">
        <v>120.88</v>
      </c>
      <c r="C1131" s="5">
        <v>122.19</v>
      </c>
      <c r="D1131" s="5">
        <v>120.27</v>
      </c>
      <c r="E1131" s="5">
        <v>120.84</v>
      </c>
      <c r="F1131" s="6">
        <v>6351678</v>
      </c>
    </row>
    <row r="1132" spans="1:6" x14ac:dyDescent="0.2">
      <c r="A1132" s="4">
        <v>46114</v>
      </c>
      <c r="B1132" s="5">
        <v>120.37</v>
      </c>
      <c r="C1132" s="5">
        <v>121.65</v>
      </c>
      <c r="D1132" s="5">
        <v>119.22</v>
      </c>
      <c r="E1132" s="5">
        <v>120.87</v>
      </c>
      <c r="F1132" s="6">
        <v>6387888</v>
      </c>
    </row>
    <row r="1133" spans="1:6" x14ac:dyDescent="0.2">
      <c r="A1133" s="4">
        <v>46118</v>
      </c>
      <c r="B1133" s="5">
        <v>120.41</v>
      </c>
      <c r="C1133" s="5">
        <v>121.48</v>
      </c>
      <c r="D1133" s="5">
        <v>120.04</v>
      </c>
      <c r="E1133" s="5">
        <v>120.85</v>
      </c>
      <c r="F1133" s="6">
        <v>4890475</v>
      </c>
    </row>
    <row r="1134" spans="1:6" x14ac:dyDescent="0.2">
      <c r="A1134" s="4">
        <v>46119</v>
      </c>
      <c r="B1134" s="5">
        <v>119.56</v>
      </c>
      <c r="C1134" s="5">
        <v>119.56</v>
      </c>
      <c r="D1134" s="5">
        <v>116.5</v>
      </c>
      <c r="E1134" s="5">
        <v>119.28</v>
      </c>
      <c r="F1134" s="6">
        <v>11376370</v>
      </c>
    </row>
    <row r="1135" spans="1:6" x14ac:dyDescent="0.2">
      <c r="A1135" s="4">
        <v>46120</v>
      </c>
      <c r="B1135" s="5">
        <v>119.6</v>
      </c>
      <c r="C1135" s="5">
        <v>123.63</v>
      </c>
      <c r="D1135" s="5">
        <v>117.94</v>
      </c>
      <c r="E1135" s="5">
        <v>123.18</v>
      </c>
      <c r="F1135" s="6">
        <v>9256857</v>
      </c>
    </row>
    <row r="1136" spans="1:6" x14ac:dyDescent="0.2">
      <c r="A1136" s="4">
        <v>46121</v>
      </c>
      <c r="B1136" s="5">
        <v>122.9</v>
      </c>
      <c r="C1136" s="5">
        <v>124</v>
      </c>
      <c r="D1136" s="5">
        <v>121.35</v>
      </c>
      <c r="E1136" s="5">
        <v>122.68</v>
      </c>
      <c r="F1136" s="6">
        <v>8666348</v>
      </c>
    </row>
    <row r="1137" spans="1:6" x14ac:dyDescent="0.2">
      <c r="A1137" s="4">
        <v>46122</v>
      </c>
      <c r="B1137" s="5">
        <v>122.96</v>
      </c>
      <c r="C1137" s="5">
        <v>123.01</v>
      </c>
      <c r="D1137" s="5">
        <v>120.95</v>
      </c>
      <c r="E1137" s="5">
        <v>121.42</v>
      </c>
      <c r="F1137" s="6">
        <v>9706972</v>
      </c>
    </row>
    <row r="1138" spans="1:6" x14ac:dyDescent="0.2">
      <c r="A1138" s="4">
        <v>46125</v>
      </c>
      <c r="B1138" s="5">
        <v>121.03</v>
      </c>
      <c r="C1138" s="5">
        <v>121.3</v>
      </c>
      <c r="D1138" s="5">
        <v>119.05500000000001</v>
      </c>
      <c r="E1138" s="5">
        <v>120.15</v>
      </c>
      <c r="F1138" s="6">
        <v>6357339</v>
      </c>
    </row>
    <row r="1139" spans="1:6" x14ac:dyDescent="0.2">
      <c r="A1139" s="4">
        <v>46126</v>
      </c>
      <c r="B1139" s="5">
        <v>119.03</v>
      </c>
      <c r="C1139" s="5">
        <v>120.36</v>
      </c>
      <c r="D1139" s="5">
        <v>118.15</v>
      </c>
      <c r="E1139" s="5">
        <v>119.96</v>
      </c>
      <c r="F1139" s="6">
        <v>12449440</v>
      </c>
    </row>
    <row r="1140" spans="1:6" x14ac:dyDescent="0.2">
      <c r="A1140" s="4">
        <v>46127</v>
      </c>
      <c r="B1140" s="5">
        <v>119.795</v>
      </c>
      <c r="C1140" s="5">
        <v>120.25</v>
      </c>
      <c r="D1140" s="5">
        <v>116.63500000000001</v>
      </c>
      <c r="E1140" s="5">
        <v>117.9</v>
      </c>
      <c r="F1140" s="6">
        <v>7689371</v>
      </c>
    </row>
    <row r="1141" spans="1:6" x14ac:dyDescent="0.2">
      <c r="A1141" s="4">
        <v>46128</v>
      </c>
      <c r="B1141" s="5">
        <v>117.13</v>
      </c>
      <c r="C1141" s="5">
        <v>117.85</v>
      </c>
      <c r="D1141" s="5">
        <v>114.71</v>
      </c>
      <c r="E1141" s="5">
        <v>115.46</v>
      </c>
      <c r="F1141" s="6">
        <v>11399890</v>
      </c>
    </row>
    <row r="1142" spans="1:6" x14ac:dyDescent="0.2">
      <c r="A1142" s="4">
        <v>46129</v>
      </c>
      <c r="B1142" s="5">
        <v>115.56</v>
      </c>
      <c r="C1142" s="5">
        <v>119.2</v>
      </c>
      <c r="D1142" s="5">
        <v>115.56</v>
      </c>
      <c r="E1142" s="5">
        <v>119.07</v>
      </c>
      <c r="F1142" s="6">
        <v>16194900</v>
      </c>
    </row>
    <row r="1143" spans="1:6" x14ac:dyDescent="0.2">
      <c r="A1143" s="4">
        <v>46132</v>
      </c>
      <c r="B1143" s="5">
        <v>119.15</v>
      </c>
      <c r="C1143" s="5">
        <v>119.36</v>
      </c>
      <c r="D1143" s="5">
        <v>116.75</v>
      </c>
      <c r="E1143" s="5">
        <v>117.1</v>
      </c>
      <c r="F1143" s="6">
        <v>7392032</v>
      </c>
    </row>
    <row r="1144" spans="1:6" x14ac:dyDescent="0.2">
      <c r="A1144" s="4">
        <v>46133</v>
      </c>
      <c r="B1144" s="5">
        <v>116.49</v>
      </c>
      <c r="C1144" s="5">
        <v>116.52500000000001</v>
      </c>
      <c r="D1144" s="5">
        <v>111.91</v>
      </c>
      <c r="E1144" s="5">
        <v>112.56</v>
      </c>
      <c r="F1144" s="6">
        <v>12769520</v>
      </c>
    </row>
    <row r="1145" spans="1:6" x14ac:dyDescent="0.2">
      <c r="A1145" s="4">
        <v>46134</v>
      </c>
      <c r="B1145" s="5">
        <v>112.605</v>
      </c>
      <c r="C1145" s="5">
        <v>113.51</v>
      </c>
      <c r="D1145" s="5">
        <v>111.54</v>
      </c>
      <c r="E1145" s="5">
        <v>112.89</v>
      </c>
      <c r="F1145" s="6">
        <v>8037515</v>
      </c>
    </row>
    <row r="1146" spans="1:6" x14ac:dyDescent="0.2">
      <c r="A1146" s="4">
        <v>46135</v>
      </c>
      <c r="B1146" s="5">
        <v>113.36499999999999</v>
      </c>
      <c r="C1146" s="5">
        <v>115.01990000000001</v>
      </c>
      <c r="D1146" s="5">
        <v>113.1001</v>
      </c>
      <c r="E1146" s="5">
        <v>114.62</v>
      </c>
      <c r="F1146" s="6">
        <v>6826250</v>
      </c>
    </row>
    <row r="1147" spans="1:6" x14ac:dyDescent="0.2">
      <c r="A1147" s="4">
        <v>46136</v>
      </c>
      <c r="B1147" s="5">
        <v>113.74</v>
      </c>
      <c r="C1147" s="5">
        <v>114.03</v>
      </c>
      <c r="D1147" s="5">
        <v>111.5</v>
      </c>
      <c r="E1147" s="5">
        <v>111.9</v>
      </c>
      <c r="F1147" s="6">
        <v>7060014</v>
      </c>
    </row>
    <row r="1148" spans="1:6" x14ac:dyDescent="0.2">
      <c r="A1148" s="4">
        <v>46139</v>
      </c>
      <c r="B1148" s="5">
        <v>111.22</v>
      </c>
      <c r="C1148" s="5">
        <v>112.7487</v>
      </c>
      <c r="D1148" s="5">
        <v>110.14</v>
      </c>
      <c r="E1148" s="5">
        <v>110.23</v>
      </c>
      <c r="F1148" s="6">
        <v>9133637</v>
      </c>
    </row>
    <row r="1149" spans="1:6" x14ac:dyDescent="0.2">
      <c r="A1149" s="4">
        <v>46140</v>
      </c>
      <c r="B1149" s="5">
        <v>111.52</v>
      </c>
      <c r="C1149" s="5">
        <v>111.905</v>
      </c>
      <c r="D1149" s="5">
        <v>109.705</v>
      </c>
      <c r="E1149" s="5">
        <v>110.03</v>
      </c>
      <c r="F1149" s="6">
        <v>7157568</v>
      </c>
    </row>
    <row r="1150" spans="1:6" x14ac:dyDescent="0.2">
      <c r="A1150" s="4">
        <v>46141</v>
      </c>
      <c r="B1150" s="5">
        <v>108.55</v>
      </c>
      <c r="C1150" s="5">
        <v>111.22499999999999</v>
      </c>
      <c r="D1150" s="5">
        <v>107.9</v>
      </c>
      <c r="E1150" s="5">
        <v>110.95</v>
      </c>
      <c r="F1150" s="6">
        <v>9769879</v>
      </c>
    </row>
    <row r="1151" spans="1:6" x14ac:dyDescent="0.2">
      <c r="A1151" s="4">
        <v>46142</v>
      </c>
      <c r="B1151" s="5">
        <v>109.34</v>
      </c>
      <c r="C1151" s="5">
        <v>112.24</v>
      </c>
      <c r="D1151" s="5">
        <v>108.63</v>
      </c>
      <c r="E1151" s="5">
        <v>109.18</v>
      </c>
      <c r="F1151" s="6">
        <v>17131230</v>
      </c>
    </row>
    <row r="1152" spans="1:6" x14ac:dyDescent="0.2">
      <c r="A1152" s="4">
        <v>46143</v>
      </c>
      <c r="B1152" s="5">
        <v>112.33</v>
      </c>
      <c r="C1152" s="5">
        <v>114.54</v>
      </c>
      <c r="D1152" s="5">
        <v>111.88</v>
      </c>
      <c r="E1152" s="5">
        <v>112.16</v>
      </c>
      <c r="F1152" s="6">
        <v>11953720</v>
      </c>
    </row>
    <row r="1153" spans="1:6" x14ac:dyDescent="0.2">
      <c r="A1153" s="4">
        <v>46146</v>
      </c>
      <c r="B1153" s="5">
        <v>111.41</v>
      </c>
      <c r="C1153" s="5">
        <v>114.62</v>
      </c>
      <c r="D1153" s="5">
        <v>110.75</v>
      </c>
      <c r="E1153" s="5">
        <v>113.11</v>
      </c>
      <c r="F1153" s="6">
        <v>7659082</v>
      </c>
    </row>
    <row r="1154" spans="1:6" x14ac:dyDescent="0.2">
      <c r="A1154" s="4">
        <v>46147</v>
      </c>
      <c r="B1154" s="5">
        <v>113.67</v>
      </c>
      <c r="C1154" s="5">
        <v>114.07</v>
      </c>
      <c r="D1154" s="5">
        <v>112.83</v>
      </c>
      <c r="E1154" s="5">
        <v>113.15</v>
      </c>
      <c r="F1154" s="6">
        <v>7910399</v>
      </c>
    </row>
    <row r="1155" spans="1:6" x14ac:dyDescent="0.2">
      <c r="A1155" s="4">
        <v>46148</v>
      </c>
      <c r="B1155" s="5">
        <v>113.15</v>
      </c>
      <c r="C1155" s="5">
        <v>114.485</v>
      </c>
      <c r="D1155" s="5">
        <v>112.74</v>
      </c>
      <c r="E1155" s="5">
        <v>113.56</v>
      </c>
      <c r="F1155" s="6">
        <v>7256078</v>
      </c>
    </row>
    <row r="1156" spans="1:6" x14ac:dyDescent="0.2">
      <c r="A1156" s="4">
        <v>46149</v>
      </c>
      <c r="B1156" s="5">
        <v>113.51</v>
      </c>
      <c r="C1156" s="5">
        <v>113.75</v>
      </c>
      <c r="D1156" s="5">
        <v>111.1001</v>
      </c>
      <c r="E1156" s="5">
        <v>112.3</v>
      </c>
      <c r="F1156" s="6">
        <v>7329028</v>
      </c>
    </row>
    <row r="1157" spans="1:6" x14ac:dyDescent="0.2">
      <c r="A1157" s="4">
        <v>46150</v>
      </c>
      <c r="B1157" s="5">
        <v>112.38</v>
      </c>
      <c r="C1157" s="5">
        <v>113.01</v>
      </c>
      <c r="D1157" s="5">
        <v>111.18</v>
      </c>
      <c r="E1157" s="5">
        <v>111.38</v>
      </c>
      <c r="F1157" s="6">
        <v>5725143</v>
      </c>
    </row>
    <row r="1158" spans="1:6" x14ac:dyDescent="0.2">
      <c r="A1158" s="4">
        <v>46153</v>
      </c>
      <c r="B1158" s="5">
        <v>112.15300000000001</v>
      </c>
      <c r="C1158" s="5">
        <v>113.68</v>
      </c>
      <c r="D1158" s="5">
        <v>111.01</v>
      </c>
      <c r="E1158" s="5">
        <v>111.28</v>
      </c>
      <c r="F1158" s="6">
        <v>7750595</v>
      </c>
    </row>
    <row r="1159" spans="1:6" x14ac:dyDescent="0.2">
      <c r="A1159" s="4">
        <v>46154</v>
      </c>
      <c r="B1159" s="5">
        <v>111.5</v>
      </c>
      <c r="C1159" s="5">
        <v>113.69</v>
      </c>
      <c r="D1159" s="5">
        <v>111.39</v>
      </c>
      <c r="E1159" s="5">
        <v>112.37</v>
      </c>
      <c r="F1159" s="6">
        <v>9117391</v>
      </c>
    </row>
    <row r="1160" spans="1:6" x14ac:dyDescent="0.2">
      <c r="A1160" s="4">
        <v>46155</v>
      </c>
      <c r="B1160" s="5">
        <v>112.25</v>
      </c>
      <c r="C1160" s="5">
        <v>114.065</v>
      </c>
      <c r="D1160" s="5">
        <v>112.04</v>
      </c>
      <c r="E1160" s="5">
        <v>113.45</v>
      </c>
      <c r="F1160" s="6">
        <v>8110464</v>
      </c>
    </row>
    <row r="1161" spans="1:6" x14ac:dyDescent="0.2">
      <c r="A1161" s="4">
        <v>46156</v>
      </c>
      <c r="B1161" s="5">
        <v>113.63</v>
      </c>
      <c r="C1161" s="5">
        <v>113.9</v>
      </c>
      <c r="D1161" s="5">
        <v>112.565</v>
      </c>
      <c r="E1161" s="5">
        <v>113.41</v>
      </c>
      <c r="F1161" s="6">
        <v>5284176</v>
      </c>
    </row>
    <row r="1162" spans="1:6" x14ac:dyDescent="0.2">
      <c r="A1162" s="4">
        <v>46157</v>
      </c>
      <c r="B1162" s="5">
        <v>113.9</v>
      </c>
      <c r="C1162" s="5">
        <v>113.93</v>
      </c>
      <c r="D1162" s="5">
        <v>110.94</v>
      </c>
      <c r="E1162" s="5">
        <v>111.38</v>
      </c>
      <c r="F1162" s="6">
        <v>10028860</v>
      </c>
    </row>
    <row r="1163" spans="1:6" x14ac:dyDescent="0.2">
      <c r="A1163" s="4">
        <v>46160</v>
      </c>
      <c r="B1163" s="5">
        <v>111.43</v>
      </c>
      <c r="C1163" s="5">
        <v>112.88500000000001</v>
      </c>
      <c r="D1163" s="5">
        <v>110.97</v>
      </c>
      <c r="E1163" s="5">
        <v>112.56</v>
      </c>
      <c r="F1163" s="6">
        <v>8047204</v>
      </c>
    </row>
    <row r="1164" spans="1:6" x14ac:dyDescent="0.2">
      <c r="A1164" s="4">
        <v>46161</v>
      </c>
      <c r="B1164" s="5">
        <v>112.56</v>
      </c>
      <c r="C1164" s="5">
        <v>115.1</v>
      </c>
      <c r="D1164" s="5">
        <v>112.13</v>
      </c>
      <c r="E1164" s="5">
        <v>114.24</v>
      </c>
      <c r="F1164" s="6">
        <v>7555354</v>
      </c>
    </row>
    <row r="1165" spans="1:6" x14ac:dyDescent="0.2">
      <c r="A1165" s="4">
        <v>46162</v>
      </c>
      <c r="B1165" s="5">
        <v>114.63</v>
      </c>
      <c r="C1165" s="5">
        <v>114.95</v>
      </c>
      <c r="D1165" s="5">
        <v>112.90300000000001</v>
      </c>
      <c r="E1165" s="5">
        <v>113</v>
      </c>
      <c r="F1165" s="6">
        <v>9130578</v>
      </c>
    </row>
    <row r="1166" spans="1:6" x14ac:dyDescent="0.2">
      <c r="A1166" s="4">
        <v>46163</v>
      </c>
      <c r="B1166" s="5">
        <v>112.79</v>
      </c>
      <c r="C1166" s="5">
        <v>115.98</v>
      </c>
      <c r="D1166" s="5">
        <v>112.09</v>
      </c>
      <c r="E1166" s="5">
        <v>115.88</v>
      </c>
      <c r="F1166" s="6">
        <v>7402732</v>
      </c>
    </row>
    <row r="1167" spans="1:6" x14ac:dyDescent="0.2">
      <c r="A1167" s="4">
        <v>46164</v>
      </c>
      <c r="B1167" s="5">
        <v>120.55</v>
      </c>
      <c r="C1167" s="5">
        <v>122.655</v>
      </c>
      <c r="D1167" s="5">
        <v>120.075</v>
      </c>
      <c r="E1167" s="5">
        <v>122.41</v>
      </c>
      <c r="F1167" s="6">
        <v>14754580</v>
      </c>
    </row>
    <row r="1168" spans="1:6" x14ac:dyDescent="0.2">
      <c r="A1168" s="4">
        <v>46168</v>
      </c>
      <c r="B1168" s="5">
        <v>122.9</v>
      </c>
      <c r="C1168" s="5">
        <v>123.13</v>
      </c>
      <c r="D1168" s="5">
        <v>119.41</v>
      </c>
      <c r="E1168" s="5">
        <v>119.72</v>
      </c>
      <c r="F1168" s="6">
        <v>10012130</v>
      </c>
    </row>
    <row r="1169" spans="1:6" x14ac:dyDescent="0.2">
      <c r="A1169" s="4">
        <v>46169</v>
      </c>
      <c r="B1169" s="5">
        <v>119.82</v>
      </c>
      <c r="C1169" s="5">
        <v>122.4</v>
      </c>
      <c r="D1169" s="5">
        <v>119.78</v>
      </c>
      <c r="E1169" s="5">
        <v>120.24</v>
      </c>
      <c r="F1169" s="6">
        <v>7163192</v>
      </c>
    </row>
    <row r="1170" spans="1:6" x14ac:dyDescent="0.2">
      <c r="A1170" s="4">
        <v>46170</v>
      </c>
      <c r="B1170" s="5">
        <v>120.26</v>
      </c>
      <c r="C1170" s="5">
        <v>121.5</v>
      </c>
      <c r="D1170" s="5">
        <v>119.355</v>
      </c>
      <c r="E1170" s="5">
        <v>119.89</v>
      </c>
      <c r="F1170" s="6">
        <v>9260174</v>
      </c>
    </row>
    <row r="1171" spans="1:6" x14ac:dyDescent="0.2">
      <c r="A1171" s="4">
        <v>46171</v>
      </c>
      <c r="B1171" s="5">
        <v>119.65</v>
      </c>
      <c r="C1171" s="5">
        <v>120.67</v>
      </c>
      <c r="D1171" s="5">
        <v>118.19</v>
      </c>
      <c r="E1171" s="5">
        <v>118.72</v>
      </c>
      <c r="F1171" s="6">
        <v>16599390</v>
      </c>
    </row>
    <row r="1172" spans="1:6" x14ac:dyDescent="0.2">
      <c r="A1172" s="4">
        <v>46174</v>
      </c>
      <c r="B1172" s="5">
        <v>117.545</v>
      </c>
      <c r="C1172" s="5">
        <v>117.96</v>
      </c>
      <c r="D1172" s="5">
        <v>114.36</v>
      </c>
      <c r="E1172" s="5">
        <v>115.17</v>
      </c>
      <c r="F1172" s="6">
        <v>9406727</v>
      </c>
    </row>
    <row r="1173" spans="1:6" x14ac:dyDescent="0.2">
      <c r="A1173" s="4">
        <v>46175</v>
      </c>
      <c r="B1173" s="5">
        <v>114.5</v>
      </c>
      <c r="C1173" s="5">
        <v>116.7799</v>
      </c>
      <c r="D1173" s="5">
        <v>114.5</v>
      </c>
      <c r="E1173" s="5">
        <v>115.65</v>
      </c>
      <c r="F1173" s="6">
        <v>8311471</v>
      </c>
    </row>
    <row r="1174" spans="1:6" x14ac:dyDescent="0.2">
      <c r="A1174" s="4">
        <v>46176</v>
      </c>
      <c r="B1174" s="5">
        <v>115.44499999999999</v>
      </c>
      <c r="C1174" s="5">
        <v>117.33</v>
      </c>
      <c r="D1174" s="5">
        <v>114.7</v>
      </c>
      <c r="E1174" s="5">
        <v>114.7</v>
      </c>
      <c r="F1174" s="6">
        <v>8225149</v>
      </c>
    </row>
    <row r="1175" spans="1:6" x14ac:dyDescent="0.2">
      <c r="A1175" s="4">
        <v>46177</v>
      </c>
      <c r="B1175" s="5">
        <v>117.16</v>
      </c>
      <c r="C1175" s="5">
        <v>120.55</v>
      </c>
      <c r="D1175" s="5">
        <v>117.09</v>
      </c>
      <c r="E1175" s="5">
        <v>120.26</v>
      </c>
      <c r="F1175" s="6">
        <v>15933950</v>
      </c>
    </row>
    <row r="1176" spans="1:6" x14ac:dyDescent="0.2">
      <c r="A1176" s="4">
        <v>46178</v>
      </c>
      <c r="B1176" s="5">
        <v>120.935</v>
      </c>
      <c r="C1176" s="5">
        <v>123.46</v>
      </c>
      <c r="D1176" s="5">
        <v>120.36</v>
      </c>
      <c r="E1176" s="5">
        <v>120.79</v>
      </c>
      <c r="F1176" s="6">
        <v>15967210</v>
      </c>
    </row>
    <row r="1177" spans="1:6" x14ac:dyDescent="0.2">
      <c r="A1177" s="4">
        <v>46181</v>
      </c>
      <c r="B1177" s="5">
        <v>120.85</v>
      </c>
      <c r="C1177" s="5">
        <v>122.6</v>
      </c>
      <c r="D1177" s="5">
        <v>118.69</v>
      </c>
      <c r="E1177" s="5">
        <v>119.52</v>
      </c>
      <c r="F1177" s="6">
        <v>12312220</v>
      </c>
    </row>
    <row r="1178" spans="1:6" x14ac:dyDescent="0.2">
      <c r="A1178" s="4">
        <v>46182</v>
      </c>
      <c r="B1178" s="5">
        <v>120.03</v>
      </c>
      <c r="C1178" s="5">
        <v>120.5</v>
      </c>
      <c r="D1178" s="5">
        <v>118</v>
      </c>
      <c r="E1178" s="5">
        <v>119.6</v>
      </c>
      <c r="F1178" s="6">
        <v>9669142</v>
      </c>
    </row>
    <row r="1179" spans="1:6" x14ac:dyDescent="0.2">
      <c r="A1179" s="4">
        <v>46183</v>
      </c>
      <c r="B1179" s="5">
        <v>119.78</v>
      </c>
      <c r="C1179" s="5">
        <v>120.04</v>
      </c>
      <c r="D1179" s="5">
        <v>117.26009999999999</v>
      </c>
      <c r="E1179" s="5">
        <v>119.09</v>
      </c>
      <c r="F1179" s="6">
        <v>10302110</v>
      </c>
    </row>
    <row r="1180" spans="1:6" x14ac:dyDescent="0.2">
      <c r="A1180" s="4">
        <v>46184</v>
      </c>
      <c r="B1180" s="5">
        <v>120.04</v>
      </c>
      <c r="C1180" s="5">
        <v>122.71</v>
      </c>
      <c r="D1180" s="5">
        <v>119.95</v>
      </c>
      <c r="E1180" s="5">
        <v>120.76</v>
      </c>
      <c r="F1180" s="6">
        <v>13180280</v>
      </c>
    </row>
    <row r="1181" spans="1:6" x14ac:dyDescent="0.2">
      <c r="A1181" s="4">
        <v>46185</v>
      </c>
      <c r="B1181" s="5">
        <v>121.5</v>
      </c>
      <c r="C1181" s="5">
        <v>121.8999</v>
      </c>
      <c r="D1181" s="5">
        <v>118.83</v>
      </c>
      <c r="E1181" s="5">
        <v>119.05</v>
      </c>
      <c r="F1181" s="6">
        <v>10927110</v>
      </c>
    </row>
    <row r="1182" spans="1:6" x14ac:dyDescent="0.2">
      <c r="A1182" s="4">
        <v>46188</v>
      </c>
      <c r="B1182" s="5">
        <v>118.71</v>
      </c>
      <c r="C1182" s="5">
        <v>118.95</v>
      </c>
      <c r="D1182" s="5">
        <v>114.86499999999999</v>
      </c>
      <c r="E1182" s="5">
        <v>114.9</v>
      </c>
      <c r="F1182" s="6">
        <v>15395720</v>
      </c>
    </row>
    <row r="1183" spans="1:6" x14ac:dyDescent="0.2">
      <c r="A1183" s="4">
        <v>46189</v>
      </c>
      <c r="B1183" s="5">
        <v>115.88</v>
      </c>
      <c r="C1183" s="5">
        <v>115.9</v>
      </c>
      <c r="D1183" s="5">
        <v>113.57</v>
      </c>
      <c r="E1183" s="5">
        <v>115.17</v>
      </c>
      <c r="F1183" s="6">
        <v>10665450</v>
      </c>
    </row>
    <row r="1184" spans="1:6" x14ac:dyDescent="0.2">
      <c r="A1184" s="4">
        <v>46190</v>
      </c>
      <c r="B1184" s="5">
        <v>114.86</v>
      </c>
      <c r="C1184" s="5">
        <v>115.99</v>
      </c>
      <c r="D1184" s="5">
        <v>114.02</v>
      </c>
      <c r="E1184" s="5">
        <v>115.44</v>
      </c>
      <c r="F1184" s="6">
        <v>10459870</v>
      </c>
    </row>
    <row r="1185" spans="1:6" x14ac:dyDescent="0.2">
      <c r="A1185" s="4">
        <v>46191</v>
      </c>
      <c r="B1185" s="5">
        <v>114.64</v>
      </c>
      <c r="C1185" s="5">
        <v>114.94</v>
      </c>
      <c r="D1185" s="5">
        <v>111.57</v>
      </c>
      <c r="E1185" s="5">
        <v>113.87</v>
      </c>
      <c r="F1185" s="6">
        <v>29521620</v>
      </c>
    </row>
    <row r="1186" spans="1:6" x14ac:dyDescent="0.2">
      <c r="A1186" s="4">
        <v>46195</v>
      </c>
      <c r="B1186" s="5">
        <v>113.97</v>
      </c>
      <c r="C1186" s="5">
        <v>115.63</v>
      </c>
      <c r="D1186" s="5">
        <v>112.995</v>
      </c>
      <c r="E1186" s="5">
        <v>115.48</v>
      </c>
      <c r="F1186" s="6">
        <v>10521230</v>
      </c>
    </row>
    <row r="1187" spans="1:6" x14ac:dyDescent="0.2">
      <c r="A1187" s="4">
        <v>46196</v>
      </c>
      <c r="B1187" s="5">
        <v>116.52500000000001</v>
      </c>
      <c r="C1187" s="5">
        <v>119.8</v>
      </c>
      <c r="D1187" s="5">
        <v>116.52500000000001</v>
      </c>
      <c r="E1187" s="5">
        <v>119.6</v>
      </c>
      <c r="F1187" s="6">
        <v>10469260</v>
      </c>
    </row>
    <row r="1188" spans="1:6" x14ac:dyDescent="0.2">
      <c r="A1188" s="4">
        <v>46197</v>
      </c>
      <c r="B1188" s="5">
        <v>120.9</v>
      </c>
      <c r="C1188" s="5">
        <v>121.81</v>
      </c>
      <c r="D1188" s="5">
        <v>119.51</v>
      </c>
      <c r="E1188" s="5">
        <v>120.6</v>
      </c>
      <c r="F1188" s="6">
        <v>10478130</v>
      </c>
    </row>
    <row r="1189" spans="1:6" x14ac:dyDescent="0.2">
      <c r="A1189" s="4">
        <v>46198</v>
      </c>
      <c r="B1189" s="5">
        <v>121.63</v>
      </c>
      <c r="C1189" s="5">
        <v>125.9599</v>
      </c>
      <c r="D1189" s="5">
        <v>121</v>
      </c>
      <c r="E1189" s="5">
        <v>125.45</v>
      </c>
      <c r="F1189" s="6">
        <v>14049630</v>
      </c>
    </row>
    <row r="1190" spans="1:6" x14ac:dyDescent="0.2">
      <c r="A1190" s="4">
        <v>46199</v>
      </c>
      <c r="B1190" s="5">
        <v>125.83</v>
      </c>
      <c r="C1190" s="5">
        <v>128.78</v>
      </c>
      <c r="D1190" s="5">
        <v>125.83</v>
      </c>
      <c r="E1190" s="5">
        <v>128.66</v>
      </c>
      <c r="F1190" s="6">
        <v>18891530</v>
      </c>
    </row>
    <row r="1191" spans="1:6" x14ac:dyDescent="0.2">
      <c r="A1191" s="4">
        <v>46202</v>
      </c>
      <c r="B1191" s="5">
        <v>127.645</v>
      </c>
      <c r="C1191" s="5">
        <v>129.965</v>
      </c>
      <c r="D1191" s="5">
        <v>126.74</v>
      </c>
      <c r="E1191" s="5">
        <v>129.38</v>
      </c>
      <c r="F1191" s="6">
        <v>9584596</v>
      </c>
    </row>
    <row r="1192" spans="1:6" x14ac:dyDescent="0.2">
      <c r="A1192" s="4">
        <v>46203</v>
      </c>
      <c r="B1192" s="5">
        <v>129.215</v>
      </c>
      <c r="C1192" s="5">
        <v>130.29</v>
      </c>
      <c r="D1192" s="5">
        <v>126.68</v>
      </c>
      <c r="E1192" s="5">
        <v>128.5</v>
      </c>
      <c r="F1192" s="6">
        <v>11837220</v>
      </c>
    </row>
    <row r="1193" spans="1:6" x14ac:dyDescent="0.2">
      <c r="A1193" s="4">
        <v>46204</v>
      </c>
      <c r="B1193" s="5">
        <v>128.01</v>
      </c>
      <c r="C1193" s="5">
        <v>128.41990000000001</v>
      </c>
      <c r="D1193" s="5">
        <v>124.71</v>
      </c>
      <c r="E1193" s="5">
        <v>125.37</v>
      </c>
      <c r="F1193" s="6">
        <v>10761470</v>
      </c>
    </row>
    <row r="1194" spans="1:6" x14ac:dyDescent="0.2">
      <c r="A1194" s="4">
        <v>46205</v>
      </c>
      <c r="B1194" s="5">
        <v>126.175</v>
      </c>
      <c r="C1194" s="5">
        <v>129.61000000000001</v>
      </c>
      <c r="D1194" s="5">
        <v>125.99</v>
      </c>
      <c r="E1194" s="5">
        <v>129.56</v>
      </c>
      <c r="F1194" s="6">
        <v>7833991</v>
      </c>
    </row>
    <row r="1195" spans="1:6" x14ac:dyDescent="0.2">
      <c r="A1195" s="4">
        <v>46209</v>
      </c>
      <c r="B1195" s="5">
        <v>129.31</v>
      </c>
      <c r="C1195" s="5">
        <v>130.0033</v>
      </c>
      <c r="D1195" s="5">
        <v>125.624</v>
      </c>
      <c r="E1195" s="5">
        <v>126.78</v>
      </c>
      <c r="F1195" s="6">
        <v>9499257</v>
      </c>
    </row>
    <row r="1196" spans="1:6" x14ac:dyDescent="0.2">
      <c r="A1196" s="4">
        <v>46210</v>
      </c>
      <c r="B1196" s="5">
        <v>128.77000000000001</v>
      </c>
      <c r="C1196" s="5">
        <v>129.69</v>
      </c>
      <c r="D1196" s="5">
        <v>127.88500000000001</v>
      </c>
      <c r="E1196" s="5">
        <v>128.86000000000001</v>
      </c>
      <c r="F1196" s="6">
        <v>10174350</v>
      </c>
    </row>
    <row r="1197" spans="1:6" x14ac:dyDescent="0.2">
      <c r="A1197" s="4">
        <v>46211</v>
      </c>
      <c r="B1197" s="5">
        <v>128.34</v>
      </c>
      <c r="C1197" s="5">
        <v>128.99</v>
      </c>
      <c r="D1197" s="5">
        <v>125.14</v>
      </c>
      <c r="E1197" s="5">
        <v>125.99</v>
      </c>
      <c r="F1197" s="6">
        <v>7910217</v>
      </c>
    </row>
    <row r="1198" spans="1:6" x14ac:dyDescent="0.2">
      <c r="A1198" s="4">
        <v>46212</v>
      </c>
      <c r="B1198" s="5">
        <v>125.48</v>
      </c>
      <c r="C1198" s="5">
        <v>128.07</v>
      </c>
      <c r="D1198" s="5">
        <v>124.44499999999999</v>
      </c>
      <c r="E1198" s="5">
        <v>125.07</v>
      </c>
      <c r="F1198" s="6">
        <v>6975495</v>
      </c>
    </row>
    <row r="1199" spans="1:6" x14ac:dyDescent="0.2">
      <c r="A1199" s="4">
        <v>46213</v>
      </c>
      <c r="B1199" s="5">
        <v>125.12</v>
      </c>
      <c r="C1199" s="5">
        <v>125.56</v>
      </c>
      <c r="D1199" s="5">
        <v>122.90009999999999</v>
      </c>
      <c r="E1199" s="5">
        <v>123.54</v>
      </c>
      <c r="F1199" s="6">
        <v>8388685</v>
      </c>
    </row>
    <row r="1200" spans="1:6" x14ac:dyDescent="0.2">
      <c r="A1200" s="4">
        <v>46216</v>
      </c>
      <c r="B1200" s="5">
        <v>123.58</v>
      </c>
      <c r="C1200" s="5">
        <v>124.74</v>
      </c>
      <c r="D1200" s="5">
        <v>122.44</v>
      </c>
      <c r="E1200" s="5">
        <v>124.03</v>
      </c>
      <c r="F1200" s="6">
        <v>5225798</v>
      </c>
    </row>
    <row r="1201" spans="1:6" x14ac:dyDescent="0.2">
      <c r="A1201" s="4">
        <v>46217</v>
      </c>
      <c r="B1201" s="5">
        <v>123.3</v>
      </c>
      <c r="C1201" s="5">
        <v>123.66</v>
      </c>
      <c r="D1201" s="5">
        <v>120.16</v>
      </c>
      <c r="E1201" s="5">
        <v>120.78</v>
      </c>
      <c r="F1201" s="6">
        <v>9932947</v>
      </c>
    </row>
    <row r="1202" spans="1:6" x14ac:dyDescent="0.2">
      <c r="A1202" s="4">
        <v>46218</v>
      </c>
      <c r="B1202" s="5">
        <v>124.25</v>
      </c>
      <c r="C1202" s="5">
        <v>124.9</v>
      </c>
      <c r="D1202" s="5">
        <v>122.75</v>
      </c>
      <c r="E1202" s="5">
        <v>123.61</v>
      </c>
      <c r="F1202" s="6">
        <v>9053781</v>
      </c>
    </row>
    <row r="1203" spans="1:6" x14ac:dyDescent="0.2">
      <c r="A1203" s="4">
        <v>46219</v>
      </c>
      <c r="B1203" s="5">
        <v>124.33</v>
      </c>
      <c r="C1203" s="5">
        <v>128.93</v>
      </c>
      <c r="D1203" s="5">
        <v>124</v>
      </c>
      <c r="E1203" s="5">
        <v>127.63</v>
      </c>
      <c r="F1203" s="6">
        <v>13038760</v>
      </c>
    </row>
    <row r="1204" spans="1:6" x14ac:dyDescent="0.2">
      <c r="A1204" s="4">
        <v>46220</v>
      </c>
      <c r="B1204" s="5">
        <v>128.44999999999999</v>
      </c>
      <c r="C1204" s="5">
        <v>131.74</v>
      </c>
      <c r="D1204" s="5">
        <v>127.03</v>
      </c>
      <c r="E1204" s="5">
        <v>127.5</v>
      </c>
      <c r="F1204" s="6">
        <v>13472720</v>
      </c>
    </row>
    <row r="1205" spans="1:6" x14ac:dyDescent="0.2">
      <c r="A1205" s="4">
        <v>46223</v>
      </c>
      <c r="B1205" s="5">
        <v>127.285</v>
      </c>
      <c r="C1205" s="5">
        <v>127.89</v>
      </c>
      <c r="D1205" s="5">
        <v>124.22</v>
      </c>
      <c r="E1205" s="5">
        <v>124.4</v>
      </c>
      <c r="F1205" s="6">
        <v>7729047</v>
      </c>
    </row>
    <row r="1206" spans="1:6" x14ac:dyDescent="0.2">
      <c r="A1206" s="4">
        <v>46224</v>
      </c>
      <c r="B1206" s="5">
        <v>124.8</v>
      </c>
      <c r="C1206" s="5">
        <v>126.77</v>
      </c>
      <c r="D1206" s="5">
        <v>124.095</v>
      </c>
      <c r="E1206" s="5">
        <v>126.26</v>
      </c>
      <c r="F1206" s="6">
        <v>7344785</v>
      </c>
    </row>
    <row r="1207" spans="1:6" x14ac:dyDescent="0.2">
      <c r="A1207" s="4">
        <v>46225</v>
      </c>
      <c r="B1207" s="5">
        <v>127.32</v>
      </c>
      <c r="C1207" s="5">
        <v>128.83000000000001</v>
      </c>
      <c r="D1207" s="5">
        <v>126.6208</v>
      </c>
      <c r="E1207" s="5">
        <v>127.47</v>
      </c>
      <c r="F1207" s="6">
        <v>7792422</v>
      </c>
    </row>
    <row r="1208" spans="1:6" x14ac:dyDescent="0.2">
      <c r="A1208" s="4">
        <v>46226</v>
      </c>
      <c r="B1208" s="5">
        <v>127.82</v>
      </c>
      <c r="C1208" s="5">
        <v>131.04</v>
      </c>
      <c r="D1208" s="5">
        <v>127.82</v>
      </c>
      <c r="E1208" s="5">
        <v>130.47999999999999</v>
      </c>
      <c r="F1208" s="6">
        <v>8531273</v>
      </c>
    </row>
    <row r="1209" spans="1:6" x14ac:dyDescent="0.2">
      <c r="A1209" s="4">
        <v>46227</v>
      </c>
      <c r="B1209" s="5">
        <v>131.44</v>
      </c>
      <c r="C1209" s="5">
        <v>131.71</v>
      </c>
      <c r="D1209" s="5">
        <v>130.24</v>
      </c>
      <c r="E1209" s="5">
        <v>131.07</v>
      </c>
      <c r="F1209" s="6">
        <v>6154380</v>
      </c>
    </row>
    <row r="1210" spans="1:6" x14ac:dyDescent="0.2">
      <c r="A1210" s="4">
        <v>46230</v>
      </c>
      <c r="B1210" s="5">
        <v>131.01</v>
      </c>
      <c r="C1210" s="5">
        <v>132.53</v>
      </c>
      <c r="D1210" s="5">
        <v>130.44999999999999</v>
      </c>
      <c r="E1210" s="5">
        <v>130.76</v>
      </c>
      <c r="F1210" s="6">
        <v>6910338</v>
      </c>
    </row>
    <row r="1211" spans="1:6" x14ac:dyDescent="0.2">
      <c r="A1211" s="4">
        <v>46231</v>
      </c>
      <c r="B1211" s="5">
        <v>132.88</v>
      </c>
      <c r="C1211" s="5">
        <v>135.05000000000001</v>
      </c>
      <c r="D1211" s="5">
        <v>131.13999999999999</v>
      </c>
      <c r="E1211" s="5">
        <v>131.82</v>
      </c>
      <c r="F1211" s="6">
        <v>10265060</v>
      </c>
    </row>
    <row r="1212" spans="1:6" x14ac:dyDescent="0.2">
      <c r="A1212" s="4">
        <v>46232</v>
      </c>
      <c r="B1212" s="5">
        <v>132.37</v>
      </c>
      <c r="C1212" s="5">
        <v>132.69</v>
      </c>
      <c r="D1212" s="5">
        <v>129.65</v>
      </c>
      <c r="E1212" s="5">
        <v>130.36000000000001</v>
      </c>
      <c r="F1212" s="6">
        <v>7539454</v>
      </c>
    </row>
    <row r="1213" spans="1:6" x14ac:dyDescent="0.2">
      <c r="A1213" s="4">
        <v>46233</v>
      </c>
      <c r="B1213" s="5">
        <v>128.19499999999999</v>
      </c>
      <c r="C1213" s="5">
        <v>130.21</v>
      </c>
      <c r="D1213" s="5">
        <v>127.25</v>
      </c>
      <c r="E1213" s="5">
        <v>129.79</v>
      </c>
      <c r="F1213" s="6">
        <v>7833237</v>
      </c>
    </row>
    <row r="1214" spans="1:6" x14ac:dyDescent="0.2">
      <c r="A1214" s="4">
        <v>46234</v>
      </c>
      <c r="B1214" s="5">
        <v>128.91999999999999</v>
      </c>
      <c r="C1214" s="5">
        <v>131.04</v>
      </c>
      <c r="D1214" s="5">
        <v>128.13999999999999</v>
      </c>
      <c r="E1214" s="5">
        <v>130.19999999999999</v>
      </c>
      <c r="F1214" s="6">
        <v>7738762</v>
      </c>
    </row>
    <row r="1215" spans="1:6" x14ac:dyDescent="0.2">
      <c r="A1215" s="4">
        <v>46237</v>
      </c>
      <c r="B1215" s="5">
        <v>129.87</v>
      </c>
      <c r="C1215" s="5">
        <v>131.47</v>
      </c>
      <c r="D1215" s="5">
        <v>126.72</v>
      </c>
      <c r="E1215" s="5">
        <v>127.77</v>
      </c>
      <c r="F1215" s="6">
        <v>11153830</v>
      </c>
    </row>
    <row r="1216" spans="1:6" x14ac:dyDescent="0.2">
      <c r="A1216" s="4">
        <v>46238</v>
      </c>
      <c r="B1216" s="5">
        <v>128.46</v>
      </c>
      <c r="C1216" s="5">
        <v>129.99</v>
      </c>
      <c r="D1216" s="5">
        <v>126.22</v>
      </c>
      <c r="E1216" s="5">
        <v>128</v>
      </c>
      <c r="F1216" s="6">
        <v>11816860</v>
      </c>
    </row>
    <row r="1217" spans="1:6" x14ac:dyDescent="0.2">
      <c r="A1217" s="4">
        <v>46239</v>
      </c>
      <c r="B1217" s="5">
        <v>129.41</v>
      </c>
      <c r="C1217" s="5">
        <v>131.09</v>
      </c>
      <c r="D1217" s="5">
        <v>127.55500000000001</v>
      </c>
      <c r="E1217" s="5">
        <v>128.33000000000001</v>
      </c>
      <c r="F1217" s="6">
        <v>10501870</v>
      </c>
    </row>
    <row r="1218" spans="1:6" x14ac:dyDescent="0.2">
      <c r="A1218" s="4">
        <v>46240</v>
      </c>
      <c r="B1218" s="5">
        <v>130.96</v>
      </c>
      <c r="C1218" s="5">
        <v>131.08000000000001</v>
      </c>
      <c r="D1218" s="5">
        <v>127.8</v>
      </c>
      <c r="E1218" s="5">
        <v>128.37</v>
      </c>
      <c r="F1218" s="6">
        <v>7052064</v>
      </c>
    </row>
    <row r="1219" spans="1:6" x14ac:dyDescent="0.2">
      <c r="A1219" s="4">
        <v>46241</v>
      </c>
      <c r="B1219" s="5">
        <v>127.84</v>
      </c>
      <c r="C1219" s="5">
        <v>128.75</v>
      </c>
      <c r="D1219" s="5">
        <v>126.68</v>
      </c>
      <c r="E1219" s="5">
        <v>128.58000000000001</v>
      </c>
      <c r="F1219" s="6">
        <v>7347555</v>
      </c>
    </row>
    <row r="1220" spans="1:6" x14ac:dyDescent="0.2">
      <c r="A1220" s="4">
        <v>46244</v>
      </c>
      <c r="B1220" s="5">
        <v>128.29</v>
      </c>
      <c r="C1220" s="5">
        <v>130.97999999999999</v>
      </c>
      <c r="D1220" s="5">
        <v>128.23500000000001</v>
      </c>
      <c r="E1220" s="5">
        <v>130.91999999999999</v>
      </c>
      <c r="F1220" s="6">
        <v>6007618</v>
      </c>
    </row>
    <row r="1221" spans="1:6" x14ac:dyDescent="0.2">
      <c r="A1221" s="4">
        <v>46245</v>
      </c>
      <c r="B1221" s="5">
        <v>129.93</v>
      </c>
      <c r="C1221" s="5">
        <v>132.8399</v>
      </c>
      <c r="D1221" s="5">
        <v>129.69999999999999</v>
      </c>
      <c r="E1221" s="5">
        <v>130.41999999999999</v>
      </c>
      <c r="F1221" s="6">
        <v>6342169</v>
      </c>
    </row>
    <row r="1222" spans="1:6" x14ac:dyDescent="0.2">
      <c r="A1222" s="4">
        <v>46246</v>
      </c>
      <c r="B1222" s="5">
        <v>130.25</v>
      </c>
      <c r="C1222" s="5">
        <v>134.06</v>
      </c>
      <c r="D1222" s="5">
        <v>128.91</v>
      </c>
      <c r="E1222" s="5">
        <v>132.91999999999999</v>
      </c>
      <c r="F1222" s="6">
        <v>10447090</v>
      </c>
    </row>
    <row r="1223" spans="1:6" x14ac:dyDescent="0.2">
      <c r="A1223" s="4">
        <v>46247</v>
      </c>
      <c r="B1223" s="5">
        <v>133.86000000000001</v>
      </c>
      <c r="C1223" s="5">
        <v>135.68</v>
      </c>
      <c r="D1223" s="5">
        <v>133.05500000000001</v>
      </c>
      <c r="E1223" s="5">
        <v>135.55000000000001</v>
      </c>
      <c r="F1223" s="6">
        <v>8895212</v>
      </c>
    </row>
    <row r="1224" spans="1:6" x14ac:dyDescent="0.2">
      <c r="A1224" s="4">
        <v>46248</v>
      </c>
      <c r="B1224" s="5">
        <v>134.43</v>
      </c>
      <c r="C1224" s="5">
        <v>135.97</v>
      </c>
      <c r="D1224" s="5">
        <v>133.4</v>
      </c>
      <c r="E1224" s="5">
        <v>135.84</v>
      </c>
      <c r="F1224" s="6">
        <v>6869004</v>
      </c>
    </row>
    <row r="1225" spans="1:6" x14ac:dyDescent="0.2">
      <c r="A1225" s="4">
        <v>46251</v>
      </c>
      <c r="B1225" s="5">
        <v>134.94999999999999</v>
      </c>
      <c r="C1225" s="5">
        <v>137.16999999999999</v>
      </c>
      <c r="D1225" s="5">
        <v>134.55000000000001</v>
      </c>
      <c r="E1225" s="5">
        <v>135.97</v>
      </c>
      <c r="F1225" s="6">
        <v>8477590</v>
      </c>
    </row>
    <row r="1226" spans="1:6" x14ac:dyDescent="0.2">
      <c r="A1226" s="4">
        <v>46252</v>
      </c>
      <c r="B1226" s="5">
        <v>137.24</v>
      </c>
      <c r="C1226" s="5">
        <v>137.97999999999999</v>
      </c>
      <c r="D1226" s="5">
        <v>134.88</v>
      </c>
      <c r="E1226" s="5">
        <v>135.16999999999999</v>
      </c>
      <c r="F1226" s="6">
        <v>10284240</v>
      </c>
    </row>
    <row r="1227" spans="1:6" x14ac:dyDescent="0.2">
      <c r="A1227" s="4">
        <v>46253</v>
      </c>
      <c r="B1227" s="5">
        <v>146.94</v>
      </c>
      <c r="C1227" s="5">
        <v>153.5</v>
      </c>
      <c r="D1227" s="5">
        <v>144.9</v>
      </c>
      <c r="E1227" s="5">
        <v>152.19999999999999</v>
      </c>
      <c r="F1227" s="6">
        <v>32776270</v>
      </c>
    </row>
    <row r="1228" spans="1:6" x14ac:dyDescent="0.2">
      <c r="A1228" s="4">
        <v>46254</v>
      </c>
      <c r="B1228" s="5">
        <v>150.78</v>
      </c>
      <c r="C1228" s="5">
        <v>152.51499999999999</v>
      </c>
      <c r="D1228" s="5">
        <v>148.51599999999999</v>
      </c>
      <c r="E1228" s="5">
        <v>148.99</v>
      </c>
      <c r="F1228" s="6">
        <v>16204660</v>
      </c>
    </row>
    <row r="1229" spans="1:6" x14ac:dyDescent="0.2">
      <c r="A1229" s="4">
        <v>46255</v>
      </c>
      <c r="B1229" s="5">
        <v>149.12</v>
      </c>
      <c r="C1229" s="5">
        <v>154.49</v>
      </c>
      <c r="D1229" s="5">
        <v>148.59</v>
      </c>
      <c r="E1229" s="5">
        <v>152.55000000000001</v>
      </c>
      <c r="F1229" s="6">
        <v>15976210</v>
      </c>
    </row>
    <row r="1230" spans="1:6" x14ac:dyDescent="0.2">
      <c r="A1230" s="4">
        <v>46258</v>
      </c>
      <c r="B1230" s="5">
        <v>150.72</v>
      </c>
      <c r="C1230" s="5">
        <v>151.52000000000001</v>
      </c>
      <c r="D1230" s="5">
        <v>149.13999999999999</v>
      </c>
      <c r="E1230" s="5">
        <v>150.66</v>
      </c>
      <c r="F1230" s="6">
        <v>15032010</v>
      </c>
    </row>
    <row r="1231" spans="1:6" x14ac:dyDescent="0.2">
      <c r="A1231" s="4">
        <v>46259</v>
      </c>
      <c r="B1231" s="5">
        <v>151</v>
      </c>
      <c r="C1231" s="5">
        <v>156.91990000000001</v>
      </c>
      <c r="D1231" s="5">
        <v>150.66</v>
      </c>
      <c r="E1231" s="5">
        <v>156.44999999999999</v>
      </c>
      <c r="F1231" s="6">
        <v>14005080</v>
      </c>
    </row>
    <row r="1232" spans="1:6" x14ac:dyDescent="0.2">
      <c r="A1232" s="4">
        <v>46260</v>
      </c>
      <c r="B1232" s="5">
        <v>154.35</v>
      </c>
      <c r="C1232" s="5">
        <v>155.19</v>
      </c>
      <c r="D1232" s="5">
        <v>152.61089999999999</v>
      </c>
      <c r="E1232" s="5">
        <v>153.1</v>
      </c>
      <c r="F1232" s="6">
        <v>8634975</v>
      </c>
    </row>
    <row r="1233" spans="1:6" x14ac:dyDescent="0.2">
      <c r="A1233" s="4">
        <v>46261</v>
      </c>
      <c r="B1233" s="5">
        <v>149.53</v>
      </c>
      <c r="C1233" s="5">
        <v>152.08000000000001</v>
      </c>
      <c r="D1233" s="5">
        <v>149.02000000000001</v>
      </c>
      <c r="E1233" s="5">
        <v>149.54</v>
      </c>
      <c r="F1233" s="6">
        <v>8530989</v>
      </c>
    </row>
    <row r="1234" spans="1:6" x14ac:dyDescent="0.2">
      <c r="A1234" s="4">
        <v>46262</v>
      </c>
      <c r="B1234" s="5">
        <v>146.72</v>
      </c>
      <c r="C1234" s="5">
        <v>149.0078</v>
      </c>
      <c r="D1234" s="5">
        <v>145.75</v>
      </c>
      <c r="E1234" s="5">
        <v>148.35</v>
      </c>
      <c r="F1234" s="6">
        <v>8067848</v>
      </c>
    </row>
    <row r="1235" spans="1:6" x14ac:dyDescent="0.2">
      <c r="A1235" s="4">
        <v>46265</v>
      </c>
      <c r="B1235" s="5">
        <v>147</v>
      </c>
      <c r="C1235" s="5">
        <v>148.68899999999999</v>
      </c>
      <c r="D1235" s="5">
        <v>145.94999999999999</v>
      </c>
      <c r="E1235" s="5">
        <v>147.76</v>
      </c>
      <c r="F1235" s="6">
        <v>11126600</v>
      </c>
    </row>
    <row r="1236" spans="1:6" x14ac:dyDescent="0.2">
      <c r="A1236" s="4">
        <v>46266</v>
      </c>
      <c r="B1236" s="5">
        <v>150.22999999999999</v>
      </c>
      <c r="C1236" s="5">
        <v>151.67760000000001</v>
      </c>
      <c r="D1236" s="5">
        <v>148.55000000000001</v>
      </c>
      <c r="E1236" s="5">
        <v>149.86000000000001</v>
      </c>
      <c r="F1236" s="6">
        <v>9866566</v>
      </c>
    </row>
    <row r="1237" spans="1:6" x14ac:dyDescent="0.2">
      <c r="A1237" s="4">
        <v>46267</v>
      </c>
      <c r="B1237" s="5">
        <v>151.5</v>
      </c>
      <c r="C1237" s="5">
        <v>152.69</v>
      </c>
      <c r="D1237" s="5">
        <v>149.97</v>
      </c>
      <c r="E1237" s="5">
        <v>151.63999999999999</v>
      </c>
      <c r="F1237" s="6">
        <v>8970603</v>
      </c>
    </row>
    <row r="1238" spans="1:6" x14ac:dyDescent="0.2">
      <c r="A1238" s="4">
        <v>46268</v>
      </c>
      <c r="B1238" s="5">
        <v>152.80000000000001</v>
      </c>
      <c r="C1238" s="5">
        <v>152.80000000000001</v>
      </c>
      <c r="D1238" s="5">
        <v>148.9</v>
      </c>
      <c r="E1238" s="5">
        <v>152.34</v>
      </c>
      <c r="F1238" s="6">
        <v>6498969</v>
      </c>
    </row>
    <row r="1239" spans="1:6" x14ac:dyDescent="0.2">
      <c r="A1239" s="4">
        <v>46269</v>
      </c>
      <c r="B1239" s="5">
        <v>150.83000000000001</v>
      </c>
      <c r="C1239" s="5">
        <v>152.22</v>
      </c>
      <c r="D1239" s="5">
        <v>150.08500000000001</v>
      </c>
      <c r="E1239" s="5">
        <v>150.33000000000001</v>
      </c>
      <c r="F1239" s="6">
        <v>4397467</v>
      </c>
    </row>
    <row r="1240" spans="1:6" x14ac:dyDescent="0.2">
      <c r="A1240" s="4">
        <v>46273</v>
      </c>
      <c r="B1240" s="5">
        <v>148.41</v>
      </c>
      <c r="C1240" s="5">
        <v>149.6</v>
      </c>
      <c r="D1240" s="5">
        <v>146.28100000000001</v>
      </c>
      <c r="E1240" s="5">
        <v>148.46</v>
      </c>
      <c r="F1240" s="6">
        <v>11187300</v>
      </c>
    </row>
    <row r="1241" spans="1:6" x14ac:dyDescent="0.2">
      <c r="A1241" s="4">
        <v>46274</v>
      </c>
      <c r="B1241" s="5">
        <v>148.96</v>
      </c>
      <c r="C1241" s="5">
        <v>149.41</v>
      </c>
      <c r="D1241" s="5">
        <v>147.18</v>
      </c>
      <c r="E1241" s="5">
        <v>147.53</v>
      </c>
      <c r="F1241" s="6">
        <v>8546447</v>
      </c>
    </row>
    <row r="1242" spans="1:6" x14ac:dyDescent="0.2">
      <c r="A1242" s="4">
        <v>46275</v>
      </c>
      <c r="B1242" s="5">
        <v>147.94</v>
      </c>
      <c r="C1242" s="5">
        <v>148</v>
      </c>
      <c r="D1242" s="5">
        <v>144.1</v>
      </c>
      <c r="E1242" s="5">
        <v>144.71</v>
      </c>
      <c r="F1242" s="6">
        <v>7544530</v>
      </c>
    </row>
    <row r="1243" spans="1:6" x14ac:dyDescent="0.2">
      <c r="A1243" s="4">
        <v>46276</v>
      </c>
      <c r="B1243" s="5">
        <v>145.52000000000001</v>
      </c>
      <c r="C1243" s="5">
        <v>145.9</v>
      </c>
      <c r="D1243" s="5">
        <v>143.68</v>
      </c>
      <c r="E1243" s="5">
        <v>143.93</v>
      </c>
      <c r="F1243" s="6">
        <v>8679443</v>
      </c>
    </row>
    <row r="1244" spans="1:6" x14ac:dyDescent="0.2">
      <c r="A1244" s="4">
        <v>46279</v>
      </c>
      <c r="B1244" s="5">
        <v>146.41999999999999</v>
      </c>
      <c r="C1244" s="5">
        <v>147.09</v>
      </c>
      <c r="D1244" s="5">
        <v>144.1</v>
      </c>
      <c r="E1244" s="5">
        <v>144.85</v>
      </c>
      <c r="F1244" s="6">
        <v>7414159</v>
      </c>
    </row>
    <row r="1245" spans="1:6" x14ac:dyDescent="0.2">
      <c r="A1245" s="4">
        <v>46280</v>
      </c>
      <c r="B1245" s="5">
        <v>143.85</v>
      </c>
      <c r="C1245" s="5">
        <v>144.15</v>
      </c>
      <c r="D1245" s="5">
        <v>142.32</v>
      </c>
      <c r="E1245" s="5">
        <v>143.79</v>
      </c>
      <c r="F1245" s="6">
        <v>8292750</v>
      </c>
    </row>
    <row r="1246" spans="1:6" x14ac:dyDescent="0.2">
      <c r="A1246" s="4">
        <v>46281</v>
      </c>
      <c r="B1246" s="5">
        <v>143.96</v>
      </c>
      <c r="C1246" s="5">
        <v>144.97</v>
      </c>
      <c r="D1246" s="5">
        <v>143.5</v>
      </c>
      <c r="E1246" s="5">
        <v>144.91</v>
      </c>
      <c r="F1246" s="6">
        <v>7230927</v>
      </c>
    </row>
    <row r="1247" spans="1:6" x14ac:dyDescent="0.2">
      <c r="A1247" s="4">
        <v>46282</v>
      </c>
      <c r="B1247" s="5">
        <v>145.74</v>
      </c>
      <c r="C1247" s="5">
        <v>147.65</v>
      </c>
      <c r="D1247" s="5">
        <v>145.32300000000001</v>
      </c>
      <c r="E1247" s="5">
        <v>147.15</v>
      </c>
      <c r="F1247" s="6">
        <v>11063790</v>
      </c>
    </row>
    <row r="1248" spans="1:6" x14ac:dyDescent="0.2">
      <c r="A1248" s="4">
        <v>46283</v>
      </c>
      <c r="B1248" s="5">
        <v>147.08000000000001</v>
      </c>
      <c r="C1248" s="5">
        <v>147.84</v>
      </c>
      <c r="D1248" s="5">
        <v>145.74</v>
      </c>
      <c r="E1248" s="5">
        <v>146.87</v>
      </c>
      <c r="F1248" s="6">
        <v>31159670</v>
      </c>
    </row>
    <row r="1249" spans="1:6" x14ac:dyDescent="0.2">
      <c r="A1249" s="4">
        <v>46286</v>
      </c>
      <c r="B1249" s="5">
        <v>146.785</v>
      </c>
      <c r="C1249" s="5">
        <v>150.49</v>
      </c>
      <c r="D1249" s="5">
        <v>145.6</v>
      </c>
      <c r="E1249" s="5">
        <v>149.5</v>
      </c>
      <c r="F1249" s="6">
        <v>7996433</v>
      </c>
    </row>
    <row r="1250" spans="1:6" x14ac:dyDescent="0.2">
      <c r="A1250" s="4">
        <v>46287</v>
      </c>
      <c r="B1250" s="5">
        <v>148.69</v>
      </c>
      <c r="C1250" s="5">
        <v>153.57</v>
      </c>
      <c r="D1250" s="5">
        <v>148.04</v>
      </c>
      <c r="E1250" s="5">
        <v>150.91</v>
      </c>
      <c r="F1250" s="6">
        <v>11173540</v>
      </c>
    </row>
    <row r="1251" spans="1:6" x14ac:dyDescent="0.2">
      <c r="A1251" s="4">
        <v>46288</v>
      </c>
      <c r="B1251" s="5">
        <v>151.315</v>
      </c>
      <c r="C1251" s="5">
        <v>152.01</v>
      </c>
      <c r="D1251" s="5">
        <v>146.88999999999999</v>
      </c>
      <c r="E1251" s="5">
        <v>148.08000000000001</v>
      </c>
      <c r="F1251" s="6">
        <v>9703729</v>
      </c>
    </row>
    <row r="1252" spans="1:6" x14ac:dyDescent="0.2">
      <c r="A1252" s="4">
        <v>46289</v>
      </c>
      <c r="B1252" s="5">
        <v>148.16499999999999</v>
      </c>
      <c r="C1252" s="5">
        <v>151.46</v>
      </c>
      <c r="D1252" s="5">
        <v>147.9</v>
      </c>
      <c r="E1252" s="5">
        <v>147.97999999999999</v>
      </c>
      <c r="F1252" s="6">
        <v>10312770</v>
      </c>
    </row>
    <row r="1253" spans="1:6" x14ac:dyDescent="0.2">
      <c r="A1253" s="4">
        <v>46290</v>
      </c>
      <c r="B1253" s="5">
        <v>148.06</v>
      </c>
      <c r="C1253" s="5">
        <v>149.97999999999999</v>
      </c>
      <c r="D1253" s="5">
        <v>147.47999999999999</v>
      </c>
      <c r="E1253" s="5">
        <v>148.78</v>
      </c>
      <c r="F1253" s="6">
        <v>8292483</v>
      </c>
    </row>
    <row r="1254" spans="1:6" x14ac:dyDescent="0.2">
      <c r="A1254" s="4">
        <v>46293</v>
      </c>
      <c r="B1254" s="5">
        <v>147.65</v>
      </c>
      <c r="C1254" s="5">
        <v>149.19</v>
      </c>
      <c r="D1254" s="5">
        <v>146.28</v>
      </c>
      <c r="E1254" s="5">
        <v>148.69</v>
      </c>
      <c r="F1254" s="6">
        <v>7700986</v>
      </c>
    </row>
    <row r="1255" spans="1:6" x14ac:dyDescent="0.2">
      <c r="A1255" s="4">
        <v>46294</v>
      </c>
      <c r="B1255" s="5">
        <v>148.16999999999999</v>
      </c>
      <c r="C1255" s="5">
        <v>150.36000000000001</v>
      </c>
      <c r="D1255" s="5">
        <v>146.08789999999999</v>
      </c>
      <c r="E1255" s="5">
        <v>149.28</v>
      </c>
      <c r="F1255" s="6">
        <v>8203975</v>
      </c>
    </row>
    <row r="1256" spans="1:6" x14ac:dyDescent="0.2">
      <c r="A1256" s="4">
        <v>46295</v>
      </c>
      <c r="B1256" s="5">
        <v>148.94499999999999</v>
      </c>
      <c r="C1256" s="5">
        <v>149.27000000000001</v>
      </c>
      <c r="D1256" s="5">
        <v>145.26</v>
      </c>
      <c r="E1256" s="5">
        <v>145.31</v>
      </c>
      <c r="F1256" s="6">
        <v>10230770</v>
      </c>
    </row>
    <row r="1257" spans="1:6" x14ac:dyDescent="0.2">
      <c r="A1257" s="4">
        <v>46296</v>
      </c>
      <c r="B1257" s="5">
        <v>144.71</v>
      </c>
      <c r="C1257" s="5">
        <v>145.38800000000001</v>
      </c>
      <c r="D1257" s="5">
        <v>143.26</v>
      </c>
      <c r="E1257" s="5">
        <v>143.81</v>
      </c>
      <c r="F1257" s="6">
        <v>7859758</v>
      </c>
    </row>
    <row r="1258" spans="1:6" x14ac:dyDescent="0.2">
      <c r="A1258" s="4">
        <v>46297</v>
      </c>
      <c r="B1258" s="5">
        <v>143.77000000000001</v>
      </c>
      <c r="C1258" s="5">
        <v>144.35</v>
      </c>
      <c r="D1258" s="5">
        <v>142.72999999999999</v>
      </c>
      <c r="E1258" s="5">
        <v>144.30000000000001</v>
      </c>
      <c r="F1258" s="6">
        <v>9661871</v>
      </c>
    </row>
  </sheetData>
  <autoFilter ref="A4:F1258" xr:uid="{699F958D-B3C1-4851-BDE6-4F32845470FC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A9436279-B668-4B9D-9105-A8304E1E85E8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4F02-5E8C-4F67-99AC-23C159B0B37D}">
  <dimension ref="B1:S45"/>
  <sheetViews>
    <sheetView tabSelected="1" workbookViewId="0">
      <selection activeCell="H25" sqref="H25"/>
    </sheetView>
  </sheetViews>
  <sheetFormatPr defaultRowHeight="14.25" x14ac:dyDescent="0.2"/>
  <cols>
    <col min="3" max="3" width="21.125" customWidth="1"/>
    <col min="4" max="6" width="9.875" customWidth="1"/>
    <col min="7" max="7" width="16.625" customWidth="1"/>
    <col min="8" max="8" width="13" customWidth="1"/>
    <col min="9" max="9" width="11.87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27"/>
      <c r="C1" s="27" t="s">
        <v>75</v>
      </c>
      <c r="D1" s="27" t="s">
        <v>81</v>
      </c>
      <c r="E1" s="27" t="s">
        <v>75</v>
      </c>
      <c r="F1" s="27" t="s">
        <v>81</v>
      </c>
      <c r="G1" s="27"/>
      <c r="H1" s="27" t="s">
        <v>75</v>
      </c>
      <c r="I1" s="27" t="s">
        <v>76</v>
      </c>
      <c r="J1" s="27" t="s">
        <v>75</v>
      </c>
      <c r="K1" s="27" t="s">
        <v>76</v>
      </c>
      <c r="L1" s="27"/>
      <c r="N1" s="27" t="s">
        <v>75</v>
      </c>
      <c r="O1" s="27" t="s">
        <v>76</v>
      </c>
      <c r="P1" s="27" t="s">
        <v>75</v>
      </c>
      <c r="Q1" s="27" t="s">
        <v>76</v>
      </c>
      <c r="R1" s="27"/>
    </row>
    <row r="2" spans="2:19" x14ac:dyDescent="0.2">
      <c r="B2" s="27"/>
      <c r="C2" s="37" t="s">
        <v>80</v>
      </c>
      <c r="D2" s="37"/>
      <c r="E2" s="38" t="s">
        <v>83</v>
      </c>
      <c r="F2" s="38"/>
      <c r="G2" s="34" t="s">
        <v>82</v>
      </c>
      <c r="H2" s="37" t="s">
        <v>77</v>
      </c>
      <c r="I2" s="37"/>
      <c r="J2" s="37" t="s">
        <v>78</v>
      </c>
      <c r="K2" s="37"/>
      <c r="L2" s="27" t="s">
        <v>84</v>
      </c>
      <c r="M2" s="27" t="s">
        <v>85</v>
      </c>
      <c r="N2" s="37" t="s">
        <v>86</v>
      </c>
      <c r="O2" s="37"/>
      <c r="P2" s="37" t="s">
        <v>87</v>
      </c>
      <c r="Q2" s="37"/>
      <c r="R2" s="27" t="s">
        <v>88</v>
      </c>
      <c r="S2" s="27" t="s">
        <v>89</v>
      </c>
    </row>
    <row r="3" spans="2:19" x14ac:dyDescent="0.2">
      <c r="B3" s="27" t="s">
        <v>63</v>
      </c>
      <c r="C3" s="42">
        <f>F19*H19</f>
        <v>467.22580479999999</v>
      </c>
      <c r="D3" s="36" t="s">
        <v>107</v>
      </c>
      <c r="E3" s="42">
        <f>(J19-K19)*I19</f>
        <v>64.315999231999996</v>
      </c>
      <c r="F3" s="36" t="s">
        <v>108</v>
      </c>
      <c r="G3" s="42">
        <f t="shared" ref="G3:G14" si="0">C3+E3</f>
        <v>531.54180403199996</v>
      </c>
      <c r="H3" s="44">
        <v>14.00737</v>
      </c>
      <c r="I3" s="36" t="s">
        <v>109</v>
      </c>
      <c r="J3" s="44">
        <v>16.25892</v>
      </c>
      <c r="K3" s="36" t="s">
        <v>110</v>
      </c>
      <c r="L3" s="45">
        <f>IF(H3&gt;0,E19/H3,"n/m")</f>
        <v>18.875777537110821</v>
      </c>
      <c r="M3" s="45">
        <f>IF(J3&gt;0,E19/J3,"n/m")</f>
        <v>16.261842730021428</v>
      </c>
      <c r="N3" s="43">
        <f>M19*L19*I19</f>
        <v>32.298385664303702</v>
      </c>
      <c r="O3" s="35" t="s">
        <v>111</v>
      </c>
      <c r="P3" s="43">
        <f>N19*L19*I19</f>
        <v>35.115422761644396</v>
      </c>
      <c r="Q3" s="35" t="s">
        <v>112</v>
      </c>
      <c r="R3" s="45">
        <f>IF(N3&gt;0,G3/N3,"n/m")</f>
        <v>16.457225124395674</v>
      </c>
      <c r="S3" s="45">
        <f>IF(P3&gt;0,G3/P3,"n/m")</f>
        <v>15.136990024012707</v>
      </c>
    </row>
    <row r="4" spans="2:19" x14ac:dyDescent="0.2">
      <c r="B4" s="27" t="s">
        <v>54</v>
      </c>
      <c r="C4" s="42">
        <f>F20*H20</f>
        <v>242.577178624</v>
      </c>
      <c r="D4" s="36" t="s">
        <v>113</v>
      </c>
      <c r="E4" s="42">
        <f>(J20-K20)*I20</f>
        <v>27.381999103999998</v>
      </c>
      <c r="F4" s="36" t="s">
        <v>108</v>
      </c>
      <c r="G4" s="42">
        <f t="shared" si="0"/>
        <v>269.95917772799999</v>
      </c>
      <c r="H4" s="44">
        <v>10.07</v>
      </c>
      <c r="I4" s="36" t="s">
        <v>114</v>
      </c>
      <c r="J4" s="44">
        <v>11.565</v>
      </c>
      <c r="K4" s="36" t="s">
        <v>114</v>
      </c>
      <c r="L4" s="45">
        <f>IF(H4&gt;0,E20/H4,"n/m")</f>
        <v>15.532274081429989</v>
      </c>
      <c r="M4" s="45">
        <f>IF(J4&gt;0,E20/J4,"n/m")</f>
        <v>13.524427150886295</v>
      </c>
      <c r="N4" s="43">
        <f>M20*L20*I20</f>
        <v>20.488360175972002</v>
      </c>
      <c r="O4" s="35" t="s">
        <v>111</v>
      </c>
      <c r="P4" s="43">
        <f>N20*L20*I20</f>
        <v>21.744533850858005</v>
      </c>
      <c r="Q4" s="35" t="s">
        <v>112</v>
      </c>
      <c r="R4" s="45">
        <f>IF(N4&gt;0,G4/N4,"n/m")</f>
        <v>13.176221786875761</v>
      </c>
      <c r="S4" s="45">
        <f>IF(P4&gt;0,G4/P4,"n/m")</f>
        <v>12.415036329571526</v>
      </c>
    </row>
    <row r="5" spans="2:19" x14ac:dyDescent="0.2">
      <c r="B5" s="27" t="s">
        <v>58</v>
      </c>
      <c r="C5" s="42">
        <f>F21*H21</f>
        <v>48.447580160819193</v>
      </c>
      <c r="D5" s="36" t="s">
        <v>117</v>
      </c>
      <c r="E5" s="42">
        <f>(J21-K21)*I21</f>
        <v>37.410906692300806</v>
      </c>
      <c r="F5" s="36" t="s">
        <v>118</v>
      </c>
      <c r="G5" s="42">
        <f t="shared" si="0"/>
        <v>85.858486853119999</v>
      </c>
      <c r="H5" s="44">
        <v>4.5257300000000003</v>
      </c>
      <c r="I5" s="36" t="s">
        <v>119</v>
      </c>
      <c r="J5" s="44">
        <v>4.8260699999999996</v>
      </c>
      <c r="K5" s="36" t="s">
        <v>119</v>
      </c>
      <c r="L5" s="45">
        <f>IF(H5&gt;0,E21/H5,"n/m")</f>
        <v>9.7133501114737282</v>
      </c>
      <c r="M5" s="45">
        <f>IF(J5&gt;0,E21/J5,"n/m")</f>
        <v>9.1088608329344591</v>
      </c>
      <c r="N5" s="43">
        <f>M21*L21*I21</f>
        <v>11.479639834684207</v>
      </c>
      <c r="O5" s="35" t="s">
        <v>120</v>
      </c>
      <c r="P5" s="43">
        <f>N21*L21*I21</f>
        <v>11.790999940775491</v>
      </c>
      <c r="Q5" s="35" t="s">
        <v>121</v>
      </c>
      <c r="R5" s="45">
        <f>IF(N5&gt;0,G5/N5,"n/m")</f>
        <v>7.4791969164145717</v>
      </c>
      <c r="S5" s="45">
        <f>IF(P5&gt;0,G5/P5,"n/m")</f>
        <v>7.2816968267640503</v>
      </c>
    </row>
    <row r="6" spans="2:19" x14ac:dyDescent="0.2">
      <c r="B6" s="27" t="s">
        <v>61</v>
      </c>
      <c r="C6" s="42">
        <f>F22*H22</f>
        <v>120.632516608</v>
      </c>
      <c r="D6" s="36" t="s">
        <v>122</v>
      </c>
      <c r="E6" s="42">
        <f>(J22-K22)*I22</f>
        <v>33.98600192</v>
      </c>
      <c r="F6" s="36" t="s">
        <v>108</v>
      </c>
      <c r="G6" s="42">
        <f t="shared" si="0"/>
        <v>154.61851852800001</v>
      </c>
      <c r="H6" s="44">
        <v>6.9485299999999999</v>
      </c>
      <c r="I6" s="36" t="s">
        <v>123</v>
      </c>
      <c r="J6" s="44">
        <v>6.5648400000000002</v>
      </c>
      <c r="K6" s="36" t="s">
        <v>124</v>
      </c>
      <c r="L6" s="45">
        <f>IF(H6&gt;0,E22/H6,"n/m")</f>
        <v>8.4989199154353514</v>
      </c>
      <c r="M6" s="45">
        <f>IF(J6&gt;0,E22/J6,"n/m")</f>
        <v>8.9956495512457266</v>
      </c>
      <c r="N6" s="43">
        <f>M22*L22*I22</f>
        <v>19.182876597704102</v>
      </c>
      <c r="O6" s="35" t="s">
        <v>111</v>
      </c>
      <c r="P6" s="43">
        <f>N22*L22*I22</f>
        <v>18.553817409097199</v>
      </c>
      <c r="Q6" s="35" t="s">
        <v>112</v>
      </c>
      <c r="R6" s="45">
        <f>IF(N6&gt;0,G6/N6,"n/m")</f>
        <v>8.0602363123425143</v>
      </c>
      <c r="S6" s="45">
        <f>IF(P6&gt;0,G6/P6,"n/m")</f>
        <v>8.3335151531774994</v>
      </c>
    </row>
    <row r="7" spans="2:19" x14ac:dyDescent="0.2">
      <c r="B7" s="27" t="s">
        <v>55</v>
      </c>
      <c r="C7" s="42">
        <f>F23*H23</f>
        <v>93.494042624000002</v>
      </c>
      <c r="D7" s="36" t="s">
        <v>126</v>
      </c>
      <c r="E7" s="42">
        <f>(J23-K23)*I23</f>
        <v>20.075695723008003</v>
      </c>
      <c r="F7" s="36" t="s">
        <v>127</v>
      </c>
      <c r="G7" s="42">
        <f t="shared" si="0"/>
        <v>113.56973834700801</v>
      </c>
      <c r="H7" s="44">
        <v>4.7595200000000002</v>
      </c>
      <c r="I7" s="36" t="s">
        <v>128</v>
      </c>
      <c r="J7" s="44">
        <v>4.9403600000000001</v>
      </c>
      <c r="K7" s="36" t="s">
        <v>128</v>
      </c>
      <c r="L7" s="45">
        <f>IF(H7&gt;0,E23/H7,"n/m")</f>
        <v>9.8045601237099529</v>
      </c>
      <c r="M7" s="45">
        <f>IF(J7&gt;0,E23/J7,"n/m")</f>
        <v>9.4456679270336572</v>
      </c>
      <c r="N7" s="43">
        <f>M23*L23*I23</f>
        <v>14.60590505039689</v>
      </c>
      <c r="O7" s="35" t="s">
        <v>129</v>
      </c>
      <c r="P7" s="43">
        <f>N23*L23*I23</f>
        <v>15.283174320931927</v>
      </c>
      <c r="Q7" s="35" t="s">
        <v>130</v>
      </c>
      <c r="R7" s="45">
        <f>IF(N7&gt;0,G7/N7,"n/m")</f>
        <v>7.7756043158668868</v>
      </c>
      <c r="S7" s="45">
        <f>IF(P7&gt;0,G7/P7,"n/m")</f>
        <v>7.4310307506904651</v>
      </c>
    </row>
    <row r="8" spans="2:19" x14ac:dyDescent="0.2">
      <c r="B8" s="27" t="s">
        <v>62</v>
      </c>
      <c r="C8" s="42">
        <f>F24*H24</f>
        <v>610.81288703999996</v>
      </c>
      <c r="D8" s="36" t="s">
        <v>132</v>
      </c>
      <c r="E8" s="42">
        <f>(J24-K24)*I24</f>
        <v>28.278001664000001</v>
      </c>
      <c r="F8" s="36" t="s">
        <v>133</v>
      </c>
      <c r="G8" s="42">
        <f t="shared" si="0"/>
        <v>639.09088870400001</v>
      </c>
      <c r="H8" s="44">
        <v>11.07747</v>
      </c>
      <c r="I8" s="36" t="s">
        <v>134</v>
      </c>
      <c r="J8" s="44">
        <v>12.10167</v>
      </c>
      <c r="K8" s="36" t="s">
        <v>135</v>
      </c>
      <c r="L8" s="45">
        <f>IF(H8&gt;0,E24/H8,"n/m")</f>
        <v>22.880675822186834</v>
      </c>
      <c r="M8" s="45">
        <f>IF(J8&gt;0,E24/J8,"n/m")</f>
        <v>20.944216789914119</v>
      </c>
      <c r="N8" s="43">
        <f>M24*L24*I24</f>
        <v>36.099257697026999</v>
      </c>
      <c r="O8" s="35" t="s">
        <v>111</v>
      </c>
      <c r="P8" s="43">
        <f>N24*L24*I24</f>
        <v>38.675035196309402</v>
      </c>
      <c r="Q8" s="35" t="s">
        <v>112</v>
      </c>
      <c r="R8" s="45">
        <f>IF(N8&gt;0,G8/N8,"n/m")</f>
        <v>17.703712748548654</v>
      </c>
      <c r="S8" s="45">
        <f>IF(P8&gt;0,G8/P8,"n/m")</f>
        <v>16.524636253336514</v>
      </c>
    </row>
    <row r="9" spans="2:19" x14ac:dyDescent="0.2">
      <c r="B9" s="27" t="s">
        <v>60</v>
      </c>
      <c r="C9" s="42">
        <f>F25*H25</f>
        <v>1024.151584768</v>
      </c>
      <c r="D9" s="36" t="s">
        <v>136</v>
      </c>
      <c r="E9" s="42">
        <f>(J25-K25)*I25</f>
        <v>45.957998592000003</v>
      </c>
      <c r="F9" s="36" t="s">
        <v>108</v>
      </c>
      <c r="G9" s="42">
        <f t="shared" si="0"/>
        <v>1070.10958336</v>
      </c>
      <c r="H9" s="44">
        <v>36.94997</v>
      </c>
      <c r="I9" s="36" t="s">
        <v>123</v>
      </c>
      <c r="J9" s="44">
        <v>47.592449999999999</v>
      </c>
      <c r="K9" s="36" t="s">
        <v>123</v>
      </c>
      <c r="L9" s="45">
        <f>IF(H9&gt;0,E25/H9,"n/m")</f>
        <v>31.08216326021374</v>
      </c>
      <c r="M9" s="45">
        <f>IF(J9&gt;0,E25/J9,"n/m")</f>
        <v>24.131663740782411</v>
      </c>
      <c r="N9" s="43">
        <f>M25*L25*I25</f>
        <v>46.328918697177599</v>
      </c>
      <c r="O9" s="35" t="s">
        <v>111</v>
      </c>
      <c r="P9" s="43">
        <f>N25*L25*I25</f>
        <v>53.477154251673596</v>
      </c>
      <c r="Q9" s="35" t="s">
        <v>112</v>
      </c>
      <c r="R9" s="45">
        <f>IF(N9&gt;0,G9/N9,"n/m")</f>
        <v>23.098091072546271</v>
      </c>
      <c r="S9" s="45">
        <f>IF(P9&gt;0,G9/P9,"n/m")</f>
        <v>20.010593277343482</v>
      </c>
    </row>
    <row r="10" spans="2:19" x14ac:dyDescent="0.2">
      <c r="B10" s="27" t="s">
        <v>52</v>
      </c>
      <c r="C10" s="42">
        <f>F26*H26</f>
        <v>344.95994265600001</v>
      </c>
      <c r="D10" s="36" t="s">
        <v>137</v>
      </c>
      <c r="E10" s="42">
        <f>(J26-K26)*I26</f>
        <v>46.769998848</v>
      </c>
      <c r="F10" s="36" t="s">
        <v>108</v>
      </c>
      <c r="G10" s="42">
        <f t="shared" si="0"/>
        <v>391.72994150400001</v>
      </c>
      <c r="H10" s="44">
        <v>2.7284600000000001</v>
      </c>
      <c r="I10" s="36" t="s">
        <v>110</v>
      </c>
      <c r="J10" s="44">
        <v>9.4692600000000002</v>
      </c>
      <c r="K10" s="36" t="s">
        <v>138</v>
      </c>
      <c r="L10" s="45">
        <f>IF(H10&gt;0,E26/H10,"n/m")</f>
        <v>51.24502466592876</v>
      </c>
      <c r="M10" s="45">
        <f>IF(J10&gt;0,E26/J10,"n/m")</f>
        <v>14.765673347230933</v>
      </c>
      <c r="N10" s="43">
        <f>M26*L26*I26</f>
        <v>29.113958235689296</v>
      </c>
      <c r="O10" s="35" t="s">
        <v>111</v>
      </c>
      <c r="P10" s="43">
        <f>N26*L26*I26</f>
        <v>30.439026939853996</v>
      </c>
      <c r="Q10" s="35" t="s">
        <v>112</v>
      </c>
      <c r="R10" s="45">
        <f>IF(N10&gt;0,G10/N10,"n/m")</f>
        <v>13.455056105143358</v>
      </c>
      <c r="S10" s="45">
        <f>IF(P10&gt;0,G10/P10,"n/m")</f>
        <v>12.869331936202787</v>
      </c>
    </row>
    <row r="11" spans="2:19" x14ac:dyDescent="0.2">
      <c r="B11" s="27" t="s">
        <v>53</v>
      </c>
      <c r="C11" s="42">
        <f>F27*H27</f>
        <v>267.20249446399998</v>
      </c>
      <c r="D11" s="36" t="s">
        <v>139</v>
      </c>
      <c r="E11" s="42">
        <f>(J27-K27)*I27</f>
        <v>41.396001792</v>
      </c>
      <c r="F11" s="36" t="s">
        <v>108</v>
      </c>
      <c r="G11" s="42">
        <f t="shared" si="0"/>
        <v>308.59849625599998</v>
      </c>
      <c r="H11" s="44">
        <v>8.8748500000000003</v>
      </c>
      <c r="I11" s="36" t="s">
        <v>140</v>
      </c>
      <c r="J11" s="44">
        <v>9.8414800000000007</v>
      </c>
      <c r="K11" s="36" t="s">
        <v>141</v>
      </c>
      <c r="L11" s="45">
        <f>IF(H11&gt;0,E27/H11,"n/m")</f>
        <v>15.840267722834753</v>
      </c>
      <c r="M11" s="45">
        <f>IF(J11&gt;0,E27/J11,"n/m")</f>
        <v>14.284436893637949</v>
      </c>
      <c r="N11" s="43">
        <f>M27*L27*I27</f>
        <v>23.507009724509999</v>
      </c>
      <c r="O11" s="35" t="s">
        <v>111</v>
      </c>
      <c r="P11" s="43">
        <f>N27*L27*I27</f>
        <v>25.023312752461401</v>
      </c>
      <c r="Q11" s="35" t="s">
        <v>112</v>
      </c>
      <c r="R11" s="45">
        <f>IF(N11&gt;0,G11/N11,"n/m")</f>
        <v>13.12793502332346</v>
      </c>
      <c r="S11" s="45">
        <f>IF(P11&gt;0,G11/P11,"n/m")</f>
        <v>12.332439725657224</v>
      </c>
    </row>
    <row r="12" spans="2:19" x14ac:dyDescent="0.2">
      <c r="B12" s="27" t="s">
        <v>59</v>
      </c>
      <c r="C12" s="42">
        <f>F28*H28</f>
        <v>156.62532198400001</v>
      </c>
      <c r="D12" s="36" t="s">
        <v>142</v>
      </c>
      <c r="E12" s="42">
        <f>(J28-K28)*I28</f>
        <v>51.775999999999996</v>
      </c>
      <c r="F12" s="36" t="s">
        <v>133</v>
      </c>
      <c r="G12" s="42">
        <f t="shared" si="0"/>
        <v>208.40132198399999</v>
      </c>
      <c r="H12" s="44">
        <v>2.9749699999999999</v>
      </c>
      <c r="I12" s="36" t="s">
        <v>110</v>
      </c>
      <c r="J12" s="44">
        <v>2.8968400000000001</v>
      </c>
      <c r="K12" s="36" t="s">
        <v>110</v>
      </c>
      <c r="L12" s="45">
        <f>IF(H12&gt;0,E28/H12,"n/m")</f>
        <v>9.2369670954665093</v>
      </c>
      <c r="M12" s="45">
        <f>IF(J12&gt;0,E28/J12,"n/m")</f>
        <v>9.4860951933831341</v>
      </c>
      <c r="N12" s="43">
        <f>M28*L28*I28</f>
        <v>24.800770337625003</v>
      </c>
      <c r="O12" s="35" t="s">
        <v>111</v>
      </c>
      <c r="P12" s="43">
        <f>N28*L28*I28</f>
        <v>23.861534545565004</v>
      </c>
      <c r="Q12" s="35" t="s">
        <v>112</v>
      </c>
      <c r="R12" s="45">
        <f>IF(N12&gt;0,G12/N12,"n/m")</f>
        <v>8.403018097701441</v>
      </c>
      <c r="S12" s="45">
        <f>IF(P12&gt;0,G12/P12,"n/m")</f>
        <v>8.7337770161447672</v>
      </c>
    </row>
    <row r="13" spans="2:19" x14ac:dyDescent="0.2">
      <c r="B13" s="27" t="s">
        <v>56</v>
      </c>
      <c r="C13" s="42">
        <f>F29*H29</f>
        <v>335.02412800000002</v>
      </c>
      <c r="D13" s="36" t="s">
        <v>145</v>
      </c>
      <c r="E13" s="42">
        <f>(J29-K29)*I29</f>
        <v>28.373667170304003</v>
      </c>
      <c r="F13" s="36" t="s">
        <v>146</v>
      </c>
      <c r="G13" s="42">
        <f t="shared" si="0"/>
        <v>363.39779517030399</v>
      </c>
      <c r="H13" s="44">
        <v>3.13226</v>
      </c>
      <c r="I13" s="36" t="s">
        <v>147</v>
      </c>
      <c r="J13" s="44">
        <v>3.3734000000000002</v>
      </c>
      <c r="K13" s="36" t="s">
        <v>147</v>
      </c>
      <c r="L13" s="45">
        <f>IF(H13&gt;0,E29/H13,"n/m")</f>
        <v>16.780216201720165</v>
      </c>
      <c r="M13" s="45">
        <f>IF(J13&gt;0,E29/J13,"n/m")</f>
        <v>15.580719748621568</v>
      </c>
      <c r="N13" s="43">
        <f>M29*L29*I29</f>
        <v>28.719991316217573</v>
      </c>
      <c r="O13" s="35" t="s">
        <v>148</v>
      </c>
      <c r="P13" s="43">
        <f>N29*L29*I29</f>
        <v>30.026667423192823</v>
      </c>
      <c r="Q13" s="35" t="s">
        <v>149</v>
      </c>
      <c r="R13" s="45">
        <f>IF(N13&gt;0,G13/N13,"n/m")</f>
        <v>12.653130398584102</v>
      </c>
      <c r="S13" s="45">
        <f>IF(P13&gt;0,G13/P13,"n/m")</f>
        <v>12.102501754477515</v>
      </c>
    </row>
    <row r="14" spans="2:19" x14ac:dyDescent="0.2">
      <c r="B14" s="27" t="s">
        <v>57</v>
      </c>
      <c r="C14" s="42">
        <f>F30*H30</f>
        <v>94.803173376000004</v>
      </c>
      <c r="D14" s="36" t="s">
        <v>150</v>
      </c>
      <c r="E14" s="42">
        <f>(J30-K30)*I30</f>
        <v>19.3241272307712</v>
      </c>
      <c r="F14" s="36" t="s">
        <v>118</v>
      </c>
      <c r="G14" s="42">
        <f t="shared" si="0"/>
        <v>114.1273006067712</v>
      </c>
      <c r="H14" s="44">
        <v>5.0161300000000004</v>
      </c>
      <c r="I14" s="36" t="s">
        <v>151</v>
      </c>
      <c r="J14" s="44">
        <v>5.4009200000000002</v>
      </c>
      <c r="K14" s="36" t="s">
        <v>151</v>
      </c>
      <c r="L14" s="45">
        <f>IF(H14&gt;0,E30/H14,"n/m")</f>
        <v>7.8875547483817199</v>
      </c>
      <c r="M14" s="45">
        <f>IF(J14&gt;0,E30/J14,"n/m")</f>
        <v>7.3256037860216399</v>
      </c>
      <c r="N14" s="43">
        <f>M30*L30*I30</f>
        <v>14.802538908816636</v>
      </c>
      <c r="O14" s="35" t="s">
        <v>120</v>
      </c>
      <c r="P14" s="43">
        <f>N30*L30*I30</f>
        <v>15.721947499944985</v>
      </c>
      <c r="Q14" s="35" t="s">
        <v>121</v>
      </c>
      <c r="R14" s="45">
        <f>IF(N14&gt;0,G14/N14,"n/m")</f>
        <v>7.7099814639767708</v>
      </c>
      <c r="S14" s="45">
        <f>IF(P14&gt;0,G14/P14,"n/m")</f>
        <v>7.2591070926277146</v>
      </c>
    </row>
    <row r="15" spans="2:19" ht="15" x14ac:dyDescent="0.25">
      <c r="B15" s="27" t="s">
        <v>79</v>
      </c>
      <c r="C15" s="27"/>
      <c r="D15" s="27"/>
      <c r="E15" s="27"/>
      <c r="F15" s="27"/>
      <c r="G15" s="27"/>
      <c r="H15" s="27"/>
      <c r="I15" s="27"/>
      <c r="J15" s="27"/>
      <c r="K15" s="27"/>
      <c r="L15" s="49">
        <f>AVERAGE(L3:L14)</f>
        <v>18.114812607157692</v>
      </c>
      <c r="M15" s="49">
        <f>AVERAGE(M3:M14)</f>
        <v>13.654571474309444</v>
      </c>
      <c r="R15" s="49">
        <f>AVERAGE(R3:R14)</f>
        <v>12.424950780476621</v>
      </c>
      <c r="S15" s="49">
        <f>AVERAGE(S3:S14)</f>
        <v>11.702554678333854</v>
      </c>
    </row>
    <row r="17" spans="2:17" ht="15" x14ac:dyDescent="0.25">
      <c r="B17" s="8" t="s">
        <v>90</v>
      </c>
    </row>
    <row r="18" spans="2:17" ht="60" x14ac:dyDescent="0.25">
      <c r="B18" s="20" t="s">
        <v>50</v>
      </c>
      <c r="C18" s="20" t="s">
        <v>91</v>
      </c>
      <c r="D18" s="20" t="s">
        <v>92</v>
      </c>
      <c r="E18" s="20" t="s">
        <v>93</v>
      </c>
      <c r="F18" s="20" t="s">
        <v>94</v>
      </c>
      <c r="G18" s="20" t="s">
        <v>95</v>
      </c>
      <c r="H18" s="20" t="s">
        <v>96</v>
      </c>
      <c r="I18" s="20" t="s">
        <v>97</v>
      </c>
      <c r="J18" s="20" t="s">
        <v>98</v>
      </c>
      <c r="K18" s="20" t="s">
        <v>99</v>
      </c>
      <c r="L18" s="20" t="s">
        <v>100</v>
      </c>
      <c r="M18" s="20" t="s">
        <v>101</v>
      </c>
      <c r="N18" s="20" t="s">
        <v>102</v>
      </c>
      <c r="O18" s="20" t="s">
        <v>103</v>
      </c>
      <c r="P18" s="20" t="s">
        <v>104</v>
      </c>
      <c r="Q18" s="20" t="s">
        <v>105</v>
      </c>
    </row>
    <row r="19" spans="2:17" x14ac:dyDescent="0.2">
      <c r="B19" t="s">
        <v>63</v>
      </c>
      <c r="C19" s="39" t="s">
        <v>63</v>
      </c>
      <c r="D19" s="39" t="s">
        <v>106</v>
      </c>
      <c r="E19" s="18">
        <v>264.39999999999998</v>
      </c>
      <c r="F19" s="46">
        <v>467.22580479999999</v>
      </c>
      <c r="G19" s="39" t="s">
        <v>106</v>
      </c>
      <c r="H19" s="47">
        <f>INDEX($C$35:$C$38,MATCH(D19,$B$35:$B$38,0))</f>
        <v>1</v>
      </c>
      <c r="I19" s="47">
        <f>INDEX($C$35:$C$38,MATCH(G19,$B$35:$B$38,0))</f>
        <v>1</v>
      </c>
      <c r="J19" s="46">
        <v>70.884999167999993</v>
      </c>
      <c r="K19" s="46">
        <v>6.568999936</v>
      </c>
      <c r="L19" s="48">
        <v>0.47778999999999999</v>
      </c>
      <c r="M19" s="46">
        <v>67.599543030000007</v>
      </c>
      <c r="N19" s="46">
        <v>73.495516359999996</v>
      </c>
      <c r="O19" s="39">
        <v>26</v>
      </c>
      <c r="P19" s="39">
        <v>25</v>
      </c>
      <c r="Q19" s="40">
        <v>46203</v>
      </c>
    </row>
    <row r="20" spans="2:17" x14ac:dyDescent="0.2">
      <c r="B20" t="s">
        <v>54</v>
      </c>
      <c r="C20" s="39" t="s">
        <v>54</v>
      </c>
      <c r="D20" s="39" t="s">
        <v>106</v>
      </c>
      <c r="E20" s="18">
        <v>156.41</v>
      </c>
      <c r="F20" s="46">
        <v>242.577178624</v>
      </c>
      <c r="G20" s="39" t="s">
        <v>106</v>
      </c>
      <c r="H20" s="47">
        <f>INDEX($C$35:$C$38,MATCH(D20,$B$35:$B$38,0))</f>
        <v>1</v>
      </c>
      <c r="I20" s="47">
        <f>INDEX($C$35:$C$38,MATCH(G20,$B$35:$B$38,0))</f>
        <v>1</v>
      </c>
      <c r="J20" s="46">
        <v>32.349999103999998</v>
      </c>
      <c r="K20" s="46">
        <v>4.968</v>
      </c>
      <c r="L20" s="48">
        <v>0.32435000000000003</v>
      </c>
      <c r="M20" s="46">
        <v>63.167443120000001</v>
      </c>
      <c r="N20" s="46">
        <v>67.040338680000005</v>
      </c>
      <c r="O20" s="39">
        <v>2</v>
      </c>
      <c r="P20" s="39">
        <v>2</v>
      </c>
      <c r="Q20" s="40">
        <v>46203</v>
      </c>
    </row>
    <row r="21" spans="2:17" x14ac:dyDescent="0.2">
      <c r="B21" t="s">
        <v>58</v>
      </c>
      <c r="C21" s="39" t="s">
        <v>115</v>
      </c>
      <c r="D21" s="39" t="s">
        <v>116</v>
      </c>
      <c r="E21" s="18">
        <v>43.96</v>
      </c>
      <c r="F21" s="46">
        <v>43.187359743999998</v>
      </c>
      <c r="G21" s="39" t="s">
        <v>116</v>
      </c>
      <c r="H21" s="47">
        <f>INDEX($C$35:$C$38,MATCH(D21,$B$35:$B$38,0))</f>
        <v>1.1217999999999999</v>
      </c>
      <c r="I21" s="47">
        <f>INDEX($C$35:$C$38,MATCH(G21,$B$35:$B$38,0))</f>
        <v>1.1217999999999999</v>
      </c>
      <c r="J21" s="46">
        <v>38.430998528000003</v>
      </c>
      <c r="K21" s="46">
        <v>5.0819998719999999</v>
      </c>
      <c r="L21" s="48">
        <v>0.22331999999999999</v>
      </c>
      <c r="M21" s="46">
        <v>45.823178210000002</v>
      </c>
      <c r="N21" s="46">
        <v>47.066031629999998</v>
      </c>
      <c r="O21" s="39">
        <v>15</v>
      </c>
      <c r="P21" s="39">
        <v>15</v>
      </c>
      <c r="Q21" s="40">
        <v>46203</v>
      </c>
    </row>
    <row r="22" spans="2:17" x14ac:dyDescent="0.2">
      <c r="B22" t="s">
        <v>61</v>
      </c>
      <c r="C22" s="39" t="s">
        <v>61</v>
      </c>
      <c r="D22" s="39" t="s">
        <v>106</v>
      </c>
      <c r="E22" s="18">
        <v>59.055</v>
      </c>
      <c r="F22" s="46">
        <v>120.632516608</v>
      </c>
      <c r="G22" s="39" t="s">
        <v>106</v>
      </c>
      <c r="H22" s="47">
        <f>INDEX($C$35:$C$38,MATCH(D22,$B$35:$B$38,0))</f>
        <v>1</v>
      </c>
      <c r="I22" s="47">
        <f>INDEX($C$35:$C$38,MATCH(G22,$B$35:$B$38,0))</f>
        <v>1</v>
      </c>
      <c r="J22" s="46">
        <v>45.053001727999998</v>
      </c>
      <c r="K22" s="46">
        <v>11.066999808</v>
      </c>
      <c r="L22" s="48">
        <v>0.38486999999999999</v>
      </c>
      <c r="M22" s="46">
        <v>49.842483430000001</v>
      </c>
      <c r="N22" s="46">
        <v>48.208011560000003</v>
      </c>
      <c r="O22" s="39">
        <v>27</v>
      </c>
      <c r="P22" s="39">
        <v>28</v>
      </c>
      <c r="Q22" s="40">
        <v>46203</v>
      </c>
    </row>
    <row r="23" spans="2:17" x14ac:dyDescent="0.2">
      <c r="B23" t="s">
        <v>55</v>
      </c>
      <c r="C23" s="39" t="s">
        <v>55</v>
      </c>
      <c r="D23" s="39" t="s">
        <v>106</v>
      </c>
      <c r="E23" s="18">
        <v>46.664999999999999</v>
      </c>
      <c r="F23" s="46">
        <v>93.494042624000002</v>
      </c>
      <c r="G23" s="39" t="s">
        <v>125</v>
      </c>
      <c r="H23" s="47">
        <f>INDEX($C$35:$C$38,MATCH(D23,$B$35:$B$38,0))</f>
        <v>1</v>
      </c>
      <c r="I23" s="47">
        <f>INDEX($C$35:$C$38,MATCH(G23,$B$35:$B$38,0))</f>
        <v>1.3219000000000001</v>
      </c>
      <c r="J23" s="46">
        <v>18.293000192000001</v>
      </c>
      <c r="K23" s="46">
        <v>3.1059998719999999</v>
      </c>
      <c r="L23" s="48">
        <v>0.32581001999999998</v>
      </c>
      <c r="M23" s="46">
        <v>33.91293941</v>
      </c>
      <c r="N23" s="46">
        <v>35.485467210000003</v>
      </c>
      <c r="O23" s="39">
        <v>5</v>
      </c>
      <c r="P23" s="39">
        <v>5</v>
      </c>
      <c r="Q23" s="40">
        <v>46203</v>
      </c>
    </row>
    <row r="24" spans="2:17" x14ac:dyDescent="0.2">
      <c r="B24" t="s">
        <v>62</v>
      </c>
      <c r="C24" s="39" t="s">
        <v>131</v>
      </c>
      <c r="D24" s="39" t="s">
        <v>106</v>
      </c>
      <c r="E24" s="18">
        <v>253.46</v>
      </c>
      <c r="F24" s="46">
        <v>610.81288703999996</v>
      </c>
      <c r="G24" s="39" t="s">
        <v>106</v>
      </c>
      <c r="H24" s="47">
        <f>INDEX($C$35:$C$38,MATCH(D24,$B$35:$B$38,0))</f>
        <v>1</v>
      </c>
      <c r="I24" s="47">
        <f>INDEX($C$35:$C$38,MATCH(G24,$B$35:$B$38,0))</f>
        <v>1</v>
      </c>
      <c r="J24" s="46">
        <v>49.036001280000001</v>
      </c>
      <c r="K24" s="46">
        <v>20.757999615999999</v>
      </c>
      <c r="L24" s="48">
        <v>0.35609000000000002</v>
      </c>
      <c r="M24" s="46">
        <v>101.37678029999999</v>
      </c>
      <c r="N24" s="46">
        <v>108.61028166</v>
      </c>
      <c r="O24" s="39">
        <v>9</v>
      </c>
      <c r="P24" s="39">
        <v>8</v>
      </c>
      <c r="Q24" s="40">
        <v>46201</v>
      </c>
    </row>
    <row r="25" spans="2:17" x14ac:dyDescent="0.2">
      <c r="B25" t="s">
        <v>60</v>
      </c>
      <c r="C25" s="39" t="s">
        <v>60</v>
      </c>
      <c r="D25" s="39" t="s">
        <v>106</v>
      </c>
      <c r="E25" s="18">
        <v>1148.4849999999999</v>
      </c>
      <c r="F25" s="46">
        <v>1024.151584768</v>
      </c>
      <c r="G25" s="39" t="s">
        <v>106</v>
      </c>
      <c r="H25" s="47">
        <f>INDEX($C$35:$C$38,MATCH(D25,$B$35:$B$38,0))</f>
        <v>1</v>
      </c>
      <c r="I25" s="47">
        <f>INDEX($C$35:$C$38,MATCH(G25,$B$35:$B$38,0))</f>
        <v>1</v>
      </c>
      <c r="J25" s="46">
        <v>54.907998208000002</v>
      </c>
      <c r="K25" s="46">
        <v>8.9499996159999995</v>
      </c>
      <c r="L25" s="48">
        <v>0.52351999999999999</v>
      </c>
      <c r="M25" s="46">
        <v>88.495031130000001</v>
      </c>
      <c r="N25" s="46">
        <v>102.14920968</v>
      </c>
      <c r="O25" s="39">
        <v>27</v>
      </c>
      <c r="P25" s="39">
        <v>27</v>
      </c>
      <c r="Q25" s="40">
        <v>46203</v>
      </c>
    </row>
    <row r="26" spans="2:17" x14ac:dyDescent="0.2">
      <c r="B26" t="s">
        <v>52</v>
      </c>
      <c r="C26" s="39" t="s">
        <v>52</v>
      </c>
      <c r="D26" s="39" t="s">
        <v>106</v>
      </c>
      <c r="E26" s="18">
        <v>139.82</v>
      </c>
      <c r="F26" s="46">
        <v>344.95994265600001</v>
      </c>
      <c r="G26" s="39" t="s">
        <v>106</v>
      </c>
      <c r="H26" s="47">
        <f>INDEX($C$35:$C$38,MATCH(D26,$B$35:$B$38,0))</f>
        <v>1</v>
      </c>
      <c r="I26" s="47">
        <f>INDEX($C$35:$C$38,MATCH(G26,$B$35:$B$38,0))</f>
        <v>1</v>
      </c>
      <c r="J26" s="46">
        <v>53.91099904</v>
      </c>
      <c r="K26" s="46">
        <v>7.1410001919999999</v>
      </c>
      <c r="L26" s="48">
        <v>0.43369999999999997</v>
      </c>
      <c r="M26" s="46">
        <v>67.129255788999998</v>
      </c>
      <c r="N26" s="46">
        <v>70.184521419999996</v>
      </c>
      <c r="O26" s="39">
        <v>25</v>
      </c>
      <c r="P26" s="39">
        <v>24</v>
      </c>
      <c r="Q26" s="40">
        <v>46203</v>
      </c>
    </row>
    <row r="27" spans="2:17" x14ac:dyDescent="0.2">
      <c r="B27" t="s">
        <v>53</v>
      </c>
      <c r="C27" s="39" t="s">
        <v>53</v>
      </c>
      <c r="D27" s="39" t="s">
        <v>106</v>
      </c>
      <c r="E27" s="18">
        <v>140.58000000000001</v>
      </c>
      <c r="F27" s="46">
        <v>267.20249446399998</v>
      </c>
      <c r="G27" s="39" t="s">
        <v>106</v>
      </c>
      <c r="H27" s="47">
        <f>INDEX($C$35:$C$38,MATCH(D27,$B$35:$B$38,0))</f>
        <v>1</v>
      </c>
      <c r="I27" s="47">
        <f>INDEX($C$35:$C$38,MATCH(G27,$B$35:$B$38,0))</f>
        <v>1</v>
      </c>
      <c r="J27" s="46">
        <v>49.014001663999998</v>
      </c>
      <c r="K27" s="46">
        <v>7.6179998720000004</v>
      </c>
      <c r="L27" s="48">
        <v>0.40742</v>
      </c>
      <c r="M27" s="46">
        <v>57.697240499999999</v>
      </c>
      <c r="N27" s="46">
        <v>61.418960169999998</v>
      </c>
      <c r="O27" s="39">
        <v>9</v>
      </c>
      <c r="P27" s="39">
        <v>10</v>
      </c>
      <c r="Q27" s="40">
        <v>46203</v>
      </c>
    </row>
    <row r="28" spans="2:17" x14ac:dyDescent="0.2">
      <c r="B28" t="s">
        <v>59</v>
      </c>
      <c r="C28" s="39" t="s">
        <v>59</v>
      </c>
      <c r="D28" s="39" t="s">
        <v>106</v>
      </c>
      <c r="E28" s="18">
        <v>27.479700000000001</v>
      </c>
      <c r="F28" s="46">
        <v>156.62532198400001</v>
      </c>
      <c r="G28" s="39" t="s">
        <v>106</v>
      </c>
      <c r="H28" s="47">
        <f>INDEX($C$35:$C$38,MATCH(D28,$B$35:$B$38,0))</f>
        <v>1</v>
      </c>
      <c r="I28" s="47">
        <f>INDEX($C$35:$C$38,MATCH(G28,$B$35:$B$38,0))</f>
        <v>1</v>
      </c>
      <c r="J28" s="46">
        <v>63.480000511999997</v>
      </c>
      <c r="K28" s="46">
        <v>11.704000512</v>
      </c>
      <c r="L28" s="48">
        <v>0.39850000000000002</v>
      </c>
      <c r="M28" s="46">
        <v>62.235308250000003</v>
      </c>
      <c r="N28" s="46">
        <v>59.878380290000003</v>
      </c>
      <c r="O28" s="39">
        <v>25</v>
      </c>
      <c r="P28" s="39">
        <v>25</v>
      </c>
      <c r="Q28" s="40">
        <v>46201</v>
      </c>
    </row>
    <row r="29" spans="2:17" x14ac:dyDescent="0.2">
      <c r="B29" t="s">
        <v>56</v>
      </c>
      <c r="C29" s="39" t="s">
        <v>143</v>
      </c>
      <c r="D29" s="39" t="s">
        <v>106</v>
      </c>
      <c r="E29" s="18">
        <v>52.56</v>
      </c>
      <c r="F29" s="46">
        <v>335.02412800000002</v>
      </c>
      <c r="G29" s="39" t="s">
        <v>144</v>
      </c>
      <c r="H29" s="47">
        <f>INDEX($C$35:$C$38,MATCH(D29,$B$35:$B$38,0))</f>
        <v>1</v>
      </c>
      <c r="I29" s="47">
        <f>INDEX($C$35:$C$38,MATCH(G29,$B$35:$B$38,0))</f>
        <v>1.2036</v>
      </c>
      <c r="J29" s="46">
        <v>33.308000256</v>
      </c>
      <c r="K29" s="46">
        <v>9.7339996160000002</v>
      </c>
      <c r="L29" s="48">
        <v>0.38063000000000002</v>
      </c>
      <c r="M29" s="46">
        <v>62.690121310000002</v>
      </c>
      <c r="N29" s="46">
        <v>65.542339569999996</v>
      </c>
      <c r="O29" s="39">
        <v>5</v>
      </c>
      <c r="P29" s="39">
        <v>5</v>
      </c>
      <c r="Q29" s="40">
        <v>46203</v>
      </c>
    </row>
    <row r="30" spans="2:17" x14ac:dyDescent="0.2">
      <c r="B30" t="s">
        <v>57</v>
      </c>
      <c r="C30" s="39" t="s">
        <v>57</v>
      </c>
      <c r="D30" s="39" t="s">
        <v>106</v>
      </c>
      <c r="E30" s="18">
        <v>39.564999999999998</v>
      </c>
      <c r="F30" s="46">
        <v>94.803173376000004</v>
      </c>
      <c r="G30" s="39" t="s">
        <v>116</v>
      </c>
      <c r="H30" s="47">
        <f>INDEX($C$35:$C$38,MATCH(D30,$B$35:$B$38,0))</f>
        <v>1</v>
      </c>
      <c r="I30" s="47">
        <f>INDEX($C$35:$C$38,MATCH(G30,$B$35:$B$38,0))</f>
        <v>1.1217999999999999</v>
      </c>
      <c r="J30" s="46">
        <v>23.576000512</v>
      </c>
      <c r="K30" s="46">
        <v>6.3500001279999996</v>
      </c>
      <c r="L30" s="48">
        <v>0.27684999999999998</v>
      </c>
      <c r="M30" s="46">
        <v>47.662437390000001</v>
      </c>
      <c r="N30" s="46">
        <v>50.622825110000001</v>
      </c>
      <c r="O30" s="39">
        <v>6</v>
      </c>
      <c r="P30" s="39">
        <v>6</v>
      </c>
      <c r="Q30" s="40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106</v>
      </c>
      <c r="C35" s="41">
        <v>1</v>
      </c>
    </row>
    <row r="36" spans="2:3" x14ac:dyDescent="0.2">
      <c r="B36" t="s">
        <v>116</v>
      </c>
      <c r="C36" s="41">
        <v>1.1217999999999999</v>
      </c>
    </row>
    <row r="37" spans="2:3" x14ac:dyDescent="0.2">
      <c r="B37" t="s">
        <v>125</v>
      </c>
      <c r="C37" s="41">
        <v>1.3219000000000001</v>
      </c>
    </row>
    <row r="38" spans="2:3" x14ac:dyDescent="0.2">
      <c r="B38" t="s">
        <v>144</v>
      </c>
      <c r="C38" s="41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P2:Q2"/>
    <mergeCell ref="H2:I2"/>
    <mergeCell ref="J2:K2"/>
    <mergeCell ref="C2:D2"/>
    <mergeCell ref="E2:F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8D61-7D4B-4AD3-B20D-581558F5359D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81.599999999999994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-0.23344293095349933</v>
      </c>
      <c r="P5" s="19">
        <f ca="1">IF('Stock Price'!$I$11="OK",C5/INDEX(C$5:C$1258,'Stock Price'!$I$9)-1,"")</f>
        <v>-0.42858163707232566</v>
      </c>
      <c r="Q5" s="19">
        <f ca="1">IF('Stock Price'!$I$11="OK",D5/INDEX(D$5:D$1258,'Stock Price'!$I$9)-1,"")</f>
        <v>-0.33762145887505135</v>
      </c>
      <c r="R5" s="19">
        <f ca="1">IF('Stock Price'!$I$11="OK",E5/INDEX(E$5:E$1258,'Stock Price'!$I$9)-1,"")</f>
        <v>-3.7376586741890039E-2</v>
      </c>
      <c r="S5" s="19">
        <f ca="1">IF('Stock Price'!$I$11="OK",F5/INDEX(F$5:F$1258,'Stock Price'!$I$9)-1,"")</f>
        <v>-9.2322643343051514E-2</v>
      </c>
      <c r="T5" s="19">
        <f ca="1">IF('Stock Price'!$I$11="OK",G5/INDEX(G$5:G$1258,'Stock Price'!$I$9)-1,"")</f>
        <v>1.8660584698322324E-3</v>
      </c>
      <c r="U5" s="19">
        <f ca="1">IF('Stock Price'!$I$11="OK",H5/INDEX(H$5:H$1258,'Stock Price'!$I$9)-1,"")</f>
        <v>0.21486842105263149</v>
      </c>
      <c r="V5" s="19">
        <f ca="1">IF('Stock Price'!$I$11="OK",I5/INDEX(I$5:I$1258,'Stock Price'!$I$9)-1,"")</f>
        <v>0.68069896743447189</v>
      </c>
      <c r="W5" s="19">
        <f ca="1">IF('Stock Price'!$I$11="OK",J5/INDEX(J$5:J$1258,'Stock Price'!$I$9)-1,"")</f>
        <v>-0.78624717686697021</v>
      </c>
      <c r="X5" s="19">
        <f ca="1">IF('Stock Price'!$I$11="OK",K5/INDEX(K$5:K$1258,'Stock Price'!$I$9)-1,"")</f>
        <v>0.10643471754582867</v>
      </c>
      <c r="Y5" s="19">
        <f ca="1">IF('Stock Price'!$I$11="OK",L5/INDEX(L$5:L$1258,'Stock Price'!$I$9)-1,"")</f>
        <v>-0.23038340969375448</v>
      </c>
      <c r="Z5" s="19">
        <f ca="1">IF('Stock Price'!$I$11="OK",M5/INDEX(M$5:M$1258,'Stock Price'!$I$9)-1,"")</f>
        <v>-0.52243687584492604</v>
      </c>
      <c r="AB5" s="31" t="s">
        <v>52</v>
      </c>
      <c r="AC5" s="33">
        <f ca="1">'Stock Price'!V49</f>
        <v>0.35556599342414286</v>
      </c>
      <c r="AD5" s="33">
        <f t="shared" ref="AD5:AD16" ca="1" si="0">IF(AC5="","",AC5-ROW()*0.000000001)</f>
        <v>0.35556598842414283</v>
      </c>
      <c r="AE5" s="31">
        <f t="shared" ref="AE5:AE16" ca="1" si="1">IF(AD5="","",COUNTIF($AD$5:$AD$16,"&gt;"&amp;AD5)+1)</f>
        <v>1</v>
      </c>
      <c r="AF5" s="31" t="str">
        <f t="shared" ref="AF5:AF16" ca="1" si="2">IF(AC5="",AB5,AB5&amp;" "&amp;TEXT(AC5,"+0.0%;-0.0%;0.0%"))</f>
        <v>MRK +35.6%</v>
      </c>
      <c r="AG5" s="33">
        <f t="shared" ref="AG5:AG16" ca="1" si="3">IF(AE5="","",INDEX($AK$5:$AK$16,AE5))</f>
        <v>0.35556598842414283</v>
      </c>
      <c r="AH5" s="31">
        <v>1</v>
      </c>
      <c r="AI5" s="33">
        <f ca="1">IF('Stock Price'!$I$11="OK",LARGE($AD$5:$AD$16,AH5),"")</f>
        <v>0.35556598842414283</v>
      </c>
      <c r="AJ5" s="33">
        <f ca="1">AI5</f>
        <v>0.35556598842414283</v>
      </c>
      <c r="AK5" s="33">
        <f ca="1">IF('Stock Price'!$I$11="OK",MAX(AJ5,AK6+$AL$5),"")</f>
        <v>0.35556598842414283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3.0681418977453717E-2</v>
      </c>
      <c r="AM5" s="33">
        <f ca="1">IF('Stock Price'!$I$11="OK",MIN(INDEX('Peer Data'!$O$5:$Z$1258,'Stock Price'!$I$9,1):INDEX('Peer Data'!$O$5:$Z$1258,'Stock Price'!$I$10,12)),"")</f>
        <v>-0.21210522418453093</v>
      </c>
    </row>
    <row r="6" spans="1:39" x14ac:dyDescent="0.2">
      <c r="A6" s="16">
        <f>'Stock Price'!A6</f>
        <v>44475</v>
      </c>
      <c r="B6" s="17">
        <f>'Stock Price'!E6</f>
        <v>80.66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-0.24227336777829978</v>
      </c>
      <c r="P6" s="19">
        <f ca="1">IF('Stock Price'!$I$11="OK",C6/INDEX(C$5:C$1258,'Stock Price'!$I$9)-1,"")</f>
        <v>-0.428860978778692</v>
      </c>
      <c r="Q6" s="19">
        <f ca="1">IF('Stock Price'!$I$11="OK",D6/INDEX(D$5:D$1258,'Stock Price'!$I$9)-1,"")</f>
        <v>-0.34161762693307796</v>
      </c>
      <c r="R6" s="19">
        <f ca="1">IF('Stock Price'!$I$11="OK",E6/INDEX(E$5:E$1258,'Stock Price'!$I$9)-1,"")</f>
        <v>-3.9643360870441291E-2</v>
      </c>
      <c r="S6" s="19">
        <f ca="1">IF('Stock Price'!$I$11="OK",F6/INDEX(F$5:F$1258,'Stock Price'!$I$9)-1,"")</f>
        <v>-8.2021379980563802E-2</v>
      </c>
      <c r="T6" s="19">
        <f ca="1">IF('Stock Price'!$I$11="OK",G6/INDEX(G$5:G$1258,'Stock Price'!$I$9)-1,"")</f>
        <v>-6.2201948994389245E-4</v>
      </c>
      <c r="U6" s="19">
        <f ca="1">IF('Stock Price'!$I$11="OK",H6/INDEX(H$5:H$1258,'Stock Price'!$I$9)-1,"")</f>
        <v>0.21934210526315789</v>
      </c>
      <c r="V6" s="19">
        <f ca="1">IF('Stock Price'!$I$11="OK",I6/INDEX(I$5:I$1258,'Stock Price'!$I$9)-1,"")</f>
        <v>0.66878474980142988</v>
      </c>
      <c r="W6" s="19">
        <f ca="1">IF('Stock Price'!$I$11="OK",J6/INDEX(J$5:J$1258,'Stock Price'!$I$9)-1,"")</f>
        <v>-0.78909807841830504</v>
      </c>
      <c r="X6" s="19">
        <f ca="1">IF('Stock Price'!$I$11="OK",K6/INDEX(K$5:K$1258,'Stock Price'!$I$9)-1,"")</f>
        <v>0.10718294051627386</v>
      </c>
      <c r="Y6" s="19">
        <f ca="1">IF('Stock Price'!$I$11="OK",L6/INDEX(L$5:L$1258,'Stock Price'!$I$9)-1,"")</f>
        <v>-0.22879189775741504</v>
      </c>
      <c r="Z6" s="19">
        <f ca="1">IF('Stock Price'!$I$11="OK",M6/INDEX(M$5:M$1258,'Stock Price'!$I$9)-1,"")</f>
        <v>-0.52326544851947143</v>
      </c>
      <c r="AB6" s="31" t="s">
        <v>53</v>
      </c>
      <c r="AC6" s="33">
        <f ca="1">'Stock Price'!V50</f>
        <v>1.7756604590732028E-2</v>
      </c>
      <c r="AD6" s="33">
        <f t="shared" ca="1" si="0"/>
        <v>1.7756598590732028E-2</v>
      </c>
      <c r="AE6" s="31">
        <f t="shared" ca="1" si="1"/>
        <v>8</v>
      </c>
      <c r="AF6" s="31" t="str">
        <f t="shared" ca="1" si="2"/>
        <v>NVS +1.8%</v>
      </c>
      <c r="AG6" s="33">
        <f t="shared" ca="1" si="3"/>
        <v>1.7756598590732028E-2</v>
      </c>
      <c r="AH6" s="31">
        <v>2</v>
      </c>
      <c r="AI6" s="33">
        <f ca="1">IF('Stock Price'!$I$11="OK",LARGE($AD$5:$AD$16,AH6),"")</f>
        <v>0.23477210942729668</v>
      </c>
      <c r="AJ6" s="33">
        <f ca="1">IF('Stock Price'!$I$11="OK",MIN(AI6,AJ5-$AL$5),"")</f>
        <v>0.23477210942729668</v>
      </c>
      <c r="AK6" s="33">
        <f ca="1">IF('Stock Price'!$I$11="OK",MAX(AJ6,AK7+$AL$5),"")</f>
        <v>0.23477210942729668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81.94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-0.23024894316580558</v>
      </c>
      <c r="P7" s="19">
        <f ca="1">IF('Stock Price'!$I$11="OK",C7/INDEX(C$5:C$1258,'Stock Price'!$I$9)-1,"")</f>
        <v>-0.42404287570376786</v>
      </c>
      <c r="Q7" s="19">
        <f ca="1">IF('Stock Price'!$I$11="OK",D7/INDEX(D$5:D$1258,'Stock Price'!$I$9)-1,"")</f>
        <v>-0.33225674011222117</v>
      </c>
      <c r="R7" s="19">
        <f ca="1">IF('Stock Price'!$I$11="OK",E7/INDEX(E$5:E$1258,'Stock Price'!$I$9)-1,"")</f>
        <v>-2.629457989119488E-2</v>
      </c>
      <c r="S7" s="19">
        <f ca="1">IF('Stock Price'!$I$11="OK",F7/INDEX(F$5:F$1258,'Stock Price'!$I$9)-1,"")</f>
        <v>-6.6083576287658041E-2</v>
      </c>
      <c r="T7" s="19">
        <f ca="1">IF('Stock Price'!$I$11="OK",G7/INDEX(G$5:G$1258,'Stock Price'!$I$9)-1,"")</f>
        <v>7.6715737093095981E-3</v>
      </c>
      <c r="U7" s="19">
        <f ca="1">IF('Stock Price'!$I$11="OK",H7/INDEX(H$5:H$1258,'Stock Price'!$I$9)-1,"")</f>
        <v>0.24631578947368427</v>
      </c>
      <c r="V7" s="19">
        <f ca="1">IF('Stock Price'!$I$11="OK",I7/INDEX(I$5:I$1258,'Stock Price'!$I$9)-1,"")</f>
        <v>0.6973788721207308</v>
      </c>
      <c r="W7" s="19">
        <f ca="1">IF('Stock Price'!$I$11="OK",J7/INDEX(J$5:J$1258,'Stock Price'!$I$9)-1,"")</f>
        <v>-0.78416453774667705</v>
      </c>
      <c r="X7" s="19">
        <f ca="1">IF('Stock Price'!$I$11="OK",K7/INDEX(K$5:K$1258,'Stock Price'!$I$9)-1,"")</f>
        <v>0.1038159371492704</v>
      </c>
      <c r="Y7" s="19">
        <f ca="1">IF('Stock Price'!$I$11="OK",L7/INDEX(L$5:L$1258,'Stock Price'!$I$9)-1,"")</f>
        <v>-0.22189534603327699</v>
      </c>
      <c r="Z7" s="19">
        <f ca="1">IF('Stock Price'!$I$11="OK",M7/INDEX(M$5:M$1258,'Stock Price'!$I$9)-1,"")</f>
        <v>-0.51650603985870647</v>
      </c>
      <c r="AB7" s="31" t="s">
        <v>54</v>
      </c>
      <c r="AC7" s="33">
        <f ca="1">'Stock Price'!V51</f>
        <v>-0.14109757766525255</v>
      </c>
      <c r="AD7" s="33">
        <f t="shared" ca="1" si="0"/>
        <v>-0.14109758466525255</v>
      </c>
      <c r="AE7" s="31">
        <f t="shared" ca="1" si="1"/>
        <v>11</v>
      </c>
      <c r="AF7" s="31" t="str">
        <f t="shared" ca="1" si="2"/>
        <v>AZN -14.1%</v>
      </c>
      <c r="AG7" s="33">
        <f t="shared" ca="1" si="3"/>
        <v>-0.14109758466525255</v>
      </c>
      <c r="AH7" s="31">
        <v>3</v>
      </c>
      <c r="AI7" s="33">
        <f ca="1">IF('Stock Price'!$I$11="OK",LARGE($AD$5:$AD$16,AH7),"")</f>
        <v>0.18263156794736826</v>
      </c>
      <c r="AJ7" s="33">
        <f ca="1">IF('Stock Price'!$I$11="OK",MIN(AI7,AJ6-$AL$5),"")</f>
        <v>0.18263156794736826</v>
      </c>
      <c r="AK7" s="33">
        <f ca="1">IF('Stock Price'!$I$11="OK",MAX(AJ7,AK8+$AL$5),"")</f>
        <v>0.18263156794736826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80.63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-0.24255519023015504</v>
      </c>
      <c r="P8" s="19">
        <f ca="1">IF('Stock Price'!$I$11="OK",C8/INDEX(C$5:C$1258,'Stock Price'!$I$9)-1,"")</f>
        <v>-0.42159881622636064</v>
      </c>
      <c r="Q8" s="19">
        <f ca="1">IF('Stock Price'!$I$11="OK",D8/INDEX(D$5:D$1258,'Stock Price'!$I$9)-1,"")</f>
        <v>-0.32212946489667449</v>
      </c>
      <c r="R8" s="19">
        <f ca="1">IF('Stock Price'!$I$11="OK",E8/INDEX(E$5:E$1258,'Stock Price'!$I$9)-1,"")</f>
        <v>-2.5035260930888592E-2</v>
      </c>
      <c r="S8" s="19">
        <f ca="1">IF('Stock Price'!$I$11="OK",F8/INDEX(F$5:F$1258,'Stock Price'!$I$9)-1,"")</f>
        <v>-3.0320699708454857E-2</v>
      </c>
      <c r="T8" s="19">
        <f ca="1">IF('Stock Price'!$I$11="OK",G8/INDEX(G$5:G$1258,'Stock Price'!$I$9)-1,"")</f>
        <v>1.6172506738544534E-2</v>
      </c>
      <c r="U8" s="19">
        <f ca="1">IF('Stock Price'!$I$11="OK",H8/INDEX(H$5:H$1258,'Stock Price'!$I$9)-1,"")</f>
        <v>0.25657894736842102</v>
      </c>
      <c r="V8" s="19">
        <f ca="1">IF('Stock Price'!$I$11="OK",I8/INDEX(I$5:I$1258,'Stock Price'!$I$9)-1,"")</f>
        <v>0.68586179507545686</v>
      </c>
      <c r="W8" s="19">
        <f ca="1">IF('Stock Price'!$I$11="OK",J8/INDEX(J$5:J$1258,'Stock Price'!$I$9)-1,"")</f>
        <v>-0.78346106853271125</v>
      </c>
      <c r="X8" s="19">
        <f ca="1">IF('Stock Price'!$I$11="OK",K8/INDEX(K$5:K$1258,'Stock Price'!$I$9)-1,"")</f>
        <v>7.1081182192293202E-2</v>
      </c>
      <c r="Y8" s="19">
        <f ca="1">IF('Stock Price'!$I$11="OK",L8/INDEX(L$5:L$1258,'Stock Price'!$I$9)-1,"")</f>
        <v>-0.22387267904509278</v>
      </c>
      <c r="Z8" s="19">
        <f ca="1">IF('Stock Price'!$I$11="OK",M8/INDEX(M$5:M$1258,'Stock Price'!$I$9)-1,"")</f>
        <v>-0.51515415812655352</v>
      </c>
      <c r="AB8" s="31" t="s">
        <v>55</v>
      </c>
      <c r="AC8" s="33">
        <f ca="1">'Stock Price'!V52</f>
        <v>-5.2387668748740679E-2</v>
      </c>
      <c r="AD8" s="33">
        <f t="shared" ca="1" si="0"/>
        <v>-5.2387676748740682E-2</v>
      </c>
      <c r="AE8" s="31">
        <f t="shared" ca="1" si="1"/>
        <v>10</v>
      </c>
      <c r="AF8" s="31" t="str">
        <f t="shared" ca="1" si="2"/>
        <v>GSK -5.2%</v>
      </c>
      <c r="AG8" s="33">
        <f t="shared" ca="1" si="3"/>
        <v>-5.2387676748740682E-2</v>
      </c>
      <c r="AH8" s="31">
        <v>4</v>
      </c>
      <c r="AI8" s="33">
        <f ca="1">IF('Stock Price'!$I$11="OK",LARGE($AD$5:$AD$16,AH8),"")</f>
        <v>0.14613403833692384</v>
      </c>
      <c r="AJ8" s="33">
        <f ca="1">IF('Stock Price'!$I$11="OK",MIN(AI8,AJ7-$AL$5),"")</f>
        <v>0.14613403833692384</v>
      </c>
      <c r="AK8" s="33">
        <f ca="1">IF('Stock Price'!$I$11="OK",MAX(AJ8,AK9+$AL$5),"")</f>
        <v>0.14613403833692384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79.930000000000007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-0.24913104744011272</v>
      </c>
      <c r="P9" s="19">
        <f ca="1">IF('Stock Price'!$I$11="OK",C9/INDEX(C$5:C$1258,'Stock Price'!$I$9)-1,"")</f>
        <v>-0.42502021076945284</v>
      </c>
      <c r="Q9" s="19">
        <f ca="1">IF('Stock Price'!$I$11="OK",D9/INDEX(D$5:D$1258,'Stock Price'!$I$9)-1,"")</f>
        <v>-0.32397755576844123</v>
      </c>
      <c r="R9" s="19">
        <f ca="1">IF('Stock Price'!$I$11="OK",E9/INDEX(E$5:E$1258,'Stock Price'!$I$9)-1,"")</f>
        <v>-3.6872859157767612E-2</v>
      </c>
      <c r="S9" s="19">
        <f ca="1">IF('Stock Price'!$I$11="OK",F9/INDEX(F$5:F$1258,'Stock Price'!$I$9)-1,"")</f>
        <v>-5.0923226433430613E-2</v>
      </c>
      <c r="T9" s="19">
        <f ca="1">IF('Stock Price'!$I$11="OK",G9/INDEX(G$5:G$1258,'Stock Price'!$I$9)-1,"")</f>
        <v>9.3302923491602741E-3</v>
      </c>
      <c r="U9" s="19">
        <f ca="1">IF('Stock Price'!$I$11="OK",H9/INDEX(H$5:H$1258,'Stock Price'!$I$9)-1,"")</f>
        <v>0.27934210526315795</v>
      </c>
      <c r="V9" s="19">
        <f ca="1">IF('Stock Price'!$I$11="OK",I9/INDEX(I$5:I$1258,'Stock Price'!$I$9)-1,"")</f>
        <v>0.67037331215250218</v>
      </c>
      <c r="W9" s="19">
        <f ca="1">IF('Stock Price'!$I$11="OK",J9/INDEX(J$5:J$1258,'Stock Price'!$I$9)-1,"")</f>
        <v>-0.78371098522714644</v>
      </c>
      <c r="X9" s="19">
        <f ca="1">IF('Stock Price'!$I$11="OK",K9/INDEX(K$5:K$1258,'Stock Price'!$I$9)-1,"")</f>
        <v>7.4074074074074181E-2</v>
      </c>
      <c r="Y9" s="19">
        <f ca="1">IF('Stock Price'!$I$11="OK",L9/INDEX(L$5:L$1258,'Stock Price'!$I$9)-1,"")</f>
        <v>-0.22715215818664092</v>
      </c>
      <c r="Z9" s="19">
        <f ca="1">IF('Stock Price'!$I$11="OK",M9/INDEX(M$5:M$1258,'Stock Price'!$I$9)-1,"")</f>
        <v>-0.51881732152980686</v>
      </c>
      <c r="AB9" s="31" t="s">
        <v>56</v>
      </c>
      <c r="AC9" s="33">
        <f ca="1">'Stock Price'!V53</f>
        <v>1.5549076773566428E-2</v>
      </c>
      <c r="AD9" s="33">
        <f t="shared" ca="1" si="0"/>
        <v>1.5549067773566428E-2</v>
      </c>
      <c r="AE9" s="31">
        <f t="shared" ca="1" si="1"/>
        <v>9</v>
      </c>
      <c r="AF9" s="31" t="str">
        <f t="shared" ca="1" si="2"/>
        <v>ROG +1.6%</v>
      </c>
      <c r="AG9" s="33">
        <f t="shared" ca="1" si="3"/>
        <v>-1.2924820386721689E-2</v>
      </c>
      <c r="AH9" s="31">
        <v>5</v>
      </c>
      <c r="AI9" s="33">
        <f ca="1">IF('Stock Price'!$I$11="OK",LARGE($AD$5:$AD$16,AH9),"")</f>
        <v>0.14384585206808814</v>
      </c>
      <c r="AJ9" s="33">
        <f ca="1">IF('Stock Price'!$I$11="OK",MIN(AI9,AJ8-$AL$5),"")</f>
        <v>0.11545261935947013</v>
      </c>
      <c r="AK9" s="33">
        <f ca="1">IF('Stock Price'!$I$11="OK",MAX(AJ9,AK10+$AL$5),"")</f>
        <v>0.11545261935947013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79.59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-0.25232503522780647</v>
      </c>
      <c r="P10" s="19">
        <f ca="1">IF('Stock Price'!$I$11="OK",C10/INDEX(C$5:C$1258,'Stock Price'!$I$9)-1,"")</f>
        <v>-0.42753428612675037</v>
      </c>
      <c r="Q10" s="19">
        <f ca="1">IF('Stock Price'!$I$11="OK",D10/INDEX(D$5:D$1258,'Stock Price'!$I$9)-1,"")</f>
        <v>-0.32711098946215955</v>
      </c>
      <c r="R10" s="19">
        <f ca="1">IF('Stock Price'!$I$11="OK",E10/INDEX(E$5:E$1258,'Stock Price'!$I$9)-1,"")</f>
        <v>-2.6798307475317418E-2</v>
      </c>
      <c r="S10" s="19">
        <f ca="1">IF('Stock Price'!$I$11="OK",F10/INDEX(F$5:F$1258,'Stock Price'!$I$9)-1,"")</f>
        <v>-6.25850340136056E-2</v>
      </c>
      <c r="T10" s="19">
        <f ca="1">IF('Stock Price'!$I$11="OK",G10/INDEX(G$5:G$1258,'Stock Price'!$I$9)-1,"")</f>
        <v>1.4513788098693414E-3</v>
      </c>
      <c r="U10" s="19">
        <f ca="1">IF('Stock Price'!$I$11="OK",H10/INDEX(H$5:H$1258,'Stock Price'!$I$9)-1,"")</f>
        <v>0.2556578947368422</v>
      </c>
      <c r="V10" s="19">
        <f ca="1">IF('Stock Price'!$I$11="OK",I10/INDEX(I$5:I$1258,'Stock Price'!$I$9)-1,"")</f>
        <v>0.66203335980937261</v>
      </c>
      <c r="W10" s="19">
        <f ca="1">IF('Stock Price'!$I$11="OK",J10/INDEX(J$5:J$1258,'Stock Price'!$I$9)-1,"")</f>
        <v>-0.78453478470139582</v>
      </c>
      <c r="X10" s="19">
        <f ca="1">IF('Stock Price'!$I$11="OK",K10/INDEX(K$5:K$1258,'Stock Price'!$I$9)-1,"")</f>
        <v>6.7340067340067256E-2</v>
      </c>
      <c r="Y10" s="19">
        <f ca="1">IF('Stock Price'!$I$11="OK",L10/INDEX(L$5:L$1258,'Stock Price'!$I$9)-1,"")</f>
        <v>-0.23949843260188086</v>
      </c>
      <c r="Z10" s="19">
        <f ca="1">IF('Stock Price'!$I$11="OK",M10/INDEX(M$5:M$1258,'Stock Price'!$I$9)-1,"")</f>
        <v>-0.52653613012951905</v>
      </c>
      <c r="AB10" s="31" t="s">
        <v>57</v>
      </c>
      <c r="AC10" s="33">
        <f ca="1">'Stock Price'!V54</f>
        <v>-0.17229939871449296</v>
      </c>
      <c r="AD10" s="33">
        <f t="shared" ca="1" si="0"/>
        <v>-0.17229940871449295</v>
      </c>
      <c r="AE10" s="31">
        <f t="shared" ca="1" si="1"/>
        <v>12</v>
      </c>
      <c r="AF10" s="31" t="str">
        <f t="shared" ca="1" si="2"/>
        <v>SNY -17.2%</v>
      </c>
      <c r="AG10" s="33">
        <f t="shared" ca="1" si="3"/>
        <v>-0.17229940871449295</v>
      </c>
      <c r="AH10" s="31">
        <v>6</v>
      </c>
      <c r="AI10" s="33">
        <f ca="1">IF('Stock Price'!$I$11="OK",LARGE($AD$5:$AD$16,AH10),"")</f>
        <v>0.10405082199523441</v>
      </c>
      <c r="AJ10" s="33">
        <f ca="1">IF('Stock Price'!$I$11="OK",MIN(AI10,AJ9-$AL$5),"")</f>
        <v>8.477120038201641E-2</v>
      </c>
      <c r="AK10" s="33">
        <f ca="1">IF('Stock Price'!$I$11="OK",MAX(AJ10,AK11+$AL$5),"")</f>
        <v>8.477120038201641E-2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78.95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-0.25833724753405352</v>
      </c>
      <c r="P11" s="19">
        <f ca="1">IF('Stock Price'!$I$11="OK",C11/INDEX(C$5:C$1258,'Stock Price'!$I$9)-1,"")</f>
        <v>-0.42439151147682974</v>
      </c>
      <c r="Q11" s="19">
        <f ca="1">IF('Stock Price'!$I$11="OK",D11/INDEX(D$5:D$1258,'Stock Price'!$I$9)-1,"")</f>
        <v>-0.34807718625975093</v>
      </c>
      <c r="R11" s="19">
        <f ca="1">IF('Stock Price'!$I$11="OK",E11/INDEX(E$5:E$1258,'Stock Price'!$I$9)-1,"")</f>
        <v>-2.276848680233734E-2</v>
      </c>
      <c r="S11" s="19">
        <f ca="1">IF('Stock Price'!$I$11="OK",F11/INDEX(F$5:F$1258,'Stock Price'!$I$9)-1,"")</f>
        <v>-6.27793974732751E-2</v>
      </c>
      <c r="T11" s="19">
        <f ca="1">IF('Stock Price'!$I$11="OK",G11/INDEX(G$5:G$1258,'Stock Price'!$I$9)-1,"")</f>
        <v>-2.0733982998133449E-4</v>
      </c>
      <c r="U11" s="19">
        <f ca="1">IF('Stock Price'!$I$11="OK",H11/INDEX(H$5:H$1258,'Stock Price'!$I$9)-1,"")</f>
        <v>0.23907894736842117</v>
      </c>
      <c r="V11" s="19">
        <f ca="1">IF('Stock Price'!$I$11="OK",I11/INDEX(I$5:I$1258,'Stock Price'!$I$9)-1,"")</f>
        <v>0.64495631453534563</v>
      </c>
      <c r="W11" s="19">
        <f ca="1">IF('Stock Price'!$I$11="OK",J11/INDEX(J$5:J$1258,'Stock Price'!$I$9)-1,"")</f>
        <v>-0.78114702506571887</v>
      </c>
      <c r="X11" s="19">
        <f ca="1">IF('Stock Price'!$I$11="OK",K11/INDEX(K$5:K$1258,'Stock Price'!$I$9)-1,"")</f>
        <v>6.7527123082678608E-2</v>
      </c>
      <c r="Y11" s="19">
        <f ca="1">IF('Stock Price'!$I$11="OK",L11/INDEX(L$5:L$1258,'Stock Price'!$I$9)-1,"")</f>
        <v>-0.23221605980226678</v>
      </c>
      <c r="Z11" s="19">
        <f ca="1">IF('Stock Price'!$I$11="OK",M11/INDEX(M$5:M$1258,'Stock Price'!$I$9)-1,"")</f>
        <v>-0.52671056648205483</v>
      </c>
      <c r="AB11" s="31" t="s">
        <v>58</v>
      </c>
      <c r="AC11" s="33">
        <f ca="1">'Stock Price'!V55</f>
        <v>0.18263157894736826</v>
      </c>
      <c r="AD11" s="33">
        <f t="shared" ca="1" si="0"/>
        <v>0.18263156794736826</v>
      </c>
      <c r="AE11" s="31">
        <f t="shared" ca="1" si="1"/>
        <v>3</v>
      </c>
      <c r="AF11" s="31" t="str">
        <f t="shared" ca="1" si="2"/>
        <v>BAYNr +18.3%</v>
      </c>
      <c r="AG11" s="33">
        <f t="shared" ca="1" si="3"/>
        <v>0.18263156794736826</v>
      </c>
      <c r="AH11" s="31">
        <v>7</v>
      </c>
      <c r="AI11" s="33">
        <f ca="1">IF('Stock Price'!$I$11="OK",LARGE($AD$5:$AD$16,AH11),"")</f>
        <v>5.7841817500944047E-2</v>
      </c>
      <c r="AJ11" s="33">
        <f ca="1">IF('Stock Price'!$I$11="OK",MIN(AI11,AJ10-$AL$5),"")</f>
        <v>5.4089781404562692E-2</v>
      </c>
      <c r="AK11" s="33">
        <f ca="1">IF('Stock Price'!$I$11="OK",MAX(AJ11,AK12+$AL$5),"")</f>
        <v>5.4089781404562692E-2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78.33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-0.26416157820573039</v>
      </c>
      <c r="P12" s="19">
        <f ca="1">IF('Stock Price'!$I$11="OK",C12/INDEX(C$5:C$1258,'Stock Price'!$I$9)-1,"")</f>
        <v>-0.42320485058466861</v>
      </c>
      <c r="Q12" s="19">
        <f ca="1">IF('Stock Price'!$I$11="OK",D12/INDEX(D$5:D$1258,'Stock Price'!$I$9)-1,"")</f>
        <v>-0.33762145887505135</v>
      </c>
      <c r="R12" s="19">
        <f ca="1">IF('Stock Price'!$I$11="OK",E12/INDEX(E$5:E$1258,'Stock Price'!$I$9)-1,"")</f>
        <v>-2.4783397138827379E-2</v>
      </c>
      <c r="S12" s="19">
        <f ca="1">IF('Stock Price'!$I$11="OK",F12/INDEX(F$5:F$1258,'Stock Price'!$I$9)-1,"")</f>
        <v>-6.2196307094266379E-2</v>
      </c>
      <c r="T12" s="19">
        <f ca="1">IF('Stock Price'!$I$11="OK",G12/INDEX(G$5:G$1258,'Stock Price'!$I$9)-1,"")</f>
        <v>7.4642338793282637E-3</v>
      </c>
      <c r="U12" s="19">
        <f ca="1">IF('Stock Price'!$I$11="OK",H12/INDEX(H$5:H$1258,'Stock Price'!$I$9)-1,"")</f>
        <v>0.25736842105263169</v>
      </c>
      <c r="V12" s="19">
        <f ca="1">IF('Stock Price'!$I$11="OK",I12/INDEX(I$5:I$1258,'Stock Price'!$I$9)-1,"")</f>
        <v>0.65488482922954727</v>
      </c>
      <c r="W12" s="19">
        <f ca="1">IF('Stock Price'!$I$11="OK",J12/INDEX(J$5:J$1258,'Stock Price'!$I$9)-1,"")</f>
        <v>-0.78091562071901954</v>
      </c>
      <c r="X12" s="19">
        <f ca="1">IF('Stock Price'!$I$11="OK",K12/INDEX(K$5:K$1258,'Stock Price'!$I$9)-1,"")</f>
        <v>7.9311634867190506E-2</v>
      </c>
      <c r="Y12" s="19">
        <f ca="1">IF('Stock Price'!$I$11="OK",L12/INDEX(L$5:L$1258,'Stock Price'!$I$9)-1,"")</f>
        <v>-0.22782734506872426</v>
      </c>
      <c r="Z12" s="19">
        <f ca="1">IF('Stock Price'!$I$11="OK",M12/INDEX(M$5:M$1258,'Stock Price'!$I$9)-1,"")</f>
        <v>-0.52505342113296405</v>
      </c>
      <c r="AB12" s="31" t="s">
        <v>59</v>
      </c>
      <c r="AC12" s="33">
        <f ca="1">'Stock Price'!V56</f>
        <v>0.1040508339952344</v>
      </c>
      <c r="AD12" s="33">
        <f t="shared" ca="1" si="0"/>
        <v>0.10405082199523441</v>
      </c>
      <c r="AE12" s="31">
        <f t="shared" ca="1" si="1"/>
        <v>6</v>
      </c>
      <c r="AF12" s="31" t="str">
        <f t="shared" ca="1" si="2"/>
        <v>PFE +10.4%</v>
      </c>
      <c r="AG12" s="33">
        <f t="shared" ca="1" si="3"/>
        <v>8.477120038201641E-2</v>
      </c>
      <c r="AH12" s="31">
        <v>8</v>
      </c>
      <c r="AI12" s="33">
        <f ca="1">IF('Stock Price'!$I$11="OK",LARGE($AD$5:$AD$16,AH12),"")</f>
        <v>1.7756598590732028E-2</v>
      </c>
      <c r="AJ12" s="33">
        <f ca="1">IF('Stock Price'!$I$11="OK",MIN(AI12,AJ11-$AL$5),"")</f>
        <v>1.7756598590732028E-2</v>
      </c>
      <c r="AK12" s="33">
        <f ca="1">IF('Stock Price'!$I$11="OK",MAX(AJ12,AK13+$AL$5),"")</f>
        <v>1.7756598590732028E-2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78.33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-0.26416157820573039</v>
      </c>
      <c r="P13" s="19">
        <f ca="1">IF('Stock Price'!$I$11="OK",C13/INDEX(C$5:C$1258,'Stock Price'!$I$9)-1,"")</f>
        <v>-0.41810668399018336</v>
      </c>
      <c r="Q13" s="19">
        <f ca="1">IF('Stock Price'!$I$11="OK",D13/INDEX(D$5:D$1258,'Stock Price'!$I$9)-1,"")</f>
        <v>-0.35086902969755029</v>
      </c>
      <c r="R13" s="19">
        <f ca="1">IF('Stock Price'!$I$11="OK",E13/INDEX(E$5:E$1258,'Stock Price'!$I$9)-1,"")</f>
        <v>-1.7479347169050974E-2</v>
      </c>
      <c r="S13" s="19">
        <f ca="1">IF('Stock Price'!$I$11="OK",F13/INDEX(F$5:F$1258,'Stock Price'!$I$9)-1,"")</f>
        <v>-4.9173955296404337E-2</v>
      </c>
      <c r="T13" s="19">
        <f ca="1">IF('Stock Price'!$I$11="OK",G13/INDEX(G$5:G$1258,'Stock Price'!$I$9)-1,"")</f>
        <v>1.2855069458843182E-2</v>
      </c>
      <c r="U13" s="19">
        <f ca="1">IF('Stock Price'!$I$11="OK",H13/INDEX(H$5:H$1258,'Stock Price'!$I$9)-1,"")</f>
        <v>0.26013157894736838</v>
      </c>
      <c r="V13" s="19">
        <f ca="1">IF('Stock Price'!$I$11="OK",I13/INDEX(I$5:I$1258,'Stock Price'!$I$9)-1,"")</f>
        <v>0.64773629864972215</v>
      </c>
      <c r="W13" s="19">
        <f ca="1">IF('Stock Price'!$I$11="OK",J13/INDEX(J$5:J$1258,'Stock Price'!$I$9)-1,"")</f>
        <v>-0.77981413602873118</v>
      </c>
      <c r="X13" s="19">
        <f ca="1">IF('Stock Price'!$I$11="OK",K13/INDEX(K$5:K$1258,'Stock Price'!$I$9)-1,"")</f>
        <v>9.1657313879536018E-2</v>
      </c>
      <c r="Y13" s="19">
        <f ca="1">IF('Stock Price'!$I$11="OK",L13/INDEX(L$5:L$1258,'Stock Price'!$I$9)-1,"")</f>
        <v>-0.22208825657101516</v>
      </c>
      <c r="Z13" s="19">
        <f ca="1">IF('Stock Price'!$I$11="OK",M13/INDEX(M$5:M$1258,'Stock Price'!$I$9)-1,"")</f>
        <v>-0.52322183943133749</v>
      </c>
      <c r="AB13" s="31" t="s">
        <v>60</v>
      </c>
      <c r="AC13" s="33">
        <f ca="1">'Stock Price'!V57</f>
        <v>5.7841830500944047E-2</v>
      </c>
      <c r="AD13" s="33">
        <f t="shared" ca="1" si="0"/>
        <v>5.7841817500944047E-2</v>
      </c>
      <c r="AE13" s="31">
        <f t="shared" ca="1" si="1"/>
        <v>7</v>
      </c>
      <c r="AF13" s="31" t="str">
        <f t="shared" ca="1" si="2"/>
        <v>LLY +5.8%</v>
      </c>
      <c r="AG13" s="33">
        <f t="shared" ca="1" si="3"/>
        <v>5.4089781404562692E-2</v>
      </c>
      <c r="AH13" s="31">
        <v>9</v>
      </c>
      <c r="AI13" s="33">
        <f ca="1">IF('Stock Price'!$I$11="OK",LARGE($AD$5:$AD$16,AH13),"")</f>
        <v>1.5549067773566428E-2</v>
      </c>
      <c r="AJ13" s="33">
        <f ca="1">IF('Stock Price'!$I$11="OK",MIN(AI13,AJ12-$AL$5),"")</f>
        <v>-1.2924820386721689E-2</v>
      </c>
      <c r="AK13" s="33">
        <f ca="1">IF('Stock Price'!$I$11="OK",MAX(AJ13,AK14+$AL$5),"")</f>
        <v>-1.2924820386721689E-2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77.150000000000006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-0.27524659464537338</v>
      </c>
      <c r="P14" s="19">
        <f ca="1">IF('Stock Price'!$I$11="OK",C14/INDEX(C$5:C$1258,'Stock Price'!$I$9)-1,"")</f>
        <v>-0.42502021076945284</v>
      </c>
      <c r="Q14" s="19">
        <f ca="1">IF('Stock Price'!$I$11="OK",D14/INDEX(D$5:D$1258,'Stock Price'!$I$9)-1,"")</f>
        <v>-0.34243875735596008</v>
      </c>
      <c r="R14" s="19">
        <f ca="1">IF('Stock Price'!$I$11="OK",E14/INDEX(E$5:E$1258,'Stock Price'!$I$9)-1,"")</f>
        <v>-2.6546443683256093E-2</v>
      </c>
      <c r="S14" s="19">
        <f ca="1">IF('Stock Price'!$I$11="OK",F14/INDEX(F$5:F$1258,'Stock Price'!$I$9)-1,"")</f>
        <v>-4.4509232264334453E-2</v>
      </c>
      <c r="T14" s="19">
        <f ca="1">IF('Stock Price'!$I$11="OK",G14/INDEX(G$5:G$1258,'Stock Price'!$I$9)-1,"")</f>
        <v>-4.1467965996266898E-3</v>
      </c>
      <c r="U14" s="19">
        <f ca="1">IF('Stock Price'!$I$11="OK",H14/INDEX(H$5:H$1258,'Stock Price'!$I$9)-1,"")</f>
        <v>0.22671052631578958</v>
      </c>
      <c r="V14" s="19">
        <f ca="1">IF('Stock Price'!$I$11="OK",I14/INDEX(I$5:I$1258,'Stock Price'!$I$9)-1,"")</f>
        <v>0.64098490865766489</v>
      </c>
      <c r="W14" s="19">
        <f ca="1">IF('Stock Price'!$I$11="OK",J14/INDEX(J$5:J$1258,'Stock Price'!$I$9)-1,"")</f>
        <v>-0.77879595690325443</v>
      </c>
      <c r="X14" s="19">
        <f ca="1">IF('Stock Price'!$I$11="OK",K14/INDEX(K$5:K$1258,'Stock Price'!$I$9)-1,"")</f>
        <v>6.5095398428731688E-2</v>
      </c>
      <c r="Y14" s="19">
        <f ca="1">IF('Stock Price'!$I$11="OK",L14/INDEX(L$5:L$1258,'Stock Price'!$I$9)-1,"")</f>
        <v>-0.2277791174342898</v>
      </c>
      <c r="Z14" s="19">
        <f ca="1">IF('Stock Price'!$I$11="OK",M14/INDEX(M$5:M$1258,'Stock Price'!$I$9)-1,"")</f>
        <v>-0.53150756617679118</v>
      </c>
      <c r="AB14" s="31" t="s">
        <v>61</v>
      </c>
      <c r="AC14" s="33">
        <f ca="1">'Stock Price'!V58</f>
        <v>0.14384586606808814</v>
      </c>
      <c r="AD14" s="33">
        <f t="shared" ca="1" si="0"/>
        <v>0.14384585206808814</v>
      </c>
      <c r="AE14" s="31">
        <f t="shared" ca="1" si="1"/>
        <v>5</v>
      </c>
      <c r="AF14" s="31" t="str">
        <f t="shared" ca="1" si="2"/>
        <v>BMY +14.4%</v>
      </c>
      <c r="AG14" s="33">
        <f t="shared" ca="1" si="3"/>
        <v>0.11545261935947013</v>
      </c>
      <c r="AH14" s="31">
        <v>10</v>
      </c>
      <c r="AI14" s="33">
        <f ca="1">IF('Stock Price'!$I$11="OK",LARGE($AD$5:$AD$16,AH14),"")</f>
        <v>-5.2387676748740682E-2</v>
      </c>
      <c r="AJ14" s="33">
        <f ca="1">IF('Stock Price'!$I$11="OK",MIN(AI14,AJ13-$AL$5),"")</f>
        <v>-5.2387676748740682E-2</v>
      </c>
      <c r="AK14" s="33">
        <f ca="1">IF('Stock Price'!$I$11="OK",MAX(AJ14,AK15+$AL$5),"")</f>
        <v>-5.2387676748740682E-2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79.489999999999995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-0.25326444340065768</v>
      </c>
      <c r="P15" s="19">
        <f ca="1">IF('Stock Price'!$I$11="OK",C15/INDEX(C$5:C$1258,'Stock Price'!$I$9)-1,"")</f>
        <v>-0.41936408257542945</v>
      </c>
      <c r="Q15" s="19">
        <f ca="1">IF('Stock Price'!$I$11="OK",D15/INDEX(D$5:D$1258,'Stock Price'!$I$9)-1,"")</f>
        <v>-0.34654440947037091</v>
      </c>
      <c r="R15" s="19">
        <f ca="1">IF('Stock Price'!$I$11="OK",E15/INDEX(E$5:E$1258,'Stock Price'!$I$9)-1,"")</f>
        <v>-1.3449526496071007E-2</v>
      </c>
      <c r="S15" s="19">
        <f ca="1">IF('Stock Price'!$I$11="OK",F15/INDEX(F$5:F$1258,'Stock Price'!$I$9)-1,"")</f>
        <v>-5.636540330417894E-2</v>
      </c>
      <c r="T15" s="19">
        <f ca="1">IF('Stock Price'!$I$11="OK",G15/INDEX(G$5:G$1258,'Stock Price'!$I$9)-1,"")</f>
        <v>-3.5247771096826863E-3</v>
      </c>
      <c r="U15" s="19">
        <f ca="1">IF('Stock Price'!$I$11="OK",H15/INDEX(H$5:H$1258,'Stock Price'!$I$9)-1,"")</f>
        <v>0.24421052631578943</v>
      </c>
      <c r="V15" s="19">
        <f ca="1">IF('Stock Price'!$I$11="OK",I15/INDEX(I$5:I$1258,'Stock Price'!$I$9)-1,"")</f>
        <v>0.6715647339158064</v>
      </c>
      <c r="W15" s="19">
        <f ca="1">IF('Stock Price'!$I$11="OK",J15/INDEX(J$5:J$1258,'Stock Price'!$I$9)-1,"")</f>
        <v>-0.77571365100522049</v>
      </c>
      <c r="X15" s="19">
        <f ca="1">IF('Stock Price'!$I$11="OK",K15/INDEX(K$5:K$1258,'Stock Price'!$I$9)-1,"")</f>
        <v>7.7254021698466291E-2</v>
      </c>
      <c r="Y15" s="19">
        <f ca="1">IF('Stock Price'!$I$11="OK",L15/INDEX(L$5:L$1258,'Stock Price'!$I$9)-1,"")</f>
        <v>-0.20969375452134065</v>
      </c>
      <c r="Z15" s="19">
        <f ca="1">IF('Stock Price'!$I$11="OK",M15/INDEX(M$5:M$1258,'Stock Price'!$I$9)-1,"")</f>
        <v>-0.53142034800052329</v>
      </c>
      <c r="AB15" s="31" t="s">
        <v>62</v>
      </c>
      <c r="AC15" s="33">
        <f ca="1">'Stock Price'!V59</f>
        <v>0.23477212442729667</v>
      </c>
      <c r="AD15" s="33">
        <f t="shared" ca="1" si="0"/>
        <v>0.23477210942729668</v>
      </c>
      <c r="AE15" s="31">
        <f t="shared" ca="1" si="1"/>
        <v>2</v>
      </c>
      <c r="AF15" s="31" t="str">
        <f t="shared" ca="1" si="2"/>
        <v>JnJ +23.5%</v>
      </c>
      <c r="AG15" s="33">
        <f t="shared" ca="1" si="3"/>
        <v>0.23477210942729668</v>
      </c>
      <c r="AH15" s="31">
        <v>11</v>
      </c>
      <c r="AI15" s="33">
        <f ca="1">IF('Stock Price'!$I$11="OK",LARGE($AD$5:$AD$16,AH15),"")</f>
        <v>-0.14109758466525255</v>
      </c>
      <c r="AJ15" s="33">
        <f ca="1">IF('Stock Price'!$I$11="OK",MIN(AI15,AJ14-$AL$5),"")</f>
        <v>-0.14109758466525255</v>
      </c>
      <c r="AK15" s="33">
        <f ca="1">IF('Stock Price'!$I$11="OK",MAX(AJ15,AK16+$AL$5),"")</f>
        <v>-0.14109758466525255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81.069999999999993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-0.23842179426961019</v>
      </c>
      <c r="P16" s="19">
        <f ca="1">IF('Stock Price'!$I$11="OK",C16/INDEX(C$5:C$1258,'Stock Price'!$I$9)-1,"")</f>
        <v>-0.41014652807853325</v>
      </c>
      <c r="Q16" s="19">
        <f ca="1">IF('Stock Price'!$I$11="OK",D16/INDEX(D$5:D$1258,'Stock Price'!$I$9)-1,"")</f>
        <v>-0.33214725605583695</v>
      </c>
      <c r="R16" s="19">
        <f ca="1">IF('Stock Price'!$I$11="OK",E16/INDEX(E$5:E$1258,'Stock Price'!$I$9)-1,"")</f>
        <v>-6.1454765262946021E-3</v>
      </c>
      <c r="S16" s="19">
        <f ca="1">IF('Stock Price'!$I$11="OK",F16/INDEX(F$5:F$1258,'Stock Price'!$I$9)-1,"")</f>
        <v>-7.1720116618075869E-2</v>
      </c>
      <c r="T16" s="19">
        <f ca="1">IF('Stock Price'!$I$11="OK",G16/INDEX(G$5:G$1258,'Stock Price'!$I$9)-1,"")</f>
        <v>1.7001866058469872E-2</v>
      </c>
      <c r="U16" s="19">
        <f ca="1">IF('Stock Price'!$I$11="OK",H16/INDEX(H$5:H$1258,'Stock Price'!$I$9)-1,"")</f>
        <v>0.26776315789473681</v>
      </c>
      <c r="V16" s="19">
        <f ca="1">IF('Stock Price'!$I$11="OK",I16/INDEX(I$5:I$1258,'Stock Price'!$I$9)-1,"")</f>
        <v>0.69976171564733902</v>
      </c>
      <c r="W16" s="19">
        <f ca="1">IF('Stock Price'!$I$11="OK",J16/INDEX(J$5:J$1258,'Stock Price'!$I$9)-1,"")</f>
        <v>-0.77440853048983671</v>
      </c>
      <c r="X16" s="19">
        <f ca="1">IF('Stock Price'!$I$11="OK",K16/INDEX(K$5:K$1258,'Stock Price'!$I$9)-1,"")</f>
        <v>8.623269734380834E-2</v>
      </c>
      <c r="Y16" s="19">
        <f ca="1">IF('Stock Price'!$I$11="OK",L16/INDEX(L$5:L$1258,'Stock Price'!$I$9)-1,"")</f>
        <v>-0.21012780323125146</v>
      </c>
      <c r="Z16" s="19">
        <f ca="1">IF('Stock Price'!$I$11="OK",M16/INDEX(M$5:M$1258,'Stock Price'!$I$9)-1,"")</f>
        <v>-0.5272338755396625</v>
      </c>
      <c r="AB16" s="31" t="s">
        <v>63</v>
      </c>
      <c r="AC16" s="33">
        <f ca="1">'Stock Price'!V60</f>
        <v>0.14613405433692384</v>
      </c>
      <c r="AD16" s="33">
        <f t="shared" ca="1" si="0"/>
        <v>0.14613403833692384</v>
      </c>
      <c r="AE16" s="31">
        <f t="shared" ca="1" si="1"/>
        <v>4</v>
      </c>
      <c r="AF16" s="31" t="str">
        <f t="shared" ca="1" si="2"/>
        <v>ABBV +14.6%</v>
      </c>
      <c r="AG16" s="33">
        <f t="shared" ca="1" si="3"/>
        <v>0.14613403833692384</v>
      </c>
      <c r="AH16" s="31">
        <v>12</v>
      </c>
      <c r="AI16" s="33">
        <f ca="1">IF('Stock Price'!$I$11="OK",LARGE($AD$5:$AD$16,AH16),"")</f>
        <v>-0.17229940871449295</v>
      </c>
      <c r="AJ16" s="33">
        <f ca="1">IF('Stock Price'!$I$11="OK",MIN(AI16,AJ15-$AL$5),"")</f>
        <v>-0.17229940871449295</v>
      </c>
      <c r="AK16" s="33">
        <f ca="1">IF('Stock Price'!$I$11="OK",MAX(AJ16,$AM$5),"")</f>
        <v>-0.17229940871449295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81.17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-0.23748238609675909</v>
      </c>
      <c r="P17" s="19">
        <f ca="1">IF('Stock Price'!$I$11="OK",C17/INDEX(C$5:C$1258,'Stock Price'!$I$9)-1,"")</f>
        <v>-0.40874981954670131</v>
      </c>
      <c r="Q17" s="19">
        <f ca="1">IF('Stock Price'!$I$11="OK",D17/INDEX(D$5:D$1258,'Stock Price'!$I$9)-1,"")</f>
        <v>-0.32995757492815114</v>
      </c>
      <c r="R17" s="19">
        <f ca="1">IF('Stock Price'!$I$11="OK",E17/INDEX(E$5:E$1258,'Stock Price'!$I$9)-1,"")</f>
        <v>-3.8787023977433499E-3</v>
      </c>
      <c r="S17" s="19">
        <f ca="1">IF('Stock Price'!$I$11="OK",F17/INDEX(F$5:F$1258,'Stock Price'!$I$9)-1,"")</f>
        <v>-5.0728862973760891E-2</v>
      </c>
      <c r="T17" s="19">
        <f ca="1">IF('Stock Price'!$I$11="OK",G17/INDEX(G$5:G$1258,'Stock Price'!$I$9)-1,"")</f>
        <v>2.0319303338171446E-2</v>
      </c>
      <c r="U17" s="19">
        <f ca="1">IF('Stock Price'!$I$11="OK",H17/INDEX(H$5:H$1258,'Stock Price'!$I$9)-1,"")</f>
        <v>0.26815789473684215</v>
      </c>
      <c r="V17" s="19">
        <f ca="1">IF('Stock Price'!$I$11="OK",I17/INDEX(I$5:I$1258,'Stock Price'!$I$9)-1,"")</f>
        <v>0.70214455917394747</v>
      </c>
      <c r="W17" s="19">
        <f ca="1">IF('Stock Price'!$I$11="OK",J17/INDEX(J$5:J$1258,'Stock Price'!$I$9)-1,"")</f>
        <v>-0.77676885482616909</v>
      </c>
      <c r="X17" s="19">
        <f ca="1">IF('Stock Price'!$I$11="OK",K17/INDEX(K$5:K$1258,'Stock Price'!$I$9)-1,"")</f>
        <v>8.1369248035914721E-2</v>
      </c>
      <c r="Y17" s="19">
        <f ca="1">IF('Stock Price'!$I$11="OK",L17/INDEX(L$5:L$1258,'Stock Price'!$I$9)-1,"")</f>
        <v>-0.21196045333976365</v>
      </c>
      <c r="Z17" s="19">
        <f ca="1">IF('Stock Price'!$I$11="OK",M17/INDEX(M$5:M$1258,'Stock Price'!$I$9)-1,"")</f>
        <v>-0.52570755745497366</v>
      </c>
    </row>
    <row r="18" spans="1:26" x14ac:dyDescent="0.2">
      <c r="A18" s="16">
        <f>'Stock Price'!A18</f>
        <v>44491</v>
      </c>
      <c r="B18" s="17">
        <f>'Stock Price'!E18</f>
        <v>81.150000000000006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-0.23767026773132927</v>
      </c>
      <c r="P18" s="19">
        <f ca="1">IF('Stock Price'!$I$11="OK",C18/INDEX(C$5:C$1258,'Stock Price'!$I$9)-1,"")</f>
        <v>-0.40700375342861261</v>
      </c>
      <c r="Q18" s="19">
        <f ca="1">IF('Stock Price'!$I$11="OK",D18/INDEX(D$5:D$1258,'Stock Price'!$I$9)-1,"")</f>
        <v>-0.32243054605173127</v>
      </c>
      <c r="R18" s="19">
        <f ca="1">IF('Stock Price'!$I$11="OK",E18/INDEX(E$5:E$1258,'Stock Price'!$I$9)-1,"")</f>
        <v>1.6623010276042294E-3</v>
      </c>
      <c r="S18" s="19">
        <f ca="1">IF('Stock Price'!$I$11="OK",F18/INDEX(F$5:F$1258,'Stock Price'!$I$9)-1,"")</f>
        <v>-5.2672497570456778E-2</v>
      </c>
      <c r="T18" s="19">
        <f ca="1">IF('Stock Price'!$I$11="OK",G18/INDEX(G$5:G$1258,'Stock Price'!$I$9)-1,"")</f>
        <v>3.5040431266846417E-2</v>
      </c>
      <c r="U18" s="19">
        <f ca="1">IF('Stock Price'!$I$11="OK",H18/INDEX(H$5:H$1258,'Stock Price'!$I$9)-1,"")</f>
        <v>0.27157894736842114</v>
      </c>
      <c r="V18" s="19">
        <f ca="1">IF('Stock Price'!$I$11="OK",I18/INDEX(I$5:I$1258,'Stock Price'!$I$9)-1,"")</f>
        <v>0.71405877680698948</v>
      </c>
      <c r="W18" s="19">
        <f ca="1">IF('Stock Price'!$I$11="OK",J18/INDEX(J$5:J$1258,'Stock Price'!$I$9)-1,"")</f>
        <v>-0.7743807619682328</v>
      </c>
      <c r="X18" s="19">
        <f ca="1">IF('Stock Price'!$I$11="OK",K18/INDEX(K$5:K$1258,'Stock Price'!$I$9)-1,"")</f>
        <v>7.7441077441077422E-2</v>
      </c>
      <c r="Y18" s="19">
        <f ca="1">IF('Stock Price'!$I$11="OK",L18/INDEX(L$5:L$1258,'Stock Price'!$I$9)-1,"")</f>
        <v>-0.21041716903785868</v>
      </c>
      <c r="Z18" s="19">
        <f ca="1">IF('Stock Price'!$I$11="OK",M18/INDEX(M$5:M$1258,'Stock Price'!$I$9)-1,"")</f>
        <v>-0.52405041210588288</v>
      </c>
    </row>
    <row r="19" spans="1:26" x14ac:dyDescent="0.2">
      <c r="A19" s="16">
        <f>'Stock Price'!A19</f>
        <v>44494</v>
      </c>
      <c r="B19" s="17">
        <f>'Stock Price'!E19</f>
        <v>81.66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-0.23287928604978869</v>
      </c>
      <c r="P19" s="19">
        <f ca="1">IF('Stock Price'!$I$11="OK",C19/INDEX(C$5:C$1258,'Stock Price'!$I$9)-1,"")</f>
        <v>-0.41789735816370721</v>
      </c>
      <c r="Q19" s="19">
        <f ca="1">IF('Stock Price'!$I$11="OK",D19/INDEX(D$5:D$1258,'Stock Price'!$I$9)-1,"")</f>
        <v>-0.3167100041056522</v>
      </c>
      <c r="R19" s="19">
        <f ca="1">IF('Stock Price'!$I$11="OK",E19/INDEX(E$5:E$1258,'Stock Price'!$I$9)-1,"")</f>
        <v>2.6697561958493043E-3</v>
      </c>
      <c r="S19" s="19">
        <f ca="1">IF('Stock Price'!$I$11="OK",F19/INDEX(F$5:F$1258,'Stock Price'!$I$9)-1,"")</f>
        <v>-5.7725947521865995E-2</v>
      </c>
      <c r="T19" s="19">
        <f ca="1">IF('Stock Price'!$I$11="OK",G19/INDEX(G$5:G$1258,'Stock Price'!$I$9)-1,"")</f>
        <v>3.2345013477089068E-2</v>
      </c>
      <c r="U19" s="19">
        <f ca="1">IF('Stock Price'!$I$11="OK",H19/INDEX(H$5:H$1258,'Stock Price'!$I$9)-1,"")</f>
        <v>0.27513157894736828</v>
      </c>
      <c r="V19" s="19">
        <f ca="1">IF('Stock Price'!$I$11="OK",I19/INDEX(I$5:I$1258,'Stock Price'!$I$9)-1,"")</f>
        <v>0.71366163621922163</v>
      </c>
      <c r="W19" s="19">
        <f ca="1">IF('Stock Price'!$I$11="OK",J19/INDEX(J$5:J$1258,'Stock Price'!$I$9)-1,"")</f>
        <v>-0.77317745936539672</v>
      </c>
      <c r="X19" s="19">
        <f ca="1">IF('Stock Price'!$I$11="OK",K19/INDEX(K$5:K$1258,'Stock Price'!$I$9)-1,"")</f>
        <v>8.1369248035914721E-2</v>
      </c>
      <c r="Y19" s="19">
        <f ca="1">IF('Stock Price'!$I$11="OK",L19/INDEX(L$5:L$1258,'Stock Price'!$I$9)-1,"")</f>
        <v>-0.20868097419821552</v>
      </c>
      <c r="Z19" s="19">
        <f ca="1">IF('Stock Price'!$I$11="OK",M19/INDEX(M$5:M$1258,'Stock Price'!$I$9)-1,"")</f>
        <v>-0.52684139374645678</v>
      </c>
    </row>
    <row r="20" spans="1:26" x14ac:dyDescent="0.2">
      <c r="A20" s="16">
        <f>'Stock Price'!A20</f>
        <v>44495</v>
      </c>
      <c r="B20" s="17">
        <f>'Stock Price'!E20</f>
        <v>82.25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-0.2273367778299672</v>
      </c>
      <c r="P20" s="19">
        <f ca="1">IF('Stock Price'!$I$11="OK",C20/INDEX(C$5:C$1258,'Stock Price'!$I$9)-1,"")</f>
        <v>-0.40756243684134541</v>
      </c>
      <c r="Q20" s="19">
        <f ca="1">IF('Stock Price'!$I$11="OK",D20/INDEX(D$5:D$1258,'Stock Price'!$I$9)-1,"")</f>
        <v>-0.32596140687012465</v>
      </c>
      <c r="R20" s="19">
        <f ca="1">IF('Stock Price'!$I$11="OK",E20/INDEX(E$5:E$1258,'Stock Price'!$I$9)-1,"")</f>
        <v>1.1988716502115526E-2</v>
      </c>
      <c r="S20" s="19">
        <f ca="1">IF('Stock Price'!$I$11="OK",F20/INDEX(F$5:F$1258,'Stock Price'!$I$9)-1,"")</f>
        <v>-5.6754130223518051E-2</v>
      </c>
      <c r="T20" s="19">
        <f ca="1">IF('Stock Price'!$I$11="OK",G20/INDEX(G$5:G$1258,'Stock Price'!$I$9)-1,"")</f>
        <v>3.5869790586771755E-2</v>
      </c>
      <c r="U20" s="19">
        <f ca="1">IF('Stock Price'!$I$11="OK",H20/INDEX(H$5:H$1258,'Stock Price'!$I$9)-1,"")</f>
        <v>0.2839473684210525</v>
      </c>
      <c r="V20" s="19">
        <f ca="1">IF('Stock Price'!$I$11="OK",I20/INDEX(I$5:I$1258,'Stock Price'!$I$9)-1,"")</f>
        <v>0.72994440031771268</v>
      </c>
      <c r="W20" s="19">
        <f ca="1">IF('Stock Price'!$I$11="OK",J20/INDEX(J$5:J$1258,'Stock Price'!$I$9)-1,"")</f>
        <v>-0.77003961642415486</v>
      </c>
      <c r="X20" s="19">
        <f ca="1">IF('Stock Price'!$I$11="OK",K20/INDEX(K$5:K$1258,'Stock Price'!$I$9)-1,"")</f>
        <v>8.941264496820045E-2</v>
      </c>
      <c r="Y20" s="19">
        <f ca="1">IF('Stock Price'!$I$11="OK",L20/INDEX(L$5:L$1258,'Stock Price'!$I$9)-1,"")</f>
        <v>-0.20062695924764884</v>
      </c>
      <c r="Z20" s="19">
        <f ca="1">IF('Stock Price'!$I$11="OK",M20/INDEX(M$5:M$1258,'Stock Price'!$I$9)-1,"")</f>
        <v>-0.52252409402119404</v>
      </c>
    </row>
    <row r="21" spans="1:26" x14ac:dyDescent="0.2">
      <c r="A21" s="16">
        <f>'Stock Price'!A21</f>
        <v>44496</v>
      </c>
      <c r="B21" s="17">
        <f>'Stock Price'!E21</f>
        <v>81.540000000000006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-0.23400657585720996</v>
      </c>
      <c r="P21" s="19">
        <f ca="1">IF('Stock Price'!$I$11="OK",C21/INDEX(C$5:C$1258,'Stock Price'!$I$9)-1,"")</f>
        <v>-0.42229680958567917</v>
      </c>
      <c r="Q21" s="19">
        <f ca="1">IF('Stock Price'!$I$11="OK",D21/INDEX(D$5:D$1258,'Stock Price'!$I$9)-1,"")</f>
        <v>-0.32771315177227323</v>
      </c>
      <c r="R21" s="19">
        <f ca="1">IF('Stock Price'!$I$11="OK",E21/INDEX(E$5:E$1258,'Stock Price'!$I$9)-1,"")</f>
        <v>1.8033447511585754E-2</v>
      </c>
      <c r="S21" s="19">
        <f ca="1">IF('Stock Price'!$I$11="OK",F21/INDEX(F$5:F$1258,'Stock Price'!$I$9)-1,"")</f>
        <v>-6.6277939747327541E-2</v>
      </c>
      <c r="T21" s="19">
        <f ca="1">IF('Stock Price'!$I$11="OK",G21/INDEX(G$5:G$1258,'Stock Price'!$I$9)-1,"")</f>
        <v>2.7783537217499488E-2</v>
      </c>
      <c r="U21" s="19">
        <f ca="1">IF('Stock Price'!$I$11="OK",H21/INDEX(H$5:H$1258,'Stock Price'!$I$9)-1,"")</f>
        <v>0.27881578947368424</v>
      </c>
      <c r="V21" s="19">
        <f ca="1">IF('Stock Price'!$I$11="OK",I21/INDEX(I$5:I$1258,'Stock Price'!$I$9)-1,"")</f>
        <v>0.70651310563939629</v>
      </c>
      <c r="W21" s="19">
        <f ca="1">IF('Stock Price'!$I$11="OK",J21/INDEX(J$5:J$1258,'Stock Price'!$I$9)-1,"")</f>
        <v>-0.76843829834499611</v>
      </c>
      <c r="X21" s="19">
        <f ca="1">IF('Stock Price'!$I$11="OK",K21/INDEX(K$5:K$1258,'Stock Price'!$I$9)-1,"")</f>
        <v>5.6677890011223475E-2</v>
      </c>
      <c r="Y21" s="19">
        <f ca="1">IF('Stock Price'!$I$11="OK",L21/INDEX(L$5:L$1258,'Stock Price'!$I$9)-1,"")</f>
        <v>-0.21032071376898953</v>
      </c>
      <c r="Z21" s="19">
        <f ca="1">IF('Stock Price'!$I$11="OK",M21/INDEX(M$5:M$1258,'Stock Price'!$I$9)-1,"")</f>
        <v>-0.52727748462779633</v>
      </c>
    </row>
    <row r="22" spans="1:26" x14ac:dyDescent="0.2">
      <c r="A22" s="16">
        <f>'Stock Price'!A22</f>
        <v>44497</v>
      </c>
      <c r="B22" s="17">
        <f>'Stock Price'!E22</f>
        <v>86.55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-0.18694222639736968</v>
      </c>
      <c r="P22" s="19">
        <f ca="1">IF('Stock Price'!$I$11="OK",C22/INDEX(C$5:C$1258,'Stock Price'!$I$9)-1,"")</f>
        <v>-0.41824671574996386</v>
      </c>
      <c r="Q22" s="19">
        <f ca="1">IF('Stock Price'!$I$11="OK",D22/INDEX(D$5:D$1258,'Stock Price'!$I$9)-1,"")</f>
        <v>-0.30340769125496103</v>
      </c>
      <c r="R22" s="19">
        <f ca="1">IF('Stock Price'!$I$11="OK",E22/INDEX(E$5:E$1258,'Stock Price'!$I$9)-1,"")</f>
        <v>6.0850292161998665E-2</v>
      </c>
      <c r="S22" s="19">
        <f ca="1">IF('Stock Price'!$I$11="OK",F22/INDEX(F$5:F$1258,'Stock Price'!$I$9)-1,"")</f>
        <v>-5.2478134110787278E-2</v>
      </c>
      <c r="T22" s="19">
        <f ca="1">IF('Stock Price'!$I$11="OK",G22/INDEX(G$5:G$1258,'Stock Price'!$I$9)-1,"")</f>
        <v>3.9601907526435998E-2</v>
      </c>
      <c r="U22" s="19">
        <f ca="1">IF('Stock Price'!$I$11="OK",H22/INDEX(H$5:H$1258,'Stock Price'!$I$9)-1,"")</f>
        <v>0.28249999999999997</v>
      </c>
      <c r="V22" s="19">
        <f ca="1">IF('Stock Price'!$I$11="OK",I22/INDEX(I$5:I$1258,'Stock Price'!$I$9)-1,"")</f>
        <v>0.71485305798252585</v>
      </c>
      <c r="W22" s="19">
        <f ca="1">IF('Stock Price'!$I$11="OK",J22/INDEX(J$5:J$1258,'Stock Price'!$I$9)-1,"")</f>
        <v>-0.76549483505498161</v>
      </c>
      <c r="X22" s="19">
        <f ca="1">IF('Stock Price'!$I$11="OK",K22/INDEX(K$5:K$1258,'Stock Price'!$I$9)-1,"")</f>
        <v>6.8649457538346503E-2</v>
      </c>
      <c r="Y22" s="19">
        <f ca="1">IF('Stock Price'!$I$11="OK",L22/INDEX(L$5:L$1258,'Stock Price'!$I$9)-1,"")</f>
        <v>-0.21461297323366291</v>
      </c>
      <c r="Z22" s="19">
        <f ca="1">IF('Stock Price'!$I$11="OK",M22/INDEX(M$5:M$1258,'Stock Price'!$I$9)-1,"")</f>
        <v>-0.52173913043478259</v>
      </c>
    </row>
    <row r="23" spans="1:26" x14ac:dyDescent="0.2">
      <c r="A23" s="16">
        <f>'Stock Price'!A23</f>
        <v>44498</v>
      </c>
      <c r="B23" s="17">
        <f>'Stock Price'!E23</f>
        <v>88.05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-0.17285110380460311</v>
      </c>
      <c r="P23" s="19">
        <f ca="1">IF('Stock Price'!$I$11="OK",C23/INDEX(C$5:C$1258,'Stock Price'!$I$9)-1,"")</f>
        <v>-0.42208748375920313</v>
      </c>
      <c r="Q23" s="19">
        <f ca="1">IF('Stock Price'!$I$11="OK",D23/INDEX(D$5:D$1258,'Stock Price'!$I$9)-1,"")</f>
        <v>-0.3142192418229095</v>
      </c>
      <c r="R23" s="19">
        <f ca="1">IF('Stock Price'!$I$11="OK",E23/INDEX(E$5:E$1258,'Stock Price'!$I$9)-1,"")</f>
        <v>6.6139431795285031E-2</v>
      </c>
      <c r="S23" s="19">
        <f ca="1">IF('Stock Price'!$I$11="OK",F23/INDEX(F$5:F$1258,'Stock Price'!$I$9)-1,"")</f>
        <v>-6.0641399416909714E-2</v>
      </c>
      <c r="T23" s="19">
        <f ca="1">IF('Stock Price'!$I$11="OK",G23/INDEX(G$5:G$1258,'Stock Price'!$I$9)-1,"")</f>
        <v>4.5614762595894698E-2</v>
      </c>
      <c r="U23" s="19">
        <f ca="1">IF('Stock Price'!$I$11="OK",H23/INDEX(H$5:H$1258,'Stock Price'!$I$9)-1,"")</f>
        <v>0.28078947368421048</v>
      </c>
      <c r="V23" s="19">
        <f ca="1">IF('Stock Price'!$I$11="OK",I23/INDEX(I$5:I$1258,'Stock Price'!$I$9)-1,"")</f>
        <v>0.7370929308975378</v>
      </c>
      <c r="W23" s="19">
        <f ca="1">IF('Stock Price'!$I$11="OK",J23/INDEX(J$5:J$1258,'Stock Price'!$I$9)-1,"")</f>
        <v>-0.76418971453959794</v>
      </c>
      <c r="X23" s="19">
        <f ca="1">IF('Stock Price'!$I$11="OK",K23/INDEX(K$5:K$1258,'Stock Price'!$I$9)-1,"")</f>
        <v>9.2405536849981207E-2</v>
      </c>
      <c r="Y23" s="19">
        <f ca="1">IF('Stock Price'!$I$11="OK",L23/INDEX(L$5:L$1258,'Stock Price'!$I$9)-1,"")</f>
        <v>-0.2144682903303593</v>
      </c>
      <c r="Z23" s="19">
        <f ca="1">IF('Stock Price'!$I$11="OK",M23/INDEX(M$5:M$1258,'Stock Price'!$I$9)-1,"")</f>
        <v>-0.49993458636779908</v>
      </c>
    </row>
    <row r="24" spans="1:26" x14ac:dyDescent="0.2">
      <c r="A24" s="16">
        <f>'Stock Price'!A24</f>
        <v>44501</v>
      </c>
      <c r="B24" s="17">
        <f>'Stock Price'!E24</f>
        <v>87.84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-0.17482386096759039</v>
      </c>
      <c r="P24" s="19">
        <f ca="1">IF('Stock Price'!$I$11="OK",C24/INDEX(C$5:C$1258,'Stock Price'!$I$9)-1,"")</f>
        <v>-0.41307925508878296</v>
      </c>
      <c r="Q24" s="19">
        <f ca="1">IF('Stock Price'!$I$11="OK",D24/INDEX(D$5:D$1258,'Stock Price'!$I$9)-1,"")</f>
        <v>-0.30384562748049815</v>
      </c>
      <c r="R24" s="19">
        <f ca="1">IF('Stock Price'!$I$11="OK",E24/INDEX(E$5:E$1258,'Stock Price'!$I$9)-1,"")</f>
        <v>7.2687890388877685E-2</v>
      </c>
      <c r="S24" s="19">
        <f ca="1">IF('Stock Price'!$I$11="OK",F24/INDEX(F$5:F$1258,'Stock Price'!$I$9)-1,"")</f>
        <v>-4.101068999028179E-2</v>
      </c>
      <c r="T24" s="19">
        <f ca="1">IF('Stock Price'!$I$11="OK",G24/INDEX(G$5:G$1258,'Stock Price'!$I$9)-1,"")</f>
        <v>6.3653327804271242E-2</v>
      </c>
      <c r="U24" s="19">
        <f ca="1">IF('Stock Price'!$I$11="OK",H24/INDEX(H$5:H$1258,'Stock Price'!$I$9)-1,"")</f>
        <v>0.30210526315789465</v>
      </c>
      <c r="V24" s="19">
        <f ca="1">IF('Stock Price'!$I$11="OK",I24/INDEX(I$5:I$1258,'Stock Price'!$I$9)-1,"")</f>
        <v>0.73312152501985706</v>
      </c>
      <c r="W24" s="19">
        <f ca="1">IF('Stock Price'!$I$11="OK",J24/INDEX(J$5:J$1258,'Stock Price'!$I$9)-1,"")</f>
        <v>-0.76923432929764157</v>
      </c>
      <c r="X24" s="19">
        <f ca="1">IF('Stock Price'!$I$11="OK",K24/INDEX(K$5:K$1258,'Stock Price'!$I$9)-1,"")</f>
        <v>9.7643097643097532E-2</v>
      </c>
      <c r="Y24" s="19">
        <f ca="1">IF('Stock Price'!$I$11="OK",L24/INDEX(L$5:L$1258,'Stock Price'!$I$9)-1,"")</f>
        <v>-0.21379310344827585</v>
      </c>
      <c r="Z24" s="19">
        <f ca="1">IF('Stock Price'!$I$11="OK",M24/INDEX(M$5:M$1258,'Stock Price'!$I$9)-1,"")</f>
        <v>-0.49932405913392353</v>
      </c>
    </row>
    <row r="25" spans="1:26" x14ac:dyDescent="0.2">
      <c r="A25" s="16">
        <f>'Stock Price'!A25</f>
        <v>44502</v>
      </c>
      <c r="B25" s="17">
        <f>'Stock Price'!E25</f>
        <v>89.02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-0.1637388445279474</v>
      </c>
      <c r="P25" s="19">
        <f ca="1">IF('Stock Price'!$I$11="OK",C25/INDEX(C$5:C$1258,'Stock Price'!$I$9)-1,"")</f>
        <v>-0.41517395697993353</v>
      </c>
      <c r="Q25" s="19">
        <f ca="1">IF('Stock Price'!$I$11="OK",D25/INDEX(D$5:D$1258,'Stock Price'!$I$9)-1,"")</f>
        <v>-0.30778705351033253</v>
      </c>
      <c r="R25" s="19">
        <f ca="1">IF('Stock Price'!$I$11="OK",E25/INDEX(E$5:E$1258,'Stock Price'!$I$9)-1,"")</f>
        <v>7.7977030022164051E-2</v>
      </c>
      <c r="S25" s="19">
        <f ca="1">IF('Stock Price'!$I$11="OK",F25/INDEX(F$5:F$1258,'Stock Price'!$I$9)-1,"")</f>
        <v>-2.6822157434402416E-2</v>
      </c>
      <c r="T25" s="19">
        <f ca="1">IF('Stock Price'!$I$11="OK",G25/INDEX(G$5:G$1258,'Stock Price'!$I$9)-1,"")</f>
        <v>7.6715737093095537E-2</v>
      </c>
      <c r="U25" s="19">
        <f ca="1">IF('Stock Price'!$I$11="OK",H25/INDEX(H$5:H$1258,'Stock Price'!$I$9)-1,"")</f>
        <v>0.31539473684210528</v>
      </c>
      <c r="V25" s="19">
        <f ca="1">IF('Stock Price'!$I$11="OK",I25/INDEX(I$5:I$1258,'Stock Price'!$I$9)-1,"")</f>
        <v>0.80500397140587787</v>
      </c>
      <c r="W25" s="19">
        <f ca="1">IF('Stock Price'!$I$11="OK",J25/INDEX(J$5:J$1258,'Stock Price'!$I$9)-1,"")</f>
        <v>-0.76225517420119215</v>
      </c>
      <c r="X25" s="19">
        <f ca="1">IF('Stock Price'!$I$11="OK",K25/INDEX(K$5:K$1258,'Stock Price'!$I$9)-1,"")</f>
        <v>9.6707818930041212E-2</v>
      </c>
      <c r="Y25" s="19">
        <f ca="1">IF('Stock Price'!$I$11="OK",L25/INDEX(L$5:L$1258,'Stock Price'!$I$9)-1,"")</f>
        <v>-0.20139860139860133</v>
      </c>
      <c r="Z25" s="19">
        <f ca="1">IF('Stock Price'!$I$11="OK",M25/INDEX(M$5:M$1258,'Stock Price'!$I$9)-1,"")</f>
        <v>-0.49182329597488117</v>
      </c>
    </row>
    <row r="26" spans="1:26" x14ac:dyDescent="0.2">
      <c r="A26" s="16">
        <f>'Stock Price'!A26</f>
        <v>44503</v>
      </c>
      <c r="B26" s="17">
        <f>'Stock Price'!E26</f>
        <v>88.68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-0.16693283231564116</v>
      </c>
      <c r="P26" s="19">
        <f ca="1">IF('Stock Price'!$I$11="OK",C26/INDEX(C$5:C$1258,'Stock Price'!$I$9)-1,"")</f>
        <v>-0.41629132380539913</v>
      </c>
      <c r="Q26" s="19">
        <f ca="1">IF('Stock Price'!$I$11="OK",D26/INDEX(D$5:D$1258,'Stock Price'!$I$9)-1,"")</f>
        <v>-0.2938278363213358</v>
      </c>
      <c r="R26" s="19">
        <f ca="1">IF('Stock Price'!$I$11="OK",E26/INDEX(E$5:E$1258,'Stock Price'!$I$9)-1,"")</f>
        <v>9.6363086842635504E-2</v>
      </c>
      <c r="S26" s="19">
        <f ca="1">IF('Stock Price'!$I$11="OK",F26/INDEX(F$5:F$1258,'Stock Price'!$I$9)-1,"")</f>
        <v>-1.9436345966958202E-2</v>
      </c>
      <c r="T26" s="19">
        <f ca="1">IF('Stock Price'!$I$11="OK",G26/INDEX(G$5:G$1258,'Stock Price'!$I$9)-1,"")</f>
        <v>8.542400995231203E-2</v>
      </c>
      <c r="U26" s="19">
        <f ca="1">IF('Stock Price'!$I$11="OK",H26/INDEX(H$5:H$1258,'Stock Price'!$I$9)-1,"")</f>
        <v>0.32236842105263164</v>
      </c>
      <c r="V26" s="19">
        <f ca="1">IF('Stock Price'!$I$11="OK",I26/INDEX(I$5:I$1258,'Stock Price'!$I$9)-1,"")</f>
        <v>0.7799841143764894</v>
      </c>
      <c r="W26" s="19">
        <f ca="1">IF('Stock Price'!$I$11="OK",J26/INDEX(J$5:J$1258,'Stock Price'!$I$9)-1,"")</f>
        <v>-0.75354511459143247</v>
      </c>
      <c r="X26" s="19">
        <f ca="1">IF('Stock Price'!$I$11="OK",K26/INDEX(K$5:K$1258,'Stock Price'!$I$9)-1,"")</f>
        <v>0.11036288814066597</v>
      </c>
      <c r="Y26" s="19">
        <f ca="1">IF('Stock Price'!$I$11="OK",L26/INDEX(L$5:L$1258,'Stock Price'!$I$9)-1,"")</f>
        <v>-0.20395466602363155</v>
      </c>
      <c r="Z26" s="19">
        <f ca="1">IF('Stock Price'!$I$11="OK",M26/INDEX(M$5:M$1258,'Stock Price'!$I$9)-1,"")</f>
        <v>-0.4872879508089486</v>
      </c>
    </row>
    <row r="27" spans="1:26" x14ac:dyDescent="0.2">
      <c r="A27" s="16">
        <f>'Stock Price'!A27</f>
        <v>44504</v>
      </c>
      <c r="B27" s="17">
        <f>'Stock Price'!E27</f>
        <v>90.54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-0.14945984030061055</v>
      </c>
      <c r="P27" s="19">
        <f ca="1">IF('Stock Price'!$I$11="OK",C27/INDEX(C$5:C$1258,'Stock Price'!$I$9)-1,"")</f>
        <v>-0.41559333044608049</v>
      </c>
      <c r="Q27" s="19">
        <f ca="1">IF('Stock Price'!$I$11="OK",D27/INDEX(D$5:D$1258,'Stock Price'!$I$9)-1,"")</f>
        <v>-0.28879156972765851</v>
      </c>
      <c r="R27" s="19">
        <f ca="1">IF('Stock Price'!$I$11="OK",E27/INDEX(E$5:E$1258,'Stock Price'!$I$9)-1,"")</f>
        <v>8.3014305863388982E-2</v>
      </c>
      <c r="S27" s="19">
        <f ca="1">IF('Stock Price'!$I$11="OK",F27/INDEX(F$5:F$1258,'Stock Price'!$I$9)-1,"")</f>
        <v>-8.3576287657920467E-3</v>
      </c>
      <c r="T27" s="19">
        <f ca="1">IF('Stock Price'!$I$11="OK",G27/INDEX(G$5:G$1258,'Stock Price'!$I$9)-1,"")</f>
        <v>7.3812979473356854E-2</v>
      </c>
      <c r="U27" s="19">
        <f ca="1">IF('Stock Price'!$I$11="OK",H27/INDEX(H$5:H$1258,'Stock Price'!$I$9)-1,"")</f>
        <v>0.31447368421052646</v>
      </c>
      <c r="V27" s="19">
        <f ca="1">IF('Stock Price'!$I$11="OK",I27/INDEX(I$5:I$1258,'Stock Price'!$I$9)-1,"")</f>
        <v>0.74146147736298662</v>
      </c>
      <c r="W27" s="19">
        <f ca="1">IF('Stock Price'!$I$11="OK",J27/INDEX(J$5:J$1258,'Stock Price'!$I$9)-1,"")</f>
        <v>-0.74915768817801465</v>
      </c>
      <c r="X27" s="19">
        <f ca="1">IF('Stock Price'!$I$11="OK",K27/INDEX(K$5:K$1258,'Stock Price'!$I$9)-1,"")</f>
        <v>0.10830527497194153</v>
      </c>
      <c r="Y27" s="19">
        <f ca="1">IF('Stock Price'!$I$11="OK",L27/INDEX(L$5:L$1258,'Stock Price'!$I$9)-1,"")</f>
        <v>-0.20617313720761998</v>
      </c>
      <c r="Z27" s="19">
        <f ca="1">IF('Stock Price'!$I$11="OK",M27/INDEX(M$5:M$1258,'Stock Price'!$I$9)-1,"")</f>
        <v>-0.48951201430378088</v>
      </c>
    </row>
    <row r="28" spans="1:26" x14ac:dyDescent="0.2">
      <c r="A28" s="16">
        <f>'Stock Price'!A28</f>
        <v>44505</v>
      </c>
      <c r="B28" s="17">
        <f>'Stock Price'!E28</f>
        <v>81.61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-0.23334899013621424</v>
      </c>
      <c r="P28" s="19">
        <f ca="1">IF('Stock Price'!$I$11="OK",C28/INDEX(C$5:C$1258,'Stock Price'!$I$9)-1,"")</f>
        <v>-0.41587267215244694</v>
      </c>
      <c r="Q28" s="19">
        <f ca="1">IF('Stock Price'!$I$11="OK",D28/INDEX(D$5:D$1258,'Stock Price'!$I$9)-1,"")</f>
        <v>-0.31315177227316282</v>
      </c>
      <c r="R28" s="19">
        <f ca="1">IF('Stock Price'!$I$11="OK",E28/INDEX(E$5:E$1258,'Stock Price'!$I$9)-1,"")</f>
        <v>9.5355631674390429E-2</v>
      </c>
      <c r="S28" s="19">
        <f ca="1">IF('Stock Price'!$I$11="OK",F28/INDEX(F$5:F$1258,'Stock Price'!$I$9)-1,"")</f>
        <v>-2.4295432458697808E-2</v>
      </c>
      <c r="T28" s="19">
        <f ca="1">IF('Stock Price'!$I$11="OK",G28/INDEX(G$5:G$1258,'Stock Price'!$I$9)-1,"")</f>
        <v>6.3445987974289908E-2</v>
      </c>
      <c r="U28" s="19">
        <f ca="1">IF('Stock Price'!$I$11="OK",H28/INDEX(H$5:H$1258,'Stock Price'!$I$9)-1,"")</f>
        <v>0.3085526315789473</v>
      </c>
      <c r="V28" s="19">
        <f ca="1">IF('Stock Price'!$I$11="OK",I28/INDEX(I$5:I$1258,'Stock Price'!$I$9)-1,"")</f>
        <v>0.93050039714058785</v>
      </c>
      <c r="W28" s="19">
        <f ca="1">IF('Stock Price'!$I$11="OK",J28/INDEX(J$5:J$1258,'Stock Price'!$I$9)-1,"")</f>
        <v>-0.75471139249879671</v>
      </c>
      <c r="X28" s="19">
        <f ca="1">IF('Stock Price'!$I$11="OK",K28/INDEX(K$5:K$1258,'Stock Price'!$I$9)-1,"")</f>
        <v>0.1120463898241677</v>
      </c>
      <c r="Y28" s="19">
        <f ca="1">IF('Stock Price'!$I$11="OK",L28/INDEX(L$5:L$1258,'Stock Price'!$I$9)-1,"")</f>
        <v>-0.21181577043646005</v>
      </c>
      <c r="Z28" s="19">
        <f ca="1">IF('Stock Price'!$I$11="OK",M28/INDEX(M$5:M$1258,'Stock Price'!$I$9)-1,"")</f>
        <v>-0.48898870524617333</v>
      </c>
    </row>
    <row r="29" spans="1:26" x14ac:dyDescent="0.2">
      <c r="A29" s="16">
        <f>'Stock Price'!A29</f>
        <v>44508</v>
      </c>
      <c r="B29" s="17">
        <f>'Stock Price'!E29</f>
        <v>82.68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-0.22329732268670732</v>
      </c>
      <c r="P29" s="19">
        <f ca="1">IF('Stock Price'!$I$11="OK",C29/INDEX(C$5:C$1258,'Stock Price'!$I$9)-1,"")</f>
        <v>-0.41887541504258696</v>
      </c>
      <c r="Q29" s="19">
        <f ca="1">IF('Stock Price'!$I$11="OK",D29/INDEX(D$5:D$1258,'Stock Price'!$I$9)-1,"")</f>
        <v>-0.29727658409744084</v>
      </c>
      <c r="R29" s="19">
        <f ca="1">IF('Stock Price'!$I$11="OK",E29/INDEX(E$5:E$1258,'Stock Price'!$I$9)-1,"")</f>
        <v>7.7221438645980189E-2</v>
      </c>
      <c r="S29" s="19">
        <f ca="1">IF('Stock Price'!$I$11="OK",F29/INDEX(F$5:F$1258,'Stock Price'!$I$9)-1,"")</f>
        <v>-2.4101068999028197E-2</v>
      </c>
      <c r="T29" s="19">
        <f ca="1">IF('Stock Price'!$I$11="OK",G29/INDEX(G$5:G$1258,'Stock Price'!$I$9)-1,"")</f>
        <v>5.9713871034625887E-2</v>
      </c>
      <c r="U29" s="19">
        <f ca="1">IF('Stock Price'!$I$11="OK",H29/INDEX(H$5:H$1258,'Stock Price'!$I$9)-1,"")</f>
        <v>0.31605263157894736</v>
      </c>
      <c r="V29" s="19">
        <f ca="1">IF('Stock Price'!$I$11="OK",I29/INDEX(I$5:I$1258,'Stock Price'!$I$9)-1,"")</f>
        <v>0.91938046068308177</v>
      </c>
      <c r="W29" s="19">
        <f ca="1">IF('Stock Price'!$I$11="OK",J29/INDEX(J$5:J$1258,'Stock Price'!$I$9)-1,"")</f>
        <v>-0.75884890221777923</v>
      </c>
      <c r="X29" s="19">
        <f ca="1">IF('Stock Price'!$I$11="OK",K29/INDEX(K$5:K$1258,'Stock Price'!$I$9)-1,"")</f>
        <v>0.11129816685372229</v>
      </c>
      <c r="Y29" s="19">
        <f ca="1">IF('Stock Price'!$I$11="OK",L29/INDEX(L$5:L$1258,'Stock Price'!$I$9)-1,"")</f>
        <v>-0.21451651796479376</v>
      </c>
      <c r="Z29" s="19">
        <f ca="1">IF('Stock Price'!$I$11="OK",M29/INDEX(M$5:M$1258,'Stock Price'!$I$9)-1,"")</f>
        <v>-0.49387292311717756</v>
      </c>
    </row>
    <row r="30" spans="1:26" x14ac:dyDescent="0.2">
      <c r="A30" s="16">
        <f>'Stock Price'!A30</f>
        <v>44509</v>
      </c>
      <c r="B30" s="17">
        <f>'Stock Price'!E30</f>
        <v>82.72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-0.22292155941756697</v>
      </c>
      <c r="P30" s="19">
        <f ca="1">IF('Stock Price'!$I$11="OK",C30/INDEX(C$5:C$1258,'Stock Price'!$I$9)-1,"")</f>
        <v>-0.41978273422838164</v>
      </c>
      <c r="Q30" s="19">
        <f ca="1">IF('Stock Price'!$I$11="OK",D30/INDEX(D$5:D$1258,'Stock Price'!$I$9)-1,"")</f>
        <v>-0.30795127959490898</v>
      </c>
      <c r="R30" s="19">
        <f ca="1">IF('Stock Price'!$I$11="OK",E30/INDEX(E$5:E$1258,'Stock Price'!$I$9)-1,"")</f>
        <v>7.6213983477735114E-2</v>
      </c>
      <c r="S30" s="19">
        <f ca="1">IF('Stock Price'!$I$11="OK",F30/INDEX(F$5:F$1258,'Stock Price'!$I$9)-1,"")</f>
        <v>-1.9825072886297423E-2</v>
      </c>
      <c r="T30" s="19">
        <f ca="1">IF('Stock Price'!$I$11="OK",G30/INDEX(G$5:G$1258,'Stock Price'!$I$9)-1,"")</f>
        <v>6.2823968484345905E-2</v>
      </c>
      <c r="U30" s="19">
        <f ca="1">IF('Stock Price'!$I$11="OK",H30/INDEX(H$5:H$1258,'Stock Price'!$I$9)-1,"")</f>
        <v>0.33552631578947367</v>
      </c>
      <c r="V30" s="19">
        <f ca="1">IF('Stock Price'!$I$11="OK",I30/INDEX(I$5:I$1258,'Stock Price'!$I$9)-1,"")</f>
        <v>0.87847498014297054</v>
      </c>
      <c r="W30" s="19">
        <f ca="1">IF('Stock Price'!$I$11="OK",J30/INDEX(J$5:J$1258,'Stock Price'!$I$9)-1,"")</f>
        <v>-0.75746973231145176</v>
      </c>
      <c r="X30" s="19">
        <f ca="1">IF('Stock Price'!$I$11="OK",K30/INDEX(K$5:K$1258,'Stock Price'!$I$9)-1,"")</f>
        <v>0.11223344556677883</v>
      </c>
      <c r="Y30" s="19">
        <f ca="1">IF('Stock Price'!$I$11="OK",L30/INDEX(L$5:L$1258,'Stock Price'!$I$9)-1,"")</f>
        <v>-0.21625271280443692</v>
      </c>
      <c r="Z30" s="19">
        <f ca="1">IF('Stock Price'!$I$11="OK",M30/INDEX(M$5:M$1258,'Stock Price'!$I$9)-1,"")</f>
        <v>-0.49583533208320618</v>
      </c>
    </row>
    <row r="31" spans="1:26" x14ac:dyDescent="0.2">
      <c r="A31" s="16">
        <f>'Stock Price'!A31</f>
        <v>44510</v>
      </c>
      <c r="B31" s="17">
        <f>'Stock Price'!E31</f>
        <v>84.01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-0.21080319398778768</v>
      </c>
      <c r="P31" s="19">
        <f ca="1">IF('Stock Price'!$I$11="OK",C31/INDEX(C$5:C$1258,'Stock Price'!$I$9)-1,"")</f>
        <v>-0.41922405081564884</v>
      </c>
      <c r="Q31" s="19">
        <f ca="1">IF('Stock Price'!$I$11="OK",D31/INDEX(D$5:D$1258,'Stock Price'!$I$9)-1,"")</f>
        <v>-0.30603530860818395</v>
      </c>
      <c r="R31" s="19">
        <f ca="1">IF('Stock Price'!$I$11="OK",E31/INDEX(E$5:E$1258,'Stock Price'!$I$9)-1,"")</f>
        <v>8.7547854120491708E-2</v>
      </c>
      <c r="S31" s="19">
        <f ca="1">IF('Stock Price'!$I$11="OK",F31/INDEX(F$5:F$1258,'Stock Price'!$I$9)-1,"")</f>
        <v>-2.3906705539358697E-2</v>
      </c>
      <c r="T31" s="19">
        <f ca="1">IF('Stock Price'!$I$11="OK",G31/INDEX(G$5:G$1258,'Stock Price'!$I$9)-1,"")</f>
        <v>6.4482687124196802E-2</v>
      </c>
      <c r="U31" s="19">
        <f ca="1">IF('Stock Price'!$I$11="OK",H31/INDEX(H$5:H$1258,'Stock Price'!$I$9)-1,"")</f>
        <v>0.34868421052631571</v>
      </c>
      <c r="V31" s="19">
        <f ca="1">IF('Stock Price'!$I$11="OK",I31/INDEX(I$5:I$1258,'Stock Price'!$I$9)-1,"")</f>
        <v>0.94678316123907869</v>
      </c>
      <c r="W31" s="19">
        <f ca="1">IF('Stock Price'!$I$11="OK",J31/INDEX(J$5:J$1258,'Stock Price'!$I$9)-1,"")</f>
        <v>-0.75503535858417559</v>
      </c>
      <c r="X31" s="19">
        <f ca="1">IF('Stock Price'!$I$11="OK",K31/INDEX(K$5:K$1258,'Stock Price'!$I$9)-1,"")</f>
        <v>0.11092405536849981</v>
      </c>
      <c r="Y31" s="19">
        <f ca="1">IF('Stock Price'!$I$11="OK",L31/INDEX(L$5:L$1258,'Stock Price'!$I$9)-1,"")</f>
        <v>-0.20776464914395942</v>
      </c>
      <c r="Z31" s="19">
        <f ca="1">IF('Stock Price'!$I$11="OK",M31/INDEX(M$5:M$1258,'Stock Price'!$I$9)-1,"")</f>
        <v>-0.49086389603593394</v>
      </c>
    </row>
    <row r="32" spans="1:26" x14ac:dyDescent="0.2">
      <c r="A32" s="16">
        <f>'Stock Price'!A32</f>
        <v>44511</v>
      </c>
      <c r="B32" s="17">
        <f>'Stock Price'!E32</f>
        <v>84.02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-0.2107092531705026</v>
      </c>
      <c r="P32" s="19">
        <f ca="1">IF('Stock Price'!$I$11="OK",C32/INDEX(C$5:C$1258,'Stock Price'!$I$9)-1,"")</f>
        <v>-0.42152880034647022</v>
      </c>
      <c r="Q32" s="19">
        <f ca="1">IF('Stock Price'!$I$11="OK",D32/INDEX(D$5:D$1258,'Stock Price'!$I$9)-1,"")</f>
        <v>-0.30521417818530183</v>
      </c>
      <c r="R32" s="19">
        <f ca="1">IF('Stock Price'!$I$11="OK",E32/INDEX(E$5:E$1258,'Stock Price'!$I$9)-1,"")</f>
        <v>8.8807173080797774E-2</v>
      </c>
      <c r="S32" s="19">
        <f ca="1">IF('Stock Price'!$I$11="OK",F32/INDEX(F$5:F$1258,'Stock Price'!$I$9)-1,"")</f>
        <v>-2.0602526724975756E-2</v>
      </c>
      <c r="T32" s="19">
        <f ca="1">IF('Stock Price'!$I$11="OK",G32/INDEX(G$5:G$1258,'Stock Price'!$I$9)-1,"")</f>
        <v>6.8836823553804605E-2</v>
      </c>
      <c r="U32" s="19">
        <f ca="1">IF('Stock Price'!$I$11="OK",H32/INDEX(H$5:H$1258,'Stock Price'!$I$9)-1,"")</f>
        <v>0.33842105263157896</v>
      </c>
      <c r="V32" s="19">
        <f ca="1">IF('Stock Price'!$I$11="OK",I32/INDEX(I$5:I$1258,'Stock Price'!$I$9)-1,"")</f>
        <v>0.99285146942017466</v>
      </c>
      <c r="W32" s="19">
        <f ca="1">IF('Stock Price'!$I$11="OK",J32/INDEX(J$5:J$1258,'Stock Price'!$I$9)-1,"")</f>
        <v>-0.75690510570550562</v>
      </c>
      <c r="X32" s="19">
        <f ca="1">IF('Stock Price'!$I$11="OK",K32/INDEX(K$5:K$1258,'Stock Price'!$I$9)-1,"")</f>
        <v>0.10718294051627386</v>
      </c>
      <c r="Y32" s="19">
        <f ca="1">IF('Stock Price'!$I$11="OK",L32/INDEX(L$5:L$1258,'Stock Price'!$I$9)-1,"")</f>
        <v>-0.21360019291053767</v>
      </c>
      <c r="Z32" s="19">
        <f ca="1">IF('Stock Price'!$I$11="OK",M32/INDEX(M$5:M$1258,'Stock Price'!$I$9)-1,"")</f>
        <v>-0.4913872050935415</v>
      </c>
    </row>
    <row r="33" spans="1:26" x14ac:dyDescent="0.2">
      <c r="A33" s="16">
        <f>'Stock Price'!A33</f>
        <v>44512</v>
      </c>
      <c r="B33" s="17">
        <f>'Stock Price'!E33</f>
        <v>84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-0.21089713480507277</v>
      </c>
      <c r="P33" s="19">
        <f ca="1">IF('Stock Price'!$I$11="OK",C33/INDEX(C$5:C$1258,'Stock Price'!$I$9)-1,"")</f>
        <v>-0.42397285982387756</v>
      </c>
      <c r="Q33" s="19">
        <f ca="1">IF('Stock Price'!$I$11="OK",D33/INDEX(D$5:D$1258,'Stock Price'!$I$9)-1,"")</f>
        <v>-0.35190912823320109</v>
      </c>
      <c r="R33" s="19">
        <f ca="1">IF('Stock Price'!$I$11="OK",E33/INDEX(E$5:E$1258,'Stock Price'!$I$9)-1,"")</f>
        <v>9.2081402377594213E-2</v>
      </c>
      <c r="S33" s="19">
        <f ca="1">IF('Stock Price'!$I$11="OK",F33/INDEX(F$5:F$1258,'Stock Price'!$I$9)-1,"")</f>
        <v>-2.7210884353741638E-2</v>
      </c>
      <c r="T33" s="19">
        <f ca="1">IF('Stock Price'!$I$11="OK",G33/INDEX(G$5:G$1258,'Stock Price'!$I$9)-1,"")</f>
        <v>5.2664316815260293E-2</v>
      </c>
      <c r="U33" s="19">
        <f ca="1">IF('Stock Price'!$I$11="OK",H33/INDEX(H$5:H$1258,'Stock Price'!$I$9)-1,"")</f>
        <v>0.33657894736842109</v>
      </c>
      <c r="V33" s="19">
        <f ca="1">IF('Stock Price'!$I$11="OK",I33/INDEX(I$5:I$1258,'Stock Price'!$I$9)-1,"")</f>
        <v>0.97498014297061153</v>
      </c>
      <c r="W33" s="19">
        <f ca="1">IF('Stock Price'!$I$11="OK",J33/INDEX(J$5:J$1258,'Stock Price'!$I$9)-1,"")</f>
        <v>-0.75966344551816056</v>
      </c>
      <c r="X33" s="19">
        <f ca="1">IF('Stock Price'!$I$11="OK",K33/INDEX(K$5:K$1258,'Stock Price'!$I$9)-1,"")</f>
        <v>0.111672278338945</v>
      </c>
      <c r="Y33" s="19">
        <f ca="1">IF('Stock Price'!$I$11="OK",L33/INDEX(L$5:L$1258,'Stock Price'!$I$9)-1,"")</f>
        <v>-0.20419580419580419</v>
      </c>
      <c r="Z33" s="19">
        <f ca="1">IF('Stock Price'!$I$11="OK",M33/INDEX(M$5:M$1258,'Stock Price'!$I$9)-1,"")</f>
        <v>-0.48990449609698661</v>
      </c>
    </row>
    <row r="34" spans="1:26" x14ac:dyDescent="0.2">
      <c r="A34" s="16">
        <f>'Stock Price'!A34</f>
        <v>44515</v>
      </c>
      <c r="B34" s="17">
        <f>'Stock Price'!E34</f>
        <v>83.69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-0.21380930014091126</v>
      </c>
      <c r="P34" s="19">
        <f ca="1">IF('Stock Price'!$I$11="OK",C34/INDEX(C$5:C$1258,'Stock Price'!$I$9)-1,"")</f>
        <v>-0.42543886242240503</v>
      </c>
      <c r="Q34" s="19">
        <f ca="1">IF('Stock Price'!$I$11="OK",D34/INDEX(D$5:D$1258,'Stock Price'!$I$9)-1,"")</f>
        <v>-0.32596140687012465</v>
      </c>
      <c r="R34" s="19">
        <f ca="1">IF('Stock Price'!$I$11="OK",E34/INDEX(E$5:E$1258,'Stock Price'!$I$9)-1,"")</f>
        <v>8.7295990328430273E-2</v>
      </c>
      <c r="S34" s="19">
        <f ca="1">IF('Stock Price'!$I$11="OK",F34/INDEX(F$5:F$1258,'Stock Price'!$I$9)-1,"")</f>
        <v>-3.3819241982507298E-2</v>
      </c>
      <c r="T34" s="19">
        <f ca="1">IF('Stock Price'!$I$11="OK",G34/INDEX(G$5:G$1258,'Stock Price'!$I$9)-1,"")</f>
        <v>5.9506531204644553E-2</v>
      </c>
      <c r="U34" s="19">
        <f ca="1">IF('Stock Price'!$I$11="OK",H34/INDEX(H$5:H$1258,'Stock Price'!$I$9)-1,"")</f>
        <v>0.32552631578947366</v>
      </c>
      <c r="V34" s="19">
        <f ca="1">IF('Stock Price'!$I$11="OK",I34/INDEX(I$5:I$1258,'Stock Price'!$I$9)-1,"")</f>
        <v>0.97180301826846693</v>
      </c>
      <c r="W34" s="19">
        <f ca="1">IF('Stock Price'!$I$11="OK",J34/INDEX(J$5:J$1258,'Stock Price'!$I$9)-1,"")</f>
        <v>-0.76079269873005295</v>
      </c>
      <c r="X34" s="19">
        <f ca="1">IF('Stock Price'!$I$11="OK",K34/INDEX(K$5:K$1258,'Stock Price'!$I$9)-1,"")</f>
        <v>0.11522633744855959</v>
      </c>
      <c r="Y34" s="19">
        <f ca="1">IF('Stock Price'!$I$11="OK",L34/INDEX(L$5:L$1258,'Stock Price'!$I$9)-1,"")</f>
        <v>-0.21138172172654923</v>
      </c>
      <c r="Z34" s="19">
        <f ca="1">IF('Stock Price'!$I$11="OK",M34/INDEX(M$5:M$1258,'Stock Price'!$I$9)-1,"")</f>
        <v>-0.49047141424272822</v>
      </c>
    </row>
    <row r="35" spans="1:26" x14ac:dyDescent="0.2">
      <c r="A35" s="16">
        <f>'Stock Price'!A35</f>
        <v>44516</v>
      </c>
      <c r="B35" s="17">
        <f>'Stock Price'!E35</f>
        <v>84.11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-0.20986378581493659</v>
      </c>
      <c r="P35" s="19">
        <f ca="1">IF('Stock Price'!$I$11="OK",C35/INDEX(C$5:C$1258,'Stock Price'!$I$9)-1,"")</f>
        <v>-0.42802295365959286</v>
      </c>
      <c r="Q35" s="19">
        <f ca="1">IF('Stock Price'!$I$11="OK",D35/INDEX(D$5:D$1258,'Stock Price'!$I$9)-1,"")</f>
        <v>-0.36055836868755986</v>
      </c>
      <c r="R35" s="19">
        <f ca="1">IF('Stock Price'!$I$11="OK",E35/INDEX(E$5:E$1258,'Stock Price'!$I$9)-1,"")</f>
        <v>6.9161797300020034E-2</v>
      </c>
      <c r="S35" s="19">
        <f ca="1">IF('Stock Price'!$I$11="OK",F35/INDEX(F$5:F$1258,'Stock Price'!$I$9)-1,"")</f>
        <v>-3.5762876579203184E-2</v>
      </c>
      <c r="T35" s="19">
        <f ca="1">IF('Stock Price'!$I$11="OK",G35/INDEX(G$5:G$1258,'Stock Price'!$I$9)-1,"")</f>
        <v>5.5567074434998975E-2</v>
      </c>
      <c r="U35" s="19">
        <f ca="1">IF('Stock Price'!$I$11="OK",H35/INDEX(H$5:H$1258,'Stock Price'!$I$9)-1,"")</f>
        <v>0.31894736842105265</v>
      </c>
      <c r="V35" s="19">
        <f ca="1">IF('Stock Price'!$I$11="OK",I35/INDEX(I$5:I$1258,'Stock Price'!$I$9)-1,"")</f>
        <v>0.96981731532962678</v>
      </c>
      <c r="W35" s="19">
        <f ca="1">IF('Stock Price'!$I$11="OK",J35/INDEX(J$5:J$1258,'Stock Price'!$I$9)-1,"")</f>
        <v>-0.76144988707467876</v>
      </c>
      <c r="X35" s="19">
        <f ca="1">IF('Stock Price'!$I$11="OK",K35/INDEX(K$5:K$1258,'Stock Price'!$I$9)-1,"")</f>
        <v>0.10549943883277213</v>
      </c>
      <c r="Y35" s="19">
        <f ca="1">IF('Stock Price'!$I$11="OK",L35/INDEX(L$5:L$1258,'Stock Price'!$I$9)-1,"")</f>
        <v>-0.21548107065348443</v>
      </c>
      <c r="Z35" s="19">
        <f ca="1">IF('Stock Price'!$I$11="OK",M35/INDEX(M$5:M$1258,'Stock Price'!$I$9)-1,"")</f>
        <v>-0.49230299594435478</v>
      </c>
    </row>
    <row r="36" spans="1:26" x14ac:dyDescent="0.2">
      <c r="A36" s="16">
        <f>'Stock Price'!A36</f>
        <v>44517</v>
      </c>
      <c r="B36" s="17">
        <f>'Stock Price'!E36</f>
        <v>82.6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-0.22404884922498836</v>
      </c>
      <c r="P36" s="19">
        <f ca="1">IF('Stock Price'!$I$11="OK",C36/INDEX(C$5:C$1258,'Stock Price'!$I$9)-1,"")</f>
        <v>-0.42809296953948317</v>
      </c>
      <c r="Q36" s="19">
        <f ca="1">IF('Stock Price'!$I$11="OK",D36/INDEX(D$5:D$1258,'Stock Price'!$I$9)-1,"")</f>
        <v>-0.36532092514027648</v>
      </c>
      <c r="R36" s="19">
        <f ca="1">IF('Stock Price'!$I$11="OK",E36/INDEX(E$5:E$1258,'Stock Price'!$I$9)-1,"")</f>
        <v>7.168043522063261E-2</v>
      </c>
      <c r="S36" s="19">
        <f ca="1">IF('Stock Price'!$I$11="OK",F36/INDEX(F$5:F$1258,'Stock Price'!$I$9)-1,"")</f>
        <v>-3.0903790087463578E-2</v>
      </c>
      <c r="T36" s="19">
        <f ca="1">IF('Stock Price'!$I$11="OK",G36/INDEX(G$5:G$1258,'Stock Price'!$I$9)-1,"")</f>
        <v>5.764047273481232E-2</v>
      </c>
      <c r="U36" s="19">
        <f ca="1">IF('Stock Price'!$I$11="OK",H36/INDEX(H$5:H$1258,'Stock Price'!$I$9)-1,"")</f>
        <v>0.31302631578947371</v>
      </c>
      <c r="V36" s="19">
        <f ca="1">IF('Stock Price'!$I$11="OK",I36/INDEX(I$5:I$1258,'Stock Price'!$I$9)-1,"")</f>
        <v>1.0202541699761714</v>
      </c>
      <c r="W36" s="19">
        <f ca="1">IF('Stock Price'!$I$11="OK",J36/INDEX(J$5:J$1258,'Stock Price'!$I$9)-1,"")</f>
        <v>-0.75824725091636114</v>
      </c>
      <c r="X36" s="19">
        <f ca="1">IF('Stock Price'!$I$11="OK",K36/INDEX(K$5:K$1258,'Stock Price'!$I$9)-1,"")</f>
        <v>0.11185933408155635</v>
      </c>
      <c r="Y36" s="19">
        <f ca="1">IF('Stock Price'!$I$11="OK",L36/INDEX(L$5:L$1258,'Stock Price'!$I$9)-1,"")</f>
        <v>-0.21253918495297808</v>
      </c>
      <c r="Z36" s="19">
        <f ca="1">IF('Stock Price'!$I$11="OK",M36/INDEX(M$5:M$1258,'Stock Price'!$I$9)-1,"")</f>
        <v>-0.48824735074789594</v>
      </c>
    </row>
    <row r="37" spans="1:26" x14ac:dyDescent="0.2">
      <c r="A37" s="16">
        <f>'Stock Price'!A37</f>
        <v>44518</v>
      </c>
      <c r="B37" s="17">
        <f>'Stock Price'!E37</f>
        <v>83.05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-0.21982151244715831</v>
      </c>
      <c r="P37" s="19">
        <f ca="1">IF('Stock Price'!$I$11="OK",C37/INDEX(C$5:C$1258,'Stock Price'!$I$9)-1,"")</f>
        <v>-0.42760358019344591</v>
      </c>
      <c r="Q37" s="19">
        <f ca="1">IF('Stock Price'!$I$11="OK",D37/INDEX(D$5:D$1258,'Stock Price'!$I$9)-1,"")</f>
        <v>-0.38459011906391138</v>
      </c>
      <c r="R37" s="19">
        <f ca="1">IF('Stock Price'!$I$11="OK",E37/INDEX(E$5:E$1258,'Stock Price'!$I$9)-1,"")</f>
        <v>4.5234737054201002E-2</v>
      </c>
      <c r="S37" s="19">
        <f ca="1">IF('Stock Price'!$I$11="OK",F37/INDEX(F$5:F$1258,'Stock Price'!$I$9)-1,"")</f>
        <v>-3.1681243926141911E-2</v>
      </c>
      <c r="T37" s="19">
        <f ca="1">IF('Stock Price'!$I$11="OK",G37/INDEX(G$5:G$1258,'Stock Price'!$I$9)-1,"")</f>
        <v>4.0223927016380001E-2</v>
      </c>
      <c r="U37" s="19">
        <f ca="1">IF('Stock Price'!$I$11="OK",H37/INDEX(H$5:H$1258,'Stock Price'!$I$9)-1,"")</f>
        <v>0.2973684210526315</v>
      </c>
      <c r="V37" s="19">
        <f ca="1">IF('Stock Price'!$I$11="OK",I37/INDEX(I$5:I$1258,'Stock Price'!$I$9)-1,"")</f>
        <v>1.0416997617156474</v>
      </c>
      <c r="W37" s="19">
        <f ca="1">IF('Stock Price'!$I$11="OK",J37/INDEX(J$5:J$1258,'Stock Price'!$I$9)-1,"")</f>
        <v>-0.7581084083083417</v>
      </c>
      <c r="X37" s="19">
        <f ca="1">IF('Stock Price'!$I$11="OK",K37/INDEX(K$5:K$1258,'Stock Price'!$I$9)-1,"")</f>
        <v>0.10437710437710424</v>
      </c>
      <c r="Y37" s="19">
        <f ca="1">IF('Stock Price'!$I$11="OK",L37/INDEX(L$5:L$1258,'Stock Price'!$I$9)-1,"")</f>
        <v>-0.21678321678321677</v>
      </c>
      <c r="Z37" s="19">
        <f ca="1">IF('Stock Price'!$I$11="OK",M37/INDEX(M$5:M$1258,'Stock Price'!$I$9)-1,"")</f>
        <v>-0.48946840521564694</v>
      </c>
    </row>
    <row r="38" spans="1:26" x14ac:dyDescent="0.2">
      <c r="A38" s="16">
        <f>'Stock Price'!A38</f>
        <v>44519</v>
      </c>
      <c r="B38" s="17">
        <f>'Stock Price'!E38</f>
        <v>80.7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-0.2418976045091592</v>
      </c>
      <c r="P38" s="19">
        <f ca="1">IF('Stock Price'!$I$11="OK",C38/INDEX(C$5:C$1258,'Stock Price'!$I$9)-1,"")</f>
        <v>-0.42976829796448679</v>
      </c>
      <c r="Q38" s="19">
        <f ca="1">IF('Stock Price'!$I$11="OK",D38/INDEX(D$5:D$1258,'Stock Price'!$I$9)-1,"")</f>
        <v>-0.38360476255645282</v>
      </c>
      <c r="R38" s="19">
        <f ca="1">IF('Stock Price'!$I$11="OK",E38/INDEX(E$5:E$1258,'Stock Price'!$I$9)-1,"")</f>
        <v>4.7501511182752365E-2</v>
      </c>
      <c r="S38" s="19">
        <f ca="1">IF('Stock Price'!$I$11="OK",F38/INDEX(F$5:F$1258,'Stock Price'!$I$9)-1,"")</f>
        <v>-3.3041788143828965E-2</v>
      </c>
      <c r="T38" s="19">
        <f ca="1">IF('Stock Price'!$I$11="OK",G38/INDEX(G$5:G$1258,'Stock Price'!$I$9)-1,"")</f>
        <v>4.976155919552161E-2</v>
      </c>
      <c r="U38" s="19">
        <f ca="1">IF('Stock Price'!$I$11="OK",H38/INDEX(H$5:H$1258,'Stock Price'!$I$9)-1,"")</f>
        <v>0.2667105263157894</v>
      </c>
      <c r="V38" s="19">
        <f ca="1">IF('Stock Price'!$I$11="OK",I38/INDEX(I$5:I$1258,'Stock Price'!$I$9)-1,"")</f>
        <v>1.0174741858617948</v>
      </c>
      <c r="W38" s="19">
        <f ca="1">IF('Stock Price'!$I$11="OK",J38/INDEX(J$5:J$1258,'Stock Price'!$I$9)-1,"")</f>
        <v>-0.7586915472620237</v>
      </c>
      <c r="X38" s="19">
        <f ca="1">IF('Stock Price'!$I$11="OK",K38/INDEX(K$5:K$1258,'Stock Price'!$I$9)-1,"")</f>
        <v>8.1743359521137204E-2</v>
      </c>
      <c r="Y38" s="19">
        <f ca="1">IF('Stock Price'!$I$11="OK",L38/INDEX(L$5:L$1258,'Stock Price'!$I$9)-1,"")</f>
        <v>-0.21442006269592484</v>
      </c>
      <c r="Z38" s="19">
        <f ca="1">IF('Stock Price'!$I$11="OK",M38/INDEX(M$5:M$1258,'Stock Price'!$I$9)-1,"")</f>
        <v>-0.49308795953076623</v>
      </c>
    </row>
    <row r="39" spans="1:26" x14ac:dyDescent="0.2">
      <c r="A39" s="16">
        <f>'Stock Price'!A39</f>
        <v>44522</v>
      </c>
      <c r="B39" s="17">
        <f>'Stock Price'!E39</f>
        <v>81.64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-0.23306716768435887</v>
      </c>
      <c r="P39" s="19">
        <f ca="1">IF('Stock Price'!$I$11="OK",C39/INDEX(C$5:C$1258,'Stock Price'!$I$9)-1,"")</f>
        <v>-0.43214306337519848</v>
      </c>
      <c r="Q39" s="19">
        <f ca="1">IF('Stock Price'!$I$11="OK",D39/INDEX(D$5:D$1258,'Stock Price'!$I$9)-1,"")</f>
        <v>-0.37479129601751748</v>
      </c>
      <c r="R39" s="19">
        <f ca="1">IF('Stock Price'!$I$11="OK",E39/INDEX(E$5:E$1258,'Stock Price'!$I$9)-1,"")</f>
        <v>3.9945597420914636E-2</v>
      </c>
      <c r="S39" s="19">
        <f ca="1">IF('Stock Price'!$I$11="OK",F39/INDEX(F$5:F$1258,'Stock Price'!$I$9)-1,"")</f>
        <v>-4.8785228377065226E-2</v>
      </c>
      <c r="T39" s="19">
        <f ca="1">IF('Stock Price'!$I$11="OK",G39/INDEX(G$5:G$1258,'Stock Price'!$I$9)-1,"")</f>
        <v>3.6077130416753089E-2</v>
      </c>
      <c r="U39" s="19">
        <f ca="1">IF('Stock Price'!$I$11="OK",H39/INDEX(H$5:H$1258,'Stock Price'!$I$9)-1,"")</f>
        <v>0.26842105263157912</v>
      </c>
      <c r="V39" s="19">
        <f ca="1">IF('Stock Price'!$I$11="OK",I39/INDEX(I$5:I$1258,'Stock Price'!$I$9)-1,"")</f>
        <v>1.0333598093725178</v>
      </c>
      <c r="W39" s="19">
        <f ca="1">IF('Stock Price'!$I$11="OK",J39/INDEX(J$5:J$1258,'Stock Price'!$I$9)-1,"")</f>
        <v>-0.75893220778259096</v>
      </c>
      <c r="X39" s="19">
        <f ca="1">IF('Stock Price'!$I$11="OK",K39/INDEX(K$5:K$1258,'Stock Price'!$I$9)-1,"")</f>
        <v>6.6965955854844772E-2</v>
      </c>
      <c r="Y39" s="19">
        <f ca="1">IF('Stock Price'!$I$11="OK",L39/INDEX(L$5:L$1258,'Stock Price'!$I$9)-1,"")</f>
        <v>-0.22980467808054017</v>
      </c>
      <c r="Z39" s="19">
        <f ca="1">IF('Stock Price'!$I$11="OK",M39/INDEX(M$5:M$1258,'Stock Price'!$I$9)-1,"")</f>
        <v>-0.49566089573067029</v>
      </c>
    </row>
    <row r="40" spans="1:26" x14ac:dyDescent="0.2">
      <c r="A40" s="16">
        <f>'Stock Price'!A40</f>
        <v>44523</v>
      </c>
      <c r="B40" s="17">
        <f>'Stock Price'!E40</f>
        <v>82.8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-0.22217003287928605</v>
      </c>
      <c r="P40" s="19">
        <f ca="1">IF('Stock Price'!$I$11="OK",C40/INDEX(C$5:C$1258,'Stock Price'!$I$9)-1,"")</f>
        <v>-0.42271546123863135</v>
      </c>
      <c r="Q40" s="19">
        <f ca="1">IF('Stock Price'!$I$11="OK",D40/INDEX(D$5:D$1258,'Stock Price'!$I$9)-1,"")</f>
        <v>-0.38552073354317784</v>
      </c>
      <c r="R40" s="19">
        <f ca="1">IF('Stock Price'!$I$11="OK",E40/INDEX(E$5:E$1258,'Stock Price'!$I$9)-1,"")</f>
        <v>4.7753374974813578E-2</v>
      </c>
      <c r="S40" s="19">
        <f ca="1">IF('Stock Price'!$I$11="OK",F40/INDEX(F$5:F$1258,'Stock Price'!$I$9)-1,"")</f>
        <v>-6.4334305150631765E-2</v>
      </c>
      <c r="T40" s="19">
        <f ca="1">IF('Stock Price'!$I$11="OK",G40/INDEX(G$5:G$1258,'Stock Price'!$I$9)-1,"")</f>
        <v>3.4833091436865082E-2</v>
      </c>
      <c r="U40" s="19">
        <f ca="1">IF('Stock Price'!$I$11="OK",H40/INDEX(H$5:H$1258,'Stock Price'!$I$9)-1,"")</f>
        <v>0.28118421052631581</v>
      </c>
      <c r="V40" s="19">
        <f ca="1">IF('Stock Price'!$I$11="OK",I40/INDEX(I$5:I$1258,'Stock Price'!$I$9)-1,"")</f>
        <v>1.0285941223193009</v>
      </c>
      <c r="W40" s="19">
        <f ca="1">IF('Stock Price'!$I$11="OK",J40/INDEX(J$5:J$1258,'Stock Price'!$I$9)-1,"")</f>
        <v>-0.75752526935465958</v>
      </c>
      <c r="X40" s="19">
        <f ca="1">IF('Stock Price'!$I$11="OK",K40/INDEX(K$5:K$1258,'Stock Price'!$I$9)-1,"")</f>
        <v>7.4635241301908017E-2</v>
      </c>
      <c r="Y40" s="19">
        <f ca="1">IF('Stock Price'!$I$11="OK",L40/INDEX(L$5:L$1258,'Stock Price'!$I$9)-1,"")</f>
        <v>-0.22503014227152152</v>
      </c>
      <c r="Z40" s="19">
        <f ca="1">IF('Stock Price'!$I$11="OK",M40/INDEX(M$5:M$1258,'Stock Price'!$I$9)-1,"")</f>
        <v>-0.48157516026339897</v>
      </c>
    </row>
    <row r="41" spans="1:26" x14ac:dyDescent="0.2">
      <c r="A41" s="16">
        <f>'Stock Price'!A41</f>
        <v>44524</v>
      </c>
      <c r="B41" s="17">
        <f>'Stock Price'!E41</f>
        <v>82.28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-0.22705495537811182</v>
      </c>
      <c r="P41" s="19">
        <f ca="1">IF('Stock Price'!$I$11="OK",C41/INDEX(C$5:C$1258,'Stock Price'!$I$9)-1,"")</f>
        <v>-0.42802295365959286</v>
      </c>
      <c r="Q41" s="19">
        <f ca="1">IF('Stock Price'!$I$11="OK",D41/INDEX(D$5:D$1258,'Stock Price'!$I$9)-1,"")</f>
        <v>-0.37747365539893263</v>
      </c>
      <c r="R41" s="19">
        <f ca="1">IF('Stock Price'!$I$11="OK",E41/INDEX(E$5:E$1258,'Stock Price'!$I$9)-1,"")</f>
        <v>4.7753374974813578E-2</v>
      </c>
      <c r="S41" s="19">
        <f ca="1">IF('Stock Price'!$I$11="OK",F41/INDEX(F$5:F$1258,'Stock Price'!$I$9)-1,"")</f>
        <v>-6.0641399416909714E-2</v>
      </c>
      <c r="T41" s="19">
        <f ca="1">IF('Stock Price'!$I$11="OK",G41/INDEX(G$5:G$1258,'Stock Price'!$I$9)-1,"")</f>
        <v>1.866058469832077E-2</v>
      </c>
      <c r="U41" s="19">
        <f ca="1">IF('Stock Price'!$I$11="OK",H41/INDEX(H$5:H$1258,'Stock Price'!$I$9)-1,"")</f>
        <v>0.24921052631578955</v>
      </c>
      <c r="V41" s="19">
        <f ca="1">IF('Stock Price'!$I$11="OK",I41/INDEX(I$5:I$1258,'Stock Price'!$I$9)-1,"")</f>
        <v>1.0210484511517079</v>
      </c>
      <c r="W41" s="19">
        <f ca="1">IF('Stock Price'!$I$11="OK",J41/INDEX(J$5:J$1258,'Stock Price'!$I$9)-1,"")</f>
        <v>-0.75748824465918763</v>
      </c>
      <c r="X41" s="19">
        <f ca="1">IF('Stock Price'!$I$11="OK",K41/INDEX(K$5:K$1258,'Stock Price'!$I$9)-1,"")</f>
        <v>6.2663673774784989E-2</v>
      </c>
      <c r="Y41" s="19">
        <f ca="1">IF('Stock Price'!$I$11="OK",L41/INDEX(L$5:L$1258,'Stock Price'!$I$9)-1,"")</f>
        <v>-0.22720038582107538</v>
      </c>
      <c r="Z41" s="19">
        <f ca="1">IF('Stock Price'!$I$11="OK",M41/INDEX(M$5:M$1258,'Stock Price'!$I$9)-1,"")</f>
        <v>-0.4825345602023462</v>
      </c>
    </row>
    <row r="42" spans="1:26" x14ac:dyDescent="0.2">
      <c r="A42" s="16">
        <f>'Stock Price'!A42</f>
        <v>44526</v>
      </c>
      <c r="B42" s="17">
        <f>'Stock Price'!E42</f>
        <v>79.16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-0.25636449037106623</v>
      </c>
      <c r="P42" s="19">
        <f ca="1">IF('Stock Price'!$I$11="OK",C42/INDEX(C$5:C$1258,'Stock Price'!$I$9)-1,"")</f>
        <v>-0.43647249891728013</v>
      </c>
      <c r="Q42" s="19">
        <f ca="1">IF('Stock Price'!$I$11="OK",D42/INDEX(D$5:D$1258,'Stock Price'!$I$9)-1,"")</f>
        <v>-0.38494594224716028</v>
      </c>
      <c r="R42" s="19">
        <f ca="1">IF('Stock Price'!$I$11="OK",E42/INDEX(E$5:E$1258,'Stock Price'!$I$9)-1,"")</f>
        <v>3.3145275035260768E-2</v>
      </c>
      <c r="S42" s="19">
        <f ca="1">IF('Stock Price'!$I$11="OK",F42/INDEX(F$5:F$1258,'Stock Price'!$I$9)-1,"")</f>
        <v>-5.9086491739553049E-2</v>
      </c>
      <c r="T42" s="19">
        <f ca="1">IF('Stock Price'!$I$11="OK",G42/INDEX(G$5:G$1258,'Stock Price'!$I$9)-1,"")</f>
        <v>1.4513788098693414E-3</v>
      </c>
      <c r="U42" s="19">
        <f ca="1">IF('Stock Price'!$I$11="OK",H42/INDEX(H$5:H$1258,'Stock Price'!$I$9)-1,"")</f>
        <v>0.19842105263157883</v>
      </c>
      <c r="V42" s="19">
        <f ca="1">IF('Stock Price'!$I$11="OK",I42/INDEX(I$5:I$1258,'Stock Price'!$I$9)-1,"")</f>
        <v>1.1445591739475773</v>
      </c>
      <c r="W42" s="19">
        <f ca="1">IF('Stock Price'!$I$11="OK",J42/INDEX(J$5:J$1258,'Stock Price'!$I$9)-1,"")</f>
        <v>-0.75899700099966672</v>
      </c>
      <c r="X42" s="19">
        <f ca="1">IF('Stock Price'!$I$11="OK",K42/INDEX(K$5:K$1258,'Stock Price'!$I$9)-1,"")</f>
        <v>5.7426112981668442E-2</v>
      </c>
      <c r="Y42" s="19">
        <f ca="1">IF('Stock Price'!$I$11="OK",L42/INDEX(L$5:L$1258,'Stock Price'!$I$9)-1,"")</f>
        <v>-0.23221605980226678</v>
      </c>
      <c r="Z42" s="19">
        <f ca="1">IF('Stock Price'!$I$11="OK",M42/INDEX(M$5:M$1258,'Stock Price'!$I$9)-1,"")</f>
        <v>-0.49191051415114906</v>
      </c>
    </row>
    <row r="43" spans="1:26" x14ac:dyDescent="0.2">
      <c r="A43" s="16">
        <f>'Stock Price'!A43</f>
        <v>44529</v>
      </c>
      <c r="B43" s="17">
        <f>'Stock Price'!E43</f>
        <v>74.89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-0.29647721935180837</v>
      </c>
      <c r="P43" s="19">
        <f ca="1">IF('Stock Price'!$I$11="OK",C43/INDEX(C$5:C$1258,'Stock Price'!$I$9)-1,"")</f>
        <v>-0.43947524180742015</v>
      </c>
      <c r="Q43" s="19">
        <f ca="1">IF('Stock Price'!$I$11="OK",D43/INDEX(D$5:D$1258,'Stock Price'!$I$9)-1,"")</f>
        <v>-0.38497331326125639</v>
      </c>
      <c r="R43" s="19">
        <f ca="1">IF('Stock Price'!$I$11="OK",E43/INDEX(E$5:E$1258,'Stock Price'!$I$9)-1,"")</f>
        <v>4.1708643965343573E-2</v>
      </c>
      <c r="S43" s="19">
        <f ca="1">IF('Stock Price'!$I$11="OK",F43/INDEX(F$5:F$1258,'Stock Price'!$I$9)-1,"")</f>
        <v>-6.0641399416909714E-2</v>
      </c>
      <c r="T43" s="19">
        <f ca="1">IF('Stock Price'!$I$11="OK",G43/INDEX(G$5:G$1258,'Stock Price'!$I$9)-1,"")</f>
        <v>-4.1467965996255796E-4</v>
      </c>
      <c r="U43" s="19">
        <f ca="1">IF('Stock Price'!$I$11="OK",H43/INDEX(H$5:H$1258,'Stock Price'!$I$9)-1,"")</f>
        <v>0.19263157894736849</v>
      </c>
      <c r="V43" s="19">
        <f ca="1">IF('Stock Price'!$I$11="OK",I43/INDEX(I$5:I$1258,'Stock Price'!$I$9)-1,"")</f>
        <v>1.0810166799046863</v>
      </c>
      <c r="W43" s="19">
        <f ca="1">IF('Stock Price'!$I$11="OK",J43/INDEX(J$5:J$1258,'Stock Price'!$I$9)-1,"")</f>
        <v>-0.76412492132252208</v>
      </c>
      <c r="X43" s="19">
        <f ca="1">IF('Stock Price'!$I$11="OK",K43/INDEX(K$5:K$1258,'Stock Price'!$I$9)-1,"")</f>
        <v>2.2072577628133194E-2</v>
      </c>
      <c r="Y43" s="19">
        <f ca="1">IF('Stock Price'!$I$11="OK",L43/INDEX(L$5:L$1258,'Stock Price'!$I$9)-1,"")</f>
        <v>-0.22956353990836742</v>
      </c>
      <c r="Z43" s="19">
        <f ca="1">IF('Stock Price'!$I$11="OK",M43/INDEX(M$5:M$1258,'Stock Price'!$I$9)-1,"")</f>
        <v>-0.49025336880205839</v>
      </c>
    </row>
    <row r="44" spans="1:26" x14ac:dyDescent="0.2">
      <c r="A44" s="16">
        <f>'Stock Price'!A44</f>
        <v>44530</v>
      </c>
      <c r="B44" s="17">
        <f>'Stock Price'!E44</f>
        <v>74.91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-0.2962893377172382</v>
      </c>
      <c r="P44" s="19">
        <f ca="1">IF('Stock Price'!$I$11="OK",C44/INDEX(C$5:C$1258,'Stock Price'!$I$9)-1,"")</f>
        <v>-0.44345531976324526</v>
      </c>
      <c r="Q44" s="19">
        <f ca="1">IF('Stock Price'!$I$11="OK",D44/INDEX(D$5:D$1258,'Stock Price'!$I$9)-1,"")</f>
        <v>-0.38924319146024366</v>
      </c>
      <c r="R44" s="19">
        <f ca="1">IF('Stock Price'!$I$11="OK",E44/INDEX(E$5:E$1258,'Stock Price'!$I$9)-1,"")</f>
        <v>3.5663912955873345E-2</v>
      </c>
      <c r="S44" s="19">
        <f ca="1">IF('Stock Price'!$I$11="OK",F44/INDEX(F$5:F$1258,'Stock Price'!$I$9)-1,"")</f>
        <v>-5.1895043731778445E-2</v>
      </c>
      <c r="T44" s="19">
        <f ca="1">IF('Stock Price'!$I$11="OK",G44/INDEX(G$5:G$1258,'Stock Price'!$I$9)-1,"")</f>
        <v>-1.3684428778768298E-2</v>
      </c>
      <c r="U44" s="19">
        <f ca="1">IF('Stock Price'!$I$11="OK",H44/INDEX(H$5:H$1258,'Stock Price'!$I$9)-1,"")</f>
        <v>0.17157894736842105</v>
      </c>
      <c r="V44" s="19">
        <f ca="1">IF('Stock Price'!$I$11="OK",I44/INDEX(I$5:I$1258,'Stock Price'!$I$9)-1,"")</f>
        <v>1.1338363780778393</v>
      </c>
      <c r="W44" s="19">
        <f ca="1">IF('Stock Price'!$I$11="OK",J44/INDEX(J$5:J$1258,'Stock Price'!$I$9)-1,"")</f>
        <v>-0.77040986337887363</v>
      </c>
      <c r="X44" s="19">
        <f ca="1">IF('Stock Price'!$I$11="OK",K44/INDEX(K$5:K$1258,'Stock Price'!$I$9)-1,"")</f>
        <v>3.1799476243921099E-3</v>
      </c>
      <c r="Y44" s="19">
        <f ca="1">IF('Stock Price'!$I$11="OK",L44/INDEX(L$5:L$1258,'Stock Price'!$I$9)-1,"")</f>
        <v>-0.24798649626235825</v>
      </c>
      <c r="Z44" s="19">
        <f ca="1">IF('Stock Price'!$I$11="OK",M44/INDEX(M$5:M$1258,'Stock Price'!$I$9)-1,"")</f>
        <v>-0.49727443199162702</v>
      </c>
    </row>
    <row r="45" spans="1:26" x14ac:dyDescent="0.2">
      <c r="A45" s="16">
        <f>'Stock Price'!A45</f>
        <v>44531</v>
      </c>
      <c r="B45" s="17">
        <f>'Stock Price'!E45</f>
        <v>74.44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-0.30070455612963842</v>
      </c>
      <c r="P45" s="19">
        <f ca="1">IF('Stock Price'!$I$11="OK",C45/INDEX(C$5:C$1258,'Stock Price'!$I$9)-1,"")</f>
        <v>-0.44261729464414601</v>
      </c>
      <c r="Q45" s="19">
        <f ca="1">IF('Stock Price'!$I$11="OK",D45/INDEX(D$5:D$1258,'Stock Price'!$I$9)-1,"")</f>
        <v>-0.40139592171889971</v>
      </c>
      <c r="R45" s="19">
        <f ca="1">IF('Stock Price'!$I$11="OK",E45/INDEX(E$5:E$1258,'Stock Price'!$I$9)-1,"")</f>
        <v>4.1960507757404786E-2</v>
      </c>
      <c r="S45" s="19">
        <f ca="1">IF('Stock Price'!$I$11="OK",F45/INDEX(F$5:F$1258,'Stock Price'!$I$9)-1,"")</f>
        <v>-4.4897959183673564E-2</v>
      </c>
      <c r="T45" s="19">
        <f ca="1">IF('Stock Price'!$I$11="OK",G45/INDEX(G$5:G$1258,'Stock Price'!$I$9)-1,"")</f>
        <v>-3.5247771096826863E-3</v>
      </c>
      <c r="U45" s="19">
        <f ca="1">IF('Stock Price'!$I$11="OK",H45/INDEX(H$5:H$1258,'Stock Price'!$I$9)-1,"")</f>
        <v>0.19394736842105265</v>
      </c>
      <c r="V45" s="19">
        <f ca="1">IF('Stock Price'!$I$11="OK",I45/INDEX(I$5:I$1258,'Stock Price'!$I$9)-1,"")</f>
        <v>1.1715647339158064</v>
      </c>
      <c r="W45" s="19">
        <f ca="1">IF('Stock Price'!$I$11="OK",J45/INDEX(J$5:J$1258,'Stock Price'!$I$9)-1,"")</f>
        <v>-0.76940094042726503</v>
      </c>
      <c r="X45" s="19">
        <f ca="1">IF('Stock Price'!$I$11="OK",K45/INDEX(K$5:K$1258,'Stock Price'!$I$9)-1,"")</f>
        <v>2.7871305649083356E-2</v>
      </c>
      <c r="Y45" s="19">
        <f ca="1">IF('Stock Price'!$I$11="OK",L45/INDEX(L$5:L$1258,'Stock Price'!$I$9)-1,"")</f>
        <v>-0.2376175548589341</v>
      </c>
      <c r="Z45" s="19">
        <f ca="1">IF('Stock Price'!$I$11="OK",M45/INDEX(M$5:M$1258,'Stock Price'!$I$9)-1,"")</f>
        <v>-0.49452705943918718</v>
      </c>
    </row>
    <row r="46" spans="1:26" x14ac:dyDescent="0.2">
      <c r="A46" s="16">
        <f>'Stock Price'!A46</f>
        <v>44532</v>
      </c>
      <c r="B46" s="17">
        <f>'Stock Price'!E46</f>
        <v>73.89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-0.30587130108031946</v>
      </c>
      <c r="P46" s="19">
        <f ca="1">IF('Stock Price'!$I$11="OK",C46/INDEX(C$5:C$1258,'Stock Price'!$I$9)-1,"")</f>
        <v>-0.44170925364515656</v>
      </c>
      <c r="Q46" s="19">
        <f ca="1">IF('Stock Price'!$I$11="OK",D46/INDEX(D$5:D$1258,'Stock Price'!$I$9)-1,"")</f>
        <v>-0.39006432188312579</v>
      </c>
      <c r="R46" s="19">
        <f ca="1">IF('Stock Price'!$I$11="OK",E46/INDEX(E$5:E$1258,'Stock Price'!$I$9)-1,"")</f>
        <v>4.447914567801714E-2</v>
      </c>
      <c r="S46" s="19">
        <f ca="1">IF('Stock Price'!$I$11="OK",F46/INDEX(F$5:F$1258,'Stock Price'!$I$9)-1,"")</f>
        <v>-3.7512147716229349E-2</v>
      </c>
      <c r="T46" s="19">
        <f ca="1">IF('Stock Price'!$I$11="OK",G46/INDEX(G$5:G$1258,'Stock Price'!$I$9)-1,"")</f>
        <v>-1.1196350818992284E-2</v>
      </c>
      <c r="U46" s="19">
        <f ca="1">IF('Stock Price'!$I$11="OK",H46/INDEX(H$5:H$1258,'Stock Price'!$I$9)-1,"")</f>
        <v>0.18250000000000011</v>
      </c>
      <c r="V46" s="19">
        <f ca="1">IF('Stock Price'!$I$11="OK",I46/INDEX(I$5:I$1258,'Stock Price'!$I$9)-1,"")</f>
        <v>1.1064336775218426</v>
      </c>
      <c r="W46" s="19">
        <f ca="1">IF('Stock Price'!$I$11="OK",J46/INDEX(J$5:J$1258,'Stock Price'!$I$9)-1,"")</f>
        <v>-0.77055796216076122</v>
      </c>
      <c r="X46" s="19">
        <f ca="1">IF('Stock Price'!$I$11="OK",K46/INDEX(K$5:K$1258,'Stock Price'!$I$9)-1,"")</f>
        <v>3.6475869809203143E-2</v>
      </c>
      <c r="Y46" s="19">
        <f ca="1">IF('Stock Price'!$I$11="OK",L46/INDEX(L$5:L$1258,'Stock Price'!$I$9)-1,"")</f>
        <v>-0.24239209066795275</v>
      </c>
      <c r="Z46" s="19">
        <f ca="1">IF('Stock Price'!$I$11="OK",M46/INDEX(M$5:M$1258,'Stock Price'!$I$9)-1,"")</f>
        <v>-0.49034058697832628</v>
      </c>
    </row>
    <row r="47" spans="1:26" x14ac:dyDescent="0.2">
      <c r="A47" s="16">
        <f>'Stock Price'!A47</f>
        <v>44533</v>
      </c>
      <c r="B47" s="17">
        <f>'Stock Price'!E47</f>
        <v>73.34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-0.31103804603100049</v>
      </c>
      <c r="P47" s="19">
        <f ca="1">IF('Stock Price'!$I$11="OK",C47/INDEX(C$5:C$1258,'Stock Price'!$I$9)-1,"")</f>
        <v>-0.44136061787209468</v>
      </c>
      <c r="Q47" s="19">
        <f ca="1">IF('Stock Price'!$I$11="OK",D47/INDEX(D$5:D$1258,'Stock Price'!$I$9)-1,"")</f>
        <v>-0.39969891884494324</v>
      </c>
      <c r="R47" s="19">
        <f ca="1">IF('Stock Price'!$I$11="OK",E47/INDEX(E$5:E$1258,'Stock Price'!$I$9)-1,"")</f>
        <v>3.8938142252669783E-2</v>
      </c>
      <c r="S47" s="19">
        <f ca="1">IF('Stock Price'!$I$11="OK",F47/INDEX(F$5:F$1258,'Stock Price'!$I$9)-1,"")</f>
        <v>-4.081632653061229E-2</v>
      </c>
      <c r="T47" s="19">
        <f ca="1">IF('Stock Price'!$I$11="OK",G47/INDEX(G$5:G$1258,'Stock Price'!$I$9)-1,"")</f>
        <v>-2.4051420277835356E-2</v>
      </c>
      <c r="U47" s="19">
        <f ca="1">IF('Stock Price'!$I$11="OK",H47/INDEX(H$5:H$1258,'Stock Price'!$I$9)-1,"")</f>
        <v>0.1646052631578947</v>
      </c>
      <c r="V47" s="19">
        <f ca="1">IF('Stock Price'!$I$11="OK",I47/INDEX(I$5:I$1258,'Stock Price'!$I$9)-1,"")</f>
        <v>1.1552819698173153</v>
      </c>
      <c r="W47" s="19">
        <f ca="1">IF('Stock Price'!$I$11="OK",J47/INDEX(J$5:J$1258,'Stock Price'!$I$9)-1,"")</f>
        <v>-0.77268688215039427</v>
      </c>
      <c r="X47" s="19">
        <f ca="1">IF('Stock Price'!$I$11="OK",K47/INDEX(K$5:K$1258,'Stock Price'!$I$9)-1,"")</f>
        <v>5.3497942386831365E-2</v>
      </c>
      <c r="Y47" s="19">
        <f ca="1">IF('Stock Price'!$I$11="OK",L47/INDEX(L$5:L$1258,'Stock Price'!$I$9)-1,"")</f>
        <v>-0.23134796238244515</v>
      </c>
      <c r="Z47" s="19">
        <f ca="1">IF('Stock Price'!$I$11="OK",M47/INDEX(M$5:M$1258,'Stock Price'!$I$9)-1,"")</f>
        <v>-0.48170598752780081</v>
      </c>
    </row>
    <row r="48" spans="1:26" x14ac:dyDescent="0.2">
      <c r="A48" s="16">
        <f>'Stock Price'!A48</f>
        <v>44536</v>
      </c>
      <c r="B48" s="17">
        <f>'Stock Price'!E48</f>
        <v>73.42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-0.31028651949271957</v>
      </c>
      <c r="P48" s="19">
        <f ca="1">IF('Stock Price'!$I$11="OK",C48/INDEX(C$5:C$1258,'Stock Price'!$I$9)-1,"")</f>
        <v>-0.43765915980944126</v>
      </c>
      <c r="Q48" s="19">
        <f ca="1">IF('Stock Price'!$I$11="OK",D48/INDEX(D$5:D$1258,'Stock Price'!$I$9)-1,"")</f>
        <v>-0.39274668126454082</v>
      </c>
      <c r="R48" s="19">
        <f ca="1">IF('Stock Price'!$I$11="OK",E48/INDEX(E$5:E$1258,'Stock Price'!$I$9)-1,"")</f>
        <v>5.1783195647793656E-2</v>
      </c>
      <c r="S48" s="19">
        <f ca="1">IF('Stock Price'!$I$11="OK",F48/INDEX(F$5:F$1258,'Stock Price'!$I$9)-1,"")</f>
        <v>-3.3430515063168187E-2</v>
      </c>
      <c r="T48" s="19">
        <f ca="1">IF('Stock Price'!$I$11="OK",G48/INDEX(G$5:G$1258,'Stock Price'!$I$9)-1,"")</f>
        <v>-1.3891768608749633E-2</v>
      </c>
      <c r="U48" s="19">
        <f ca="1">IF('Stock Price'!$I$11="OK",H48/INDEX(H$5:H$1258,'Stock Price'!$I$9)-1,"")</f>
        <v>0.17328947368421055</v>
      </c>
      <c r="V48" s="19">
        <f ca="1">IF('Stock Price'!$I$11="OK",I48/INDEX(I$5:I$1258,'Stock Price'!$I$9)-1,"")</f>
        <v>1.0444797458300239</v>
      </c>
      <c r="W48" s="19">
        <f ca="1">IF('Stock Price'!$I$11="OK",J48/INDEX(J$5:J$1258,'Stock Price'!$I$9)-1,"")</f>
        <v>-0.77199266911029651</v>
      </c>
      <c r="X48" s="19">
        <f ca="1">IF('Stock Price'!$I$11="OK",K48/INDEX(K$5:K$1258,'Stock Price'!$I$9)-1,"")</f>
        <v>6.3037785260007473E-2</v>
      </c>
      <c r="Y48" s="19">
        <f ca="1">IF('Stock Price'!$I$11="OK",L48/INDEX(L$5:L$1258,'Stock Price'!$I$9)-1,"")</f>
        <v>-0.21417892452375209</v>
      </c>
      <c r="Z48" s="19">
        <f ca="1">IF('Stock Price'!$I$11="OK",M48/INDEX(M$5:M$1258,'Stock Price'!$I$9)-1,"")</f>
        <v>-0.47080371549430899</v>
      </c>
    </row>
    <row r="49" spans="1:26" x14ac:dyDescent="0.2">
      <c r="A49" s="16">
        <f>'Stock Price'!A49</f>
        <v>44537</v>
      </c>
      <c r="B49" s="17">
        <f>'Stock Price'!E49</f>
        <v>72.28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-0.32099577266322221</v>
      </c>
      <c r="P49" s="19">
        <f ca="1">IF('Stock Price'!$I$11="OK",C49/INDEX(C$5:C$1258,'Stock Price'!$I$9)-1,"")</f>
        <v>-0.43661180886386597</v>
      </c>
      <c r="Q49" s="19">
        <f ca="1">IF('Stock Price'!$I$11="OK",D49/INDEX(D$5:D$1258,'Stock Price'!$I$9)-1,"")</f>
        <v>-0.4053373477487342</v>
      </c>
      <c r="R49" s="19">
        <f ca="1">IF('Stock Price'!$I$11="OK",E49/INDEX(E$5:E$1258,'Stock Price'!$I$9)-1,"")</f>
        <v>6.7398750755591319E-2</v>
      </c>
      <c r="S49" s="19">
        <f ca="1">IF('Stock Price'!$I$11="OK",F49/INDEX(F$5:F$1258,'Stock Price'!$I$9)-1,"")</f>
        <v>-3.2653061224489743E-2</v>
      </c>
      <c r="T49" s="19">
        <f ca="1">IF('Stock Price'!$I$11="OK",G49/INDEX(G$5:G$1258,'Stock Price'!$I$9)-1,"")</f>
        <v>-6.6348745594028147E-3</v>
      </c>
      <c r="U49" s="19">
        <f ca="1">IF('Stock Price'!$I$11="OK",H49/INDEX(H$5:H$1258,'Stock Price'!$I$9)-1,"")</f>
        <v>0.20289473684210524</v>
      </c>
      <c r="V49" s="19">
        <f ca="1">IF('Stock Price'!$I$11="OK",I49/INDEX(I$5:I$1258,'Stock Price'!$I$9)-1,"")</f>
        <v>1.0540111199364577</v>
      </c>
      <c r="W49" s="19">
        <f ca="1">IF('Stock Price'!$I$11="OK",J49/INDEX(J$5:J$1258,'Stock Price'!$I$9)-1,"")</f>
        <v>-0.7731219223221889</v>
      </c>
      <c r="X49" s="19">
        <f ca="1">IF('Stock Price'!$I$11="OK",K49/INDEX(K$5:K$1258,'Stock Price'!$I$9)-1,"")</f>
        <v>6.8649457538346503E-2</v>
      </c>
      <c r="Y49" s="19">
        <f ca="1">IF('Stock Price'!$I$11="OK",L49/INDEX(L$5:L$1258,'Stock Price'!$I$9)-1,"")</f>
        <v>-0.21215336387750172</v>
      </c>
      <c r="Z49" s="19">
        <f ca="1">IF('Stock Price'!$I$11="OK",M49/INDEX(M$5:M$1258,'Stock Price'!$I$9)-1,"")</f>
        <v>-0.47010597008416555</v>
      </c>
    </row>
    <row r="50" spans="1:26" x14ac:dyDescent="0.2">
      <c r="A50" s="16">
        <f>'Stock Price'!A50</f>
        <v>44538</v>
      </c>
      <c r="B50" s="17">
        <f>'Stock Price'!E50</f>
        <v>73.209999999999994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-0.31225927665570696</v>
      </c>
      <c r="P50" s="19">
        <f ca="1">IF('Stock Price'!$I$11="OK",C50/INDEX(C$5:C$1258,'Stock Price'!$I$9)-1,"")</f>
        <v>-0.43186372166883213</v>
      </c>
      <c r="Q50" s="19">
        <f ca="1">IF('Stock Price'!$I$11="OK",D50/INDEX(D$5:D$1258,'Stock Price'!$I$9)-1,"")</f>
        <v>-0.3843164089229506</v>
      </c>
      <c r="R50" s="19">
        <f ca="1">IF('Stock Price'!$I$11="OK",E50/INDEX(E$5:E$1258,'Stock Price'!$I$9)-1,"")</f>
        <v>7.4954664517429048E-2</v>
      </c>
      <c r="S50" s="19">
        <f ca="1">IF('Stock Price'!$I$11="OK",F50/INDEX(F$5:F$1258,'Stock Price'!$I$9)-1,"")</f>
        <v>-1.4965986394557929E-2</v>
      </c>
      <c r="T50" s="19">
        <f ca="1">IF('Stock Price'!$I$11="OK",G50/INDEX(G$5:G$1258,'Stock Price'!$I$9)-1,"")</f>
        <v>-4.9761559195520277E-3</v>
      </c>
      <c r="U50" s="19">
        <f ca="1">IF('Stock Price'!$I$11="OK",H50/INDEX(H$5:H$1258,'Stock Price'!$I$9)-1,"")</f>
        <v>0.20368421052631591</v>
      </c>
      <c r="V50" s="19">
        <f ca="1">IF('Stock Price'!$I$11="OK",I50/INDEX(I$5:I$1258,'Stock Price'!$I$9)-1,"")</f>
        <v>1.0413026211278793</v>
      </c>
      <c r="W50" s="19">
        <f ca="1">IF('Stock Price'!$I$11="OK",J50/INDEX(J$5:J$1258,'Stock Price'!$I$9)-1,"")</f>
        <v>-0.7738531600577585</v>
      </c>
      <c r="X50" s="19">
        <f ca="1">IF('Stock Price'!$I$11="OK",K50/INDEX(K$5:K$1258,'Stock Price'!$I$9)-1,"")</f>
        <v>7.7441077441077422E-2</v>
      </c>
      <c r="Y50" s="19">
        <f ca="1">IF('Stock Price'!$I$11="OK",L50/INDEX(L$5:L$1258,'Stock Price'!$I$9)-1,"")</f>
        <v>-0.20742705570291775</v>
      </c>
      <c r="Z50" s="19">
        <f ca="1">IF('Stock Price'!$I$11="OK",M50/INDEX(M$5:M$1258,'Stock Price'!$I$9)-1,"")</f>
        <v>-0.46853604291134265</v>
      </c>
    </row>
    <row r="51" spans="1:26" x14ac:dyDescent="0.2">
      <c r="A51" s="16">
        <f>'Stock Price'!A51</f>
        <v>44539</v>
      </c>
      <c r="B51" s="17">
        <f>'Stock Price'!E51</f>
        <v>72.86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-0.3155472052606858</v>
      </c>
      <c r="P51" s="19">
        <f ca="1">IF('Stock Price'!$I$11="OK",C51/INDEX(C$5:C$1258,'Stock Price'!$I$9)-1,"")</f>
        <v>-0.43828785910206436</v>
      </c>
      <c r="Q51" s="19">
        <f ca="1">IF('Stock Price'!$I$11="OK",D51/INDEX(D$5:D$1258,'Stock Price'!$I$9)-1,"")</f>
        <v>-0.40194334200082116</v>
      </c>
      <c r="R51" s="19">
        <f ca="1">IF('Stock Price'!$I$11="OK",E51/INDEX(E$5:E$1258,'Stock Price'!$I$9)-1,"")</f>
        <v>7.7977030022164051E-2</v>
      </c>
      <c r="S51" s="19">
        <f ca="1">IF('Stock Price'!$I$11="OK",F51/INDEX(F$5:F$1258,'Stock Price'!$I$9)-1,"")</f>
        <v>-1.9047619047619091E-2</v>
      </c>
      <c r="T51" s="19">
        <f ca="1">IF('Stock Price'!$I$11="OK",G51/INDEX(G$5:G$1258,'Stock Price'!$I$9)-1,"")</f>
        <v>-1.9075264358283106E-2</v>
      </c>
      <c r="U51" s="19">
        <f ca="1">IF('Stock Price'!$I$11="OK",H51/INDEX(H$5:H$1258,'Stock Price'!$I$9)-1,"")</f>
        <v>0.20486842105263148</v>
      </c>
      <c r="V51" s="19">
        <f ca="1">IF('Stock Price'!$I$11="OK",I51/INDEX(I$5:I$1258,'Stock Price'!$I$9)-1,"")</f>
        <v>1.0683081810961079</v>
      </c>
      <c r="W51" s="19">
        <f ca="1">IF('Stock Price'!$I$11="OK",J51/INDEX(J$5:J$1258,'Stock Price'!$I$9)-1,"")</f>
        <v>-0.77516753674701022</v>
      </c>
      <c r="X51" s="19">
        <f ca="1">IF('Stock Price'!$I$11="OK",K51/INDEX(K$5:K$1258,'Stock Price'!$I$9)-1,"")</f>
        <v>7.6318742985409527E-2</v>
      </c>
      <c r="Y51" s="19">
        <f ca="1">IF('Stock Price'!$I$11="OK",L51/INDEX(L$5:L$1258,'Stock Price'!$I$9)-1,"")</f>
        <v>-0.19990354473113092</v>
      </c>
      <c r="Z51" s="19">
        <f ca="1">IF('Stock Price'!$I$11="OK",M51/INDEX(M$5:M$1258,'Stock Price'!$I$9)-1,"")</f>
        <v>-0.45859317081679818</v>
      </c>
    </row>
    <row r="52" spans="1:26" x14ac:dyDescent="0.2">
      <c r="A52" s="16">
        <f>'Stock Price'!A52</f>
        <v>44540</v>
      </c>
      <c r="B52" s="17">
        <f>'Stock Price'!E52</f>
        <v>72.62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-0.31780178487552835</v>
      </c>
      <c r="P52" s="19">
        <f ca="1">IF('Stock Price'!$I$11="OK",C52/INDEX(C$5:C$1258,'Stock Price'!$I$9)-1,"")</f>
        <v>-0.43668182474375627</v>
      </c>
      <c r="Q52" s="19">
        <f ca="1">IF('Stock Price'!$I$11="OK",D52/INDEX(D$5:D$1258,'Stock Price'!$I$9)-1,"")</f>
        <v>-0.39548378267414808</v>
      </c>
      <c r="R52" s="19">
        <f ca="1">IF('Stock Price'!$I$11="OK",E52/INDEX(E$5:E$1258,'Stock Price'!$I$9)-1,"")</f>
        <v>8.7295990328430273E-2</v>
      </c>
      <c r="S52" s="19">
        <f ca="1">IF('Stock Price'!$I$11="OK",F52/INDEX(F$5:F$1258,'Stock Price'!$I$9)-1,"")</f>
        <v>-6.413994169096271E-3</v>
      </c>
      <c r="T52" s="19">
        <f ca="1">IF('Stock Price'!$I$11="OK",G52/INDEX(G$5:G$1258,'Stock Price'!$I$9)-1,"")</f>
        <v>1.7416545718432541E-2</v>
      </c>
      <c r="U52" s="19">
        <f ca="1">IF('Stock Price'!$I$11="OK",H52/INDEX(H$5:H$1258,'Stock Price'!$I$9)-1,"")</f>
        <v>0.22657894736842099</v>
      </c>
      <c r="V52" s="19">
        <f ca="1">IF('Stock Price'!$I$11="OK",I52/INDEX(I$5:I$1258,'Stock Price'!$I$9)-1,"")</f>
        <v>1.0961080222398731</v>
      </c>
      <c r="W52" s="19">
        <f ca="1">IF('Stock Price'!$I$11="OK",J52/INDEX(J$5:J$1258,'Stock Price'!$I$9)-1,"")</f>
        <v>-0.77401977118738197</v>
      </c>
      <c r="X52" s="19">
        <f ca="1">IF('Stock Price'!$I$11="OK",K52/INDEX(K$5:K$1258,'Stock Price'!$I$9)-1,"")</f>
        <v>5.4246165357276332E-2</v>
      </c>
      <c r="Y52" s="19">
        <f ca="1">IF('Stock Price'!$I$11="OK",L52/INDEX(L$5:L$1258,'Stock Price'!$I$9)-1,"")</f>
        <v>-0.20188087774294661</v>
      </c>
      <c r="Z52" s="19">
        <f ca="1">IF('Stock Price'!$I$11="OK",M52/INDEX(M$5:M$1258,'Stock Price'!$I$9)-1,"")</f>
        <v>-0.45283677118311461</v>
      </c>
    </row>
    <row r="53" spans="1:26" x14ac:dyDescent="0.2">
      <c r="A53" s="16">
        <f>'Stock Price'!A53</f>
        <v>44543</v>
      </c>
      <c r="B53" s="17">
        <f>'Stock Price'!E53</f>
        <v>73.42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-0.31028651949271957</v>
      </c>
      <c r="P53" s="19">
        <f ca="1">IF('Stock Price'!$I$11="OK",C53/INDEX(C$5:C$1258,'Stock Price'!$I$9)-1,"")</f>
        <v>-0.43542514797170484</v>
      </c>
      <c r="Q53" s="19">
        <f ca="1">IF('Stock Price'!$I$11="OK",D53/INDEX(D$5:D$1258,'Stock Price'!$I$9)-1,"")</f>
        <v>-0.41272752155467363</v>
      </c>
      <c r="R53" s="19">
        <f ca="1">IF('Stock Price'!$I$11="OK",E53/INDEX(E$5:E$1258,'Stock Price'!$I$9)-1,"")</f>
        <v>8.5784807576062772E-2</v>
      </c>
      <c r="S53" s="19">
        <f ca="1">IF('Stock Price'!$I$11="OK",F53/INDEX(F$5:F$1258,'Stock Price'!$I$9)-1,"")</f>
        <v>-1.574344023323615E-2</v>
      </c>
      <c r="T53" s="19">
        <f ca="1">IF('Stock Price'!$I$11="OK",G53/INDEX(G$5:G$1258,'Stock Price'!$I$9)-1,"")</f>
        <v>1.1196350818992507E-2</v>
      </c>
      <c r="U53" s="19">
        <f ca="1">IF('Stock Price'!$I$11="OK",H53/INDEX(H$5:H$1258,'Stock Price'!$I$9)-1,"")</f>
        <v>0.22565789473684217</v>
      </c>
      <c r="V53" s="19">
        <f ca="1">IF('Stock Price'!$I$11="OK",I53/INDEX(I$5:I$1258,'Stock Price'!$I$9)-1,"")</f>
        <v>1.1922160444797458</v>
      </c>
      <c r="W53" s="19">
        <f ca="1">IF('Stock Price'!$I$11="OK",J53/INDEX(J$5:J$1258,'Stock Price'!$I$9)-1,"")</f>
        <v>-0.76995631085934313</v>
      </c>
      <c r="X53" s="19">
        <f ca="1">IF('Stock Price'!$I$11="OK",K53/INDEX(K$5:K$1258,'Stock Price'!$I$9)-1,"")</f>
        <v>0.10456416011971559</v>
      </c>
      <c r="Y53" s="19">
        <f ca="1">IF('Stock Price'!$I$11="OK",L53/INDEX(L$5:L$1258,'Stock Price'!$I$9)-1,"")</f>
        <v>-0.18760549795032555</v>
      </c>
      <c r="Z53" s="19">
        <f ca="1">IF('Stock Price'!$I$11="OK",M53/INDEX(M$5:M$1258,'Stock Price'!$I$9)-1,"")</f>
        <v>-0.44830142601718193</v>
      </c>
    </row>
    <row r="54" spans="1:26" x14ac:dyDescent="0.2">
      <c r="A54" s="16">
        <f>'Stock Price'!A54</f>
        <v>44544</v>
      </c>
      <c r="B54" s="17">
        <f>'Stock Price'!E54</f>
        <v>73.72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-0.30746829497416628</v>
      </c>
      <c r="P54" s="19">
        <f ca="1">IF('Stock Price'!$I$11="OK",C54/INDEX(C$5:C$1258,'Stock Price'!$I$9)-1,"")</f>
        <v>-0.43724050815648907</v>
      </c>
      <c r="Q54" s="19">
        <f ca="1">IF('Stock Price'!$I$11="OK",D54/INDEX(D$5:D$1258,'Stock Price'!$I$9)-1,"")</f>
        <v>-0.4100999042014507</v>
      </c>
      <c r="R54" s="19">
        <f ca="1">IF('Stock Price'!$I$11="OK",E54/INDEX(E$5:E$1258,'Stock Price'!$I$9)-1,"")</f>
        <v>8.0495667942776405E-2</v>
      </c>
      <c r="S54" s="19">
        <f ca="1">IF('Stock Price'!$I$11="OK",F54/INDEX(F$5:F$1258,'Stock Price'!$I$9)-1,"")</f>
        <v>-4.0427599611273179E-2</v>
      </c>
      <c r="T54" s="19">
        <f ca="1">IF('Stock Price'!$I$11="OK",G54/INDEX(G$5:G$1258,'Stock Price'!$I$9)-1,"")</f>
        <v>-3.7321169396641318E-3</v>
      </c>
      <c r="U54" s="19">
        <f ca="1">IF('Stock Price'!$I$11="OK",H54/INDEX(H$5:H$1258,'Stock Price'!$I$9)-1,"")</f>
        <v>0.22118421052631576</v>
      </c>
      <c r="V54" s="19">
        <f ca="1">IF('Stock Price'!$I$11="OK",I54/INDEX(I$5:I$1258,'Stock Price'!$I$9)-1,"")</f>
        <v>1.2057188244638604</v>
      </c>
      <c r="W54" s="19">
        <f ca="1">IF('Stock Price'!$I$11="OK",J54/INDEX(J$5:J$1258,'Stock Price'!$I$9)-1,"")</f>
        <v>-0.76916953608056571</v>
      </c>
      <c r="X54" s="19">
        <f ca="1">IF('Stock Price'!$I$11="OK",K54/INDEX(K$5:K$1258,'Stock Price'!$I$9)-1,"")</f>
        <v>0.11316872427983538</v>
      </c>
      <c r="Y54" s="19">
        <f ca="1">IF('Stock Price'!$I$11="OK",L54/INDEX(L$5:L$1258,'Stock Price'!$I$9)-1,"")</f>
        <v>-0.17873161321437181</v>
      </c>
      <c r="Z54" s="19">
        <f ca="1">IF('Stock Price'!$I$11="OK",M54/INDEX(M$5:M$1258,'Stock Price'!$I$9)-1,"")</f>
        <v>-0.44489991714273247</v>
      </c>
    </row>
    <row r="55" spans="1:26" x14ac:dyDescent="0.2">
      <c r="A55" s="16">
        <f>'Stock Price'!A55</f>
        <v>44545</v>
      </c>
      <c r="B55" s="17">
        <f>'Stock Price'!E55</f>
        <v>75.290000000000006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-0.29271958666040387</v>
      </c>
      <c r="P55" s="19">
        <f ca="1">IF('Stock Price'!$I$11="OK",C55/INDEX(C$5:C$1258,'Stock Price'!$I$9)-1,"")</f>
        <v>-0.43074635484336643</v>
      </c>
      <c r="Q55" s="19">
        <f ca="1">IF('Stock Price'!$I$11="OK",D55/INDEX(D$5:D$1258,'Stock Price'!$I$9)-1,"")</f>
        <v>-0.39597646092787742</v>
      </c>
      <c r="R55" s="19">
        <f ca="1">IF('Stock Price'!$I$11="OK",E55/INDEX(E$5:E$1258,'Stock Price'!$I$9)-1,"")</f>
        <v>9.963731613943172E-2</v>
      </c>
      <c r="S55" s="19">
        <f ca="1">IF('Stock Price'!$I$11="OK",F55/INDEX(F$5:F$1258,'Stock Price'!$I$9)-1,"")</f>
        <v>-1.6132167152575372E-2</v>
      </c>
      <c r="T55" s="19">
        <f ca="1">IF('Stock Price'!$I$11="OK",G55/INDEX(G$5:G$1258,'Stock Price'!$I$9)-1,"")</f>
        <v>2.2185361808003234E-2</v>
      </c>
      <c r="U55" s="19">
        <f ca="1">IF('Stock Price'!$I$11="OK",H55/INDEX(H$5:H$1258,'Stock Price'!$I$9)-1,"")</f>
        <v>0.20907894736842114</v>
      </c>
      <c r="V55" s="19">
        <f ca="1">IF('Stock Price'!$I$11="OK",I55/INDEX(I$5:I$1258,'Stock Price'!$I$9)-1,"")</f>
        <v>1.3351866560762509</v>
      </c>
      <c r="W55" s="19">
        <f ca="1">IF('Stock Price'!$I$11="OK",J55/INDEX(J$5:J$1258,'Stock Price'!$I$9)-1,"")</f>
        <v>-0.74519604576252363</v>
      </c>
      <c r="X55" s="19">
        <f ca="1">IF('Stock Price'!$I$11="OK",K55/INDEX(K$5:K$1258,'Stock Price'!$I$9)-1,"")</f>
        <v>0.13374485596707819</v>
      </c>
      <c r="Y55" s="19">
        <f ca="1">IF('Stock Price'!$I$11="OK",L55/INDEX(L$5:L$1258,'Stock Price'!$I$9)-1,"")</f>
        <v>-0.17463226428743672</v>
      </c>
      <c r="Z55" s="19">
        <f ca="1">IF('Stock Price'!$I$11="OK",M55/INDEX(M$5:M$1258,'Stock Price'!$I$9)-1,"")</f>
        <v>-0.43207884523134621</v>
      </c>
    </row>
    <row r="56" spans="1:26" x14ac:dyDescent="0.2">
      <c r="A56" s="16">
        <f>'Stock Price'!A56</f>
        <v>44546</v>
      </c>
      <c r="B56" s="17">
        <f>'Stock Price'!E56</f>
        <v>75.91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-0.28689525598872712</v>
      </c>
      <c r="P56" s="19">
        <f ca="1">IF('Stock Price'!$I$11="OK",C56/INDEX(C$5:C$1258,'Stock Price'!$I$9)-1,"")</f>
        <v>-0.39897358163707231</v>
      </c>
      <c r="Q56" s="19">
        <f ca="1">IF('Stock Price'!$I$11="OK",D56/INDEX(D$5:D$1258,'Stock Price'!$I$9)-1,"")</f>
        <v>-0.37637881483508961</v>
      </c>
      <c r="R56" s="19">
        <f ca="1">IF('Stock Price'!$I$11="OK",E56/INDEX(E$5:E$1258,'Stock Price'!$I$9)-1,"")</f>
        <v>0.1036671368124118</v>
      </c>
      <c r="S56" s="19">
        <f ca="1">IF('Stock Price'!$I$11="OK",F56/INDEX(F$5:F$1258,'Stock Price'!$I$9)-1,"")</f>
        <v>-2.9154518950438302E-3</v>
      </c>
      <c r="T56" s="19">
        <f ca="1">IF('Stock Price'!$I$11="OK",G56/INDEX(G$5:G$1258,'Stock Price'!$I$9)-1,"")</f>
        <v>2.1978021978022122E-2</v>
      </c>
      <c r="U56" s="19">
        <f ca="1">IF('Stock Price'!$I$11="OK",H56/INDEX(H$5:H$1258,'Stock Price'!$I$9)-1,"")</f>
        <v>0.22907894736842094</v>
      </c>
      <c r="V56" s="19">
        <f ca="1">IF('Stock Price'!$I$11="OK",I56/INDEX(I$5:I$1258,'Stock Price'!$I$9)-1,"")</f>
        <v>1.4324861000794282</v>
      </c>
      <c r="W56" s="19">
        <f ca="1">IF('Stock Price'!$I$11="OK",J56/INDEX(J$5:J$1258,'Stock Price'!$I$9)-1,"")</f>
        <v>-0.74171572438816691</v>
      </c>
      <c r="X56" s="19">
        <f ca="1">IF('Stock Price'!$I$11="OK",K56/INDEX(K$5:K$1258,'Stock Price'!$I$9)-1,"")</f>
        <v>0.16292555181444079</v>
      </c>
      <c r="Y56" s="19">
        <f ca="1">IF('Stock Price'!$I$11="OK",L56/INDEX(L$5:L$1258,'Stock Price'!$I$9)-1,"")</f>
        <v>-0.16561369664817938</v>
      </c>
      <c r="Z56" s="19">
        <f ca="1">IF('Stock Price'!$I$11="OK",M56/INDEX(M$5:M$1258,'Stock Price'!$I$9)-1,"")</f>
        <v>-0.42531943657058136</v>
      </c>
    </row>
    <row r="57" spans="1:26" x14ac:dyDescent="0.2">
      <c r="A57" s="16">
        <f>'Stock Price'!A57</f>
        <v>44547</v>
      </c>
      <c r="B57" s="17">
        <f>'Stock Price'!E57</f>
        <v>75.69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-0.2889619539689996</v>
      </c>
      <c r="P57" s="19">
        <f ca="1">IF('Stock Price'!$I$11="OK",C57/INDEX(C$5:C$1258,'Stock Price'!$I$9)-1,"")</f>
        <v>-0.4001609643424282</v>
      </c>
      <c r="Q57" s="19">
        <f ca="1">IF('Stock Price'!$I$11="OK",D57/INDEX(D$5:D$1258,'Stock Price'!$I$9)-1,"")</f>
        <v>-0.39017380593951012</v>
      </c>
      <c r="R57" s="19">
        <f ca="1">IF('Stock Price'!$I$11="OK",E57/INDEX(E$5:E$1258,'Stock Price'!$I$9)-1,"")</f>
        <v>8.5532943784001558E-2</v>
      </c>
      <c r="S57" s="19">
        <f ca="1">IF('Stock Price'!$I$11="OK",F57/INDEX(F$5:F$1258,'Stock Price'!$I$9)-1,"")</f>
        <v>-5.0534499514092168E-3</v>
      </c>
      <c r="T57" s="19">
        <f ca="1">IF('Stock Price'!$I$11="OK",G57/INDEX(G$5:G$1258,'Stock Price'!$I$9)-1,"")</f>
        <v>1.3477088948787186E-2</v>
      </c>
      <c r="U57" s="19">
        <f ca="1">IF('Stock Price'!$I$11="OK",H57/INDEX(H$5:H$1258,'Stock Price'!$I$9)-1,"")</f>
        <v>0.22434210526315779</v>
      </c>
      <c r="V57" s="19">
        <f ca="1">IF('Stock Price'!$I$11="OK",I57/INDEX(I$5:I$1258,'Stock Price'!$I$9)-1,"")</f>
        <v>1.3621922160444795</v>
      </c>
      <c r="W57" s="19">
        <f ca="1">IF('Stock Price'!$I$11="OK",J57/INDEX(J$5:J$1258,'Stock Price'!$I$9)-1,"")</f>
        <v>-0.75247139842274791</v>
      </c>
      <c r="X57" s="19">
        <f ca="1">IF('Stock Price'!$I$11="OK",K57/INDEX(K$5:K$1258,'Stock Price'!$I$9)-1,"")</f>
        <v>0.1515151515151516</v>
      </c>
      <c r="Y57" s="19">
        <f ca="1">IF('Stock Price'!$I$11="OK",L57/INDEX(L$5:L$1258,'Stock Price'!$I$9)-1,"")</f>
        <v>-0.18866650590788525</v>
      </c>
      <c r="Z57" s="19">
        <f ca="1">IF('Stock Price'!$I$11="OK",M57/INDEX(M$5:M$1258,'Stock Price'!$I$9)-1,"")</f>
        <v>-0.43513148140072389</v>
      </c>
    </row>
    <row r="58" spans="1:26" x14ac:dyDescent="0.2">
      <c r="A58" s="16">
        <f>'Stock Price'!A58</f>
        <v>44550</v>
      </c>
      <c r="B58" s="17">
        <f>'Stock Price'!E58</f>
        <v>76.41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-0.28219821512447163</v>
      </c>
      <c r="P58" s="19">
        <f ca="1">IF('Stock Price'!$I$11="OK",C58/INDEX(C$5:C$1258,'Stock Price'!$I$9)-1,"")</f>
        <v>-0.40400173235166736</v>
      </c>
      <c r="Q58" s="19">
        <f ca="1">IF('Stock Price'!$I$11="OK",D58/INDEX(D$5:D$1258,'Stock Price'!$I$9)-1,"")</f>
        <v>-0.40024633912686469</v>
      </c>
      <c r="R58" s="19">
        <f ca="1">IF('Stock Price'!$I$11="OK",E58/INDEX(E$5:E$1258,'Stock Price'!$I$9)-1,"")</f>
        <v>8.4525488615756705E-2</v>
      </c>
      <c r="S58" s="19">
        <f ca="1">IF('Stock Price'!$I$11="OK",F58/INDEX(F$5:F$1258,'Stock Price'!$I$9)-1,"")</f>
        <v>-1.0884353741496655E-2</v>
      </c>
      <c r="T58" s="19">
        <f ca="1">IF('Stock Price'!$I$11="OK",G58/INDEX(G$5:G$1258,'Stock Price'!$I$9)-1,"")</f>
        <v>1.5343147418619196E-2</v>
      </c>
      <c r="U58" s="19">
        <f ca="1">IF('Stock Price'!$I$11="OK",H58/INDEX(H$5:H$1258,'Stock Price'!$I$9)-1,"")</f>
        <v>0.19355263157894731</v>
      </c>
      <c r="V58" s="19">
        <f ca="1">IF('Stock Price'!$I$11="OK",I58/INDEX(I$5:I$1258,'Stock Price'!$I$9)-1,"")</f>
        <v>1.4233518665607625</v>
      </c>
      <c r="W58" s="19">
        <f ca="1">IF('Stock Price'!$I$11="OK",J58/INDEX(J$5:J$1258,'Stock Price'!$I$9)-1,"")</f>
        <v>-0.75611833092672809</v>
      </c>
      <c r="X58" s="19">
        <f ca="1">IF('Stock Price'!$I$11="OK",K58/INDEX(K$5:K$1258,'Stock Price'!$I$9)-1,"")</f>
        <v>0.15450804339693214</v>
      </c>
      <c r="Y58" s="19">
        <f ca="1">IF('Stock Price'!$I$11="OK",L58/INDEX(L$5:L$1258,'Stock Price'!$I$9)-1,"")</f>
        <v>-0.19098143236074272</v>
      </c>
      <c r="Z58" s="19">
        <f ca="1">IF('Stock Price'!$I$11="OK",M58/INDEX(M$5:M$1258,'Stock Price'!$I$9)-1,"")</f>
        <v>-0.42933147267890626</v>
      </c>
    </row>
    <row r="59" spans="1:26" x14ac:dyDescent="0.2">
      <c r="A59" s="16">
        <f>'Stock Price'!A59</f>
        <v>44551</v>
      </c>
      <c r="B59" s="17">
        <f>'Stock Price'!E59</f>
        <v>75.540000000000006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-0.29037106622827613</v>
      </c>
      <c r="P59" s="19">
        <f ca="1">IF('Stock Price'!$I$11="OK",C59/INDEX(C$5:C$1258,'Stock Price'!$I$9)-1,"")</f>
        <v>-0.3995322650498051</v>
      </c>
      <c r="Q59" s="19">
        <f ca="1">IF('Stock Price'!$I$11="OK",D59/INDEX(D$5:D$1258,'Stock Price'!$I$9)-1,"")</f>
        <v>-0.36499247297112358</v>
      </c>
      <c r="R59" s="19">
        <f ca="1">IF('Stock Price'!$I$11="OK",E59/INDEX(E$5:E$1258,'Stock Price'!$I$9)-1,"")</f>
        <v>9.2081402377594213E-2</v>
      </c>
      <c r="S59" s="19">
        <f ca="1">IF('Stock Price'!$I$11="OK",F59/INDEX(F$5:F$1258,'Stock Price'!$I$9)-1,"")</f>
        <v>1.3605442176871652E-3</v>
      </c>
      <c r="T59" s="19">
        <f ca="1">IF('Stock Price'!$I$11="OK",G59/INDEX(G$5:G$1258,'Stock Price'!$I$9)-1,"")</f>
        <v>2.7576197387518153E-2</v>
      </c>
      <c r="U59" s="19">
        <f ca="1">IF('Stock Price'!$I$11="OK",H59/INDEX(H$5:H$1258,'Stock Price'!$I$9)-1,"")</f>
        <v>0.20013157894736833</v>
      </c>
      <c r="V59" s="19">
        <f ca="1">IF('Stock Price'!$I$11="OK",I59/INDEX(I$5:I$1258,'Stock Price'!$I$9)-1,"")</f>
        <v>1.341143764892772</v>
      </c>
      <c r="W59" s="19">
        <f ca="1">IF('Stock Price'!$I$11="OK",J59/INDEX(J$5:J$1258,'Stock Price'!$I$9)-1,"")</f>
        <v>-0.75482246658521235</v>
      </c>
      <c r="X59" s="19">
        <f ca="1">IF('Stock Price'!$I$11="OK",K59/INDEX(K$5:K$1258,'Stock Price'!$I$9)-1,"")</f>
        <v>0.14945753834642717</v>
      </c>
      <c r="Y59" s="19">
        <f ca="1">IF('Stock Price'!$I$11="OK",L59/INDEX(L$5:L$1258,'Stock Price'!$I$9)-1,"")</f>
        <v>-0.19358572462020729</v>
      </c>
      <c r="Z59" s="19">
        <f ca="1">IF('Stock Price'!$I$11="OK",M59/INDEX(M$5:M$1258,'Stock Price'!$I$9)-1,"")</f>
        <v>-0.43329989969909732</v>
      </c>
    </row>
    <row r="60" spans="1:26" x14ac:dyDescent="0.2">
      <c r="A60" s="16">
        <f>'Stock Price'!A60</f>
        <v>44552</v>
      </c>
      <c r="B60" s="17">
        <f>'Stock Price'!E60</f>
        <v>76.16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-0.28454673555659937</v>
      </c>
      <c r="P60" s="19">
        <f ca="1">IF('Stock Price'!$I$11="OK",C60/INDEX(C$5:C$1258,'Stock Price'!$I$9)-1,"")</f>
        <v>-0.39729753139887392</v>
      </c>
      <c r="Q60" s="19">
        <f ca="1">IF('Stock Price'!$I$11="OK",D60/INDEX(D$5:D$1258,'Stock Price'!$I$9)-1,"")</f>
        <v>-0.36570411933762148</v>
      </c>
      <c r="R60" s="19">
        <f ca="1">IF('Stock Price'!$I$11="OK",E60/INDEX(E$5:E$1258,'Stock Price'!$I$9)-1,"")</f>
        <v>0.10240781785210551</v>
      </c>
      <c r="S60" s="19">
        <f ca="1">IF('Stock Price'!$I$11="OK",F60/INDEX(F$5:F$1258,'Stock Price'!$I$9)-1,"")</f>
        <v>1.3605442176871652E-3</v>
      </c>
      <c r="T60" s="19">
        <f ca="1">IF('Stock Price'!$I$11="OK",G60/INDEX(G$5:G$1258,'Stock Price'!$I$9)-1,"")</f>
        <v>3.110097449720084E-2</v>
      </c>
      <c r="U60" s="19">
        <f ca="1">IF('Stock Price'!$I$11="OK",H60/INDEX(H$5:H$1258,'Stock Price'!$I$9)-1,"")</f>
        <v>0.20342105263157895</v>
      </c>
      <c r="V60" s="19">
        <f ca="1">IF('Stock Price'!$I$11="OK",I60/INDEX(I$5:I$1258,'Stock Price'!$I$9)-1,"")</f>
        <v>1.364972200158856</v>
      </c>
      <c r="W60" s="19">
        <f ca="1">IF('Stock Price'!$I$11="OK",J60/INDEX(J$5:J$1258,'Stock Price'!$I$9)-1,"")</f>
        <v>-0.75332296641860119</v>
      </c>
      <c r="X60" s="19">
        <f ca="1">IF('Stock Price'!$I$11="OK",K60/INDEX(K$5:K$1258,'Stock Price'!$I$9)-1,"")</f>
        <v>0.16161616161616155</v>
      </c>
      <c r="Y60" s="19">
        <f ca="1">IF('Stock Price'!$I$11="OK",L60/INDEX(L$5:L$1258,'Stock Price'!$I$9)-1,"")</f>
        <v>-0.19011333494092109</v>
      </c>
      <c r="Z60" s="19">
        <f ca="1">IF('Stock Price'!$I$11="OK",M60/INDEX(M$5:M$1258,'Stock Price'!$I$9)-1,"")</f>
        <v>-0.42414199119096418</v>
      </c>
    </row>
    <row r="61" spans="1:26" x14ac:dyDescent="0.2">
      <c r="A61" s="16">
        <f>'Stock Price'!A61</f>
        <v>44553</v>
      </c>
      <c r="B61" s="17">
        <f>'Stock Price'!E61</f>
        <v>75.73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-0.28858619069985902</v>
      </c>
      <c r="P61" s="19">
        <f ca="1">IF('Stock Price'!$I$11="OK",C61/INDEX(C$5:C$1258,'Stock Price'!$I$9)-1,"")</f>
        <v>-0.39485347192146669</v>
      </c>
      <c r="Q61" s="19">
        <f ca="1">IF('Stock Price'!$I$11="OK",D61/INDEX(D$5:D$1258,'Stock Price'!$I$9)-1,"")</f>
        <v>-0.3704666757903381</v>
      </c>
      <c r="R61" s="19">
        <f ca="1">IF('Stock Price'!$I$11="OK",E61/INDEX(E$5:E$1258,'Stock Price'!$I$9)-1,"")</f>
        <v>0.1021559540600443</v>
      </c>
      <c r="S61" s="19">
        <f ca="1">IF('Stock Price'!$I$11="OK",F61/INDEX(F$5:F$1258,'Stock Price'!$I$9)-1,"")</f>
        <v>-5.4421768707483276E-3</v>
      </c>
      <c r="T61" s="19">
        <f ca="1">IF('Stock Price'!$I$11="OK",G61/INDEX(G$5:G$1258,'Stock Price'!$I$9)-1,"")</f>
        <v>3.3174372797014406E-2</v>
      </c>
      <c r="U61" s="19">
        <f ca="1">IF('Stock Price'!$I$11="OK",H61/INDEX(H$5:H$1258,'Stock Price'!$I$9)-1,"")</f>
        <v>0.22697368421052633</v>
      </c>
      <c r="V61" s="19">
        <f ca="1">IF('Stock Price'!$I$11="OK",I61/INDEX(I$5:I$1258,'Stock Price'!$I$9)-1,"")</f>
        <v>1.3316123907863386</v>
      </c>
      <c r="W61" s="19">
        <f ca="1">IF('Stock Price'!$I$11="OK",J61/INDEX(J$5:J$1258,'Stock Price'!$I$9)-1,"")</f>
        <v>-0.74721389166574093</v>
      </c>
      <c r="X61" s="19">
        <f ca="1">IF('Stock Price'!$I$11="OK",K61/INDEX(K$5:K$1258,'Stock Price'!$I$9)-1,"")</f>
        <v>0.160680882903105</v>
      </c>
      <c r="Y61" s="19">
        <f ca="1">IF('Stock Price'!$I$11="OK",L61/INDEX(L$5:L$1258,'Stock Price'!$I$9)-1,"")</f>
        <v>-0.18857005063901611</v>
      </c>
      <c r="Z61" s="19">
        <f ca="1">IF('Stock Price'!$I$11="OK",M61/INDEX(M$5:M$1258,'Stock Price'!$I$9)-1,"")</f>
        <v>-0.41960664602503162</v>
      </c>
    </row>
    <row r="62" spans="1:26" x14ac:dyDescent="0.2">
      <c r="A62" s="16">
        <f>'Stock Price'!A62</f>
        <v>44557</v>
      </c>
      <c r="B62" s="17">
        <f>'Stock Price'!E62</f>
        <v>76.569999999999993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-0.2806951620479099</v>
      </c>
      <c r="P62" s="19">
        <f ca="1">IF('Stock Price'!$I$11="OK",C62/INDEX(C$5:C$1258,'Stock Price'!$I$9)-1,"")</f>
        <v>-0.38822000866175832</v>
      </c>
      <c r="Q62" s="19">
        <f ca="1">IF('Stock Price'!$I$11="OK",D62/INDEX(D$5:D$1258,'Stock Price'!$I$9)-1,"")</f>
        <v>-0.3704666757903381</v>
      </c>
      <c r="R62" s="19">
        <f ca="1">IF('Stock Price'!$I$11="OK",E62/INDEX(E$5:E$1258,'Stock Price'!$I$9)-1,"")</f>
        <v>0.11046745919806567</v>
      </c>
      <c r="S62" s="19">
        <f ca="1">IF('Stock Price'!$I$11="OK",F62/INDEX(F$5:F$1258,'Stock Price'!$I$9)-1,"")</f>
        <v>9.9125364431487117E-3</v>
      </c>
      <c r="T62" s="19">
        <f ca="1">IF('Stock Price'!$I$11="OK",G62/INDEX(G$5:G$1258,'Stock Price'!$I$9)-1,"")</f>
        <v>4.7066141405764039E-2</v>
      </c>
      <c r="U62" s="19">
        <f ca="1">IF('Stock Price'!$I$11="OK",H62/INDEX(H$5:H$1258,'Stock Price'!$I$9)-1,"")</f>
        <v>0.23921052631578954</v>
      </c>
      <c r="V62" s="19">
        <f ca="1">IF('Stock Price'!$I$11="OK",I62/INDEX(I$5:I$1258,'Stock Price'!$I$9)-1,"")</f>
        <v>1.3510722795869738</v>
      </c>
      <c r="W62" s="19">
        <f ca="1">IF('Stock Price'!$I$11="OK",J62/INDEX(J$5:J$1258,'Stock Price'!$I$9)-1,"")</f>
        <v>-0.74229886334184902</v>
      </c>
      <c r="X62" s="19">
        <f ca="1">IF('Stock Price'!$I$11="OK",K62/INDEX(K$5:K$1258,'Stock Price'!$I$9)-1,"")</f>
        <v>0.16517022072577614</v>
      </c>
      <c r="Y62" s="19">
        <f ca="1">IF('Stock Price'!$I$11="OK",L62/INDEX(L$5:L$1258,'Stock Price'!$I$9)-1,"")</f>
        <v>-0.18172172654931285</v>
      </c>
      <c r="Z62" s="19">
        <f ca="1">IF('Stock Price'!$I$11="OK",M62/INDEX(M$5:M$1258,'Stock Price'!$I$9)-1,"")</f>
        <v>-0.41385024639134793</v>
      </c>
    </row>
    <row r="63" spans="1:26" x14ac:dyDescent="0.2">
      <c r="A63" s="16">
        <f>'Stock Price'!A63</f>
        <v>44558</v>
      </c>
      <c r="B63" s="17">
        <f>'Stock Price'!E63</f>
        <v>76.81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-0.27844058243306713</v>
      </c>
      <c r="P63" s="19">
        <f ca="1">IF('Stock Price'!$I$11="OK",C63/INDEX(C$5:C$1258,'Stock Price'!$I$9)-1,"")</f>
        <v>-0.3845885664789952</v>
      </c>
      <c r="Q63" s="19">
        <f ca="1">IF('Stock Price'!$I$11="OK",D63/INDEX(D$5:D$1258,'Stock Price'!$I$9)-1,"")</f>
        <v>-0.35869713972902695</v>
      </c>
      <c r="R63" s="19">
        <f ca="1">IF('Stock Price'!$I$11="OK",E63/INDEX(E$5:E$1258,'Stock Price'!$I$9)-1,"")</f>
        <v>0.11097118678218809</v>
      </c>
      <c r="S63" s="19">
        <f ca="1">IF('Stock Price'!$I$11="OK",F63/INDEX(F$5:F$1258,'Stock Price'!$I$9)-1,"")</f>
        <v>1.6520894071914372E-2</v>
      </c>
      <c r="T63" s="19">
        <f ca="1">IF('Stock Price'!$I$11="OK",G63/INDEX(G$5:G$1258,'Stock Price'!$I$9)-1,"")</f>
        <v>4.0638606676342448E-2</v>
      </c>
      <c r="U63" s="19">
        <f ca="1">IF('Stock Price'!$I$11="OK",H63/INDEX(H$5:H$1258,'Stock Price'!$I$9)-1,"")</f>
        <v>0.24078947368421044</v>
      </c>
      <c r="V63" s="19">
        <f ca="1">IF('Stock Price'!$I$11="OK",I63/INDEX(I$5:I$1258,'Stock Price'!$I$9)-1,"")</f>
        <v>1.3038125496425734</v>
      </c>
      <c r="W63" s="19">
        <f ca="1">IF('Stock Price'!$I$11="OK",J63/INDEX(J$5:J$1258,'Stock Price'!$I$9)-1,"")</f>
        <v>-0.7441315857677071</v>
      </c>
      <c r="X63" s="19">
        <f ca="1">IF('Stock Price'!$I$11="OK",K63/INDEX(K$5:K$1258,'Stock Price'!$I$9)-1,"")</f>
        <v>0.16629255518144404</v>
      </c>
      <c r="Y63" s="19">
        <f ca="1">IF('Stock Price'!$I$11="OK",L63/INDEX(L$5:L$1258,'Stock Price'!$I$9)-1,"")</f>
        <v>-0.17844224740776471</v>
      </c>
      <c r="Z63" s="19">
        <f ca="1">IF('Stock Price'!$I$11="OK",M63/INDEX(M$5:M$1258,'Stock Price'!$I$9)-1,"")</f>
        <v>-0.41393746456761593</v>
      </c>
    </row>
    <row r="64" spans="1:26" x14ac:dyDescent="0.2">
      <c r="A64" s="16">
        <f>'Stock Price'!A64</f>
        <v>44559</v>
      </c>
      <c r="B64" s="17">
        <f>'Stock Price'!E64</f>
        <v>76.95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-0.27712541099107557</v>
      </c>
      <c r="P64" s="19">
        <f ca="1">IF('Stock Price'!$I$11="OK",C64/INDEX(C$5:C$1258,'Stock Price'!$I$9)-1,"")</f>
        <v>-0.3846585823588855</v>
      </c>
      <c r="Q64" s="19">
        <f ca="1">IF('Stock Price'!$I$11="OK",D64/INDEX(D$5:D$1258,'Stock Price'!$I$9)-1,"")</f>
        <v>-0.3642808266046258</v>
      </c>
      <c r="R64" s="19">
        <f ca="1">IF('Stock Price'!$I$11="OK",E64/INDEX(E$5:E$1258,'Stock Price'!$I$9)-1,"")</f>
        <v>0.11928269192020946</v>
      </c>
      <c r="S64" s="19">
        <f ca="1">IF('Stock Price'!$I$11="OK",F64/INDEX(F$5:F$1258,'Stock Price'!$I$9)-1,"")</f>
        <v>1.6520894071914372E-2</v>
      </c>
      <c r="T64" s="19">
        <f ca="1">IF('Stock Price'!$I$11="OK",G64/INDEX(G$5:G$1258,'Stock Price'!$I$9)-1,"")</f>
        <v>4.665146174580137E-2</v>
      </c>
      <c r="U64" s="19">
        <f ca="1">IF('Stock Price'!$I$11="OK",H64/INDEX(H$5:H$1258,'Stock Price'!$I$9)-1,"")</f>
        <v>0.23552631578947381</v>
      </c>
      <c r="V64" s="19">
        <f ca="1">IF('Stock Price'!$I$11="OK",I64/INDEX(I$5:I$1258,'Stock Price'!$I$9)-1,"")</f>
        <v>1.2867355043685462</v>
      </c>
      <c r="W64" s="19">
        <f ca="1">IF('Stock Price'!$I$11="OK",J64/INDEX(J$5:J$1258,'Stock Price'!$I$9)-1,"")</f>
        <v>-0.74228960716798098</v>
      </c>
      <c r="X64" s="19">
        <f ca="1">IF('Stock Price'!$I$11="OK",K64/INDEX(K$5:K$1258,'Stock Price'!$I$9)-1,"")</f>
        <v>0.16517022072577614</v>
      </c>
      <c r="Y64" s="19">
        <f ca="1">IF('Stock Price'!$I$11="OK",L64/INDEX(L$5:L$1258,'Stock Price'!$I$9)-1,"")</f>
        <v>-0.17265493127562082</v>
      </c>
      <c r="Z64" s="19">
        <f ca="1">IF('Stock Price'!$I$11="OK",M64/INDEX(M$5:M$1258,'Stock Price'!$I$9)-1,"")</f>
        <v>-0.40970738301862097</v>
      </c>
    </row>
    <row r="65" spans="1:26" x14ac:dyDescent="0.2">
      <c r="A65" s="16">
        <f>'Stock Price'!A65</f>
        <v>44560</v>
      </c>
      <c r="B65" s="17">
        <f>'Stock Price'!E65</f>
        <v>77.14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-0.27534053546265858</v>
      </c>
      <c r="P65" s="19">
        <f ca="1">IF('Stock Price'!$I$11="OK",C65/INDEX(C$5:C$1258,'Stock Price'!$I$9)-1,"")</f>
        <v>-0.38926735960733361</v>
      </c>
      <c r="Q65" s="19">
        <f ca="1">IF('Stock Price'!$I$11="OK",D65/INDEX(D$5:D$1258,'Stock Price'!$I$9)-1,"")</f>
        <v>-0.35404406733269467</v>
      </c>
      <c r="R65" s="19">
        <f ca="1">IF('Stock Price'!$I$11="OK",E65/INDEX(E$5:E$1258,'Stock Price'!$I$9)-1,"")</f>
        <v>0.1112230505742493</v>
      </c>
      <c r="S65" s="19">
        <f ca="1">IF('Stock Price'!$I$11="OK",F65/INDEX(F$5:F$1258,'Stock Price'!$I$9)-1,"")</f>
        <v>4.0816326530610514E-3</v>
      </c>
      <c r="T65" s="19">
        <f ca="1">IF('Stock Price'!$I$11="OK",G65/INDEX(G$5:G$1258,'Stock Price'!$I$9)-1,"")</f>
        <v>4.5407422765913363E-2</v>
      </c>
      <c r="U65" s="19">
        <f ca="1">IF('Stock Price'!$I$11="OK",H65/INDEX(H$5:H$1258,'Stock Price'!$I$9)-1,"")</f>
        <v>0.23684210526315796</v>
      </c>
      <c r="V65" s="19">
        <f ca="1">IF('Stock Price'!$I$11="OK",I65/INDEX(I$5:I$1258,'Stock Price'!$I$9)-1,"")</f>
        <v>1.3193010325655283</v>
      </c>
      <c r="W65" s="19">
        <f ca="1">IF('Stock Price'!$I$11="OK",J65/INDEX(J$5:J$1258,'Stock Price'!$I$9)-1,"")</f>
        <v>-0.74337257951053348</v>
      </c>
      <c r="X65" s="19">
        <f ca="1">IF('Stock Price'!$I$11="OK",K65/INDEX(K$5:K$1258,'Stock Price'!$I$9)-1,"")</f>
        <v>0.16947250280583614</v>
      </c>
      <c r="Y65" s="19">
        <f ca="1">IF('Stock Price'!$I$11="OK",L65/INDEX(L$5:L$1258,'Stock Price'!$I$9)-1,"")</f>
        <v>-0.16898963105859655</v>
      </c>
      <c r="Z65" s="19">
        <f ca="1">IF('Stock Price'!$I$11="OK",M65/INDEX(M$5:M$1258,'Stock Price'!$I$9)-1,"")</f>
        <v>-0.40722166499498491</v>
      </c>
    </row>
    <row r="66" spans="1:26" x14ac:dyDescent="0.2">
      <c r="A66" s="16">
        <f>'Stock Price'!A66</f>
        <v>44561</v>
      </c>
      <c r="B66" s="17">
        <f>'Stock Price'!E66</f>
        <v>76.64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-0.28003757632691406</v>
      </c>
      <c r="P66" s="19">
        <f ca="1">IF('Stock Price'!$I$11="OK",C66/INDEX(C$5:C$1258,'Stock Price'!$I$9)-1,"")</f>
        <v>-0.3891973437274433</v>
      </c>
      <c r="Q66" s="19">
        <f ca="1">IF('Stock Price'!$I$11="OK",D66/INDEX(D$5:D$1258,'Stock Price'!$I$9)-1,"")</f>
        <v>-0.36581305597372393</v>
      </c>
      <c r="R66" s="19">
        <f ca="1">IF('Stock Price'!$I$11="OK",E66/INDEX(E$5:E$1258,'Stock Price'!$I$9)-1,"")</f>
        <v>0.11071932299012688</v>
      </c>
      <c r="S66" s="19">
        <f ca="1">IF('Stock Price'!$I$11="OK",F66/INDEX(F$5:F$1258,'Stock Price'!$I$9)-1,"")</f>
        <v>4.664723032069773E-3</v>
      </c>
      <c r="T66" s="19">
        <f ca="1">IF('Stock Price'!$I$11="OK",G66/INDEX(G$5:G$1258,'Stock Price'!$I$9)-1,"")</f>
        <v>3.877254820651066E-2</v>
      </c>
      <c r="U66" s="19">
        <f ca="1">IF('Stock Price'!$I$11="OK",H66/INDEX(H$5:H$1258,'Stock Price'!$I$9)-1,"")</f>
        <v>0.23684210526315796</v>
      </c>
      <c r="V66" s="19">
        <f ca="1">IF('Stock Price'!$I$11="OK",I66/INDEX(I$5:I$1258,'Stock Price'!$I$9)-1,"")</f>
        <v>1.3451151707704527</v>
      </c>
      <c r="W66" s="19">
        <f ca="1">IF('Stock Price'!$I$11="OK",J66/INDEX(J$5:J$1258,'Stock Price'!$I$9)-1,"")</f>
        <v>-0.74432596541893437</v>
      </c>
      <c r="X66" s="19">
        <f ca="1">IF('Stock Price'!$I$11="OK",K66/INDEX(K$5:K$1258,'Stock Price'!$I$9)-1,"")</f>
        <v>0.16629255518144404</v>
      </c>
      <c r="Y66" s="19">
        <f ca="1">IF('Stock Price'!$I$11="OK",L66/INDEX(L$5:L$1258,'Stock Price'!$I$9)-1,"")</f>
        <v>-0.1749698577284784</v>
      </c>
      <c r="Z66" s="19">
        <f ca="1">IF('Stock Price'!$I$11="OK",M66/INDEX(M$5:M$1258,'Stock Price'!$I$9)-1,"")</f>
        <v>-0.4095329466660852</v>
      </c>
    </row>
    <row r="67" spans="1:26" x14ac:dyDescent="0.2">
      <c r="A67" s="16">
        <f>'Stock Price'!A67</f>
        <v>44564</v>
      </c>
      <c r="B67" s="17">
        <f>'Stock Price'!E67</f>
        <v>76.87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-0.27787693752935649</v>
      </c>
      <c r="P67" s="19">
        <f ca="1">IF('Stock Price'!$I$11="OK",C67/INDEX(C$5:C$1258,'Stock Price'!$I$9)-1,"")</f>
        <v>-0.38640392666377943</v>
      </c>
      <c r="Q67" s="19">
        <f ca="1">IF('Stock Price'!$I$11="OK",D67/INDEX(D$5:D$1258,'Stock Price'!$I$9)-1,"")</f>
        <v>-0.36616942657725471</v>
      </c>
      <c r="R67" s="19">
        <f ca="1">IF('Stock Price'!$I$11="OK",E67/INDEX(E$5:E$1258,'Stock Price'!$I$9)-1,"")</f>
        <v>9.9889179931492933E-2</v>
      </c>
      <c r="S67" s="19">
        <f ca="1">IF('Stock Price'!$I$11="OK",F67/INDEX(F$5:F$1258,'Stock Price'!$I$9)-1,"")</f>
        <v>4.0816326530610514E-3</v>
      </c>
      <c r="T67" s="19">
        <f ca="1">IF('Stock Price'!$I$11="OK",G67/INDEX(G$5:G$1258,'Stock Price'!$I$9)-1,"")</f>
        <v>5.1005598175409617E-2</v>
      </c>
      <c r="U67" s="19">
        <f ca="1">IF('Stock Price'!$I$11="OK",H67/INDEX(H$5:H$1258,'Stock Price'!$I$9)-1,"")</f>
        <v>0.25460526315789456</v>
      </c>
      <c r="V67" s="19">
        <f ca="1">IF('Stock Price'!$I$11="OK",I67/INDEX(I$5:I$1258,'Stock Price'!$I$9)-1,"")</f>
        <v>1.2498014297061157</v>
      </c>
      <c r="W67" s="19">
        <f ca="1">IF('Stock Price'!$I$11="OK",J67/INDEX(J$5:J$1258,'Stock Price'!$I$9)-1,"")</f>
        <v>-0.74848198748565287</v>
      </c>
      <c r="X67" s="19">
        <f ca="1">IF('Stock Price'!$I$11="OK",K67/INDEX(K$5:K$1258,'Stock Price'!$I$9)-1,"")</f>
        <v>0.15750093527871312</v>
      </c>
      <c r="Y67" s="19">
        <f ca="1">IF('Stock Price'!$I$11="OK",L67/INDEX(L$5:L$1258,'Stock Price'!$I$9)-1,"")</f>
        <v>-0.1727031589100555</v>
      </c>
      <c r="Z67" s="19">
        <f ca="1">IF('Stock Price'!$I$11="OK",M67/INDEX(M$5:M$1258,'Stock Price'!$I$9)-1,"")</f>
        <v>-0.40944572848981731</v>
      </c>
    </row>
    <row r="68" spans="1:26" x14ac:dyDescent="0.2">
      <c r="A68" s="16">
        <f>'Stock Price'!A68</f>
        <v>44565</v>
      </c>
      <c r="B68" s="17">
        <f>'Stock Price'!E68</f>
        <v>77.010000000000005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-0.27656176608736494</v>
      </c>
      <c r="P68" s="19">
        <f ca="1">IF('Stock Price'!$I$11="OK",C68/INDEX(C$5:C$1258,'Stock Price'!$I$9)-1,"")</f>
        <v>-0.3891973437274433</v>
      </c>
      <c r="Q68" s="19">
        <f ca="1">IF('Stock Price'!$I$11="OK",D68/INDEX(D$5:D$1258,'Stock Price'!$I$9)-1,"")</f>
        <v>-0.36685370192965661</v>
      </c>
      <c r="R68" s="19">
        <f ca="1">IF('Stock Price'!$I$11="OK",E68/INDEX(E$5:E$1258,'Stock Price'!$I$9)-1,"")</f>
        <v>9.6614950634696717E-2</v>
      </c>
      <c r="S68" s="19">
        <f ca="1">IF('Stock Price'!$I$11="OK",F68/INDEX(F$5:F$1258,'Stock Price'!$I$9)-1,"")</f>
        <v>-1.4188532555879596E-2</v>
      </c>
      <c r="T68" s="19">
        <f ca="1">IF('Stock Price'!$I$11="OK",G68/INDEX(G$5:G$1258,'Stock Price'!$I$9)-1,"")</f>
        <v>3.0686294837238393E-2</v>
      </c>
      <c r="U68" s="19">
        <f ca="1">IF('Stock Price'!$I$11="OK",H68/INDEX(H$5:H$1258,'Stock Price'!$I$9)-1,"")</f>
        <v>0.276842105263158</v>
      </c>
      <c r="V68" s="19">
        <f ca="1">IF('Stock Price'!$I$11="OK",I68/INDEX(I$5:I$1258,'Stock Price'!$I$9)-1,"")</f>
        <v>1.1656076250992853</v>
      </c>
      <c r="W68" s="19">
        <f ca="1">IF('Stock Price'!$I$11="OK",J68/INDEX(J$5:J$1258,'Stock Price'!$I$9)-1,"")</f>
        <v>-0.75303602502869404</v>
      </c>
      <c r="X68" s="19">
        <f ca="1">IF('Stock Price'!$I$11="OK",K68/INDEX(K$5:K$1258,'Stock Price'!$I$9)-1,"")</f>
        <v>0.16217732884399561</v>
      </c>
      <c r="Y68" s="19">
        <f ca="1">IF('Stock Price'!$I$11="OK",L68/INDEX(L$5:L$1258,'Stock Price'!$I$9)-1,"")</f>
        <v>-0.17492163009404382</v>
      </c>
      <c r="Z68" s="19">
        <f ca="1">IF('Stock Price'!$I$11="OK",M68/INDEX(M$5:M$1258,'Stock Price'!$I$9)-1,"")</f>
        <v>-0.41057956478130042</v>
      </c>
    </row>
    <row r="69" spans="1:26" x14ac:dyDescent="0.2">
      <c r="A69" s="16">
        <f>'Stock Price'!A69</f>
        <v>44566</v>
      </c>
      <c r="B69" s="17">
        <f>'Stock Price'!E69</f>
        <v>78.88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-0.25899483325504935</v>
      </c>
      <c r="P69" s="19">
        <f ca="1">IF('Stock Price'!$I$11="OK",C69/INDEX(C$5:C$1258,'Stock Price'!$I$9)-1,"")</f>
        <v>-0.3852872816515085</v>
      </c>
      <c r="Q69" s="19">
        <f ca="1">IF('Stock Price'!$I$11="OK",D69/INDEX(D$5:D$1258,'Stock Price'!$I$9)-1,"")</f>
        <v>-0.37867798001915975</v>
      </c>
      <c r="R69" s="19">
        <f ca="1">IF('Stock Price'!$I$11="OK",E69/INDEX(E$5:E$1258,'Stock Price'!$I$9)-1,"")</f>
        <v>9.8126133387064218E-2</v>
      </c>
      <c r="S69" s="19">
        <f ca="1">IF('Stock Price'!$I$11="OK",F69/INDEX(F$5:F$1258,'Stock Price'!$I$9)-1,"")</f>
        <v>-1.8658892128279869E-2</v>
      </c>
      <c r="T69" s="19">
        <f ca="1">IF('Stock Price'!$I$11="OK",G69/INDEX(G$5:G$1258,'Stock Price'!$I$9)-1,"")</f>
        <v>3.0893634667219727E-2</v>
      </c>
      <c r="U69" s="19">
        <f ca="1">IF('Stock Price'!$I$11="OK",H69/INDEX(H$5:H$1258,'Stock Price'!$I$9)-1,"")</f>
        <v>0.28381578947368413</v>
      </c>
      <c r="V69" s="19">
        <f ca="1">IF('Stock Price'!$I$11="OK",I69/INDEX(I$5:I$1258,'Stock Price'!$I$9)-1,"")</f>
        <v>1.209293089753773</v>
      </c>
      <c r="W69" s="19">
        <f ca="1">IF('Stock Price'!$I$11="OK",J69/INDEX(J$5:J$1258,'Stock Price'!$I$9)-1,"")</f>
        <v>-0.75873782813136359</v>
      </c>
      <c r="X69" s="19">
        <f ca="1">IF('Stock Price'!$I$11="OK",K69/INDEX(K$5:K$1258,'Stock Price'!$I$9)-1,"")</f>
        <v>0.16273849607182922</v>
      </c>
      <c r="Y69" s="19">
        <f ca="1">IF('Stock Price'!$I$11="OK",L69/INDEX(L$5:L$1258,'Stock Price'!$I$9)-1,"")</f>
        <v>-0.16942367976850736</v>
      </c>
      <c r="Z69" s="19">
        <f ca="1">IF('Stock Price'!$I$11="OK",M69/INDEX(M$5:M$1258,'Stock Price'!$I$9)-1,"")</f>
        <v>-0.40748331952378869</v>
      </c>
    </row>
    <row r="70" spans="1:26" x14ac:dyDescent="0.2">
      <c r="A70" s="16">
        <f>'Stock Price'!A70</f>
        <v>44567</v>
      </c>
      <c r="B70" s="17">
        <f>'Stock Price'!E70</f>
        <v>78.83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-0.2594645373414749</v>
      </c>
      <c r="P70" s="19">
        <f ca="1">IF('Stock Price'!$I$11="OK",C70/INDEX(C$5:C$1258,'Stock Price'!$I$9)-1,"")</f>
        <v>-0.3834711996535296</v>
      </c>
      <c r="Q70" s="19">
        <f ca="1">IF('Stock Price'!$I$11="OK",D70/INDEX(D$5:D$1258,'Stock Price'!$I$9)-1,"")</f>
        <v>-0.37210893663610234</v>
      </c>
      <c r="R70" s="19">
        <f ca="1">IF('Stock Price'!$I$11="OK",E70/INDEX(E$5:E$1258,'Stock Price'!$I$9)-1,"")</f>
        <v>9.2333266169655426E-2</v>
      </c>
      <c r="S70" s="19">
        <f ca="1">IF('Stock Price'!$I$11="OK",F70/INDEX(F$5:F$1258,'Stock Price'!$I$9)-1,"")</f>
        <v>-2.1574344023323588E-2</v>
      </c>
      <c r="T70" s="19">
        <f ca="1">IF('Stock Price'!$I$11="OK",G70/INDEX(G$5:G$1258,'Stock Price'!$I$9)-1,"")</f>
        <v>2.8405556707443491E-2</v>
      </c>
      <c r="U70" s="19">
        <f ca="1">IF('Stock Price'!$I$11="OK",H70/INDEX(H$5:H$1258,'Stock Price'!$I$9)-1,"")</f>
        <v>0.27184210526315788</v>
      </c>
      <c r="V70" s="19">
        <f ca="1">IF('Stock Price'!$I$11="OK",I70/INDEX(I$5:I$1258,'Stock Price'!$I$9)-1,"")</f>
        <v>1.1779189833200956</v>
      </c>
      <c r="W70" s="19">
        <f ca="1">IF('Stock Price'!$I$11="OK",J70/INDEX(J$5:J$1258,'Stock Price'!$I$9)-1,"")</f>
        <v>-0.75995964308193564</v>
      </c>
      <c r="X70" s="19">
        <f ca="1">IF('Stock Price'!$I$11="OK",K70/INDEX(K$5:K$1258,'Stock Price'!$I$9)-1,"")</f>
        <v>0.150018705574261</v>
      </c>
      <c r="Y70" s="19">
        <f ca="1">IF('Stock Price'!$I$11="OK",L70/INDEX(L$5:L$1258,'Stock Price'!$I$9)-1,"")</f>
        <v>-0.17226911020014468</v>
      </c>
      <c r="Z70" s="19">
        <f ca="1">IF('Stock Price'!$I$11="OK",M70/INDEX(M$5:M$1258,'Stock Price'!$I$9)-1,"")</f>
        <v>-0.4102743011643627</v>
      </c>
    </row>
    <row r="71" spans="1:26" x14ac:dyDescent="0.2">
      <c r="A71" s="16">
        <f>'Stock Price'!A71</f>
        <v>44568</v>
      </c>
      <c r="B71" s="17">
        <f>'Stock Price'!E71</f>
        <v>80.3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-0.2456552372005637</v>
      </c>
      <c r="P71" s="19">
        <f ca="1">IF('Stock Price'!$I$11="OK",C71/INDEX(C$5:C$1258,'Stock Price'!$I$9)-1,"")</f>
        <v>-0.37634906886097874</v>
      </c>
      <c r="Q71" s="19">
        <f ca="1">IF('Stock Price'!$I$11="OK",D71/INDEX(D$5:D$1258,'Stock Price'!$I$9)-1,"")</f>
        <v>-0.38289311618995481</v>
      </c>
      <c r="R71" s="19">
        <f ca="1">IF('Stock Price'!$I$11="OK",E71/INDEX(E$5:E$1258,'Stock Price'!$I$9)-1,"")</f>
        <v>0.10442272818859566</v>
      </c>
      <c r="S71" s="19">
        <f ca="1">IF('Stock Price'!$I$11="OK",F71/INDEX(F$5:F$1258,'Stock Price'!$I$9)-1,"")</f>
        <v>6.4139941690961599E-3</v>
      </c>
      <c r="T71" s="19">
        <f ca="1">IF('Stock Price'!$I$11="OK",G71/INDEX(G$5:G$1258,'Stock Price'!$I$9)-1,"")</f>
        <v>4.0638606676342448E-2</v>
      </c>
      <c r="U71" s="19">
        <f ca="1">IF('Stock Price'!$I$11="OK",H71/INDEX(H$5:H$1258,'Stock Price'!$I$9)-1,"")</f>
        <v>0.2839473684210525</v>
      </c>
      <c r="V71" s="19">
        <f ca="1">IF('Stock Price'!$I$11="OK",I71/INDEX(I$5:I$1258,'Stock Price'!$I$9)-1,"")</f>
        <v>1.2128673550436853</v>
      </c>
      <c r="W71" s="19">
        <f ca="1">IF('Stock Price'!$I$11="OK",J71/INDEX(J$5:J$1258,'Stock Price'!$I$9)-1,"")</f>
        <v>-0.75980228812618011</v>
      </c>
      <c r="X71" s="19">
        <f ca="1">IF('Stock Price'!$I$11="OK",K71/INDEX(K$5:K$1258,'Stock Price'!$I$9)-1,"")</f>
        <v>0.17527123082678631</v>
      </c>
      <c r="Y71" s="19">
        <f ca="1">IF('Stock Price'!$I$11="OK",L71/INDEX(L$5:L$1258,'Stock Price'!$I$9)-1,"")</f>
        <v>-0.16108029901133347</v>
      </c>
      <c r="Z71" s="19">
        <f ca="1">IF('Stock Price'!$I$11="OK",M71/INDEX(M$5:M$1258,'Stock Price'!$I$9)-1,"")</f>
        <v>-0.41180061924905154</v>
      </c>
    </row>
    <row r="72" spans="1:26" x14ac:dyDescent="0.2">
      <c r="A72" s="16">
        <f>'Stock Price'!A72</f>
        <v>44571</v>
      </c>
      <c r="B72" s="17">
        <f>'Stock Price'!E72</f>
        <v>82.37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-0.22620948802254581</v>
      </c>
      <c r="P72" s="19">
        <f ca="1">IF('Stock Price'!$I$11="OK",C72/INDEX(C$5:C$1258,'Stock Price'!$I$9)-1,"")</f>
        <v>-0.37097156056012703</v>
      </c>
      <c r="Q72" s="19">
        <f ca="1">IF('Stock Price'!$I$11="OK",D72/INDEX(D$5:D$1258,'Stock Price'!$I$9)-1,"")</f>
        <v>-0.37035719173395376</v>
      </c>
      <c r="R72" s="19">
        <f ca="1">IF('Stock Price'!$I$11="OK",E72/INDEX(E$5:E$1258,'Stock Price'!$I$9)-1,"")</f>
        <v>0.12935724360265954</v>
      </c>
      <c r="S72" s="19">
        <f ca="1">IF('Stock Price'!$I$11="OK",F72/INDEX(F$5:F$1258,'Stock Price'!$I$9)-1,"")</f>
        <v>-1.5160349854227428E-2</v>
      </c>
      <c r="T72" s="19">
        <f ca="1">IF('Stock Price'!$I$11="OK",G72/INDEX(G$5:G$1258,'Stock Price'!$I$9)-1,"")</f>
        <v>6.7800124403898154E-2</v>
      </c>
      <c r="U72" s="19">
        <f ca="1">IF('Stock Price'!$I$11="OK",H72/INDEX(H$5:H$1258,'Stock Price'!$I$9)-1,"")</f>
        <v>0.31684210526315781</v>
      </c>
      <c r="V72" s="19">
        <f ca="1">IF('Stock Price'!$I$11="OK",I72/INDEX(I$5:I$1258,'Stock Price'!$I$9)-1,"")</f>
        <v>1.2335186656076251</v>
      </c>
      <c r="W72" s="19">
        <f ca="1">IF('Stock Price'!$I$11="OK",J72/INDEX(J$5:J$1258,'Stock Price'!$I$9)-1,"")</f>
        <v>-0.75923766152023398</v>
      </c>
      <c r="X72" s="19">
        <f ca="1">IF('Stock Price'!$I$11="OK",K72/INDEX(K$5:K$1258,'Stock Price'!$I$9)-1,"")</f>
        <v>0.21773288439955096</v>
      </c>
      <c r="Y72" s="19">
        <f ca="1">IF('Stock Price'!$I$11="OK",L72/INDEX(L$5:L$1258,'Stock Price'!$I$9)-1,"")</f>
        <v>-0.16522787557270313</v>
      </c>
      <c r="Z72" s="19">
        <f ca="1">IF('Stock Price'!$I$11="OK",M72/INDEX(M$5:M$1258,'Stock Price'!$I$9)-1,"")</f>
        <v>-0.40521564694082257</v>
      </c>
    </row>
    <row r="73" spans="1:26" x14ac:dyDescent="0.2">
      <c r="A73" s="16">
        <f>'Stock Price'!A73</f>
        <v>44572</v>
      </c>
      <c r="B73" s="17">
        <f>'Stock Price'!E73</f>
        <v>81.67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-0.23278534523250349</v>
      </c>
      <c r="P73" s="19">
        <f ca="1">IF('Stock Price'!$I$11="OK",C73/INDEX(C$5:C$1258,'Stock Price'!$I$9)-1,"")</f>
        <v>-0.37243828497184917</v>
      </c>
      <c r="Q73" s="19">
        <f ca="1">IF('Stock Price'!$I$11="OK",D73/INDEX(D$5:D$1258,'Stock Price'!$I$9)-1,"")</f>
        <v>-0.36767483235253873</v>
      </c>
      <c r="R73" s="19">
        <f ca="1">IF('Stock Price'!$I$11="OK",E73/INDEX(E$5:E$1258,'Stock Price'!$I$9)-1,"")</f>
        <v>0.1343945194438847</v>
      </c>
      <c r="S73" s="19">
        <f ca="1">IF('Stock Price'!$I$11="OK",F73/INDEX(F$5:F$1258,'Stock Price'!$I$9)-1,"")</f>
        <v>-8.5519922254616576E-3</v>
      </c>
      <c r="T73" s="19">
        <f ca="1">IF('Stock Price'!$I$11="OK",G73/INDEX(G$5:G$1258,'Stock Price'!$I$9)-1,"")</f>
        <v>6.5934065934065922E-2</v>
      </c>
      <c r="U73" s="19">
        <f ca="1">IF('Stock Price'!$I$11="OK",H73/INDEX(H$5:H$1258,'Stock Price'!$I$9)-1,"")</f>
        <v>0.34999999999999987</v>
      </c>
      <c r="V73" s="19">
        <f ca="1">IF('Stock Price'!$I$11="OK",I73/INDEX(I$5:I$1258,'Stock Price'!$I$9)-1,"")</f>
        <v>1.251389992057188</v>
      </c>
      <c r="W73" s="19">
        <f ca="1">IF('Stock Price'!$I$11="OK",J73/INDEX(J$5:J$1258,'Stock Price'!$I$9)-1,"")</f>
        <v>-0.75719204709541266</v>
      </c>
      <c r="X73" s="19">
        <f ca="1">IF('Stock Price'!$I$11="OK",K73/INDEX(K$5:K$1258,'Stock Price'!$I$9)-1,"")</f>
        <v>0.22484100261878037</v>
      </c>
      <c r="Y73" s="19">
        <f ca="1">IF('Stock Price'!$I$11="OK",L73/INDEX(L$5:L$1258,'Stock Price'!$I$9)-1,"")</f>
        <v>-0.17410176030865687</v>
      </c>
      <c r="Z73" s="19">
        <f ca="1">IF('Stock Price'!$I$11="OK",M73/INDEX(M$5:M$1258,'Stock Price'!$I$9)-1,"")</f>
        <v>-0.40268631982905234</v>
      </c>
    </row>
    <row r="74" spans="1:26" x14ac:dyDescent="0.2">
      <c r="A74" s="16">
        <f>'Stock Price'!A74</f>
        <v>44573</v>
      </c>
      <c r="B74" s="17">
        <f>'Stock Price'!E74</f>
        <v>81.2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-0.23720056364490372</v>
      </c>
      <c r="P74" s="19">
        <f ca="1">IF('Stock Price'!$I$11="OK",C74/INDEX(C$5:C$1258,'Stock Price'!$I$9)-1,"")</f>
        <v>-0.37299696838458207</v>
      </c>
      <c r="Q74" s="19">
        <f ca="1">IF('Stock Price'!$I$11="OK",D74/INDEX(D$5:D$1258,'Stock Price'!$I$9)-1,"")</f>
        <v>-0.36871493088818952</v>
      </c>
      <c r="R74" s="19">
        <f ca="1">IF('Stock Price'!$I$11="OK",E74/INDEX(E$5:E$1258,'Stock Price'!$I$9)-1,"")</f>
        <v>0.13943179528510963</v>
      </c>
      <c r="S74" s="19">
        <f ca="1">IF('Stock Price'!$I$11="OK",F74/INDEX(F$5:F$1258,'Stock Price'!$I$9)-1,"")</f>
        <v>-2.6239067055393583E-2</v>
      </c>
      <c r="T74" s="19">
        <f ca="1">IF('Stock Price'!$I$11="OK",G74/INDEX(G$5:G$1258,'Stock Price'!$I$9)-1,"")</f>
        <v>6.8007464233879267E-2</v>
      </c>
      <c r="U74" s="19">
        <f ca="1">IF('Stock Price'!$I$11="OK",H74/INDEX(H$5:H$1258,'Stock Price'!$I$9)-1,"")</f>
        <v>0.34578947368421065</v>
      </c>
      <c r="V74" s="19">
        <f ca="1">IF('Stock Price'!$I$11="OK",I74/INDEX(I$5:I$1258,'Stock Price'!$I$9)-1,"")</f>
        <v>1.2498014297061157</v>
      </c>
      <c r="W74" s="19">
        <f ca="1">IF('Stock Price'!$I$11="OK",J74/INDEX(J$5:J$1258,'Stock Price'!$I$9)-1,"")</f>
        <v>-0.76311599837091337</v>
      </c>
      <c r="X74" s="19">
        <f ca="1">IF('Stock Price'!$I$11="OK",K74/INDEX(K$5:K$1258,'Stock Price'!$I$9)-1,"")</f>
        <v>0.21249532360643464</v>
      </c>
      <c r="Y74" s="19">
        <f ca="1">IF('Stock Price'!$I$11="OK",L74/INDEX(L$5:L$1258,'Stock Price'!$I$9)-1,"")</f>
        <v>-0.18114299493609842</v>
      </c>
      <c r="Z74" s="19">
        <f ca="1">IF('Stock Price'!$I$11="OK",M74/INDEX(M$5:M$1258,'Stock Price'!$I$9)-1,"")</f>
        <v>-0.40129082900876545</v>
      </c>
    </row>
    <row r="75" spans="1:26" x14ac:dyDescent="0.2">
      <c r="A75" s="16">
        <f>'Stock Price'!A75</f>
        <v>44574</v>
      </c>
      <c r="B75" s="17">
        <f>'Stock Price'!E75</f>
        <v>81.319999999999993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-0.23607327383748244</v>
      </c>
      <c r="P75" s="19">
        <f ca="1">IF('Stock Price'!$I$11="OK",C75/INDEX(C$5:C$1258,'Stock Price'!$I$9)-1,"")</f>
        <v>-0.36720080843077807</v>
      </c>
      <c r="Q75" s="19">
        <f ca="1">IF('Stock Price'!$I$11="OK",D75/INDEX(D$5:D$1258,'Stock Price'!$I$9)-1,"")</f>
        <v>-0.35842342958806628</v>
      </c>
      <c r="R75" s="19">
        <f ca="1">IF('Stock Price'!$I$11="OK",E75/INDEX(E$5:E$1258,'Stock Price'!$I$9)-1,"")</f>
        <v>0.13489824702800735</v>
      </c>
      <c r="S75" s="19">
        <f ca="1">IF('Stock Price'!$I$11="OK",F75/INDEX(F$5:F$1258,'Stock Price'!$I$9)-1,"")</f>
        <v>-3.8289601554907793E-2</v>
      </c>
      <c r="T75" s="19">
        <f ca="1">IF('Stock Price'!$I$11="OK",G75/INDEX(G$5:G$1258,'Stock Price'!$I$9)-1,"")</f>
        <v>5.1834957495334955E-2</v>
      </c>
      <c r="U75" s="19">
        <f ca="1">IF('Stock Price'!$I$11="OK",H75/INDEX(H$5:H$1258,'Stock Price'!$I$9)-1,"")</f>
        <v>0.34368421052631581</v>
      </c>
      <c r="V75" s="19">
        <f ca="1">IF('Stock Price'!$I$11="OK",I75/INDEX(I$5:I$1258,'Stock Price'!$I$9)-1,"")</f>
        <v>1.2057188244638604</v>
      </c>
      <c r="W75" s="19">
        <f ca="1">IF('Stock Price'!$I$11="OK",J75/INDEX(J$5:J$1258,'Stock Price'!$I$9)-1,"")</f>
        <v>-0.76890110703839465</v>
      </c>
      <c r="X75" s="19">
        <f ca="1">IF('Stock Price'!$I$11="OK",K75/INDEX(K$5:K$1258,'Stock Price'!$I$9)-1,"")</f>
        <v>0.20838009726898599</v>
      </c>
      <c r="Y75" s="19">
        <f ca="1">IF('Stock Price'!$I$11="OK",L75/INDEX(L$5:L$1258,'Stock Price'!$I$9)-1,"")</f>
        <v>-0.18611044128285514</v>
      </c>
      <c r="Z75" s="19">
        <f ca="1">IF('Stock Price'!$I$11="OK",M75/INDEX(M$5:M$1258,'Stock Price'!$I$9)-1,"")</f>
        <v>-0.417731455235271</v>
      </c>
    </row>
    <row r="76" spans="1:26" x14ac:dyDescent="0.2">
      <c r="A76" s="16">
        <f>'Stock Price'!A76</f>
        <v>44575</v>
      </c>
      <c r="B76" s="17">
        <f>'Stock Price'!E76</f>
        <v>81.38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-0.23550962893377181</v>
      </c>
      <c r="P76" s="19">
        <f ca="1">IF('Stock Price'!$I$11="OK",C76/INDEX(C$5:C$1258,'Stock Price'!$I$9)-1,"")</f>
        <v>-0.36768947596362056</v>
      </c>
      <c r="Q76" s="19">
        <f ca="1">IF('Stock Price'!$I$11="OK",D76/INDEX(D$5:D$1258,'Stock Price'!$I$9)-1,"")</f>
        <v>-0.35349664705077333</v>
      </c>
      <c r="R76" s="19">
        <f ca="1">IF('Stock Price'!$I$11="OK",E76/INDEX(E$5:E$1258,'Stock Price'!$I$9)-1,"")</f>
        <v>0.14522466250251864</v>
      </c>
      <c r="S76" s="19">
        <f ca="1">IF('Stock Price'!$I$11="OK",F76/INDEX(F$5:F$1258,'Stock Price'!$I$9)-1,"")</f>
        <v>-2.2351797862002032E-2</v>
      </c>
      <c r="T76" s="19">
        <f ca="1">IF('Stock Price'!$I$11="OK",G76/INDEX(G$5:G$1258,'Stock Price'!$I$9)-1,"")</f>
        <v>7.6715737093095537E-2</v>
      </c>
      <c r="U76" s="19">
        <f ca="1">IF('Stock Price'!$I$11="OK",H76/INDEX(H$5:H$1258,'Stock Price'!$I$9)-1,"")</f>
        <v>0.38394736842105281</v>
      </c>
      <c r="V76" s="19">
        <f ca="1">IF('Stock Price'!$I$11="OK",I76/INDEX(I$5:I$1258,'Stock Price'!$I$9)-1,"")</f>
        <v>1.1822875297855444</v>
      </c>
      <c r="W76" s="19">
        <f ca="1">IF('Stock Price'!$I$11="OK",J76/INDEX(J$5:J$1258,'Stock Price'!$I$9)-1,"")</f>
        <v>-0.77403828353511783</v>
      </c>
      <c r="X76" s="19">
        <f ca="1">IF('Stock Price'!$I$11="OK",K76/INDEX(K$5:K$1258,'Stock Price'!$I$9)-1,"")</f>
        <v>0.21455293677515908</v>
      </c>
      <c r="Y76" s="19">
        <f ca="1">IF('Stock Price'!$I$11="OK",L76/INDEX(L$5:L$1258,'Stock Price'!$I$9)-1,"")</f>
        <v>-0.1905473836508319</v>
      </c>
      <c r="Z76" s="19">
        <f ca="1">IF('Stock Price'!$I$11="OK",M76/INDEX(M$5:M$1258,'Stock Price'!$I$9)-1,"")</f>
        <v>-0.40748331952378869</v>
      </c>
    </row>
    <row r="77" spans="1:26" x14ac:dyDescent="0.2">
      <c r="A77" s="16">
        <f>'Stock Price'!A77</f>
        <v>44579</v>
      </c>
      <c r="B77" s="17">
        <f>'Stock Price'!E77</f>
        <v>81.540000000000006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-0.23400657585720996</v>
      </c>
      <c r="P77" s="19">
        <f ca="1">IF('Stock Price'!$I$11="OK",C77/INDEX(C$5:C$1258,'Stock Price'!$I$9)-1,"")</f>
        <v>-0.374742312689476</v>
      </c>
      <c r="Q77" s="19">
        <f ca="1">IF('Stock Price'!$I$11="OK",D77/INDEX(D$5:D$1258,'Stock Price'!$I$9)-1,"")</f>
        <v>-0.34856986451348027</v>
      </c>
      <c r="R77" s="19">
        <f ca="1">IF('Stock Price'!$I$11="OK",E77/INDEX(E$5:E$1258,'Stock Price'!$I$9)-1,"")</f>
        <v>0.17922627443078776</v>
      </c>
      <c r="S77" s="19">
        <f ca="1">IF('Stock Price'!$I$11="OK",F77/INDEX(F$5:F$1258,'Stock Price'!$I$9)-1,"")</f>
        <v>-2.7599611273080638E-2</v>
      </c>
      <c r="T77" s="19">
        <f ca="1">IF('Stock Price'!$I$11="OK",G77/INDEX(G$5:G$1258,'Stock Price'!$I$9)-1,"")</f>
        <v>8.1691893012647787E-2</v>
      </c>
      <c r="U77" s="19">
        <f ca="1">IF('Stock Price'!$I$11="OK",H77/INDEX(H$5:H$1258,'Stock Price'!$I$9)-1,"")</f>
        <v>0.37000000000000011</v>
      </c>
      <c r="V77" s="19">
        <f ca="1">IF('Stock Price'!$I$11="OK",I77/INDEX(I$5:I$1258,'Stock Price'!$I$9)-1,"")</f>
        <v>1.1489277204130262</v>
      </c>
      <c r="W77" s="19">
        <f ca="1">IF('Stock Price'!$I$11="OK",J77/INDEX(J$5:J$1258,'Stock Price'!$I$9)-1,"")</f>
        <v>-0.7713077122440668</v>
      </c>
      <c r="X77" s="19">
        <f ca="1">IF('Stock Price'!$I$11="OK",K77/INDEX(K$5:K$1258,'Stock Price'!$I$9)-1,"")</f>
        <v>0.21380471380471389</v>
      </c>
      <c r="Y77" s="19">
        <f ca="1">IF('Stock Price'!$I$11="OK",L77/INDEX(L$5:L$1258,'Stock Price'!$I$9)-1,"")</f>
        <v>-0.19411622859898725</v>
      </c>
      <c r="Z77" s="19">
        <f ca="1">IF('Stock Price'!$I$11="OK",M77/INDEX(M$5:M$1258,'Stock Price'!$I$9)-1,"")</f>
        <v>-0.40351489250359773</v>
      </c>
    </row>
    <row r="78" spans="1:26" x14ac:dyDescent="0.2">
      <c r="A78" s="16">
        <f>'Stock Price'!A78</f>
        <v>44580</v>
      </c>
      <c r="B78" s="17">
        <f>'Stock Price'!E78</f>
        <v>81.290000000000006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-0.23635509628933771</v>
      </c>
      <c r="P78" s="19">
        <f ca="1">IF('Stock Price'!$I$11="OK",C78/INDEX(C$5:C$1258,'Stock Price'!$I$9)-1,"")</f>
        <v>-0.37956113757759491</v>
      </c>
      <c r="Q78" s="19">
        <f ca="1">IF('Stock Price'!$I$11="OK",D78/INDEX(D$5:D$1258,'Stock Price'!$I$9)-1,"")</f>
        <v>-0.34490214862460655</v>
      </c>
      <c r="R78" s="19">
        <f ca="1">IF('Stock Price'!$I$11="OK",E78/INDEX(E$5:E$1258,'Stock Price'!$I$9)-1,"")</f>
        <v>0.150765665927866</v>
      </c>
      <c r="S78" s="19">
        <f ca="1">IF('Stock Price'!$I$11="OK",F78/INDEX(F$5:F$1258,'Stock Price'!$I$9)-1,"")</f>
        <v>-2.7793974732750248E-2</v>
      </c>
      <c r="T78" s="19">
        <f ca="1">IF('Stock Price'!$I$11="OK",G78/INDEX(G$5:G$1258,'Stock Price'!$I$9)-1,"")</f>
        <v>7.9825834542815777E-2</v>
      </c>
      <c r="U78" s="19">
        <f ca="1">IF('Stock Price'!$I$11="OK",H78/INDEX(H$5:H$1258,'Stock Price'!$I$9)-1,"")</f>
        <v>0.37157894736842101</v>
      </c>
      <c r="V78" s="19">
        <f ca="1">IF('Stock Price'!$I$11="OK",I78/INDEX(I$5:I$1258,'Stock Price'!$I$9)-1,"")</f>
        <v>1.1262907069102464</v>
      </c>
      <c r="W78" s="19">
        <f ca="1">IF('Stock Price'!$I$11="OK",J78/INDEX(J$5:J$1258,'Stock Price'!$I$9)-1,"")</f>
        <v>-0.77317745936539672</v>
      </c>
      <c r="X78" s="19">
        <f ca="1">IF('Stock Price'!$I$11="OK",K78/INDEX(K$5:K$1258,'Stock Price'!$I$9)-1,"")</f>
        <v>0.21062476618032178</v>
      </c>
      <c r="Y78" s="19">
        <f ca="1">IF('Stock Price'!$I$11="OK",L78/INDEX(L$5:L$1258,'Stock Price'!$I$9)-1,"")</f>
        <v>-0.19662406558958279</v>
      </c>
      <c r="Z78" s="19">
        <f ca="1">IF('Stock Price'!$I$11="OK",M78/INDEX(M$5:M$1258,'Stock Price'!$I$9)-1,"")</f>
        <v>-0.41036151934063059</v>
      </c>
    </row>
    <row r="79" spans="1:26" x14ac:dyDescent="0.2">
      <c r="A79" s="16">
        <f>'Stock Price'!A79</f>
        <v>44581</v>
      </c>
      <c r="B79" s="17">
        <f>'Stock Price'!E79</f>
        <v>80.75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-0.24142790042273365</v>
      </c>
      <c r="P79" s="19">
        <f ca="1">IF('Stock Price'!$I$11="OK",C79/INDEX(C$5:C$1258,'Stock Price'!$I$9)-1,"")</f>
        <v>-0.38416991482604301</v>
      </c>
      <c r="Q79" s="19">
        <f ca="1">IF('Stock Price'!$I$11="OK",D79/INDEX(D$5:D$1258,'Stock Price'!$I$9)-1,"")</f>
        <v>-0.33647187628301634</v>
      </c>
      <c r="R79" s="19">
        <f ca="1">IF('Stock Price'!$I$11="OK",E79/INDEX(E$5:E$1258,'Stock Price'!$I$9)-1,"")</f>
        <v>0.13036469877090462</v>
      </c>
      <c r="S79" s="19">
        <f ca="1">IF('Stock Price'!$I$11="OK",F79/INDEX(F$5:F$1258,'Stock Price'!$I$9)-1,"")</f>
        <v>-3.9844509232264458E-2</v>
      </c>
      <c r="T79" s="19">
        <f ca="1">IF('Stock Price'!$I$11="OK",G79/INDEX(G$5:G$1258,'Stock Price'!$I$9)-1,"")</f>
        <v>8.0033174372797111E-2</v>
      </c>
      <c r="U79" s="19">
        <f ca="1">IF('Stock Price'!$I$11="OK",H79/INDEX(H$5:H$1258,'Stock Price'!$I$9)-1,"")</f>
        <v>0.38684210526315788</v>
      </c>
      <c r="V79" s="19">
        <f ca="1">IF('Stock Price'!$I$11="OK",I79/INDEX(I$5:I$1258,'Stock Price'!$I$9)-1,"")</f>
        <v>1.1465448768864177</v>
      </c>
      <c r="W79" s="19">
        <f ca="1">IF('Stock Price'!$I$11="OK",J79/INDEX(J$5:J$1258,'Stock Price'!$I$9)-1,"")</f>
        <v>-0.77495464474804687</v>
      </c>
      <c r="X79" s="19">
        <f ca="1">IF('Stock Price'!$I$11="OK",K79/INDEX(K$5:K$1258,'Stock Price'!$I$9)-1,"")</f>
        <v>0.2080059857837635</v>
      </c>
      <c r="Y79" s="19">
        <f ca="1">IF('Stock Price'!$I$11="OK",L79/INDEX(L$5:L$1258,'Stock Price'!$I$9)-1,"")</f>
        <v>-0.20303834096937545</v>
      </c>
      <c r="Z79" s="19">
        <f ca="1">IF('Stock Price'!$I$11="OK",M79/INDEX(M$5:M$1258,'Stock Price'!$I$9)-1,"")</f>
        <v>-0.41986830055383539</v>
      </c>
    </row>
    <row r="80" spans="1:26" x14ac:dyDescent="0.2">
      <c r="A80" s="16">
        <f>'Stock Price'!A80</f>
        <v>44582</v>
      </c>
      <c r="B80" s="17">
        <f>'Stock Price'!E80</f>
        <v>79.98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-0.24866134335368717</v>
      </c>
      <c r="P80" s="19">
        <f ca="1">IF('Stock Price'!$I$11="OK",C80/INDEX(C$5:C$1258,'Stock Price'!$I$9)-1,"")</f>
        <v>-0.39227010249747363</v>
      </c>
      <c r="Q80" s="19">
        <f ca="1">IF('Stock Price'!$I$11="OK",D80/INDEX(D$5:D$1258,'Stock Price'!$I$9)-1,"")</f>
        <v>-0.33860681538251003</v>
      </c>
      <c r="R80" s="19">
        <f ca="1">IF('Stock Price'!$I$11="OK",E80/INDEX(E$5:E$1258,'Stock Price'!$I$9)-1,"")</f>
        <v>0.1359057021962522</v>
      </c>
      <c r="S80" s="19">
        <f ca="1">IF('Stock Price'!$I$11="OK",F80/INDEX(F$5:F$1258,'Stock Price'!$I$9)-1,"")</f>
        <v>-4.5286686103012785E-2</v>
      </c>
      <c r="T80" s="19">
        <f ca="1">IF('Stock Price'!$I$11="OK",G80/INDEX(G$5:G$1258,'Stock Price'!$I$9)-1,"")</f>
        <v>6.2409288824383236E-2</v>
      </c>
      <c r="U80" s="19">
        <f ca="1">IF('Stock Price'!$I$11="OK",H80/INDEX(H$5:H$1258,'Stock Price'!$I$9)-1,"")</f>
        <v>0.35842105263157897</v>
      </c>
      <c r="V80" s="19">
        <f ca="1">IF('Stock Price'!$I$11="OK",I80/INDEX(I$5:I$1258,'Stock Price'!$I$9)-1,"")</f>
        <v>1.0965051628276408</v>
      </c>
      <c r="W80" s="19">
        <f ca="1">IF('Stock Price'!$I$11="OK",J80/INDEX(J$5:J$1258,'Stock Price'!$I$9)-1,"")</f>
        <v>-0.77501943796512274</v>
      </c>
      <c r="X80" s="19">
        <f ca="1">IF('Stock Price'!$I$11="OK",K80/INDEX(K$5:K$1258,'Stock Price'!$I$9)-1,"")</f>
        <v>0.18855218855218858</v>
      </c>
      <c r="Y80" s="19">
        <f ca="1">IF('Stock Price'!$I$11="OK",L80/INDEX(L$5:L$1258,'Stock Price'!$I$9)-1,"")</f>
        <v>-0.20487099107788753</v>
      </c>
      <c r="Z80" s="19">
        <f ca="1">IF('Stock Price'!$I$11="OK",M80/INDEX(M$5:M$1258,'Stock Price'!$I$9)-1,"")</f>
        <v>-0.42444725480790202</v>
      </c>
    </row>
    <row r="81" spans="1:26" x14ac:dyDescent="0.2">
      <c r="A81" s="16">
        <f>'Stock Price'!A81</f>
        <v>44585</v>
      </c>
      <c r="B81" s="17">
        <f>'Stock Price'!E81</f>
        <v>78.83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-0.2594645373414749</v>
      </c>
      <c r="P81" s="19">
        <f ca="1">IF('Stock Price'!$I$11="OK",C81/INDEX(C$5:C$1258,'Stock Price'!$I$9)-1,"")</f>
        <v>-0.40553775083008514</v>
      </c>
      <c r="Q81" s="19">
        <f ca="1">IF('Stock Price'!$I$11="OK",D81/INDEX(D$5:D$1258,'Stock Price'!$I$9)-1,"")</f>
        <v>-0.38491857123306428</v>
      </c>
      <c r="R81" s="19">
        <f ca="1">IF('Stock Price'!$I$11="OK",E81/INDEX(E$5:E$1258,'Stock Price'!$I$9)-1,"")</f>
        <v>0.11777150916784196</v>
      </c>
      <c r="S81" s="19">
        <f ca="1">IF('Stock Price'!$I$11="OK",F81/INDEX(F$5:F$1258,'Stock Price'!$I$9)-1,"")</f>
        <v>-7.0942662779397536E-2</v>
      </c>
      <c r="T81" s="19">
        <f ca="1">IF('Stock Price'!$I$11="OK",G81/INDEX(G$5:G$1258,'Stock Price'!$I$9)-1,"")</f>
        <v>5.4115695625129634E-2</v>
      </c>
      <c r="U81" s="19">
        <f ca="1">IF('Stock Price'!$I$11="OK",H81/INDEX(H$5:H$1258,'Stock Price'!$I$9)-1,"")</f>
        <v>0.31578947368421062</v>
      </c>
      <c r="V81" s="19">
        <f ca="1">IF('Stock Price'!$I$11="OK",I81/INDEX(I$5:I$1258,'Stock Price'!$I$9)-1,"")</f>
        <v>1.0468625893566323</v>
      </c>
      <c r="W81" s="19">
        <f ca="1">IF('Stock Price'!$I$11="OK",J81/INDEX(J$5:J$1258,'Stock Price'!$I$9)-1,"")</f>
        <v>-0.77746306786626684</v>
      </c>
      <c r="X81" s="19">
        <f ca="1">IF('Stock Price'!$I$11="OK",K81/INDEX(K$5:K$1258,'Stock Price'!$I$9)-1,"")</f>
        <v>0.17115600448933788</v>
      </c>
      <c r="Y81" s="19">
        <f ca="1">IF('Stock Price'!$I$11="OK",L81/INDEX(L$5:L$1258,'Stock Price'!$I$9)-1,"")</f>
        <v>-0.21403424162044848</v>
      </c>
      <c r="Z81" s="19">
        <f ca="1">IF('Stock Price'!$I$11="OK",M81/INDEX(M$5:M$1258,'Stock Price'!$I$9)-1,"")</f>
        <v>-0.42366229122149057</v>
      </c>
    </row>
    <row r="82" spans="1:26" x14ac:dyDescent="0.2">
      <c r="A82" s="16">
        <f>'Stock Price'!A82</f>
        <v>44586</v>
      </c>
      <c r="B82" s="17">
        <f>'Stock Price'!E82</f>
        <v>79.459999999999994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-0.25354626585251294</v>
      </c>
      <c r="P82" s="19">
        <f ca="1">IF('Stock Price'!$I$11="OK",C82/INDEX(C$5:C$1258,'Stock Price'!$I$9)-1,"")</f>
        <v>-0.40965786054569076</v>
      </c>
      <c r="Q82" s="19">
        <f ca="1">IF('Stock Price'!$I$11="OK",D82/INDEX(D$5:D$1258,'Stock Price'!$I$9)-1,"")</f>
        <v>-0.37949911044204199</v>
      </c>
      <c r="R82" s="19">
        <f ca="1">IF('Stock Price'!$I$11="OK",E82/INDEX(E$5:E$1258,'Stock Price'!$I$9)-1,"")</f>
        <v>0.11751964537578075</v>
      </c>
      <c r="S82" s="19">
        <f ca="1">IF('Stock Price'!$I$11="OK",F82/INDEX(F$5:F$1258,'Stock Price'!$I$9)-1,"")</f>
        <v>-8.3576287657920356E-2</v>
      </c>
      <c r="T82" s="19">
        <f ca="1">IF('Stock Price'!$I$11="OK",G82/INDEX(G$5:G$1258,'Stock Price'!$I$9)-1,"")</f>
        <v>6.5726726104084587E-2</v>
      </c>
      <c r="U82" s="19">
        <f ca="1">IF('Stock Price'!$I$11="OK",H82/INDEX(H$5:H$1258,'Stock Price'!$I$9)-1,"")</f>
        <v>0.33736842105263154</v>
      </c>
      <c r="V82" s="19">
        <f ca="1">IF('Stock Price'!$I$11="OK",I82/INDEX(I$5:I$1258,'Stock Price'!$I$9)-1,"")</f>
        <v>1.0865766481334393</v>
      </c>
      <c r="W82" s="19">
        <f ca="1">IF('Stock Price'!$I$11="OK",J82/INDEX(J$5:J$1258,'Stock Price'!$I$9)-1,"")</f>
        <v>-0.77835166055759186</v>
      </c>
      <c r="X82" s="19">
        <f ca="1">IF('Stock Price'!$I$11="OK",K82/INDEX(K$5:K$1258,'Stock Price'!$I$9)-1,"")</f>
        <v>0.16835016835016825</v>
      </c>
      <c r="Y82" s="19">
        <f ca="1">IF('Stock Price'!$I$11="OK",L82/INDEX(L$5:L$1258,'Stock Price'!$I$9)-1,"")</f>
        <v>-0.19156016397395703</v>
      </c>
      <c r="Z82" s="19">
        <f ca="1">IF('Stock Price'!$I$11="OK",M82/INDEX(M$5:M$1258,'Stock Price'!$I$9)-1,"")</f>
        <v>-0.41960664602503162</v>
      </c>
    </row>
    <row r="83" spans="1:26" x14ac:dyDescent="0.2">
      <c r="A83" s="16">
        <f>'Stock Price'!A83</f>
        <v>44587</v>
      </c>
      <c r="B83" s="17">
        <f>'Stock Price'!E83</f>
        <v>79.14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-0.25655237200563641</v>
      </c>
      <c r="P83" s="19">
        <f ca="1">IF('Stock Price'!$I$11="OK",C83/INDEX(C$5:C$1258,'Stock Price'!$I$9)-1,"")</f>
        <v>-0.41175256243684133</v>
      </c>
      <c r="Q83" s="19">
        <f ca="1">IF('Stock Price'!$I$11="OK",D83/INDEX(D$5:D$1258,'Stock Price'!$I$9)-1,"")</f>
        <v>-0.36061311071575208</v>
      </c>
      <c r="R83" s="19">
        <f ca="1">IF('Stock Price'!$I$11="OK",E83/INDEX(E$5:E$1258,'Stock Price'!$I$9)-1,"")</f>
        <v>0.11197864195043317</v>
      </c>
      <c r="S83" s="19">
        <f ca="1">IF('Stock Price'!$I$11="OK",F83/INDEX(F$5:F$1258,'Stock Price'!$I$9)-1,"")</f>
        <v>-8.6491739552964075E-2</v>
      </c>
      <c r="T83" s="19">
        <f ca="1">IF('Stock Price'!$I$11="OK",G83/INDEX(G$5:G$1258,'Stock Price'!$I$9)-1,"")</f>
        <v>6.4068007464233911E-2</v>
      </c>
      <c r="U83" s="19">
        <f ca="1">IF('Stock Price'!$I$11="OK",H83/INDEX(H$5:H$1258,'Stock Price'!$I$9)-1,"")</f>
        <v>0.35657894736842088</v>
      </c>
      <c r="V83" s="19">
        <f ca="1">IF('Stock Price'!$I$11="OK",I83/INDEX(I$5:I$1258,'Stock Price'!$I$9)-1,"")</f>
        <v>1.1052422557585384</v>
      </c>
      <c r="W83" s="19">
        <f ca="1">IF('Stock Price'!$I$11="OK",J83/INDEX(J$5:J$1258,'Stock Price'!$I$9)-1,"")</f>
        <v>-0.77983264837646704</v>
      </c>
      <c r="X83" s="19">
        <f ca="1">IF('Stock Price'!$I$11="OK",K83/INDEX(K$5:K$1258,'Stock Price'!$I$9)-1,"")</f>
        <v>0.16423494201271982</v>
      </c>
      <c r="Y83" s="19">
        <f ca="1">IF('Stock Price'!$I$11="OK",L83/INDEX(L$5:L$1258,'Stock Price'!$I$9)-1,"")</f>
        <v>-0.18794309139136722</v>
      </c>
      <c r="Z83" s="19">
        <f ca="1">IF('Stock Price'!$I$11="OK",M83/INDEX(M$5:M$1258,'Stock Price'!$I$9)-1,"")</f>
        <v>-0.41463520997775938</v>
      </c>
    </row>
    <row r="84" spans="1:26" x14ac:dyDescent="0.2">
      <c r="A84" s="16">
        <f>'Stock Price'!A84</f>
        <v>44588</v>
      </c>
      <c r="B84" s="17">
        <f>'Stock Price'!E84</f>
        <v>80.58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-0.24302489431658059</v>
      </c>
      <c r="P84" s="19">
        <f ca="1">IF('Stock Price'!$I$11="OK",C84/INDEX(C$5:C$1258,'Stock Price'!$I$9)-1,"")</f>
        <v>-0.40546773495019484</v>
      </c>
      <c r="Q84" s="19">
        <f ca="1">IF('Stock Price'!$I$11="OK",D84/INDEX(D$5:D$1258,'Stock Price'!$I$9)-1,"")</f>
        <v>-0.34035856028465861</v>
      </c>
      <c r="R84" s="19">
        <f ca="1">IF('Stock Price'!$I$11="OK",E84/INDEX(E$5:E$1258,'Stock Price'!$I$9)-1,"")</f>
        <v>0.15202498488817229</v>
      </c>
      <c r="S84" s="19">
        <f ca="1">IF('Stock Price'!$I$11="OK",F84/INDEX(F$5:F$1258,'Stock Price'!$I$9)-1,"")</f>
        <v>-7.2886297376093312E-2</v>
      </c>
      <c r="T84" s="19">
        <f ca="1">IF('Stock Price'!$I$11="OK",G84/INDEX(G$5:G$1258,'Stock Price'!$I$9)-1,"")</f>
        <v>9.5998341281360311E-2</v>
      </c>
      <c r="U84" s="19">
        <f ca="1">IF('Stock Price'!$I$11="OK",H84/INDEX(H$5:H$1258,'Stock Price'!$I$9)-1,"")</f>
        <v>0.38368421052631585</v>
      </c>
      <c r="V84" s="19">
        <f ca="1">IF('Stock Price'!$I$11="OK",I84/INDEX(I$5:I$1258,'Stock Price'!$I$9)-1,"")</f>
        <v>1.1195393169181891</v>
      </c>
      <c r="W84" s="19">
        <f ca="1">IF('Stock Price'!$I$11="OK",J84/INDEX(J$5:J$1258,'Stock Price'!$I$9)-1,"")</f>
        <v>-0.78088785219741563</v>
      </c>
      <c r="X84" s="19">
        <f ca="1">IF('Stock Price'!$I$11="OK",K84/INDEX(K$5:K$1258,'Stock Price'!$I$9)-1,"")</f>
        <v>0.1945379723157501</v>
      </c>
      <c r="Y84" s="19">
        <f ca="1">IF('Stock Price'!$I$11="OK",L84/INDEX(L$5:L$1258,'Stock Price'!$I$9)-1,"")</f>
        <v>-0.17728478418133586</v>
      </c>
      <c r="Z84" s="19">
        <f ca="1">IF('Stock Price'!$I$11="OK",M84/INDEX(M$5:M$1258,'Stock Price'!$I$9)-1,"")</f>
        <v>-0.40704722864244913</v>
      </c>
    </row>
    <row r="85" spans="1:26" x14ac:dyDescent="0.2">
      <c r="A85" s="16">
        <f>'Stock Price'!A85</f>
        <v>44589</v>
      </c>
      <c r="B85" s="17">
        <f>'Stock Price'!E85</f>
        <v>80.900000000000006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-0.24001878816345701</v>
      </c>
      <c r="P85" s="19">
        <f ca="1">IF('Stock Price'!$I$11="OK",C85/INDEX(C$5:C$1258,'Stock Price'!$I$9)-1,"")</f>
        <v>-0.40009094846253779</v>
      </c>
      <c r="Q85" s="19">
        <f ca="1">IF('Stock Price'!$I$11="OK",D85/INDEX(D$5:D$1258,'Stock Price'!$I$9)-1,"")</f>
        <v>-0.36362392226632001</v>
      </c>
      <c r="R85" s="19">
        <f ca="1">IF('Stock Price'!$I$11="OK",E85/INDEX(E$5:E$1258,'Stock Price'!$I$9)-1,"")</f>
        <v>0.13968365907717106</v>
      </c>
      <c r="S85" s="19">
        <f ca="1">IF('Stock Price'!$I$11="OK",F85/INDEX(F$5:F$1258,'Stock Price'!$I$9)-1,"")</f>
        <v>-6.1030126336248824E-2</v>
      </c>
      <c r="T85" s="19">
        <f ca="1">IF('Stock Price'!$I$11="OK",G85/INDEX(G$5:G$1258,'Stock Price'!$I$9)-1,"")</f>
        <v>9.3510263321584297E-2</v>
      </c>
      <c r="U85" s="19">
        <f ca="1">IF('Stock Price'!$I$11="OK",H85/INDEX(H$5:H$1258,'Stock Price'!$I$9)-1,"")</f>
        <v>0.39026315789473687</v>
      </c>
      <c r="V85" s="19">
        <f ca="1">IF('Stock Price'!$I$11="OK",I85/INDEX(I$5:I$1258,'Stock Price'!$I$9)-1,"")</f>
        <v>1.1576648133439238</v>
      </c>
      <c r="W85" s="19">
        <f ca="1">IF('Stock Price'!$I$11="OK",J85/INDEX(J$5:J$1258,'Stock Price'!$I$9)-1,"")</f>
        <v>-0.77313117849605684</v>
      </c>
      <c r="X85" s="19">
        <f ca="1">IF('Stock Price'!$I$11="OK",K85/INDEX(K$5:K$1258,'Stock Price'!$I$9)-1,"")</f>
        <v>0.21417882528993637</v>
      </c>
      <c r="Y85" s="19">
        <f ca="1">IF('Stock Price'!$I$11="OK",L85/INDEX(L$5:L$1258,'Stock Price'!$I$9)-1,"")</f>
        <v>-0.17149746804919219</v>
      </c>
      <c r="Z85" s="19">
        <f ca="1">IF('Stock Price'!$I$11="OK",M85/INDEX(M$5:M$1258,'Stock Price'!$I$9)-1,"")</f>
        <v>-0.39854345645632561</v>
      </c>
    </row>
    <row r="86" spans="1:26" x14ac:dyDescent="0.2">
      <c r="A86" s="16">
        <f>'Stock Price'!A86</f>
        <v>44592</v>
      </c>
      <c r="B86" s="17">
        <f>'Stock Price'!E86</f>
        <v>81.48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-0.2345702207609206</v>
      </c>
      <c r="P86" s="19">
        <f ca="1">IF('Stock Price'!$I$11="OK",C86/INDEX(C$5:C$1258,'Stock Price'!$I$9)-1,"")</f>
        <v>-0.39310812761657277</v>
      </c>
      <c r="Q86" s="19">
        <f ca="1">IF('Stock Price'!$I$11="OK",D86/INDEX(D$5:D$1258,'Stock Price'!$I$9)-1,"")</f>
        <v>-0.35940878609552485</v>
      </c>
      <c r="R86" s="19">
        <f ca="1">IF('Stock Price'!$I$11="OK",E86/INDEX(E$5:E$1258,'Stock Price'!$I$9)-1,"")</f>
        <v>0.12885351601853712</v>
      </c>
      <c r="S86" s="19">
        <f ca="1">IF('Stock Price'!$I$11="OK",F86/INDEX(F$5:F$1258,'Stock Price'!$I$9)-1,"")</f>
        <v>-5.5587949465500497E-2</v>
      </c>
      <c r="T86" s="19">
        <f ca="1">IF('Stock Price'!$I$11="OK",G86/INDEX(G$5:G$1258,'Stock Price'!$I$9)-1,"")</f>
        <v>7.8167115902965101E-2</v>
      </c>
      <c r="U86" s="19">
        <f ca="1">IF('Stock Price'!$I$11="OK",H86/INDEX(H$5:H$1258,'Stock Price'!$I$9)-1,"")</f>
        <v>0.4168421052631579</v>
      </c>
      <c r="V86" s="19">
        <f ca="1">IF('Stock Price'!$I$11="OK",I86/INDEX(I$5:I$1258,'Stock Price'!$I$9)-1,"")</f>
        <v>1.09253375694996</v>
      </c>
      <c r="W86" s="19">
        <f ca="1">IF('Stock Price'!$I$11="OK",J86/INDEX(J$5:J$1258,'Stock Price'!$I$9)-1,"")</f>
        <v>-0.77286274945388578</v>
      </c>
      <c r="X86" s="19">
        <f ca="1">IF('Stock Price'!$I$11="OK",K86/INDEX(K$5:K$1258,'Stock Price'!$I$9)-1,"")</f>
        <v>0.21380471380471389</v>
      </c>
      <c r="Y86" s="19">
        <f ca="1">IF('Stock Price'!$I$11="OK",L86/INDEX(L$5:L$1258,'Stock Price'!$I$9)-1,"")</f>
        <v>-0.16908608632746569</v>
      </c>
      <c r="Z86" s="19">
        <f ca="1">IF('Stock Price'!$I$11="OK",M86/INDEX(M$5:M$1258,'Stock Price'!$I$9)-1,"")</f>
        <v>-0.40303519253412423</v>
      </c>
    </row>
    <row r="87" spans="1:26" x14ac:dyDescent="0.2">
      <c r="A87" s="16">
        <f>'Stock Price'!A87</f>
        <v>44593</v>
      </c>
      <c r="B87" s="17">
        <f>'Stock Price'!E87</f>
        <v>81.92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-0.23043682480037575</v>
      </c>
      <c r="P87" s="19">
        <f ca="1">IF('Stock Price'!$I$11="OK",C87/INDEX(C$5:C$1258,'Stock Price'!$I$9)-1,"")</f>
        <v>-0.38423920889273844</v>
      </c>
      <c r="Q87" s="19">
        <f ca="1">IF('Stock Price'!$I$11="OK",D87/INDEX(D$5:D$1258,'Stock Price'!$I$9)-1,"")</f>
        <v>-0.36225537156151644</v>
      </c>
      <c r="R87" s="19">
        <f ca="1">IF('Stock Price'!$I$11="OK",E87/INDEX(E$5:E$1258,'Stock Price'!$I$9)-1,"")</f>
        <v>0.13817247632480334</v>
      </c>
      <c r="S87" s="19">
        <f ca="1">IF('Stock Price'!$I$11="OK",F87/INDEX(F$5:F$1258,'Stock Price'!$I$9)-1,"")</f>
        <v>-4.7619047619047672E-2</v>
      </c>
      <c r="T87" s="19">
        <f ca="1">IF('Stock Price'!$I$11="OK",G87/INDEX(G$5:G$1258,'Stock Price'!$I$9)-1,"")</f>
        <v>7.0495542193655503E-2</v>
      </c>
      <c r="U87" s="19">
        <f ca="1">IF('Stock Price'!$I$11="OK",H87/INDEX(H$5:H$1258,'Stock Price'!$I$9)-1,"")</f>
        <v>0.42526315789473679</v>
      </c>
      <c r="V87" s="19">
        <f ca="1">IF('Stock Price'!$I$11="OK",I87/INDEX(I$5:I$1258,'Stock Price'!$I$9)-1,"")</f>
        <v>1.1076250992851469</v>
      </c>
      <c r="W87" s="19">
        <f ca="1">IF('Stock Price'!$I$11="OK",J87/INDEX(J$5:J$1258,'Stock Price'!$I$9)-1,"")</f>
        <v>-0.77018771520604234</v>
      </c>
      <c r="X87" s="19">
        <f ca="1">IF('Stock Price'!$I$11="OK",K87/INDEX(K$5:K$1258,'Stock Price'!$I$9)-1,"")</f>
        <v>0.21941638608305269</v>
      </c>
      <c r="Y87" s="19">
        <f ca="1">IF('Stock Price'!$I$11="OK",L87/INDEX(L$5:L$1258,'Stock Price'!$I$9)-1,"")</f>
        <v>-0.17588618278273449</v>
      </c>
      <c r="Z87" s="19">
        <f ca="1">IF('Stock Price'!$I$11="OK",M87/INDEX(M$5:M$1258,'Stock Price'!$I$9)-1,"")</f>
        <v>-0.40255549256465051</v>
      </c>
    </row>
    <row r="88" spans="1:26" x14ac:dyDescent="0.2">
      <c r="A88" s="16">
        <f>'Stock Price'!A88</f>
        <v>44594</v>
      </c>
      <c r="B88" s="17">
        <f>'Stock Price'!E88</f>
        <v>82.01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-0.22959135744480974</v>
      </c>
      <c r="P88" s="19">
        <f ca="1">IF('Stock Price'!$I$11="OK",C88/INDEX(C$5:C$1258,'Stock Price'!$I$9)-1,"")</f>
        <v>-0.40009094846253779</v>
      </c>
      <c r="Q88" s="19">
        <f ca="1">IF('Stock Price'!$I$11="OK",D88/INDEX(D$5:D$1258,'Stock Price'!$I$9)-1,"")</f>
        <v>-0.35579581223484336</v>
      </c>
      <c r="R88" s="19">
        <f ca="1">IF('Stock Price'!$I$11="OK",E88/INDEX(E$5:E$1258,'Stock Price'!$I$9)-1,"")</f>
        <v>0.15101752971992743</v>
      </c>
      <c r="S88" s="19">
        <f ca="1">IF('Stock Price'!$I$11="OK",F88/INDEX(F$5:F$1258,'Stock Price'!$I$9)-1,"")</f>
        <v>-5.2089407191447945E-2</v>
      </c>
      <c r="T88" s="19">
        <f ca="1">IF('Stock Price'!$I$11="OK",G88/INDEX(G$5:G$1258,'Stock Price'!$I$9)-1,"")</f>
        <v>8.9363466721957385E-2</v>
      </c>
      <c r="U88" s="19">
        <f ca="1">IF('Stock Price'!$I$11="OK",H88/INDEX(H$5:H$1258,'Stock Price'!$I$9)-1,"")</f>
        <v>0.41394736842105262</v>
      </c>
      <c r="V88" s="19">
        <f ca="1">IF('Stock Price'!$I$11="OK",I88/INDEX(I$5:I$1258,'Stock Price'!$I$9)-1,"")</f>
        <v>1.1389992057188243</v>
      </c>
      <c r="W88" s="19">
        <f ca="1">IF('Stock Price'!$I$11="OK",J88/INDEX(J$5:J$1258,'Stock Price'!$I$9)-1,"")</f>
        <v>-0.76782739086971008</v>
      </c>
      <c r="X88" s="19">
        <f ca="1">IF('Stock Price'!$I$11="OK",K88/INDEX(K$5:K$1258,'Stock Price'!$I$9)-1,"")</f>
        <v>0.21212121212121215</v>
      </c>
      <c r="Y88" s="19">
        <f ca="1">IF('Stock Price'!$I$11="OK",L88/INDEX(L$5:L$1258,'Stock Price'!$I$9)-1,"")</f>
        <v>-0.16677115987460811</v>
      </c>
      <c r="Z88" s="19">
        <f ca="1">IF('Stock Price'!$I$11="OK",M88/INDEX(M$5:M$1258,'Stock Price'!$I$9)-1,"")</f>
        <v>-0.39549082028694782</v>
      </c>
    </row>
    <row r="89" spans="1:26" x14ac:dyDescent="0.2">
      <c r="A89" s="16">
        <f>'Stock Price'!A89</f>
        <v>44595</v>
      </c>
      <c r="B89" s="17">
        <f>'Stock Price'!E89</f>
        <v>79.010000000000005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-0.25777360263034288</v>
      </c>
      <c r="P89" s="19">
        <f ca="1">IF('Stock Price'!$I$11="OK",C89/INDEX(C$5:C$1258,'Stock Price'!$I$9)-1,"")</f>
        <v>-0.39652952215966508</v>
      </c>
      <c r="Q89" s="19">
        <f ca="1">IF('Stock Price'!$I$11="OK",D89/INDEX(D$5:D$1258,'Stock Price'!$I$9)-1,"")</f>
        <v>-0.3599562063774463</v>
      </c>
      <c r="R89" s="19">
        <f ca="1">IF('Stock Price'!$I$11="OK",E89/INDEX(E$5:E$1258,'Stock Price'!$I$9)-1,"")</f>
        <v>0.13137215393914969</v>
      </c>
      <c r="S89" s="19">
        <f ca="1">IF('Stock Price'!$I$11="OK",F89/INDEX(F$5:F$1258,'Stock Price'!$I$9)-1,"")</f>
        <v>-8.4353741496598689E-2</v>
      </c>
      <c r="T89" s="19">
        <f ca="1">IF('Stock Price'!$I$11="OK",G89/INDEX(G$5:G$1258,'Stock Price'!$I$9)-1,"")</f>
        <v>8.7704748082106709E-2</v>
      </c>
      <c r="U89" s="19">
        <f ca="1">IF('Stock Price'!$I$11="OK",H89/INDEX(H$5:H$1258,'Stock Price'!$I$9)-1,"")</f>
        <v>0.39368421052631586</v>
      </c>
      <c r="V89" s="19">
        <f ca="1">IF('Stock Price'!$I$11="OK",I89/INDEX(I$5:I$1258,'Stock Price'!$I$9)-1,"")</f>
        <v>1.1199364575059572</v>
      </c>
      <c r="W89" s="19">
        <f ca="1">IF('Stock Price'!$I$11="OK",J89/INDEX(J$5:J$1258,'Stock Price'!$I$9)-1,"")</f>
        <v>-0.77339960753822801</v>
      </c>
      <c r="X89" s="19">
        <f ca="1">IF('Stock Price'!$I$11="OK",K89/INDEX(K$5:K$1258,'Stock Price'!$I$9)-1,"")</f>
        <v>0.19846614291058717</v>
      </c>
      <c r="Y89" s="19">
        <f ca="1">IF('Stock Price'!$I$11="OK",L89/INDEX(L$5:L$1258,'Stock Price'!$I$9)-1,"")</f>
        <v>-0.16681938750904268</v>
      </c>
      <c r="Z89" s="19">
        <f ca="1">IF('Stock Price'!$I$11="OK",M89/INDEX(M$5:M$1258,'Stock Price'!$I$9)-1,"")</f>
        <v>-0.38628930269068074</v>
      </c>
    </row>
    <row r="90" spans="1:26" x14ac:dyDescent="0.2">
      <c r="A90" s="16">
        <f>'Stock Price'!A90</f>
        <v>44596</v>
      </c>
      <c r="B90" s="17">
        <f>'Stock Price'!E90</f>
        <v>78.56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-0.26200093940817282</v>
      </c>
      <c r="P90" s="19">
        <f ca="1">IF('Stock Price'!$I$11="OK",C90/INDEX(C$5:C$1258,'Stock Price'!$I$9)-1,"")</f>
        <v>-0.39750685722535006</v>
      </c>
      <c r="Q90" s="19">
        <f ca="1">IF('Stock Price'!$I$11="OK",D90/INDEX(D$5:D$1258,'Stock Price'!$I$9)-1,"")</f>
        <v>-0.39493636239222663</v>
      </c>
      <c r="R90" s="19">
        <f ca="1">IF('Stock Price'!$I$11="OK",E90/INDEX(E$5:E$1258,'Stock Price'!$I$9)-1,"")</f>
        <v>0.12834978843441469</v>
      </c>
      <c r="S90" s="19">
        <f ca="1">IF('Stock Price'!$I$11="OK",F90/INDEX(F$5:F$1258,'Stock Price'!$I$9)-1,"")</f>
        <v>-9.2322643343051514E-2</v>
      </c>
      <c r="T90" s="19">
        <f ca="1">IF('Stock Price'!$I$11="OK",G90/INDEX(G$5:G$1258,'Stock Price'!$I$9)-1,"")</f>
        <v>7.9825834542815777E-2</v>
      </c>
      <c r="U90" s="19">
        <f ca="1">IF('Stock Price'!$I$11="OK",H90/INDEX(H$5:H$1258,'Stock Price'!$I$9)-1,"")</f>
        <v>0.38473684210526304</v>
      </c>
      <c r="V90" s="19">
        <f ca="1">IF('Stock Price'!$I$11="OK",I90/INDEX(I$5:I$1258,'Stock Price'!$I$9)-1,"")</f>
        <v>1.1048451151707703</v>
      </c>
      <c r="W90" s="19">
        <f ca="1">IF('Stock Price'!$I$11="OK",J90/INDEX(J$5:J$1258,'Stock Price'!$I$9)-1,"")</f>
        <v>-0.77575067570069234</v>
      </c>
      <c r="X90" s="19">
        <f ca="1">IF('Stock Price'!$I$11="OK",K90/INDEX(K$5:K$1258,'Stock Price'!$I$9)-1,"")</f>
        <v>0.21567527123082675</v>
      </c>
      <c r="Y90" s="19">
        <f ca="1">IF('Stock Price'!$I$11="OK",L90/INDEX(L$5:L$1258,'Stock Price'!$I$9)-1,"")</f>
        <v>-0.17226911020014468</v>
      </c>
      <c r="Z90" s="19">
        <f ca="1">IF('Stock Price'!$I$11="OK",M90/INDEX(M$5:M$1258,'Stock Price'!$I$9)-1,"")</f>
        <v>-0.3866381753957524</v>
      </c>
    </row>
    <row r="91" spans="1:26" x14ac:dyDescent="0.2">
      <c r="A91" s="16">
        <f>'Stock Price'!A91</f>
        <v>44599</v>
      </c>
      <c r="B91" s="17">
        <f>'Stock Price'!E91</f>
        <v>77.58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-0.27120713950211373</v>
      </c>
      <c r="P91" s="19">
        <f ca="1">IF('Stock Price'!$I$11="OK",C91/INDEX(C$5:C$1258,'Stock Price'!$I$9)-1,"")</f>
        <v>-0.39101270391222742</v>
      </c>
      <c r="Q91" s="19">
        <f ca="1">IF('Stock Price'!$I$11="OK",D91/INDEX(D$5:D$1258,'Stock Price'!$I$9)-1,"")</f>
        <v>-0.38962638565758867</v>
      </c>
      <c r="R91" s="19">
        <f ca="1">IF('Stock Price'!$I$11="OK",E91/INDEX(E$5:E$1258,'Stock Price'!$I$9)-1,"")</f>
        <v>0.13313520048357841</v>
      </c>
      <c r="S91" s="19">
        <f ca="1">IF('Stock Price'!$I$11="OK",F91/INDEX(F$5:F$1258,'Stock Price'!$I$9)-1,"")</f>
        <v>-9.1545189504373181E-2</v>
      </c>
      <c r="T91" s="19">
        <f ca="1">IF('Stock Price'!$I$11="OK",G91/INDEX(G$5:G$1258,'Stock Price'!$I$9)-1,"")</f>
        <v>9.9937798051005666E-2</v>
      </c>
      <c r="U91" s="19">
        <f ca="1">IF('Stock Price'!$I$11="OK",H91/INDEX(H$5:H$1258,'Stock Price'!$I$9)-1,"")</f>
        <v>0.39710526315789485</v>
      </c>
      <c r="V91" s="19">
        <f ca="1">IF('Stock Price'!$I$11="OK",I91/INDEX(I$5:I$1258,'Stock Price'!$I$9)-1,"")</f>
        <v>1.1131850675138999</v>
      </c>
      <c r="W91" s="19">
        <f ca="1">IF('Stock Price'!$I$11="OK",J91/INDEX(J$5:J$1258,'Stock Price'!$I$9)-1,"")</f>
        <v>-0.77456588544559213</v>
      </c>
      <c r="X91" s="19">
        <f ca="1">IF('Stock Price'!$I$11="OK",K91/INDEX(K$5:K$1258,'Stock Price'!$I$9)-1,"")</f>
        <v>0.23812196034418243</v>
      </c>
      <c r="Y91" s="19">
        <f ca="1">IF('Stock Price'!$I$11="OK",L91/INDEX(L$5:L$1258,'Stock Price'!$I$9)-1,"")</f>
        <v>-0.17501808536291297</v>
      </c>
      <c r="Z91" s="19">
        <f ca="1">IF('Stock Price'!$I$11="OK",M91/INDEX(M$5:M$1258,'Stock Price'!$I$9)-1,"")</f>
        <v>-0.37843966682656671</v>
      </c>
    </row>
    <row r="92" spans="1:26" x14ac:dyDescent="0.2">
      <c r="A92" s="16">
        <f>'Stock Price'!A92</f>
        <v>44600</v>
      </c>
      <c r="B92" s="17">
        <f>'Stock Price'!E92</f>
        <v>76.91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-0.27750117426021614</v>
      </c>
      <c r="P92" s="19">
        <f ca="1">IF('Stock Price'!$I$11="OK",C92/INDEX(C$5:C$1258,'Stock Price'!$I$9)-1,"")</f>
        <v>-0.39143207737837438</v>
      </c>
      <c r="Q92" s="19">
        <f ca="1">IF('Stock Price'!$I$11="OK",D92/INDEX(D$5:D$1258,'Stock Price'!$I$9)-1,"")</f>
        <v>-0.3821267277952648</v>
      </c>
      <c r="R92" s="19">
        <f ca="1">IF('Stock Price'!$I$11="OK",E92/INDEX(E$5:E$1258,'Stock Price'!$I$9)-1,"")</f>
        <v>0.1389280677009872</v>
      </c>
      <c r="S92" s="19">
        <f ca="1">IF('Stock Price'!$I$11="OK",F92/INDEX(F$5:F$1258,'Stock Price'!$I$9)-1,"")</f>
        <v>-8.5325558794946521E-2</v>
      </c>
      <c r="T92" s="19">
        <f ca="1">IF('Stock Price'!$I$11="OK",G92/INDEX(G$5:G$1258,'Stock Price'!$I$9)-1,"")</f>
        <v>0.11154882852996062</v>
      </c>
      <c r="U92" s="19">
        <f ca="1">IF('Stock Price'!$I$11="OK",H92/INDEX(H$5:H$1258,'Stock Price'!$I$9)-1,"")</f>
        <v>0.38921052631578945</v>
      </c>
      <c r="V92" s="19">
        <f ca="1">IF('Stock Price'!$I$11="OK",I92/INDEX(I$5:I$1258,'Stock Price'!$I$9)-1,"")</f>
        <v>1.0532168387609215</v>
      </c>
      <c r="W92" s="19">
        <f ca="1">IF('Stock Price'!$I$11="OK",J92/INDEX(J$5:J$1258,'Stock Price'!$I$9)-1,"")</f>
        <v>-0.77793513273353321</v>
      </c>
      <c r="X92" s="19">
        <f ca="1">IF('Stock Price'!$I$11="OK",K92/INDEX(K$5:K$1258,'Stock Price'!$I$9)-1,"")</f>
        <v>0.23251028806584362</v>
      </c>
      <c r="Y92" s="19">
        <f ca="1">IF('Stock Price'!$I$11="OK",L92/INDEX(L$5:L$1258,'Stock Price'!$I$9)-1,"")</f>
        <v>-0.1728478418133591</v>
      </c>
      <c r="Z92" s="19">
        <f ca="1">IF('Stock Price'!$I$11="OK",M92/INDEX(M$5:M$1258,'Stock Price'!$I$9)-1,"")</f>
        <v>-0.37416597618943792</v>
      </c>
    </row>
    <row r="93" spans="1:26" x14ac:dyDescent="0.2">
      <c r="A93" s="16">
        <f>'Stock Price'!A93</f>
        <v>44601</v>
      </c>
      <c r="B93" s="17">
        <f>'Stock Price'!E93</f>
        <v>76.53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-0.28107092531705025</v>
      </c>
      <c r="P93" s="19">
        <f ca="1">IF('Stock Price'!$I$11="OK",C93/INDEX(C$5:C$1258,'Stock Price'!$I$9)-1,"")</f>
        <v>-0.39108271979211784</v>
      </c>
      <c r="Q93" s="19">
        <f ca="1">IF('Stock Price'!$I$11="OK",D93/INDEX(D$5:D$1258,'Stock Price'!$I$9)-1,"")</f>
        <v>-0.37309429314356102</v>
      </c>
      <c r="R93" s="19">
        <f ca="1">IF('Stock Price'!$I$11="OK",E93/INDEX(E$5:E$1258,'Stock Price'!$I$9)-1,"")</f>
        <v>0.11474914366310696</v>
      </c>
      <c r="S93" s="19">
        <f ca="1">IF('Stock Price'!$I$11="OK",F93/INDEX(F$5:F$1258,'Stock Price'!$I$9)-1,"")</f>
        <v>-6.3362487852283822E-2</v>
      </c>
      <c r="T93" s="19">
        <f ca="1">IF('Stock Price'!$I$11="OK",G93/INDEX(G$5:G$1258,'Stock Price'!$I$9)-1,"")</f>
        <v>0.11237818784988596</v>
      </c>
      <c r="U93" s="19">
        <f ca="1">IF('Stock Price'!$I$11="OK",H93/INDEX(H$5:H$1258,'Stock Price'!$I$9)-1,"")</f>
        <v>0.40263157894736845</v>
      </c>
      <c r="V93" s="19">
        <f ca="1">IF('Stock Price'!$I$11="OK",I93/INDEX(I$5:I$1258,'Stock Price'!$I$9)-1,"")</f>
        <v>1.0440826052422558</v>
      </c>
      <c r="W93" s="19">
        <f ca="1">IF('Stock Price'!$I$11="OK",J93/INDEX(J$5:J$1258,'Stock Price'!$I$9)-1,"")</f>
        <v>-0.77482505831389537</v>
      </c>
      <c r="X93" s="19">
        <f ca="1">IF('Stock Price'!$I$11="OK",K93/INDEX(K$5:K$1258,'Stock Price'!$I$9)-1,"")</f>
        <v>0.25589225589225584</v>
      </c>
      <c r="Y93" s="19">
        <f ca="1">IF('Stock Price'!$I$11="OK",L93/INDEX(L$5:L$1258,'Stock Price'!$I$9)-1,"")</f>
        <v>-0.17294429708222803</v>
      </c>
      <c r="Z93" s="19">
        <f ca="1">IF('Stock Price'!$I$11="OK",M93/INDEX(M$5:M$1258,'Stock Price'!$I$9)-1,"")</f>
        <v>-0.37551785792159087</v>
      </c>
    </row>
    <row r="94" spans="1:26" x14ac:dyDescent="0.2">
      <c r="A94" s="16">
        <f>'Stock Price'!A94</f>
        <v>44602</v>
      </c>
      <c r="B94" s="17">
        <f>'Stock Price'!E94</f>
        <v>76.56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-0.28078910286519487</v>
      </c>
      <c r="P94" s="19">
        <f ca="1">IF('Stock Price'!$I$11="OK",C94/INDEX(C$5:C$1258,'Stock Price'!$I$9)-1,"")</f>
        <v>-0.40064963187527058</v>
      </c>
      <c r="Q94" s="19">
        <f ca="1">IF('Stock Price'!$I$11="OK",D94/INDEX(D$5:D$1258,'Stock Price'!$I$9)-1,"")</f>
        <v>-0.366355549473108</v>
      </c>
      <c r="R94" s="19">
        <f ca="1">IF('Stock Price'!$I$11="OK",E94/INDEX(E$5:E$1258,'Stock Price'!$I$9)-1,"")</f>
        <v>0.11928269192020946</v>
      </c>
      <c r="S94" s="19">
        <f ca="1">IF('Stock Price'!$I$11="OK",F94/INDEX(F$5:F$1258,'Stock Price'!$I$9)-1,"")</f>
        <v>-7.3275024295432534E-2</v>
      </c>
      <c r="T94" s="19">
        <f ca="1">IF('Stock Price'!$I$11="OK",G94/INDEX(G$5:G$1258,'Stock Price'!$I$9)-1,"")</f>
        <v>9.7449720091229652E-2</v>
      </c>
      <c r="U94" s="19">
        <f ca="1">IF('Stock Price'!$I$11="OK",H94/INDEX(H$5:H$1258,'Stock Price'!$I$9)-1,"")</f>
        <v>0.43657894736842118</v>
      </c>
      <c r="V94" s="19">
        <f ca="1">IF('Stock Price'!$I$11="OK",I94/INDEX(I$5:I$1258,'Stock Price'!$I$9)-1,"")</f>
        <v>1.0095313741064338</v>
      </c>
      <c r="W94" s="19">
        <f ca="1">IF('Stock Price'!$I$11="OK",J94/INDEX(J$5:J$1258,'Stock Price'!$I$9)-1,"")</f>
        <v>-0.77818504942796851</v>
      </c>
      <c r="X94" s="19">
        <f ca="1">IF('Stock Price'!$I$11="OK",K94/INDEX(K$5:K$1258,'Stock Price'!$I$9)-1,"")</f>
        <v>0.24410774410774416</v>
      </c>
      <c r="Y94" s="19">
        <f ca="1">IF('Stock Price'!$I$11="OK",L94/INDEX(L$5:L$1258,'Stock Price'!$I$9)-1,"")</f>
        <v>-0.18292741741017604</v>
      </c>
      <c r="Z94" s="19">
        <f ca="1">IF('Stock Price'!$I$11="OK",M94/INDEX(M$5:M$1258,'Stock Price'!$I$9)-1,"")</f>
        <v>-0.37765470324015527</v>
      </c>
    </row>
    <row r="95" spans="1:26" x14ac:dyDescent="0.2">
      <c r="A95" s="16">
        <f>'Stock Price'!A95</f>
        <v>44603</v>
      </c>
      <c r="B95" s="17">
        <f>'Stock Price'!E95</f>
        <v>76.64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-0.28003757632691406</v>
      </c>
      <c r="P95" s="19">
        <f ca="1">IF('Stock Price'!$I$11="OK",C95/INDEX(C$5:C$1258,'Stock Price'!$I$9)-1,"")</f>
        <v>-0.40246499206005482</v>
      </c>
      <c r="Q95" s="19">
        <f ca="1">IF('Stock Price'!$I$11="OK",D95/INDEX(D$5:D$1258,'Stock Price'!$I$9)-1,"")</f>
        <v>-0.37511974818667038</v>
      </c>
      <c r="R95" s="19">
        <f ca="1">IF('Stock Price'!$I$11="OK",E95/INDEX(E$5:E$1258,'Stock Price'!$I$9)-1,"")</f>
        <v>0.11575659883135203</v>
      </c>
      <c r="S95" s="19">
        <f ca="1">IF('Stock Price'!$I$11="OK",F95/INDEX(F$5:F$1258,'Stock Price'!$I$9)-1,"")</f>
        <v>-9.1933916423712403E-2</v>
      </c>
      <c r="T95" s="19">
        <f ca="1">IF('Stock Price'!$I$11="OK",G95/INDEX(G$5:G$1258,'Stock Price'!$I$9)-1,"")</f>
        <v>9.3510263321584297E-2</v>
      </c>
      <c r="U95" s="19">
        <f ca="1">IF('Stock Price'!$I$11="OK",H95/INDEX(H$5:H$1258,'Stock Price'!$I$9)-1,"")</f>
        <v>0.42421052631578937</v>
      </c>
      <c r="V95" s="19">
        <f ca="1">IF('Stock Price'!$I$11="OK",I95/INDEX(I$5:I$1258,'Stock Price'!$I$9)-1,"")</f>
        <v>1.0166799046862591</v>
      </c>
      <c r="W95" s="19">
        <f ca="1">IF('Stock Price'!$I$11="OK",J95/INDEX(J$5:J$1258,'Stock Price'!$I$9)-1,"")</f>
        <v>-0.78179495723647674</v>
      </c>
      <c r="X95" s="19">
        <f ca="1">IF('Stock Price'!$I$11="OK",K95/INDEX(K$5:K$1258,'Stock Price'!$I$9)-1,"")</f>
        <v>0.251028806584362</v>
      </c>
      <c r="Y95" s="19">
        <f ca="1">IF('Stock Price'!$I$11="OK",L95/INDEX(L$5:L$1258,'Stock Price'!$I$9)-1,"")</f>
        <v>-0.19117434289848079</v>
      </c>
      <c r="Z95" s="19">
        <f ca="1">IF('Stock Price'!$I$11="OK",M95/INDEX(M$5:M$1258,'Stock Price'!$I$9)-1,"")</f>
        <v>-0.38070733940953294</v>
      </c>
    </row>
    <row r="96" spans="1:26" x14ac:dyDescent="0.2">
      <c r="A96" s="16">
        <f>'Stock Price'!A96</f>
        <v>44606</v>
      </c>
      <c r="B96" s="17">
        <f>'Stock Price'!E96</f>
        <v>76.47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-0.28163457022076099</v>
      </c>
      <c r="P96" s="19">
        <f ca="1">IF('Stock Price'!$I$11="OK",C96/INDEX(C$5:C$1258,'Stock Price'!$I$9)-1,"")</f>
        <v>-0.40162696694095568</v>
      </c>
      <c r="Q96" s="19">
        <f ca="1">IF('Stock Price'!$I$11="OK",D96/INDEX(D$5:D$1258,'Stock Price'!$I$9)-1,"")</f>
        <v>-0.39039277405227868</v>
      </c>
      <c r="R96" s="19">
        <f ca="1">IF('Stock Price'!$I$11="OK",E96/INDEX(E$5:E$1258,'Stock Price'!$I$9)-1,"")</f>
        <v>7.9740076566592766E-2</v>
      </c>
      <c r="S96" s="19">
        <f ca="1">IF('Stock Price'!$I$11="OK",F96/INDEX(F$5:F$1258,'Stock Price'!$I$9)-1,"")</f>
        <v>-0.101457725947522</v>
      </c>
      <c r="T96" s="19">
        <f ca="1">IF('Stock Price'!$I$11="OK",G96/INDEX(G$5:G$1258,'Stock Price'!$I$9)-1,"")</f>
        <v>8.3350611652498463E-2</v>
      </c>
      <c r="U96" s="19">
        <f ca="1">IF('Stock Price'!$I$11="OK",H96/INDEX(H$5:H$1258,'Stock Price'!$I$9)-1,"")</f>
        <v>0.38868421052631597</v>
      </c>
      <c r="V96" s="19">
        <f ca="1">IF('Stock Price'!$I$11="OK",I96/INDEX(I$5:I$1258,'Stock Price'!$I$9)-1,"")</f>
        <v>0.97776012708498805</v>
      </c>
      <c r="W96" s="19">
        <f ca="1">IF('Stock Price'!$I$11="OK",J96/INDEX(J$5:J$1258,'Stock Price'!$I$9)-1,"")</f>
        <v>-0.78276685549261349</v>
      </c>
      <c r="X96" s="19">
        <f ca="1">IF('Stock Price'!$I$11="OK",K96/INDEX(K$5:K$1258,'Stock Price'!$I$9)-1,"")</f>
        <v>0.24971941638608297</v>
      </c>
      <c r="Y96" s="19">
        <f ca="1">IF('Stock Price'!$I$11="OK",L96/INDEX(L$5:L$1258,'Stock Price'!$I$9)-1,"")</f>
        <v>-0.20135037376416687</v>
      </c>
      <c r="Z96" s="19">
        <f ca="1">IF('Stock Price'!$I$11="OK",M96/INDEX(M$5:M$1258,'Stock Price'!$I$9)-1,"")</f>
        <v>-0.37639003968427021</v>
      </c>
    </row>
    <row r="97" spans="1:26" x14ac:dyDescent="0.2">
      <c r="A97" s="16">
        <f>'Stock Price'!A97</f>
        <v>44607</v>
      </c>
      <c r="B97" s="17">
        <f>'Stock Price'!E97</f>
        <v>77.81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-0.26904650070455616</v>
      </c>
      <c r="P97" s="19">
        <f ca="1">IF('Stock Price'!$I$11="OK",C97/INDEX(C$5:C$1258,'Stock Price'!$I$9)-1,"")</f>
        <v>-0.39652952215966508</v>
      </c>
      <c r="Q97" s="19">
        <f ca="1">IF('Stock Price'!$I$11="OK",D97/INDEX(D$5:D$1258,'Stock Price'!$I$9)-1,"")</f>
        <v>-0.35886136581360339</v>
      </c>
      <c r="R97" s="19">
        <f ca="1">IF('Stock Price'!$I$11="OK",E97/INDEX(E$5:E$1258,'Stock Price'!$I$9)-1,"")</f>
        <v>9.8629860971186645E-2</v>
      </c>
      <c r="S97" s="19">
        <f ca="1">IF('Stock Price'!$I$11="OK",F97/INDEX(F$5:F$1258,'Stock Price'!$I$9)-1,"")</f>
        <v>-8.804664723032074E-2</v>
      </c>
      <c r="T97" s="19">
        <f ca="1">IF('Stock Price'!$I$11="OK",G97/INDEX(G$5:G$1258,'Stock Price'!$I$9)-1,"")</f>
        <v>9.9315778561061663E-2</v>
      </c>
      <c r="U97" s="19">
        <f ca="1">IF('Stock Price'!$I$11="OK",H97/INDEX(H$5:H$1258,'Stock Price'!$I$9)-1,"")</f>
        <v>0.4184210526315788</v>
      </c>
      <c r="V97" s="19">
        <f ca="1">IF('Stock Price'!$I$11="OK",I97/INDEX(I$5:I$1258,'Stock Price'!$I$9)-1,"")</f>
        <v>0.97736298649721998</v>
      </c>
      <c r="W97" s="19">
        <f ca="1">IF('Stock Price'!$I$11="OK",J97/INDEX(J$5:J$1258,'Stock Price'!$I$9)-1,"")</f>
        <v>-0.77429745640342107</v>
      </c>
      <c r="X97" s="19">
        <f ca="1">IF('Stock Price'!$I$11="OK",K97/INDEX(K$5:K$1258,'Stock Price'!$I$9)-1,"")</f>
        <v>0.26767676767676751</v>
      </c>
      <c r="Y97" s="19">
        <f ca="1">IF('Stock Price'!$I$11="OK",L97/INDEX(L$5:L$1258,'Stock Price'!$I$9)-1,"")</f>
        <v>-0.19310344827586201</v>
      </c>
      <c r="Z97" s="19">
        <f ca="1">IF('Stock Price'!$I$11="OK",M97/INDEX(M$5:M$1258,'Stock Price'!$I$9)-1,"")</f>
        <v>-0.36871484017269207</v>
      </c>
    </row>
    <row r="98" spans="1:26" x14ac:dyDescent="0.2">
      <c r="A98" s="16">
        <f>'Stock Price'!A98</f>
        <v>44608</v>
      </c>
      <c r="B98" s="17">
        <f>'Stock Price'!E98</f>
        <v>77.22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-0.27458900892437765</v>
      </c>
      <c r="P98" s="19">
        <f ca="1">IF('Stock Price'!$I$11="OK",C98/INDEX(C$5:C$1258,'Stock Price'!$I$9)-1,"")</f>
        <v>-0.38591525913093694</v>
      </c>
      <c r="Q98" s="19">
        <f ca="1">IF('Stock Price'!$I$11="OK",D98/INDEX(D$5:D$1258,'Stock Price'!$I$9)-1,"")</f>
        <v>-0.33833310524154925</v>
      </c>
      <c r="R98" s="19">
        <f ca="1">IF('Stock Price'!$I$11="OK",E98/INDEX(E$5:E$1258,'Stock Price'!$I$9)-1,"")</f>
        <v>9.2836993753777852E-2</v>
      </c>
      <c r="S98" s="19">
        <f ca="1">IF('Stock Price'!$I$11="OK",F98/INDEX(F$5:F$1258,'Stock Price'!$I$9)-1,"")</f>
        <v>-7.541302235179792E-2</v>
      </c>
      <c r="T98" s="19">
        <f ca="1">IF('Stock Price'!$I$11="OK",G98/INDEX(G$5:G$1258,'Stock Price'!$I$9)-1,"")</f>
        <v>0.10989010989010994</v>
      </c>
      <c r="U98" s="19">
        <f ca="1">IF('Stock Price'!$I$11="OK",H98/INDEX(H$5:H$1258,'Stock Price'!$I$9)-1,"")</f>
        <v>0.42289473684210521</v>
      </c>
      <c r="V98" s="19">
        <f ca="1">IF('Stock Price'!$I$11="OK",I98/INDEX(I$5:I$1258,'Stock Price'!$I$9)-1,"")</f>
        <v>0.97299444003177116</v>
      </c>
      <c r="W98" s="19">
        <f ca="1">IF('Stock Price'!$I$11="OK",J98/INDEX(J$5:J$1258,'Stock Price'!$I$9)-1,"")</f>
        <v>-0.77268688215039427</v>
      </c>
      <c r="X98" s="19">
        <f ca="1">IF('Stock Price'!$I$11="OK",K98/INDEX(K$5:K$1258,'Stock Price'!$I$9)-1,"")</f>
        <v>0.2644968200523754</v>
      </c>
      <c r="Y98" s="19">
        <f ca="1">IF('Stock Price'!$I$11="OK",L98/INDEX(L$5:L$1258,'Stock Price'!$I$9)-1,"")</f>
        <v>-0.19358572462020729</v>
      </c>
      <c r="Z98" s="19">
        <f ca="1">IF('Stock Price'!$I$11="OK",M98/INDEX(M$5:M$1258,'Stock Price'!$I$9)-1,"")</f>
        <v>-0.36387423138982167</v>
      </c>
    </row>
    <row r="99" spans="1:26" x14ac:dyDescent="0.2">
      <c r="A99" s="16">
        <f>'Stock Price'!A99</f>
        <v>44609</v>
      </c>
      <c r="B99" s="17">
        <f>'Stock Price'!E99</f>
        <v>76.36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-0.28266791921089718</v>
      </c>
      <c r="P99" s="19">
        <f ca="1">IF('Stock Price'!$I$11="OK",C99/INDEX(C$5:C$1258,'Stock Price'!$I$9)-1,"")</f>
        <v>-0.39485347192146669</v>
      </c>
      <c r="Q99" s="19">
        <f ca="1">IF('Stock Price'!$I$11="OK",D99/INDEX(D$5:D$1258,'Stock Price'!$I$9)-1,"")</f>
        <v>-0.32995757492815114</v>
      </c>
      <c r="R99" s="19">
        <f ca="1">IF('Stock Price'!$I$11="OK",E99/INDEX(E$5:E$1258,'Stock Price'!$I$9)-1,"")</f>
        <v>9.1073947209349138E-2</v>
      </c>
      <c r="S99" s="19">
        <f ca="1">IF('Stock Price'!$I$11="OK",F99/INDEX(F$5:F$1258,'Stock Price'!$I$9)-1,"")</f>
        <v>-9.2905733722060235E-2</v>
      </c>
      <c r="T99" s="19">
        <f ca="1">IF('Stock Price'!$I$11="OK",G99/INDEX(G$5:G$1258,'Stock Price'!$I$9)-1,"")</f>
        <v>9.6205681111341423E-2</v>
      </c>
      <c r="U99" s="19">
        <f ca="1">IF('Stock Price'!$I$11="OK",H99/INDEX(H$5:H$1258,'Stock Price'!$I$9)-1,"")</f>
        <v>0.42315789473684196</v>
      </c>
      <c r="V99" s="19">
        <f ca="1">IF('Stock Price'!$I$11="OK",I99/INDEX(I$5:I$1258,'Stock Price'!$I$9)-1,"")</f>
        <v>0.94201747418586179</v>
      </c>
      <c r="W99" s="19">
        <f ca="1">IF('Stock Price'!$I$11="OK",J99/INDEX(J$5:J$1258,'Stock Price'!$I$9)-1,"")</f>
        <v>-0.77695397830352841</v>
      </c>
      <c r="X99" s="19">
        <f ca="1">IF('Stock Price'!$I$11="OK",K99/INDEX(K$5:K$1258,'Stock Price'!$I$9)-1,"")</f>
        <v>0.26056864945753833</v>
      </c>
      <c r="Y99" s="19">
        <f ca="1">IF('Stock Price'!$I$11="OK",L99/INDEX(L$5:L$1258,'Stock Price'!$I$9)-1,"")</f>
        <v>-0.19850494333252955</v>
      </c>
      <c r="Z99" s="19">
        <f ca="1">IF('Stock Price'!$I$11="OK",M99/INDEX(M$5:M$1258,'Stock Price'!$I$9)-1,"")</f>
        <v>-0.36779904932187868</v>
      </c>
    </row>
    <row r="100" spans="1:26" x14ac:dyDescent="0.2">
      <c r="A100" s="16">
        <f>'Stock Price'!A100</f>
        <v>44610</v>
      </c>
      <c r="B100" s="17">
        <f>'Stock Price'!E100</f>
        <v>76.37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-0.28257397839361198</v>
      </c>
      <c r="P100" s="19">
        <f ca="1">IF('Stock Price'!$I$11="OK",C100/INDEX(C$5:C$1258,'Stock Price'!$I$9)-1,"")</f>
        <v>-0.39673884798614112</v>
      </c>
      <c r="Q100" s="19">
        <f ca="1">IF('Stock Price'!$I$11="OK",D100/INDEX(D$5:D$1258,'Stock Price'!$I$9)-1,"")</f>
        <v>-0.354153551389079</v>
      </c>
      <c r="R100" s="19">
        <f ca="1">IF('Stock Price'!$I$11="OK",E100/INDEX(E$5:E$1258,'Stock Price'!$I$9)-1,"")</f>
        <v>8.4021761031634057E-2</v>
      </c>
      <c r="S100" s="19">
        <f ca="1">IF('Stock Price'!$I$11="OK",F100/INDEX(F$5:F$1258,'Stock Price'!$I$9)-1,"")</f>
        <v>-9.9319727891156395E-2</v>
      </c>
      <c r="T100" s="19">
        <f ca="1">IF('Stock Price'!$I$11="OK",G100/INDEX(G$5:G$1258,'Stock Price'!$I$9)-1,"")</f>
        <v>8.8534107402032047E-2</v>
      </c>
      <c r="U100" s="19">
        <f ca="1">IF('Stock Price'!$I$11="OK",H100/INDEX(H$5:H$1258,'Stock Price'!$I$9)-1,"")</f>
        <v>0.42105263157894735</v>
      </c>
      <c r="V100" s="19">
        <f ca="1">IF('Stock Price'!$I$11="OK",I100/INDEX(I$5:I$1258,'Stock Price'!$I$9)-1,"")</f>
        <v>0.92732327243844326</v>
      </c>
      <c r="W100" s="19">
        <f ca="1">IF('Stock Price'!$I$11="OK",J100/INDEX(J$5:J$1258,'Stock Price'!$I$9)-1,"")</f>
        <v>-0.77756488577881444</v>
      </c>
      <c r="X100" s="19">
        <f ca="1">IF('Stock Price'!$I$11="OK",K100/INDEX(K$5:K$1258,'Stock Price'!$I$9)-1,"")</f>
        <v>0.26356154133931908</v>
      </c>
      <c r="Y100" s="19">
        <f ca="1">IF('Stock Price'!$I$11="OK",L100/INDEX(L$5:L$1258,'Stock Price'!$I$9)-1,"")</f>
        <v>-0.21215336387750172</v>
      </c>
      <c r="Z100" s="19">
        <f ca="1">IF('Stock Price'!$I$11="OK",M100/INDEX(M$5:M$1258,'Stock Price'!$I$9)-1,"")</f>
        <v>-0.37189830360647158</v>
      </c>
    </row>
    <row r="101" spans="1:26" x14ac:dyDescent="0.2">
      <c r="A101" s="16">
        <f>'Stock Price'!A101</f>
        <v>44614</v>
      </c>
      <c r="B101" s="17">
        <f>'Stock Price'!E101</f>
        <v>75.95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-0.28651949271958665</v>
      </c>
      <c r="P101" s="19">
        <f ca="1">IF('Stock Price'!$I$11="OK",C101/INDEX(C$5:C$1258,'Stock Price'!$I$9)-1,"")</f>
        <v>-0.40064963187527058</v>
      </c>
      <c r="Q101" s="19">
        <f ca="1">IF('Stock Price'!$I$11="OK",D101/INDEX(D$5:D$1258,'Stock Price'!$I$9)-1,"")</f>
        <v>-0.34145340084850151</v>
      </c>
      <c r="R101" s="19">
        <f ca="1">IF('Stock Price'!$I$11="OK",E101/INDEX(E$5:E$1258,'Stock Price'!$I$9)-1,"")</f>
        <v>7.5206528309490039E-2</v>
      </c>
      <c r="S101" s="19">
        <f ca="1">IF('Stock Price'!$I$11="OK",F101/INDEX(F$5:F$1258,'Stock Price'!$I$9)-1,"")</f>
        <v>-9.2905733722060235E-2</v>
      </c>
      <c r="T101" s="19">
        <f ca="1">IF('Stock Price'!$I$11="OK",G101/INDEX(G$5:G$1258,'Stock Price'!$I$9)-1,"")</f>
        <v>7.9825834542815777E-2</v>
      </c>
      <c r="U101" s="19">
        <f ca="1">IF('Stock Price'!$I$11="OK",H101/INDEX(H$5:H$1258,'Stock Price'!$I$9)-1,"")</f>
        <v>0.37921052631578944</v>
      </c>
      <c r="V101" s="19">
        <f ca="1">IF('Stock Price'!$I$11="OK",I101/INDEX(I$5:I$1258,'Stock Price'!$I$9)-1,"")</f>
        <v>0.88760921366163625</v>
      </c>
      <c r="W101" s="19">
        <f ca="1">IF('Stock Price'!$I$11="OK",J101/INDEX(J$5:J$1258,'Stock Price'!$I$9)-1,"")</f>
        <v>-0.77865711429523488</v>
      </c>
      <c r="X101" s="19">
        <f ca="1">IF('Stock Price'!$I$11="OK",K101/INDEX(K$5:K$1258,'Stock Price'!$I$9)-1,"")</f>
        <v>0.26169098391320622</v>
      </c>
      <c r="Y101" s="19">
        <f ca="1">IF('Stock Price'!$I$11="OK",L101/INDEX(L$5:L$1258,'Stock Price'!$I$9)-1,"")</f>
        <v>-0.22285989872196776</v>
      </c>
      <c r="Z101" s="19">
        <f ca="1">IF('Stock Price'!$I$11="OK",M101/INDEX(M$5:M$1258,'Stock Price'!$I$9)-1,"")</f>
        <v>-0.36522611312197462</v>
      </c>
    </row>
    <row r="102" spans="1:26" x14ac:dyDescent="0.2">
      <c r="A102" s="16">
        <f>'Stock Price'!A102</f>
        <v>44615</v>
      </c>
      <c r="B102" s="17">
        <f>'Stock Price'!E102</f>
        <v>75.84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-0.28755284170972284</v>
      </c>
      <c r="P102" s="19">
        <f ca="1">IF('Stock Price'!$I$11="OK",C102/INDEX(C$5:C$1258,'Stock Price'!$I$9)-1,"")</f>
        <v>-0.39583152880034644</v>
      </c>
      <c r="Q102" s="19">
        <f ca="1">IF('Stock Price'!$I$11="OK",D102/INDEX(D$5:D$1258,'Stock Price'!$I$9)-1,"")</f>
        <v>-0.3377856849596278</v>
      </c>
      <c r="R102" s="19">
        <f ca="1">IF('Stock Price'!$I$11="OK",E102/INDEX(E$5:E$1258,'Stock Price'!$I$9)-1,"")</f>
        <v>8.6036671368123985E-2</v>
      </c>
      <c r="S102" s="19">
        <f ca="1">IF('Stock Price'!$I$11="OK",F102/INDEX(F$5:F$1258,'Stock Price'!$I$9)-1,"")</f>
        <v>-9.6015549076773676E-2</v>
      </c>
      <c r="T102" s="19">
        <f ca="1">IF('Stock Price'!$I$11="OK",G102/INDEX(G$5:G$1258,'Stock Price'!$I$9)-1,"")</f>
        <v>8.8948787061994716E-2</v>
      </c>
      <c r="U102" s="19">
        <f ca="1">IF('Stock Price'!$I$11="OK",H102/INDEX(H$5:H$1258,'Stock Price'!$I$9)-1,"")</f>
        <v>0.39342105263157912</v>
      </c>
      <c r="V102" s="19">
        <f ca="1">IF('Stock Price'!$I$11="OK",I102/INDEX(I$5:I$1258,'Stock Price'!$I$9)-1,"")</f>
        <v>0.86139793486894356</v>
      </c>
      <c r="W102" s="19">
        <f ca="1">IF('Stock Price'!$I$11="OK",J102/INDEX(J$5:J$1258,'Stock Price'!$I$9)-1,"")</f>
        <v>-0.77941612055240839</v>
      </c>
      <c r="X102" s="19">
        <f ca="1">IF('Stock Price'!$I$11="OK",K102/INDEX(K$5:K$1258,'Stock Price'!$I$9)-1,"")</f>
        <v>0.27066965955854849</v>
      </c>
      <c r="Y102" s="19">
        <f ca="1">IF('Stock Price'!$I$11="OK",L102/INDEX(L$5:L$1258,'Stock Price'!$I$9)-1,"")</f>
        <v>-0.22247407764649141</v>
      </c>
      <c r="Z102" s="19">
        <f ca="1">IF('Stock Price'!$I$11="OK",M102/INDEX(M$5:M$1258,'Stock Price'!$I$9)-1,"")</f>
        <v>-0.3599930225458986</v>
      </c>
    </row>
    <row r="103" spans="1:26" x14ac:dyDescent="0.2">
      <c r="A103" s="16">
        <f>'Stock Price'!A103</f>
        <v>44616</v>
      </c>
      <c r="B103" s="17">
        <f>'Stock Price'!E103</f>
        <v>73.510000000000005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-0.30944105213715356</v>
      </c>
      <c r="P103" s="19">
        <f ca="1">IF('Stock Price'!$I$11="OK",C103/INDEX(C$5:C$1258,'Stock Price'!$I$9)-1,"")</f>
        <v>-0.40169698282084587</v>
      </c>
      <c r="Q103" s="19">
        <f ca="1">IF('Stock Price'!$I$11="OK",D103/INDEX(D$5:D$1258,'Stock Price'!$I$9)-1,"")</f>
        <v>-0.36526618311208436</v>
      </c>
      <c r="R103" s="19">
        <f ca="1">IF('Stock Price'!$I$11="OK",E103/INDEX(E$5:E$1258,'Stock Price'!$I$9)-1,"")</f>
        <v>3.7426959500302059E-2</v>
      </c>
      <c r="S103" s="19">
        <f ca="1">IF('Stock Price'!$I$11="OK",F103/INDEX(F$5:F$1258,'Stock Price'!$I$9)-1,"")</f>
        <v>-9.7764820213799841E-2</v>
      </c>
      <c r="T103" s="19">
        <f ca="1">IF('Stock Price'!$I$11="OK",G103/INDEX(G$5:G$1258,'Stock Price'!$I$9)-1,"")</f>
        <v>6.2201948994401901E-2</v>
      </c>
      <c r="U103" s="19">
        <f ca="1">IF('Stock Price'!$I$11="OK",H103/INDEX(H$5:H$1258,'Stock Price'!$I$9)-1,"")</f>
        <v>0.3315789473684212</v>
      </c>
      <c r="V103" s="19">
        <f ca="1">IF('Stock Price'!$I$11="OK",I103/INDEX(I$5:I$1258,'Stock Price'!$I$9)-1,"")</f>
        <v>0.82525814138204923</v>
      </c>
      <c r="W103" s="19">
        <f ca="1">IF('Stock Price'!$I$11="OK",J103/INDEX(J$5:J$1258,'Stock Price'!$I$9)-1,"")</f>
        <v>-0.77500092561738676</v>
      </c>
      <c r="X103" s="19">
        <f ca="1">IF('Stock Price'!$I$11="OK",K103/INDEX(K$5:K$1258,'Stock Price'!$I$9)-1,"")</f>
        <v>0.25514403292181065</v>
      </c>
      <c r="Y103" s="19">
        <f ca="1">IF('Stock Price'!$I$11="OK",L103/INDEX(L$5:L$1258,'Stock Price'!$I$9)-1,"")</f>
        <v>-0.237328189052327</v>
      </c>
      <c r="Z103" s="19">
        <f ca="1">IF('Stock Price'!$I$11="OK",M103/INDEX(M$5:M$1258,'Stock Price'!$I$9)-1,"")</f>
        <v>-0.36649077667785968</v>
      </c>
    </row>
    <row r="104" spans="1:26" x14ac:dyDescent="0.2">
      <c r="A104" s="16">
        <f>'Stock Price'!A104</f>
        <v>44617</v>
      </c>
      <c r="B104" s="17">
        <f>'Stock Price'!E104</f>
        <v>76.319999999999993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-0.28304368248003764</v>
      </c>
      <c r="P104" s="19">
        <f ca="1">IF('Stock Price'!$I$11="OK",C104/INDEX(C$5:C$1258,'Stock Price'!$I$9)-1,"")</f>
        <v>-0.38807997690197771</v>
      </c>
      <c r="Q104" s="19">
        <f ca="1">IF('Stock Price'!$I$11="OK",D104/INDEX(D$5:D$1258,'Stock Price'!$I$9)-1,"")</f>
        <v>-0.33614342411386344</v>
      </c>
      <c r="R104" s="19">
        <f ca="1">IF('Stock Price'!$I$11="OK",E104/INDEX(E$5:E$1258,'Stock Price'!$I$9)-1,"")</f>
        <v>7.4954664517429048E-2</v>
      </c>
      <c r="S104" s="19">
        <f ca="1">IF('Stock Price'!$I$11="OK",F104/INDEX(F$5:F$1258,'Stock Price'!$I$9)-1,"")</f>
        <v>-7.4246841593780366E-2</v>
      </c>
      <c r="T104" s="19">
        <f ca="1">IF('Stock Price'!$I$11="OK",G104/INDEX(G$5:G$1258,'Stock Price'!$I$9)-1,"")</f>
        <v>9.9937798051005666E-2</v>
      </c>
      <c r="U104" s="19">
        <f ca="1">IF('Stock Price'!$I$11="OK",H104/INDEX(H$5:H$1258,'Stock Price'!$I$9)-1,"")</f>
        <v>0.39157894736842103</v>
      </c>
      <c r="V104" s="19">
        <f ca="1">IF('Stock Price'!$I$11="OK",I104/INDEX(I$5:I$1258,'Stock Price'!$I$9)-1,"")</f>
        <v>0.89515488482922945</v>
      </c>
      <c r="W104" s="19">
        <f ca="1">IF('Stock Price'!$I$11="OK",J104/INDEX(J$5:J$1258,'Stock Price'!$I$9)-1,"")</f>
        <v>-0.7678088785219741</v>
      </c>
      <c r="X104" s="19">
        <f ca="1">IF('Stock Price'!$I$11="OK",K104/INDEX(K$5:K$1258,'Stock Price'!$I$9)-1,"")</f>
        <v>0.2869435091657313</v>
      </c>
      <c r="Y104" s="19">
        <f ca="1">IF('Stock Price'!$I$11="OK",L104/INDEX(L$5:L$1258,'Stock Price'!$I$9)-1,"")</f>
        <v>-0.19942126838678564</v>
      </c>
      <c r="Z104" s="19">
        <f ca="1">IF('Stock Price'!$I$11="OK",M104/INDEX(M$5:M$1258,'Stock Price'!$I$9)-1,"")</f>
        <v>-0.34786969604465579</v>
      </c>
    </row>
    <row r="105" spans="1:26" x14ac:dyDescent="0.2">
      <c r="A105" s="16">
        <f>'Stock Price'!A105</f>
        <v>44620</v>
      </c>
      <c r="B105" s="17">
        <f>'Stock Price'!E105</f>
        <v>76.58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-0.2806012212306247</v>
      </c>
      <c r="P105" s="19">
        <f ca="1">IF('Stock Price'!$I$11="OK",C105/INDEX(C$5:C$1258,'Stock Price'!$I$9)-1,"")</f>
        <v>-0.38926735960733361</v>
      </c>
      <c r="Q105" s="19">
        <f ca="1">IF('Stock Price'!$I$11="OK",D105/INDEX(D$5:D$1258,'Stock Price'!$I$9)-1,"")</f>
        <v>-0.35825920350348983</v>
      </c>
      <c r="R105" s="19">
        <f ca="1">IF('Stock Price'!$I$11="OK",E105/INDEX(E$5:E$1258,'Stock Price'!$I$9)-1,"")</f>
        <v>5.4301833568406233E-2</v>
      </c>
      <c r="S105" s="19">
        <f ca="1">IF('Stock Price'!$I$11="OK",F105/INDEX(F$5:F$1258,'Stock Price'!$I$9)-1,"")</f>
        <v>-8.2021379980563802E-2</v>
      </c>
      <c r="T105" s="19">
        <f ca="1">IF('Stock Price'!$I$11="OK",G105/INDEX(G$5:G$1258,'Stock Price'!$I$9)-1,"")</f>
        <v>8.7497408252125375E-2</v>
      </c>
      <c r="U105" s="19">
        <f ca="1">IF('Stock Price'!$I$11="OK",H105/INDEX(H$5:H$1258,'Stock Price'!$I$9)-1,"")</f>
        <v>0.35552631578947369</v>
      </c>
      <c r="V105" s="19">
        <f ca="1">IF('Stock Price'!$I$11="OK",I105/INDEX(I$5:I$1258,'Stock Price'!$I$9)-1,"")</f>
        <v>0.86417791898332008</v>
      </c>
      <c r="W105" s="19">
        <f ca="1">IF('Stock Price'!$I$11="OK",J105/INDEX(J$5:J$1258,'Stock Price'!$I$9)-1,"")</f>
        <v>-0.76864193417009141</v>
      </c>
      <c r="X105" s="19">
        <f ca="1">IF('Stock Price'!$I$11="OK",K105/INDEX(K$5:K$1258,'Stock Price'!$I$9)-1,"")</f>
        <v>0.2845117845117846</v>
      </c>
      <c r="Y105" s="19">
        <f ca="1">IF('Stock Price'!$I$11="OK",L105/INDEX(L$5:L$1258,'Stock Price'!$I$9)-1,"")</f>
        <v>-0.20631782011092359</v>
      </c>
      <c r="Z105" s="19">
        <f ca="1">IF('Stock Price'!$I$11="OK",M105/INDEX(M$5:M$1258,'Stock Price'!$I$9)-1,"")</f>
        <v>-0.35558850464436786</v>
      </c>
    </row>
    <row r="106" spans="1:26" x14ac:dyDescent="0.2">
      <c r="A106" s="16">
        <f>'Stock Price'!A106</f>
        <v>44621</v>
      </c>
      <c r="B106" s="17">
        <f>'Stock Price'!E106</f>
        <v>76.34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-0.28285580084546735</v>
      </c>
      <c r="P106" s="19">
        <f ca="1">IF('Stock Price'!$I$11="OK",C106/INDEX(C$5:C$1258,'Stock Price'!$I$9)-1,"")</f>
        <v>-0.39164140320485052</v>
      </c>
      <c r="Q106" s="19">
        <f ca="1">IF('Stock Price'!$I$11="OK",D106/INDEX(D$5:D$1258,'Stock Price'!$I$9)-1,"")</f>
        <v>-0.33214725605583695</v>
      </c>
      <c r="R106" s="19">
        <f ca="1">IF('Stock Price'!$I$11="OK",E106/INDEX(E$5:E$1258,'Stock Price'!$I$9)-1,"")</f>
        <v>4.649405601450729E-2</v>
      </c>
      <c r="S106" s="19">
        <f ca="1">IF('Stock Price'!$I$11="OK",F106/INDEX(F$5:F$1258,'Stock Price'!$I$9)-1,"")</f>
        <v>-7.852283770651125E-2</v>
      </c>
      <c r="T106" s="19">
        <f ca="1">IF('Stock Price'!$I$11="OK",G106/INDEX(G$5:G$1258,'Stock Price'!$I$9)-1,"")</f>
        <v>5.8677171884719215E-2</v>
      </c>
      <c r="U106" s="19">
        <f ca="1">IF('Stock Price'!$I$11="OK",H106/INDEX(H$5:H$1258,'Stock Price'!$I$9)-1,"")</f>
        <v>0.36631578947368415</v>
      </c>
      <c r="V106" s="19">
        <f ca="1">IF('Stock Price'!$I$11="OK",I106/INDEX(I$5:I$1258,'Stock Price'!$I$9)-1,"")</f>
        <v>0.81691818903891988</v>
      </c>
      <c r="W106" s="19">
        <f ca="1">IF('Stock Price'!$I$11="OK",J106/INDEX(J$5:J$1258,'Stock Price'!$I$9)-1,"")</f>
        <v>-0.76905846199415007</v>
      </c>
      <c r="X106" s="19">
        <f ca="1">IF('Stock Price'!$I$11="OK",K106/INDEX(K$5:K$1258,'Stock Price'!$I$9)-1,"")</f>
        <v>0.28376356154133919</v>
      </c>
      <c r="Y106" s="19">
        <f ca="1">IF('Stock Price'!$I$11="OK",L106/INDEX(L$5:L$1258,'Stock Price'!$I$9)-1,"")</f>
        <v>-0.20906679527369176</v>
      </c>
      <c r="Z106" s="19">
        <f ca="1">IF('Stock Price'!$I$11="OK",M106/INDEX(M$5:M$1258,'Stock Price'!$I$9)-1,"")</f>
        <v>-0.35593737734943964</v>
      </c>
    </row>
    <row r="107" spans="1:26" x14ac:dyDescent="0.2">
      <c r="A107" s="16">
        <f>'Stock Price'!A107</f>
        <v>44622</v>
      </c>
      <c r="B107" s="17">
        <f>'Stock Price'!E107</f>
        <v>76.67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-0.27975575387505869</v>
      </c>
      <c r="P107" s="19">
        <f ca="1">IF('Stock Price'!$I$11="OK",C107/INDEX(C$5:C$1258,'Stock Price'!$I$9)-1,"")</f>
        <v>-0.38773134112891583</v>
      </c>
      <c r="Q107" s="19">
        <f ca="1">IF('Stock Price'!$I$11="OK",D107/INDEX(D$5:D$1258,'Stock Price'!$I$9)-1,"")</f>
        <v>-0.31616258382373075</v>
      </c>
      <c r="R107" s="19">
        <f ca="1">IF('Stock Price'!$I$11="OK",E107/INDEX(E$5:E$1258,'Stock Price'!$I$9)-1,"")</f>
        <v>5.8583518033447524E-2</v>
      </c>
      <c r="S107" s="19">
        <f ca="1">IF('Stock Price'!$I$11="OK",F107/INDEX(F$5:F$1258,'Stock Price'!$I$9)-1,"")</f>
        <v>-8.6103012633624854E-2</v>
      </c>
      <c r="T107" s="19">
        <f ca="1">IF('Stock Price'!$I$11="OK",G107/INDEX(G$5:G$1258,'Stock Price'!$I$9)-1,"")</f>
        <v>5.8677171884719215E-2</v>
      </c>
      <c r="U107" s="19">
        <f ca="1">IF('Stock Price'!$I$11="OK",H107/INDEX(H$5:H$1258,'Stock Price'!$I$9)-1,"")</f>
        <v>0.42105263157894735</v>
      </c>
      <c r="V107" s="19">
        <f ca="1">IF('Stock Price'!$I$11="OK",I107/INDEX(I$5:I$1258,'Stock Price'!$I$9)-1,"")</f>
        <v>0.89436060365369352</v>
      </c>
      <c r="W107" s="19">
        <f ca="1">IF('Stock Price'!$I$11="OK",J107/INDEX(J$5:J$1258,'Stock Price'!$I$9)-1,"")</f>
        <v>-0.7647358287978081</v>
      </c>
      <c r="X107" s="19">
        <f ca="1">IF('Stock Price'!$I$11="OK",K107/INDEX(K$5:K$1258,'Stock Price'!$I$9)-1,"")</f>
        <v>0.28787878787878785</v>
      </c>
      <c r="Y107" s="19">
        <f ca="1">IF('Stock Price'!$I$11="OK",L107/INDEX(L$5:L$1258,'Stock Price'!$I$9)-1,"")</f>
        <v>-0.19922835784904747</v>
      </c>
      <c r="Z107" s="19">
        <f ca="1">IF('Stock Price'!$I$11="OK",M107/INDEX(M$5:M$1258,'Stock Price'!$I$9)-1,"")</f>
        <v>-0.34773886878025384</v>
      </c>
    </row>
    <row r="108" spans="1:26" x14ac:dyDescent="0.2">
      <c r="A108" s="16">
        <f>'Stock Price'!A108</f>
        <v>44623</v>
      </c>
      <c r="B108" s="17">
        <f>'Stock Price'!E108</f>
        <v>77.150000000000006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-0.27524659464537338</v>
      </c>
      <c r="P108" s="19">
        <f ca="1">IF('Stock Price'!$I$11="OK",C108/INDEX(C$5:C$1258,'Stock Price'!$I$9)-1,"")</f>
        <v>-0.39848491410422981</v>
      </c>
      <c r="Q108" s="19">
        <f ca="1">IF('Stock Price'!$I$11="OK",D108/INDEX(D$5:D$1258,'Stock Price'!$I$9)-1,"")</f>
        <v>-0.35212809634596964</v>
      </c>
      <c r="R108" s="19">
        <f ca="1">IF('Stock Price'!$I$11="OK",E108/INDEX(E$5:E$1258,'Stock Price'!$I$9)-1,"")</f>
        <v>4.3975418093894714E-2</v>
      </c>
      <c r="S108" s="19">
        <f ca="1">IF('Stock Price'!$I$11="OK",F108/INDEX(F$5:F$1258,'Stock Price'!$I$9)-1,"")</f>
        <v>-9.9514091350826117E-2</v>
      </c>
      <c r="T108" s="19">
        <f ca="1">IF('Stock Price'!$I$11="OK",G108/INDEX(G$5:G$1258,'Stock Price'!$I$9)-1,"")</f>
        <v>4.0431266846361336E-2</v>
      </c>
      <c r="U108" s="19">
        <f ca="1">IF('Stock Price'!$I$11="OK",H108/INDEX(H$5:H$1258,'Stock Price'!$I$9)-1,"")</f>
        <v>0.41052631578947363</v>
      </c>
      <c r="V108" s="19">
        <f ca="1">IF('Stock Price'!$I$11="OK",I108/INDEX(I$5:I$1258,'Stock Price'!$I$9)-1,"")</f>
        <v>0.89952343129467827</v>
      </c>
      <c r="W108" s="19">
        <f ca="1">IF('Stock Price'!$I$11="OK",J108/INDEX(J$5:J$1258,'Stock Price'!$I$9)-1,"")</f>
        <v>-0.76059831907882558</v>
      </c>
      <c r="X108" s="19">
        <f ca="1">IF('Stock Price'!$I$11="OK",K108/INDEX(K$5:K$1258,'Stock Price'!$I$9)-1,"")</f>
        <v>0.29274223718668169</v>
      </c>
      <c r="Y108" s="19">
        <f ca="1">IF('Stock Price'!$I$11="OK",L108/INDEX(L$5:L$1258,'Stock Price'!$I$9)-1,"")</f>
        <v>-0.18746081504702194</v>
      </c>
      <c r="Z108" s="19">
        <f ca="1">IF('Stock Price'!$I$11="OK",M108/INDEX(M$5:M$1258,'Stock Price'!$I$9)-1,"")</f>
        <v>-0.34407570537700061</v>
      </c>
    </row>
    <row r="109" spans="1:26" x14ac:dyDescent="0.2">
      <c r="A109" s="16">
        <f>'Stock Price'!A109</f>
        <v>44624</v>
      </c>
      <c r="B109" s="17">
        <f>'Stock Price'!E109</f>
        <v>77.83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-0.26885861906998598</v>
      </c>
      <c r="P109" s="19">
        <f ca="1">IF('Stock Price'!$I$11="OK",C109/INDEX(C$5:C$1258,'Stock Price'!$I$9)-1,"")</f>
        <v>-0.40826115201385882</v>
      </c>
      <c r="Q109" s="19">
        <f ca="1">IF('Stock Price'!$I$11="OK",D109/INDEX(D$5:D$1258,'Stock Price'!$I$9)-1,"")</f>
        <v>-0.38010072533187356</v>
      </c>
      <c r="R109" s="19">
        <f ca="1">IF('Stock Price'!$I$11="OK",E109/INDEX(E$5:E$1258,'Stock Price'!$I$9)-1,"")</f>
        <v>1.1988716502115526E-2</v>
      </c>
      <c r="S109" s="19">
        <f ca="1">IF('Stock Price'!$I$11="OK",F109/INDEX(F$5:F$1258,'Stock Price'!$I$9)-1,"")</f>
        <v>-0.10515063168124394</v>
      </c>
      <c r="T109" s="19">
        <f ca="1">IF('Stock Price'!$I$11="OK",G109/INDEX(G$5:G$1258,'Stock Price'!$I$9)-1,"")</f>
        <v>5.1834957495335843E-3</v>
      </c>
      <c r="U109" s="19">
        <f ca="1">IF('Stock Price'!$I$11="OK",H109/INDEX(H$5:H$1258,'Stock Price'!$I$9)-1,"")</f>
        <v>0.3465789473684211</v>
      </c>
      <c r="V109" s="19">
        <f ca="1">IF('Stock Price'!$I$11="OK",I109/INDEX(I$5:I$1258,'Stock Price'!$I$9)-1,"")</f>
        <v>0.93208895949165993</v>
      </c>
      <c r="W109" s="19">
        <f ca="1">IF('Stock Price'!$I$11="OK",J109/INDEX(J$5:J$1258,'Stock Price'!$I$9)-1,"")</f>
        <v>-0.75668295753267423</v>
      </c>
      <c r="X109" s="19">
        <f ca="1">IF('Stock Price'!$I$11="OK",K109/INDEX(K$5:K$1258,'Stock Price'!$I$9)-1,"")</f>
        <v>0.29741863075196395</v>
      </c>
      <c r="Y109" s="19">
        <f ca="1">IF('Stock Price'!$I$11="OK",L109/INDEX(L$5:L$1258,'Stock Price'!$I$9)-1,"")</f>
        <v>-0.18263805160356883</v>
      </c>
      <c r="Z109" s="19">
        <f ca="1">IF('Stock Price'!$I$11="OK",M109/INDEX(M$5:M$1258,'Stock Price'!$I$9)-1,"")</f>
        <v>-0.3434215690549911</v>
      </c>
    </row>
    <row r="110" spans="1:26" x14ac:dyDescent="0.2">
      <c r="A110" s="16">
        <f>'Stock Price'!A110</f>
        <v>44627</v>
      </c>
      <c r="B110" s="17">
        <f>'Stock Price'!E110</f>
        <v>77.73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-0.26979802724283697</v>
      </c>
      <c r="P110" s="19">
        <f ca="1">IF('Stock Price'!$I$11="OK",C110/INDEX(C$5:C$1258,'Stock Price'!$I$9)-1,"")</f>
        <v>-0.41664068139165578</v>
      </c>
      <c r="Q110" s="19">
        <f ca="1">IF('Stock Price'!$I$11="OK",D110/INDEX(D$5:D$1258,'Stock Price'!$I$9)-1,"")</f>
        <v>-0.37446284384836459</v>
      </c>
      <c r="R110" s="19">
        <f ca="1">IF('Stock Price'!$I$11="OK",E110/INDEX(E$5:E$1258,'Stock Price'!$I$9)-1,"")</f>
        <v>-6.1454765262946021E-3</v>
      </c>
      <c r="S110" s="19">
        <f ca="1">IF('Stock Price'!$I$11="OK",F110/INDEX(F$5:F$1258,'Stock Price'!$I$9)-1,"")</f>
        <v>-0.11933916423712343</v>
      </c>
      <c r="T110" s="19">
        <f ca="1">IF('Stock Price'!$I$11="OK",G110/INDEX(G$5:G$1258,'Stock Price'!$I$9)-1,"")</f>
        <v>7.4642338793282637E-3</v>
      </c>
      <c r="U110" s="19">
        <f ca="1">IF('Stock Price'!$I$11="OK",H110/INDEX(H$5:H$1258,'Stock Price'!$I$9)-1,"")</f>
        <v>0.33368421052631581</v>
      </c>
      <c r="V110" s="19">
        <f ca="1">IF('Stock Price'!$I$11="OK",I110/INDEX(I$5:I$1258,'Stock Price'!$I$9)-1,"")</f>
        <v>0.90548054011119916</v>
      </c>
      <c r="W110" s="19">
        <f ca="1">IF('Stock Price'!$I$11="OK",J110/INDEX(J$5:J$1258,'Stock Price'!$I$9)-1,"")</f>
        <v>-0.75782146691843455</v>
      </c>
      <c r="X110" s="19">
        <f ca="1">IF('Stock Price'!$I$11="OK",K110/INDEX(K$5:K$1258,'Stock Price'!$I$9)-1,"")</f>
        <v>0.28638234193789747</v>
      </c>
      <c r="Y110" s="19">
        <f ca="1">IF('Stock Price'!$I$11="OK",L110/INDEX(L$5:L$1258,'Stock Price'!$I$9)-1,"")</f>
        <v>-0.16947190740294182</v>
      </c>
      <c r="Z110" s="19">
        <f ca="1">IF('Stock Price'!$I$11="OK",M110/INDEX(M$5:M$1258,'Stock Price'!$I$9)-1,"")</f>
        <v>-0.34826217783786151</v>
      </c>
    </row>
    <row r="111" spans="1:26" x14ac:dyDescent="0.2">
      <c r="A111" s="16">
        <f>'Stock Price'!A111</f>
        <v>44628</v>
      </c>
      <c r="B111" s="17">
        <f>'Stock Price'!E111</f>
        <v>76.95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-0.27712541099107557</v>
      </c>
      <c r="P111" s="19">
        <f ca="1">IF('Stock Price'!$I$11="OK",C111/INDEX(C$5:C$1258,'Stock Price'!$I$9)-1,"")</f>
        <v>-0.44059260863288585</v>
      </c>
      <c r="Q111" s="19">
        <f ca="1">IF('Stock Price'!$I$11="OK",D111/INDEX(D$5:D$1258,'Stock Price'!$I$9)-1,"")</f>
        <v>-0.38234569590803347</v>
      </c>
      <c r="R111" s="19">
        <f ca="1">IF('Stock Price'!$I$11="OK",E111/INDEX(E$5:E$1258,'Stock Price'!$I$9)-1,"")</f>
        <v>6.9514406608905954E-3</v>
      </c>
      <c r="S111" s="19">
        <f ca="1">IF('Stock Price'!$I$11="OK",F111/INDEX(F$5:F$1258,'Stock Price'!$I$9)-1,"")</f>
        <v>-9.9902818270165228E-2</v>
      </c>
      <c r="T111" s="19">
        <f ca="1">IF('Stock Price'!$I$11="OK",G111/INDEX(G$5:G$1258,'Stock Price'!$I$9)-1,"")</f>
        <v>4.0845946506324005E-2</v>
      </c>
      <c r="U111" s="19">
        <f ca="1">IF('Stock Price'!$I$11="OK",H111/INDEX(H$5:H$1258,'Stock Price'!$I$9)-1,"")</f>
        <v>0.3292105263157894</v>
      </c>
      <c r="V111" s="19">
        <f ca="1">IF('Stock Price'!$I$11="OK",I111/INDEX(I$5:I$1258,'Stock Price'!$I$9)-1,"")</f>
        <v>0.88403494837172358</v>
      </c>
      <c r="W111" s="19">
        <f ca="1">IF('Stock Price'!$I$11="OK",J111/INDEX(J$5:J$1258,'Stock Price'!$I$9)-1,"")</f>
        <v>-0.75940427264985744</v>
      </c>
      <c r="X111" s="19">
        <f ca="1">IF('Stock Price'!$I$11="OK",K111/INDEX(K$5:K$1258,'Stock Price'!$I$9)-1,"")</f>
        <v>0.26711560044893368</v>
      </c>
      <c r="Y111" s="19">
        <f ca="1">IF('Stock Price'!$I$11="OK",L111/INDEX(L$5:L$1258,'Stock Price'!$I$9)-1,"")</f>
        <v>-0.18630335182059321</v>
      </c>
      <c r="Z111" s="19">
        <f ca="1">IF('Stock Price'!$I$11="OK",M111/INDEX(M$5:M$1258,'Stock Price'!$I$9)-1,"")</f>
        <v>-0.35829226810867387</v>
      </c>
    </row>
    <row r="112" spans="1:26" x14ac:dyDescent="0.2">
      <c r="A112" s="16">
        <f>'Stock Price'!A112</f>
        <v>44629</v>
      </c>
      <c r="B112" s="17">
        <f>'Stock Price'!E112</f>
        <v>77.790000000000006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-0.26923438233912633</v>
      </c>
      <c r="P112" s="19">
        <f ca="1">IF('Stock Price'!$I$11="OK",C112/INDEX(C$5:C$1258,'Stock Price'!$I$9)-1,"")</f>
        <v>-0.42634690342139447</v>
      </c>
      <c r="Q112" s="19">
        <f ca="1">IF('Stock Price'!$I$11="OK",D112/INDEX(D$5:D$1258,'Stock Price'!$I$9)-1,"")</f>
        <v>-0.34692760366771591</v>
      </c>
      <c r="R112" s="19">
        <f ca="1">IF('Stock Price'!$I$11="OK",E112/INDEX(E$5:E$1258,'Stock Price'!$I$9)-1,"")</f>
        <v>4.1204916381220924E-2</v>
      </c>
      <c r="S112" s="19">
        <f ca="1">IF('Stock Price'!$I$11="OK",F112/INDEX(F$5:F$1258,'Stock Price'!$I$9)-1,"")</f>
        <v>-6.7638483965014706E-2</v>
      </c>
      <c r="T112" s="19">
        <f ca="1">IF('Stock Price'!$I$11="OK",G112/INDEX(G$5:G$1258,'Stock Price'!$I$9)-1,"")</f>
        <v>7.6612067178104981E-2</v>
      </c>
      <c r="U112" s="19">
        <f ca="1">IF('Stock Price'!$I$11="OK",H112/INDEX(H$5:H$1258,'Stock Price'!$I$9)-1,"")</f>
        <v>0.41500000000000004</v>
      </c>
      <c r="V112" s="19">
        <f ca="1">IF('Stock Price'!$I$11="OK",I112/INDEX(I$5:I$1258,'Stock Price'!$I$9)-1,"")</f>
        <v>0.93606036536934067</v>
      </c>
      <c r="W112" s="19">
        <f ca="1">IF('Stock Price'!$I$11="OK",J112/INDEX(J$5:J$1258,'Stock Price'!$I$9)-1,"")</f>
        <v>-0.75675700692361803</v>
      </c>
      <c r="X112" s="19">
        <f ca="1">IF('Stock Price'!$I$11="OK",K112/INDEX(K$5:K$1258,'Stock Price'!$I$9)-1,"")</f>
        <v>0.27441077441077422</v>
      </c>
      <c r="Y112" s="19">
        <f ca="1">IF('Stock Price'!$I$11="OK",L112/INDEX(L$5:L$1258,'Stock Price'!$I$9)-1,"")</f>
        <v>-0.18321678321678314</v>
      </c>
      <c r="Z112" s="19">
        <f ca="1">IF('Stock Price'!$I$11="OK",M112/INDEX(M$5:M$1258,'Stock Price'!$I$9)-1,"")</f>
        <v>-0.35092233221403335</v>
      </c>
    </row>
    <row r="113" spans="1:26" x14ac:dyDescent="0.2">
      <c r="A113" s="16">
        <f>'Stock Price'!A113</f>
        <v>44630</v>
      </c>
      <c r="B113" s="17">
        <f>'Stock Price'!E113</f>
        <v>77.89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-0.26829497416627524</v>
      </c>
      <c r="P113" s="19">
        <f ca="1">IF('Stock Price'!$I$11="OK",C113/INDEX(C$5:C$1258,'Stock Price'!$I$9)-1,"")</f>
        <v>-0.42062075934748078</v>
      </c>
      <c r="Q113" s="19">
        <f ca="1">IF('Stock Price'!$I$11="OK",D113/INDEX(D$5:D$1258,'Stock Price'!$I$9)-1,"")</f>
        <v>-0.32984809087176681</v>
      </c>
      <c r="R113" s="19">
        <f ca="1">IF('Stock Price'!$I$11="OK",E113/INDEX(E$5:E$1258,'Stock Price'!$I$9)-1,"")</f>
        <v>2.8359862986097051E-2</v>
      </c>
      <c r="S113" s="19">
        <f ca="1">IF('Stock Price'!$I$11="OK",F113/INDEX(F$5:F$1258,'Stock Price'!$I$9)-1,"")</f>
        <v>-8.7269193391642408E-2</v>
      </c>
      <c r="T113" s="19">
        <f ca="1">IF('Stock Price'!$I$11="OK",G113/INDEX(G$5:G$1258,'Stock Price'!$I$9)-1,"")</f>
        <v>6.5726726104084587E-2</v>
      </c>
      <c r="U113" s="19">
        <f ca="1">IF('Stock Price'!$I$11="OK",H113/INDEX(H$5:H$1258,'Stock Price'!$I$9)-1,"")</f>
        <v>0.41500000000000004</v>
      </c>
      <c r="V113" s="19">
        <f ca="1">IF('Stock Price'!$I$11="OK",I113/INDEX(I$5:I$1258,'Stock Price'!$I$9)-1,"")</f>
        <v>0.95393169181890403</v>
      </c>
      <c r="W113" s="19">
        <f ca="1">IF('Stock Price'!$I$11="OK",J113/INDEX(J$5:J$1258,'Stock Price'!$I$9)-1,"")</f>
        <v>-0.75376726276426376</v>
      </c>
      <c r="X113" s="19">
        <f ca="1">IF('Stock Price'!$I$11="OK",K113/INDEX(K$5:K$1258,'Stock Price'!$I$9)-1,"")</f>
        <v>0.27983539094650212</v>
      </c>
      <c r="Y113" s="19">
        <f ca="1">IF('Stock Price'!$I$11="OK",L113/INDEX(L$5:L$1258,'Stock Price'!$I$9)-1,"")</f>
        <v>-0.18176995418374731</v>
      </c>
      <c r="Z113" s="19">
        <f ca="1">IF('Stock Price'!$I$11="OK",M113/INDEX(M$5:M$1258,'Stock Price'!$I$9)-1,"")</f>
        <v>-0.34948323230561251</v>
      </c>
    </row>
    <row r="114" spans="1:26" x14ac:dyDescent="0.2">
      <c r="A114" s="16">
        <f>'Stock Price'!A114</f>
        <v>44631</v>
      </c>
      <c r="B114" s="17">
        <f>'Stock Price'!E114</f>
        <v>78.260000000000005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-0.26481916392672611</v>
      </c>
      <c r="P114" s="19">
        <f ca="1">IF('Stock Price'!$I$11="OK",C114/INDEX(C$5:C$1258,'Stock Price'!$I$9)-1,"")</f>
        <v>-0.4248108849429767</v>
      </c>
      <c r="Q114" s="19">
        <f ca="1">IF('Stock Price'!$I$11="OK",D114/INDEX(D$5:D$1258,'Stock Price'!$I$9)-1,"")</f>
        <v>-0.34391679211714798</v>
      </c>
      <c r="R114" s="19">
        <f ca="1">IF('Stock Price'!$I$11="OK",E114/INDEX(E$5:E$1258,'Stock Price'!$I$9)-1,"")</f>
        <v>2.1559540600443183E-2</v>
      </c>
      <c r="S114" s="19">
        <f ca="1">IF('Stock Price'!$I$11="OK",F114/INDEX(F$5:F$1258,'Stock Price'!$I$9)-1,"")</f>
        <v>-9.7764820213799841E-2</v>
      </c>
      <c r="T114" s="19">
        <f ca="1">IF('Stock Price'!$I$11="OK",G114/INDEX(G$5:G$1258,'Stock Price'!$I$9)-1,"")</f>
        <v>5.1420277835372286E-2</v>
      </c>
      <c r="U114" s="19">
        <f ca="1">IF('Stock Price'!$I$11="OK",H114/INDEX(H$5:H$1258,'Stock Price'!$I$9)-1,"")</f>
        <v>0.45710526315789468</v>
      </c>
      <c r="V114" s="19">
        <f ca="1">IF('Stock Price'!$I$11="OK",I114/INDEX(I$5:I$1258,'Stock Price'!$I$9)-1,"")</f>
        <v>0.99642573471008755</v>
      </c>
      <c r="W114" s="19">
        <f ca="1">IF('Stock Price'!$I$11="OK",J114/INDEX(J$5:J$1258,'Stock Price'!$I$9)-1,"")</f>
        <v>-0.75350808989596052</v>
      </c>
      <c r="X114" s="19">
        <f ca="1">IF('Stock Price'!$I$11="OK",K114/INDEX(K$5:K$1258,'Stock Price'!$I$9)-1,"")</f>
        <v>0.28825289936401055</v>
      </c>
      <c r="Y114" s="19">
        <f ca="1">IF('Stock Price'!$I$11="OK",L114/INDEX(L$5:L$1258,'Stock Price'!$I$9)-1,"")</f>
        <v>-0.18326501085121771</v>
      </c>
      <c r="Z114" s="19">
        <f ca="1">IF('Stock Price'!$I$11="OK",M114/INDEX(M$5:M$1258,'Stock Price'!$I$9)-1,"")</f>
        <v>-0.34996293227508612</v>
      </c>
    </row>
    <row r="115" spans="1:26" x14ac:dyDescent="0.2">
      <c r="A115" s="16">
        <f>'Stock Price'!A115</f>
        <v>44634</v>
      </c>
      <c r="B115" s="17">
        <f>'Stock Price'!E115</f>
        <v>77.78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-0.26932832315641142</v>
      </c>
      <c r="P115" s="19">
        <f ca="1">IF('Stock Price'!$I$11="OK",C115/INDEX(C$5:C$1258,'Stock Price'!$I$9)-1,"")</f>
        <v>-0.41293994514219723</v>
      </c>
      <c r="Q115" s="19">
        <f ca="1">IF('Stock Price'!$I$11="OK",D115/INDEX(D$5:D$1258,'Stock Price'!$I$9)-1,"")</f>
        <v>-0.33909949363623926</v>
      </c>
      <c r="R115" s="19">
        <f ca="1">IF('Stock Price'!$I$11="OK",E115/INDEX(E$5:E$1258,'Stock Price'!$I$9)-1,"")</f>
        <v>2.6848680233729549E-2</v>
      </c>
      <c r="S115" s="19">
        <f ca="1">IF('Stock Price'!$I$11="OK",F115/INDEX(F$5:F$1258,'Stock Price'!$I$9)-1,"")</f>
        <v>-8.1049562682215748E-2</v>
      </c>
      <c r="T115" s="19">
        <f ca="1">IF('Stock Price'!$I$11="OK",G115/INDEX(G$5:G$1258,'Stock Price'!$I$9)-1,"")</f>
        <v>4.3541364296081353E-2</v>
      </c>
      <c r="U115" s="19">
        <f ca="1">IF('Stock Price'!$I$11="OK",H115/INDEX(H$5:H$1258,'Stock Price'!$I$9)-1,"")</f>
        <v>0.4676315789473684</v>
      </c>
      <c r="V115" s="19">
        <f ca="1">IF('Stock Price'!$I$11="OK",I115/INDEX(I$5:I$1258,'Stock Price'!$I$9)-1,"")</f>
        <v>1.0750595710881652</v>
      </c>
      <c r="W115" s="19">
        <f ca="1">IF('Stock Price'!$I$11="OK",J115/INDEX(J$5:J$1258,'Stock Price'!$I$9)-1,"")</f>
        <v>-0.7510089229516087</v>
      </c>
      <c r="X115" s="19">
        <f ca="1">IF('Stock Price'!$I$11="OK",K115/INDEX(K$5:K$1258,'Stock Price'!$I$9)-1,"")</f>
        <v>0.29517396184062838</v>
      </c>
      <c r="Y115" s="19">
        <f ca="1">IF('Stock Price'!$I$11="OK",L115/INDEX(L$5:L$1258,'Stock Price'!$I$9)-1,"")</f>
        <v>-0.17197974439353747</v>
      </c>
      <c r="Z115" s="19">
        <f ca="1">IF('Stock Price'!$I$11="OK",M115/INDEX(M$5:M$1258,'Stock Price'!$I$9)-1,"")</f>
        <v>-0.3367057694823602</v>
      </c>
    </row>
    <row r="116" spans="1:26" x14ac:dyDescent="0.2">
      <c r="A116" s="16">
        <f>'Stock Price'!A116</f>
        <v>44635</v>
      </c>
      <c r="B116" s="17">
        <f>'Stock Price'!E116</f>
        <v>78.64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-0.26124941286989201</v>
      </c>
      <c r="P116" s="19">
        <f ca="1">IF('Stock Price'!$I$11="OK",C116/INDEX(C$5:C$1258,'Stock Price'!$I$9)-1,"")</f>
        <v>-0.40833116789374901</v>
      </c>
      <c r="Q116" s="19">
        <f ca="1">IF('Stock Price'!$I$11="OK",D116/INDEX(D$5:D$1258,'Stock Price'!$I$9)-1,"")</f>
        <v>-0.33586971397290277</v>
      </c>
      <c r="R116" s="19">
        <f ca="1">IF('Stock Price'!$I$11="OK",E116/INDEX(E$5:E$1258,'Stock Price'!$I$9)-1,"")</f>
        <v>5.0272012895426155E-2</v>
      </c>
      <c r="S116" s="19">
        <f ca="1">IF('Stock Price'!$I$11="OK",F116/INDEX(F$5:F$1258,'Stock Price'!$I$9)-1,"")</f>
        <v>-6.9970845481049593E-2</v>
      </c>
      <c r="T116" s="19">
        <f ca="1">IF('Stock Price'!$I$11="OK",G116/INDEX(G$5:G$1258,'Stock Price'!$I$9)-1,"")</f>
        <v>7.4642338793282192E-2</v>
      </c>
      <c r="U116" s="19">
        <f ca="1">IF('Stock Price'!$I$11="OK",H116/INDEX(H$5:H$1258,'Stock Price'!$I$9)-1,"")</f>
        <v>0.47210526315789458</v>
      </c>
      <c r="V116" s="19">
        <f ca="1">IF('Stock Price'!$I$11="OK",I116/INDEX(I$5:I$1258,'Stock Price'!$I$9)-1,"")</f>
        <v>1.0734710087370929</v>
      </c>
      <c r="W116" s="19">
        <f ca="1">IF('Stock Price'!$I$11="OK",J116/INDEX(J$5:J$1258,'Stock Price'!$I$9)-1,"")</f>
        <v>-0.74502943463290017</v>
      </c>
      <c r="X116" s="19">
        <f ca="1">IF('Stock Price'!$I$11="OK",K116/INDEX(K$5:K$1258,'Stock Price'!$I$9)-1,"")</f>
        <v>0.30471380471380471</v>
      </c>
      <c r="Y116" s="19">
        <f ca="1">IF('Stock Price'!$I$11="OK",L116/INDEX(L$5:L$1258,'Stock Price'!$I$9)-1,"")</f>
        <v>-0.15051844707017126</v>
      </c>
      <c r="Z116" s="19">
        <f ca="1">IF('Stock Price'!$I$11="OK",M116/INDEX(M$5:M$1258,'Stock Price'!$I$9)-1,"")</f>
        <v>-0.32022153416772059</v>
      </c>
    </row>
    <row r="117" spans="1:26" x14ac:dyDescent="0.2">
      <c r="A117" s="16">
        <f>'Stock Price'!A117</f>
        <v>44636</v>
      </c>
      <c r="B117" s="17">
        <f>'Stock Price'!E117</f>
        <v>78.12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-0.26613433536871767</v>
      </c>
      <c r="P117" s="19">
        <f ca="1">IF('Stock Price'!$I$11="OK",C117/INDEX(C$5:C$1258,'Stock Price'!$I$9)-1,"")</f>
        <v>-0.40895914537317735</v>
      </c>
      <c r="Q117" s="19">
        <f ca="1">IF('Stock Price'!$I$11="OK",D117/INDEX(D$5:D$1258,'Stock Price'!$I$9)-1,"")</f>
        <v>-0.33581497194471055</v>
      </c>
      <c r="R117" s="19">
        <f ca="1">IF('Stock Price'!$I$11="OK",E117/INDEX(E$5:E$1258,'Stock Price'!$I$9)-1,"")</f>
        <v>6.0346564577876238E-2</v>
      </c>
      <c r="S117" s="19">
        <f ca="1">IF('Stock Price'!$I$11="OK",F117/INDEX(F$5:F$1258,'Stock Price'!$I$9)-1,"")</f>
        <v>-6.5889212827988319E-2</v>
      </c>
      <c r="T117" s="19">
        <f ca="1">IF('Stock Price'!$I$11="OK",G117/INDEX(G$5:G$1258,'Stock Price'!$I$9)-1,"")</f>
        <v>7.6093717603151534E-2</v>
      </c>
      <c r="U117" s="19">
        <f ca="1">IF('Stock Price'!$I$11="OK",H117/INDEX(H$5:H$1258,'Stock Price'!$I$9)-1,"")</f>
        <v>0.49947368421052629</v>
      </c>
      <c r="V117" s="19">
        <f ca="1">IF('Stock Price'!$I$11="OK",I117/INDEX(I$5:I$1258,'Stock Price'!$I$9)-1,"")</f>
        <v>1.1016679904686262</v>
      </c>
      <c r="W117" s="19">
        <f ca="1">IF('Stock Price'!$I$11="OK",J117/INDEX(J$5:J$1258,'Stock Price'!$I$9)-1,"")</f>
        <v>-0.74412232959383906</v>
      </c>
      <c r="X117" s="19">
        <f ca="1">IF('Stock Price'!$I$11="OK",K117/INDEX(K$5:K$1258,'Stock Price'!$I$9)-1,"")</f>
        <v>0.30303030303030298</v>
      </c>
      <c r="Y117" s="19">
        <f ca="1">IF('Stock Price'!$I$11="OK",L117/INDEX(L$5:L$1258,'Stock Price'!$I$9)-1,"")</f>
        <v>-0.15833132384856519</v>
      </c>
      <c r="Z117" s="19">
        <f ca="1">IF('Stock Price'!$I$11="OK",M117/INDEX(M$5:M$1258,'Stock Price'!$I$9)-1,"")</f>
        <v>-0.31948017966944309</v>
      </c>
    </row>
    <row r="118" spans="1:26" x14ac:dyDescent="0.2">
      <c r="A118" s="16">
        <f>'Stock Price'!A118</f>
        <v>44637</v>
      </c>
      <c r="B118" s="17">
        <f>'Stock Price'!E118</f>
        <v>78.94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-0.25843118835133871</v>
      </c>
      <c r="P118" s="19">
        <f ca="1">IF('Stock Price'!$I$11="OK",C118/INDEX(C$5:C$1258,'Stock Price'!$I$9)-1,"")</f>
        <v>-0.39639021221307924</v>
      </c>
      <c r="Q118" s="19">
        <f ca="1">IF('Stock Price'!$I$11="OK",D118/INDEX(D$5:D$1258,'Stock Price'!$I$9)-1,"")</f>
        <v>-0.32076091419187081</v>
      </c>
      <c r="R118" s="19">
        <f ca="1">IF('Stock Price'!$I$11="OK",E118/INDEX(E$5:E$1258,'Stock Price'!$I$9)-1,"")</f>
        <v>8.427362482369527E-2</v>
      </c>
      <c r="S118" s="19">
        <f ca="1">IF('Stock Price'!$I$11="OK",F118/INDEX(F$5:F$1258,'Stock Price'!$I$9)-1,"")</f>
        <v>-6.7249757045675373E-2</v>
      </c>
      <c r="T118" s="19">
        <f ca="1">IF('Stock Price'!$I$11="OK",G118/INDEX(G$5:G$1258,'Stock Price'!$I$9)-1,"")</f>
        <v>9.0607505701845392E-2</v>
      </c>
      <c r="U118" s="19">
        <f ca="1">IF('Stock Price'!$I$11="OK",H118/INDEX(H$5:H$1258,'Stock Price'!$I$9)-1,"")</f>
        <v>0.52236842105263159</v>
      </c>
      <c r="V118" s="19">
        <f ca="1">IF('Stock Price'!$I$11="OK",I118/INDEX(I$5:I$1258,'Stock Price'!$I$9)-1,"")</f>
        <v>1.1540905480540111</v>
      </c>
      <c r="W118" s="19">
        <f ca="1">IF('Stock Price'!$I$11="OK",J118/INDEX(J$5:J$1258,'Stock Price'!$I$9)-1,"")</f>
        <v>-0.73572697989559033</v>
      </c>
      <c r="X118" s="19">
        <f ca="1">IF('Stock Price'!$I$11="OK",K118/INDEX(K$5:K$1258,'Stock Price'!$I$9)-1,"")</f>
        <v>0.31911709689487466</v>
      </c>
      <c r="Y118" s="19">
        <f ca="1">IF('Stock Price'!$I$11="OK",L118/INDEX(L$5:L$1258,'Stock Price'!$I$9)-1,"")</f>
        <v>-0.14733542319749204</v>
      </c>
      <c r="Z118" s="19">
        <f ca="1">IF('Stock Price'!$I$11="OK",M118/INDEX(M$5:M$1258,'Stock Price'!$I$9)-1,"")</f>
        <v>-0.3084034712834155</v>
      </c>
    </row>
    <row r="119" spans="1:26" x14ac:dyDescent="0.2">
      <c r="A119" s="16">
        <f>'Stock Price'!A119</f>
        <v>44638</v>
      </c>
      <c r="B119" s="17">
        <f>'Stock Price'!E119</f>
        <v>79.11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-0.25683419445749178</v>
      </c>
      <c r="P119" s="19">
        <f ca="1">IF('Stock Price'!$I$11="OK",C119/INDEX(C$5:C$1258,'Stock Price'!$I$9)-1,"")</f>
        <v>-0.39394615273567202</v>
      </c>
      <c r="Q119" s="19">
        <f ca="1">IF('Stock Price'!$I$11="OK",D119/INDEX(D$5:D$1258,'Stock Price'!$I$9)-1,"")</f>
        <v>-0.29973997536608732</v>
      </c>
      <c r="R119" s="19">
        <f ca="1">IF('Stock Price'!$I$11="OK",E119/INDEX(E$5:E$1258,'Stock Price'!$I$9)-1,"")</f>
        <v>8.3518033447511408E-2</v>
      </c>
      <c r="S119" s="19">
        <f ca="1">IF('Stock Price'!$I$11="OK",F119/INDEX(F$5:F$1258,'Stock Price'!$I$9)-1,"")</f>
        <v>-4.4703595724003953E-2</v>
      </c>
      <c r="T119" s="19">
        <f ca="1">IF('Stock Price'!$I$11="OK",G119/INDEX(G$5:G$1258,'Stock Price'!$I$9)-1,"")</f>
        <v>8.0033174372797111E-2</v>
      </c>
      <c r="U119" s="19">
        <f ca="1">IF('Stock Price'!$I$11="OK",H119/INDEX(H$5:H$1258,'Stock Price'!$I$9)-1,"")</f>
        <v>0.52657894736842104</v>
      </c>
      <c r="V119" s="19">
        <f ca="1">IF('Stock Price'!$I$11="OK",I119/INDEX(I$5:I$1258,'Stock Price'!$I$9)-1,"")</f>
        <v>1.1648133439237491</v>
      </c>
      <c r="W119" s="19">
        <f ca="1">IF('Stock Price'!$I$11="OK",J119/INDEX(J$5:J$1258,'Stock Price'!$I$9)-1,"")</f>
        <v>-0.7337554148617127</v>
      </c>
      <c r="X119" s="19">
        <f ca="1">IF('Stock Price'!$I$11="OK",K119/INDEX(K$5:K$1258,'Stock Price'!$I$9)-1,"")</f>
        <v>0.32846988402543942</v>
      </c>
      <c r="Y119" s="19">
        <f ca="1">IF('Stock Price'!$I$11="OK",L119/INDEX(L$5:L$1258,'Stock Price'!$I$9)-1,"")</f>
        <v>-0.15678803954666021</v>
      </c>
      <c r="Z119" s="19">
        <f ca="1">IF('Stock Price'!$I$11="OK",M119/INDEX(M$5:M$1258,'Stock Price'!$I$9)-1,"")</f>
        <v>-0.30574331690724355</v>
      </c>
    </row>
    <row r="120" spans="1:26" x14ac:dyDescent="0.2">
      <c r="A120" s="16">
        <f>'Stock Price'!A120</f>
        <v>44641</v>
      </c>
      <c r="B120" s="17">
        <f>'Stock Price'!E120</f>
        <v>79.06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-0.25730389854391733</v>
      </c>
      <c r="P120" s="19">
        <f ca="1">IF('Stock Price'!$I$11="OK",C120/INDEX(C$5:C$1258,'Stock Price'!$I$9)-1,"")</f>
        <v>-0.39890356575718211</v>
      </c>
      <c r="Q120" s="19">
        <f ca="1">IF('Stock Price'!$I$11="OK",D120/INDEX(D$5:D$1258,'Stock Price'!$I$9)-1,"")</f>
        <v>-0.33329683864787196</v>
      </c>
      <c r="R120" s="19">
        <f ca="1">IF('Stock Price'!$I$11="OK",E120/INDEX(E$5:E$1258,'Stock Price'!$I$9)-1,"")</f>
        <v>7.8984485190408904E-2</v>
      </c>
      <c r="S120" s="19">
        <f ca="1">IF('Stock Price'!$I$11="OK",F120/INDEX(F$5:F$1258,'Stock Price'!$I$9)-1,"")</f>
        <v>-4.9173955296404337E-2</v>
      </c>
      <c r="T120" s="19">
        <f ca="1">IF('Stock Price'!$I$11="OK",G120/INDEX(G$5:G$1258,'Stock Price'!$I$9)-1,"")</f>
        <v>5.6396433754924535E-2</v>
      </c>
      <c r="U120" s="19">
        <f ca="1">IF('Stock Price'!$I$11="OK",H120/INDEX(H$5:H$1258,'Stock Price'!$I$9)-1,"")</f>
        <v>0.54368421052631577</v>
      </c>
      <c r="V120" s="19">
        <f ca="1">IF('Stock Price'!$I$11="OK",I120/INDEX(I$5:I$1258,'Stock Price'!$I$9)-1,"")</f>
        <v>1.1521048451151708</v>
      </c>
      <c r="W120" s="19">
        <f ca="1">IF('Stock Price'!$I$11="OK",J120/INDEX(J$5:J$1258,'Stock Price'!$I$9)-1,"")</f>
        <v>-0.73190418008811875</v>
      </c>
      <c r="X120" s="19">
        <f ca="1">IF('Stock Price'!$I$11="OK",K120/INDEX(K$5:K$1258,'Stock Price'!$I$9)-1,"")</f>
        <v>0.32903105125327348</v>
      </c>
      <c r="Y120" s="19">
        <f ca="1">IF('Stock Price'!$I$11="OK",L120/INDEX(L$5:L$1258,'Stock Price'!$I$9)-1,"")</f>
        <v>-0.15201350373764155</v>
      </c>
      <c r="Z120" s="19">
        <f ca="1">IF('Stock Price'!$I$11="OK",M120/INDEX(M$5:M$1258,'Stock Price'!$I$9)-1,"")</f>
        <v>-0.30203654441585626</v>
      </c>
    </row>
    <row r="121" spans="1:26" x14ac:dyDescent="0.2">
      <c r="A121" s="16">
        <f>'Stock Price'!A121</f>
        <v>44642</v>
      </c>
      <c r="B121" s="17">
        <f>'Stock Price'!E121</f>
        <v>79.3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-0.25504931892907468</v>
      </c>
      <c r="P121" s="19">
        <f ca="1">IF('Stock Price'!$I$11="OK",C121/INDEX(C$5:C$1258,'Stock Price'!$I$9)-1,"")</f>
        <v>-0.40009094846253779</v>
      </c>
      <c r="Q121" s="19">
        <f ca="1">IF('Stock Price'!$I$11="OK",D121/INDEX(D$5:D$1258,'Stock Price'!$I$9)-1,"")</f>
        <v>-0.29973997536608732</v>
      </c>
      <c r="R121" s="19">
        <f ca="1">IF('Stock Price'!$I$11="OK",E121/INDEX(E$5:E$1258,'Stock Price'!$I$9)-1,"")</f>
        <v>8.8807173080797774E-2</v>
      </c>
      <c r="S121" s="19">
        <f ca="1">IF('Stock Price'!$I$11="OK",F121/INDEX(F$5:F$1258,'Stock Price'!$I$9)-1,"")</f>
        <v>-4.6064139941691007E-2</v>
      </c>
      <c r="T121" s="19">
        <f ca="1">IF('Stock Price'!$I$11="OK",G121/INDEX(G$5:G$1258,'Stock Price'!$I$9)-1,"")</f>
        <v>7.2154260833506179E-2</v>
      </c>
      <c r="U121" s="19">
        <f ca="1">IF('Stock Price'!$I$11="OK",H121/INDEX(H$5:H$1258,'Stock Price'!$I$9)-1,"")</f>
        <v>0.55710526315789477</v>
      </c>
      <c r="V121" s="19">
        <f ca="1">IF('Stock Price'!$I$11="OK",I121/INDEX(I$5:I$1258,'Stock Price'!$I$9)-1,"")</f>
        <v>1.1064336775218426</v>
      </c>
      <c r="W121" s="19">
        <f ca="1">IF('Stock Price'!$I$11="OK",J121/INDEX(J$5:J$1258,'Stock Price'!$I$9)-1,"")</f>
        <v>-0.73618053241512094</v>
      </c>
      <c r="X121" s="19">
        <f ca="1">IF('Stock Price'!$I$11="OK",K121/INDEX(K$5:K$1258,'Stock Price'!$I$9)-1,"")</f>
        <v>0.32472876917321347</v>
      </c>
      <c r="Y121" s="19">
        <f ca="1">IF('Stock Price'!$I$11="OK",L121/INDEX(L$5:L$1258,'Stock Price'!$I$9)-1,"")</f>
        <v>-0.15601639739570772</v>
      </c>
      <c r="Z121" s="19">
        <f ca="1">IF('Stock Price'!$I$11="OK",M121/INDEX(M$5:M$1258,'Stock Price'!$I$9)-1,"")</f>
        <v>-0.30221098076839215</v>
      </c>
    </row>
    <row r="122" spans="1:26" x14ac:dyDescent="0.2">
      <c r="A122" s="16">
        <f>'Stock Price'!A122</f>
        <v>44643</v>
      </c>
      <c r="B122" s="17">
        <f>'Stock Price'!E122</f>
        <v>79.73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-0.25100986378581491</v>
      </c>
      <c r="P122" s="19">
        <f ca="1">IF('Stock Price'!$I$11="OK",C122/INDEX(C$5:C$1258,'Stock Price'!$I$9)-1,"")</f>
        <v>-0.40260502381983543</v>
      </c>
      <c r="Q122" s="19">
        <f ca="1">IF('Stock Price'!$I$11="OK",D122/INDEX(D$5:D$1258,'Stock Price'!$I$9)-1,"")</f>
        <v>-0.28961270015054053</v>
      </c>
      <c r="R122" s="19">
        <f ca="1">IF('Stock Price'!$I$11="OK",E122/INDEX(E$5:E$1258,'Stock Price'!$I$9)-1,"")</f>
        <v>8.0747531734837841E-2</v>
      </c>
      <c r="S122" s="19">
        <f ca="1">IF('Stock Price'!$I$11="OK",F122/INDEX(F$5:F$1258,'Stock Price'!$I$9)-1,"")</f>
        <v>-4.5675413022351785E-2</v>
      </c>
      <c r="T122" s="19">
        <f ca="1">IF('Stock Price'!$I$11="OK",G122/INDEX(G$5:G$1258,'Stock Price'!$I$9)-1,"")</f>
        <v>6.9666182873730165E-2</v>
      </c>
      <c r="U122" s="19">
        <f ca="1">IF('Stock Price'!$I$11="OK",H122/INDEX(H$5:H$1258,'Stock Price'!$I$9)-1,"")</f>
        <v>0.56394736842105253</v>
      </c>
      <c r="V122" s="19">
        <f ca="1">IF('Stock Price'!$I$11="OK",I122/INDEX(I$5:I$1258,'Stock Price'!$I$9)-1,"")</f>
        <v>1.0726767275615567</v>
      </c>
      <c r="W122" s="19">
        <f ca="1">IF('Stock Price'!$I$11="OK",J122/INDEX(J$5:J$1258,'Stock Price'!$I$9)-1,"")</f>
        <v>-0.73694879484616238</v>
      </c>
      <c r="X122" s="19">
        <f ca="1">IF('Stock Price'!$I$11="OK",K122/INDEX(K$5:K$1258,'Stock Price'!$I$9)-1,"")</f>
        <v>0.33520389075944612</v>
      </c>
      <c r="Y122" s="19">
        <f ca="1">IF('Stock Price'!$I$11="OK",L122/INDEX(L$5:L$1258,'Stock Price'!$I$9)-1,"")</f>
        <v>-0.15919942126838671</v>
      </c>
      <c r="Z122" s="19">
        <f ca="1">IF('Stock Price'!$I$11="OK",M122/INDEX(M$5:M$1258,'Stock Price'!$I$9)-1,"")</f>
        <v>-0.309144825781693</v>
      </c>
    </row>
    <row r="123" spans="1:26" x14ac:dyDescent="0.2">
      <c r="A123" s="16">
        <f>'Stock Price'!A123</f>
        <v>44644</v>
      </c>
      <c r="B123" s="17">
        <f>'Stock Price'!E123</f>
        <v>80.41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-0.24462188821042752</v>
      </c>
      <c r="P123" s="19">
        <f ca="1">IF('Stock Price'!$I$11="OK",C123/INDEX(C$5:C$1258,'Stock Price'!$I$9)-1,"")</f>
        <v>-0.3949935036812473</v>
      </c>
      <c r="Q123" s="19">
        <f ca="1">IF('Stock Price'!$I$11="OK",D123/INDEX(D$5:D$1258,'Stock Price'!$I$9)-1,"")</f>
        <v>-0.26689475845080068</v>
      </c>
      <c r="R123" s="19">
        <f ca="1">IF('Stock Price'!$I$11="OK",E123/INDEX(E$5:E$1258,'Stock Price'!$I$9)-1,"")</f>
        <v>9.0570219625226711E-2</v>
      </c>
      <c r="S123" s="19">
        <f ca="1">IF('Stock Price'!$I$11="OK",F123/INDEX(F$5:F$1258,'Stock Price'!$I$9)-1,"")</f>
        <v>-2.6239067055393583E-2</v>
      </c>
      <c r="T123" s="19">
        <f ca="1">IF('Stock Price'!$I$11="OK",G123/INDEX(G$5:G$1258,'Stock Price'!$I$9)-1,"")</f>
        <v>6.1372589674476563E-2</v>
      </c>
      <c r="U123" s="19">
        <f ca="1">IF('Stock Price'!$I$11="OK",H123/INDEX(H$5:H$1258,'Stock Price'!$I$9)-1,"")</f>
        <v>0.56657894736842107</v>
      </c>
      <c r="V123" s="19">
        <f ca="1">IF('Stock Price'!$I$11="OK",I123/INDEX(I$5:I$1258,'Stock Price'!$I$9)-1,"")</f>
        <v>1.0885623510722797</v>
      </c>
      <c r="W123" s="19">
        <f ca="1">IF('Stock Price'!$I$11="OK",J123/INDEX(J$5:J$1258,'Stock Price'!$I$9)-1,"")</f>
        <v>-0.73370913399237292</v>
      </c>
      <c r="X123" s="19">
        <f ca="1">IF('Stock Price'!$I$11="OK",K123/INDEX(K$5:K$1258,'Stock Price'!$I$9)-1,"")</f>
        <v>0.35447063224840991</v>
      </c>
      <c r="Y123" s="19">
        <f ca="1">IF('Stock Price'!$I$11="OK",L123/INDEX(L$5:L$1258,'Stock Price'!$I$9)-1,"")</f>
        <v>-0.15485893416927898</v>
      </c>
      <c r="Z123" s="19">
        <f ca="1">IF('Stock Price'!$I$11="OK",M123/INDEX(M$5:M$1258,'Stock Price'!$I$9)-1,"")</f>
        <v>-0.30103353538877498</v>
      </c>
    </row>
    <row r="124" spans="1:26" x14ac:dyDescent="0.2">
      <c r="A124" s="16">
        <f>'Stock Price'!A124</f>
        <v>44645</v>
      </c>
      <c r="B124" s="17">
        <f>'Stock Price'!E124</f>
        <v>81.34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-0.23588539220291216</v>
      </c>
      <c r="P124" s="19">
        <f ca="1">IF('Stock Price'!$I$11="OK",C124/INDEX(C$5:C$1258,'Stock Price'!$I$9)-1,"")</f>
        <v>-0.39345676338963476</v>
      </c>
      <c r="Q124" s="19">
        <f ca="1">IF('Stock Price'!$I$11="OK",D124/INDEX(D$5:D$1258,'Stock Price'!$I$9)-1,"")</f>
        <v>-0.26311755850554264</v>
      </c>
      <c r="R124" s="19">
        <f ca="1">IF('Stock Price'!$I$11="OK",E124/INDEX(E$5:E$1258,'Stock Price'!$I$9)-1,"")</f>
        <v>9.0066492041104063E-2</v>
      </c>
      <c r="S124" s="19">
        <f ca="1">IF('Stock Price'!$I$11="OK",F124/INDEX(F$5:F$1258,'Stock Price'!$I$9)-1,"")</f>
        <v>-1.8270165208940758E-2</v>
      </c>
      <c r="T124" s="19">
        <f ca="1">IF('Stock Price'!$I$11="OK",G124/INDEX(G$5:G$1258,'Stock Price'!$I$9)-1,"")</f>
        <v>6.8422143893842158E-2</v>
      </c>
      <c r="U124" s="19">
        <f ca="1">IF('Stock Price'!$I$11="OK",H124/INDEX(H$5:H$1258,'Stock Price'!$I$9)-1,"")</f>
        <v>0.59526315789473672</v>
      </c>
      <c r="V124" s="19">
        <f ca="1">IF('Stock Price'!$I$11="OK",I124/INDEX(I$5:I$1258,'Stock Price'!$I$9)-1,"")</f>
        <v>1.0961080222398731</v>
      </c>
      <c r="W124" s="19">
        <f ca="1">IF('Stock Price'!$I$11="OK",J124/INDEX(J$5:J$1258,'Stock Price'!$I$9)-1,"")</f>
        <v>-0.73247806286793282</v>
      </c>
      <c r="X124" s="19">
        <f ca="1">IF('Stock Price'!$I$11="OK",K124/INDEX(K$5:K$1258,'Stock Price'!$I$9)-1,"")</f>
        <v>0.37074448185559294</v>
      </c>
      <c r="Y124" s="19">
        <f ca="1">IF('Stock Price'!$I$11="OK",L124/INDEX(L$5:L$1258,'Stock Price'!$I$9)-1,"")</f>
        <v>-0.14675669158427784</v>
      </c>
      <c r="Z124" s="19">
        <f ca="1">IF('Stock Price'!$I$11="OK",M124/INDEX(M$5:M$1258,'Stock Price'!$I$9)-1,"")</f>
        <v>-0.29645458113470846</v>
      </c>
    </row>
    <row r="125" spans="1:26" x14ac:dyDescent="0.2">
      <c r="A125" s="16">
        <f>'Stock Price'!A125</f>
        <v>44648</v>
      </c>
      <c r="B125" s="17">
        <f>'Stock Price'!E125</f>
        <v>81.209999999999994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-0.23710662282761863</v>
      </c>
      <c r="P125" s="19">
        <f ca="1">IF('Stock Price'!$I$11="OK",C125/INDEX(C$5:C$1258,'Stock Price'!$I$9)-1,"")</f>
        <v>-0.39254944420383997</v>
      </c>
      <c r="Q125" s="19">
        <f ca="1">IF('Stock Price'!$I$11="OK",D125/INDEX(D$5:D$1258,'Stock Price'!$I$9)-1,"")</f>
        <v>-0.26957711783221572</v>
      </c>
      <c r="R125" s="19">
        <f ca="1">IF('Stock Price'!$I$11="OK",E125/INDEX(E$5:E$1258,'Stock Price'!$I$9)-1,"")</f>
        <v>9.2333266169655426E-2</v>
      </c>
      <c r="S125" s="19">
        <f ca="1">IF('Stock Price'!$I$11="OK",F125/INDEX(F$5:F$1258,'Stock Price'!$I$9)-1,"")</f>
        <v>-2.6044703595724084E-2</v>
      </c>
      <c r="T125" s="19">
        <f ca="1">IF('Stock Price'!$I$11="OK",G125/INDEX(G$5:G$1258,'Stock Price'!$I$9)-1,"")</f>
        <v>7.4642338793282192E-2</v>
      </c>
      <c r="U125" s="19">
        <f ca="1">IF('Stock Price'!$I$11="OK",H125/INDEX(H$5:H$1258,'Stock Price'!$I$9)-1,"")</f>
        <v>0.60289473684210515</v>
      </c>
      <c r="V125" s="19">
        <f ca="1">IF('Stock Price'!$I$11="OK",I125/INDEX(I$5:I$1258,'Stock Price'!$I$9)-1,"")</f>
        <v>1.1159650516282764</v>
      </c>
      <c r="W125" s="19">
        <f ca="1">IF('Stock Price'!$I$11="OK",J125/INDEX(J$5:J$1258,'Stock Price'!$I$9)-1,"")</f>
        <v>-0.73003443296678883</v>
      </c>
      <c r="X125" s="19">
        <f ca="1">IF('Stock Price'!$I$11="OK",K125/INDEX(K$5:K$1258,'Stock Price'!$I$9)-1,"")</f>
        <v>0.36756453423120083</v>
      </c>
      <c r="Y125" s="19">
        <f ca="1">IF('Stock Price'!$I$11="OK",L125/INDEX(L$5:L$1258,'Stock Price'!$I$9)-1,"")</f>
        <v>-0.14236797685073543</v>
      </c>
      <c r="Z125" s="19">
        <f ca="1">IF('Stock Price'!$I$11="OK",M125/INDEX(M$5:M$1258,'Stock Price'!$I$9)-1,"")</f>
        <v>-0.29366359949413456</v>
      </c>
    </row>
    <row r="126" spans="1:26" x14ac:dyDescent="0.2">
      <c r="A126" s="16">
        <f>'Stock Price'!A126</f>
        <v>44649</v>
      </c>
      <c r="B126" s="17">
        <f>'Stock Price'!E126</f>
        <v>81.569999999999993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-0.2337247534053547</v>
      </c>
      <c r="P126" s="19">
        <f ca="1">IF('Stock Price'!$I$11="OK",C126/INDEX(C$5:C$1258,'Stock Price'!$I$9)-1,"")</f>
        <v>-0.38891800202107685</v>
      </c>
      <c r="Q126" s="19">
        <f ca="1">IF('Stock Price'!$I$11="OK",D126/INDEX(D$5:D$1258,'Stock Price'!$I$9)-1,"")</f>
        <v>-0.25490625427672098</v>
      </c>
      <c r="R126" s="19">
        <f ca="1">IF('Stock Price'!$I$11="OK",E126/INDEX(E$5:E$1258,'Stock Price'!$I$9)-1,"")</f>
        <v>9.0318355833165276E-2</v>
      </c>
      <c r="S126" s="19">
        <f ca="1">IF('Stock Price'!$I$11="OK",F126/INDEX(F$5:F$1258,'Stock Price'!$I$9)-1,"")</f>
        <v>-2.5267249757045751E-2</v>
      </c>
      <c r="T126" s="19">
        <f ca="1">IF('Stock Price'!$I$11="OK",G126/INDEX(G$5:G$1258,'Stock Price'!$I$9)-1,"")</f>
        <v>6.6141405764047478E-2</v>
      </c>
      <c r="U126" s="19">
        <f ca="1">IF('Stock Price'!$I$11="OK",H126/INDEX(H$5:H$1258,'Stock Price'!$I$9)-1,"")</f>
        <v>0.63078947368421057</v>
      </c>
      <c r="V126" s="19">
        <f ca="1">IF('Stock Price'!$I$11="OK",I126/INDEX(I$5:I$1258,'Stock Price'!$I$9)-1,"")</f>
        <v>1.0945194598888008</v>
      </c>
      <c r="W126" s="19">
        <f ca="1">IF('Stock Price'!$I$11="OK",J126/INDEX(J$5:J$1258,'Stock Price'!$I$9)-1,"")</f>
        <v>-0.73306120182161494</v>
      </c>
      <c r="X126" s="19">
        <f ca="1">IF('Stock Price'!$I$11="OK",K126/INDEX(K$5:K$1258,'Stock Price'!$I$9)-1,"")</f>
        <v>0.36980920314253662</v>
      </c>
      <c r="Y126" s="19">
        <f ca="1">IF('Stock Price'!$I$11="OK",L126/INDEX(L$5:L$1258,'Stock Price'!$I$9)-1,"")</f>
        <v>-0.14280202556064614</v>
      </c>
      <c r="Z126" s="19">
        <f ca="1">IF('Stock Price'!$I$11="OK",M126/INDEX(M$5:M$1258,'Stock Price'!$I$9)-1,"")</f>
        <v>-0.29274780864332128</v>
      </c>
    </row>
    <row r="127" spans="1:26" x14ac:dyDescent="0.2">
      <c r="A127" s="16">
        <f>'Stock Price'!A127</f>
        <v>44650</v>
      </c>
      <c r="B127" s="17">
        <f>'Stock Price'!E127</f>
        <v>82.4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-0.22592766557069044</v>
      </c>
      <c r="P127" s="19">
        <f ca="1">IF('Stock Price'!$I$11="OK",C127/INDEX(C$5:C$1258,'Stock Price'!$I$9)-1,"")</f>
        <v>-0.3857759491843511</v>
      </c>
      <c r="Q127" s="19">
        <f ca="1">IF('Stock Price'!$I$11="OK",D127/INDEX(D$5:D$1258,'Stock Price'!$I$9)-1,"")</f>
        <v>-0.28036129738606819</v>
      </c>
      <c r="R127" s="19">
        <f ca="1">IF('Stock Price'!$I$11="OK",E127/INDEX(E$5:E$1258,'Stock Price'!$I$9)-1,"")</f>
        <v>0.10064477130767679</v>
      </c>
      <c r="S127" s="19">
        <f ca="1">IF('Stock Price'!$I$11="OK",F127/INDEX(F$5:F$1258,'Stock Price'!$I$9)-1,"")</f>
        <v>-2.7016520894071916E-2</v>
      </c>
      <c r="T127" s="19">
        <f ca="1">IF('Stock Price'!$I$11="OK",G127/INDEX(G$5:G$1258,'Stock Price'!$I$9)-1,"")</f>
        <v>6.9873522703711499E-2</v>
      </c>
      <c r="U127" s="19">
        <f ca="1">IF('Stock Price'!$I$11="OK",H127/INDEX(H$5:H$1258,'Stock Price'!$I$9)-1,"")</f>
        <v>0.62815789473684203</v>
      </c>
      <c r="V127" s="19">
        <f ca="1">IF('Stock Price'!$I$11="OK",I127/INDEX(I$5:I$1258,'Stock Price'!$I$9)-1,"")</f>
        <v>1.0826052422557586</v>
      </c>
      <c r="W127" s="19">
        <f ca="1">IF('Stock Price'!$I$11="OK",J127/INDEX(J$5:J$1258,'Stock Price'!$I$9)-1,"")</f>
        <v>-0.73167277574141953</v>
      </c>
      <c r="X127" s="19">
        <f ca="1">IF('Stock Price'!$I$11="OK",K127/INDEX(K$5:K$1258,'Stock Price'!$I$9)-1,"")</f>
        <v>0.37897493453049003</v>
      </c>
      <c r="Y127" s="19">
        <f ca="1">IF('Stock Price'!$I$11="OK",L127/INDEX(L$5:L$1258,'Stock Price'!$I$9)-1,"")</f>
        <v>-0.13387991319025794</v>
      </c>
      <c r="Z127" s="19">
        <f ca="1">IF('Stock Price'!$I$11="OK",M127/INDEX(M$5:M$1258,'Stock Price'!$I$9)-1,"")</f>
        <v>-0.28590118180628843</v>
      </c>
    </row>
    <row r="128" spans="1:26" x14ac:dyDescent="0.2">
      <c r="A128" s="16">
        <f>'Stock Price'!A128</f>
        <v>44651</v>
      </c>
      <c r="B128" s="17">
        <f>'Stock Price'!E128</f>
        <v>82.05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-0.22921559417566939</v>
      </c>
      <c r="P128" s="19">
        <f ca="1">IF('Stock Price'!$I$11="OK",C128/INDEX(C$5:C$1258,'Stock Price'!$I$9)-1,"")</f>
        <v>-0.38724195178287857</v>
      </c>
      <c r="Q128" s="19">
        <f ca="1">IF('Stock Price'!$I$11="OK",D128/INDEX(D$5:D$1258,'Stock Price'!$I$9)-1,"")</f>
        <v>-0.26300807444915841</v>
      </c>
      <c r="R128" s="19">
        <f ca="1">IF('Stock Price'!$I$11="OK",E128/INDEX(E$5:E$1258,'Stock Price'!$I$9)-1,"")</f>
        <v>9.7118678218819365E-2</v>
      </c>
      <c r="S128" s="19">
        <f ca="1">IF('Stock Price'!$I$11="OK",F128/INDEX(F$5:F$1258,'Stock Price'!$I$9)-1,"")</f>
        <v>-3.9650145772594847E-2</v>
      </c>
      <c r="T128" s="19">
        <f ca="1">IF('Stock Price'!$I$11="OK",G128/INDEX(G$5:G$1258,'Stock Price'!$I$9)-1,"")</f>
        <v>6.4482687124196802E-2</v>
      </c>
      <c r="U128" s="19">
        <f ca="1">IF('Stock Price'!$I$11="OK",H128/INDEX(H$5:H$1258,'Stock Price'!$I$9)-1,"")</f>
        <v>0.63421052631578956</v>
      </c>
      <c r="V128" s="19">
        <f ca="1">IF('Stock Price'!$I$11="OK",I128/INDEX(I$5:I$1258,'Stock Price'!$I$9)-1,"")</f>
        <v>1.0559968228752981</v>
      </c>
      <c r="W128" s="19">
        <f ca="1">IF('Stock Price'!$I$11="OK",J128/INDEX(J$5:J$1258,'Stock Price'!$I$9)-1,"")</f>
        <v>-0.73493094894294497</v>
      </c>
      <c r="X128" s="19">
        <f ca="1">IF('Stock Price'!$I$11="OK",K128/INDEX(K$5:K$1258,'Stock Price'!$I$9)-1,"")</f>
        <v>0.36606808829031046</v>
      </c>
      <c r="Y128" s="19">
        <f ca="1">IF('Stock Price'!$I$11="OK",L128/INDEX(L$5:L$1258,'Stock Price'!$I$9)-1,"")</f>
        <v>-0.14526163491680733</v>
      </c>
      <c r="Z128" s="19">
        <f ca="1">IF('Stock Price'!$I$11="OK",M128/INDEX(M$5:M$1258,'Stock Price'!$I$9)-1,"")</f>
        <v>-0.29305307226025901</v>
      </c>
    </row>
    <row r="129" spans="1:26" x14ac:dyDescent="0.2">
      <c r="A129" s="16">
        <f>'Stock Price'!A129</f>
        <v>44652</v>
      </c>
      <c r="B129" s="17">
        <f>'Stock Price'!E129</f>
        <v>83.52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-0.21540629403475819</v>
      </c>
      <c r="P129" s="19">
        <f ca="1">IF('Stock Price'!$I$11="OK",C129/INDEX(C$5:C$1258,'Stock Price'!$I$9)-1,"")</f>
        <v>-0.38766132524902552</v>
      </c>
      <c r="Q129" s="19">
        <f ca="1">IF('Stock Price'!$I$11="OK",D129/INDEX(D$5:D$1258,'Stock Price'!$I$9)-1,"")</f>
        <v>-0.27056247433967429</v>
      </c>
      <c r="R129" s="19">
        <f ca="1">IF('Stock Price'!$I$11="OK",E129/INDEX(E$5:E$1258,'Stock Price'!$I$9)-1,"")</f>
        <v>0.10543018335684051</v>
      </c>
      <c r="S129" s="19">
        <f ca="1">IF('Stock Price'!$I$11="OK",F129/INDEX(F$5:F$1258,'Stock Price'!$I$9)-1,"")</f>
        <v>-1.8658892128279869E-2</v>
      </c>
      <c r="T129" s="19">
        <f ca="1">IF('Stock Price'!$I$11="OK",G129/INDEX(G$5:G$1258,'Stock Price'!$I$9)-1,"")</f>
        <v>8.2313912502591791E-2</v>
      </c>
      <c r="U129" s="19">
        <f ca="1">IF('Stock Price'!$I$11="OK",H129/INDEX(H$5:H$1258,'Stock Price'!$I$9)-1,"")</f>
        <v>0.65842105263157902</v>
      </c>
      <c r="V129" s="19">
        <f ca="1">IF('Stock Price'!$I$11="OK",I129/INDEX(I$5:I$1258,'Stock Price'!$I$9)-1,"")</f>
        <v>1.0480540111199366</v>
      </c>
      <c r="W129" s="19">
        <f ca="1">IF('Stock Price'!$I$11="OK",J129/INDEX(J$5:J$1258,'Stock Price'!$I$9)-1,"")</f>
        <v>-0.72909955940612381</v>
      </c>
      <c r="X129" s="19">
        <f ca="1">IF('Stock Price'!$I$11="OK",K129/INDEX(K$5:K$1258,'Stock Price'!$I$9)-1,"")</f>
        <v>0.38084549195660289</v>
      </c>
      <c r="Y129" s="19">
        <f ca="1">IF('Stock Price'!$I$11="OK",L129/INDEX(L$5:L$1258,'Stock Price'!$I$9)-1,"")</f>
        <v>-0.14063178201109239</v>
      </c>
      <c r="Z129" s="19">
        <f ca="1">IF('Stock Price'!$I$11="OK",M129/INDEX(M$5:M$1258,'Stock Price'!$I$9)-1,"")</f>
        <v>-0.29056735423662294</v>
      </c>
    </row>
    <row r="130" spans="1:26" x14ac:dyDescent="0.2">
      <c r="A130" s="16">
        <f>'Stock Price'!A130</f>
        <v>44655</v>
      </c>
      <c r="B130" s="17">
        <f>'Stock Price'!E130</f>
        <v>83.49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-0.21568811648661346</v>
      </c>
      <c r="P130" s="19">
        <f ca="1">IF('Stock Price'!$I$11="OK",C130/INDEX(C$5:C$1258,'Stock Price'!$I$9)-1,"")</f>
        <v>-0.39017540060632305</v>
      </c>
      <c r="Q130" s="19">
        <f ca="1">IF('Stock Price'!$I$11="OK",D130/INDEX(D$5:D$1258,'Stock Price'!$I$9)-1,"")</f>
        <v>-0.25403038182564663</v>
      </c>
      <c r="R130" s="19">
        <f ca="1">IF('Stock Price'!$I$11="OK",E130/INDEX(E$5:E$1258,'Stock Price'!$I$9)-1,"")</f>
        <v>0.10190409026798308</v>
      </c>
      <c r="S130" s="19">
        <f ca="1">IF('Stock Price'!$I$11="OK",F130/INDEX(F$5:F$1258,'Stock Price'!$I$9)-1,"")</f>
        <v>3.10981535471333E-3</v>
      </c>
      <c r="T130" s="19">
        <f ca="1">IF('Stock Price'!$I$11="OK",G130/INDEX(G$5:G$1258,'Stock Price'!$I$9)-1,"")</f>
        <v>8.957080655193872E-2</v>
      </c>
      <c r="U130" s="19">
        <f ca="1">IF('Stock Price'!$I$11="OK",H130/INDEX(H$5:H$1258,'Stock Price'!$I$9)-1,"")</f>
        <v>0.71236842105263132</v>
      </c>
      <c r="V130" s="19">
        <f ca="1">IF('Stock Price'!$I$11="OK",I130/INDEX(I$5:I$1258,'Stock Price'!$I$9)-1,"")</f>
        <v>1.0230341540905479</v>
      </c>
      <c r="W130" s="19">
        <f ca="1">IF('Stock Price'!$I$11="OK",J130/INDEX(J$5:J$1258,'Stock Price'!$I$9)-1,"")</f>
        <v>-0.73025658113962011</v>
      </c>
      <c r="X130" s="19">
        <f ca="1">IF('Stock Price'!$I$11="OK",K130/INDEX(K$5:K$1258,'Stock Price'!$I$9)-1,"")</f>
        <v>0.38028432472876927</v>
      </c>
      <c r="Y130" s="19">
        <f ca="1">IF('Stock Price'!$I$11="OK",L130/INDEX(L$5:L$1258,'Stock Price'!$I$9)-1,"")</f>
        <v>-0.14892693513383171</v>
      </c>
      <c r="Z130" s="19">
        <f ca="1">IF('Stock Price'!$I$11="OK",M130/INDEX(M$5:M$1258,'Stock Price'!$I$9)-1,"")</f>
        <v>-0.29401247219920634</v>
      </c>
    </row>
    <row r="131" spans="1:26" x14ac:dyDescent="0.2">
      <c r="A131" s="16">
        <f>'Stock Price'!A131</f>
        <v>44656</v>
      </c>
      <c r="B131" s="17">
        <f>'Stock Price'!E131</f>
        <v>83.72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-0.21352747768905589</v>
      </c>
      <c r="P131" s="19">
        <f ca="1">IF('Stock Price'!$I$11="OK",C131/INDEX(C$5:C$1258,'Stock Price'!$I$9)-1,"")</f>
        <v>-0.38430922477262885</v>
      </c>
      <c r="Q131" s="19">
        <f ca="1">IF('Stock Price'!$I$11="OK",D131/INDEX(D$5:D$1258,'Stock Price'!$I$9)-1,"")</f>
        <v>-0.26859176132475704</v>
      </c>
      <c r="R131" s="19">
        <f ca="1">IF('Stock Price'!$I$11="OK",E131/INDEX(E$5:E$1258,'Stock Price'!$I$9)-1,"")</f>
        <v>0.12255692121700568</v>
      </c>
      <c r="S131" s="19">
        <f ca="1">IF('Stock Price'!$I$11="OK",F131/INDEX(F$5:F$1258,'Stock Price'!$I$9)-1,"")</f>
        <v>5.8309037900874383E-3</v>
      </c>
      <c r="T131" s="19">
        <f ca="1">IF('Stock Price'!$I$11="OK",G131/INDEX(G$5:G$1258,'Stock Price'!$I$9)-1,"")</f>
        <v>9.6827700601285649E-2</v>
      </c>
      <c r="U131" s="19">
        <f ca="1">IF('Stock Price'!$I$11="OK",H131/INDEX(H$5:H$1258,'Stock Price'!$I$9)-1,"")</f>
        <v>0.7121052631578948</v>
      </c>
      <c r="V131" s="19">
        <f ca="1">IF('Stock Price'!$I$11="OK",I131/INDEX(I$5:I$1258,'Stock Price'!$I$9)-1,"")</f>
        <v>1.0349483717235901</v>
      </c>
      <c r="W131" s="19">
        <f ca="1">IF('Stock Price'!$I$11="OK",J131/INDEX(J$5:J$1258,'Stock Price'!$I$9)-1,"")</f>
        <v>-0.72926617053574727</v>
      </c>
      <c r="X131" s="19">
        <f ca="1">IF('Stock Price'!$I$11="OK",K131/INDEX(K$5:K$1258,'Stock Price'!$I$9)-1,"")</f>
        <v>0.3922558922558923</v>
      </c>
      <c r="Y131" s="19">
        <f ca="1">IF('Stock Price'!$I$11="OK",L131/INDEX(L$5:L$1258,'Stock Price'!$I$9)-1,"")</f>
        <v>-0.14342898480829502</v>
      </c>
      <c r="Z131" s="19">
        <f ca="1">IF('Stock Price'!$I$11="OK",M131/INDEX(M$5:M$1258,'Stock Price'!$I$9)-1,"")</f>
        <v>-0.28729667262657532</v>
      </c>
    </row>
    <row r="132" spans="1:26" x14ac:dyDescent="0.2">
      <c r="A132" s="16">
        <f>'Stock Price'!A132</f>
        <v>44657</v>
      </c>
      <c r="B132" s="17">
        <f>'Stock Price'!E132</f>
        <v>84.97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-0.20178487552841717</v>
      </c>
      <c r="P132" s="19">
        <f ca="1">IF('Stock Price'!$I$11="OK",C132/INDEX(C$5:C$1258,'Stock Price'!$I$9)-1,"")</f>
        <v>-0.36699148260430192</v>
      </c>
      <c r="Q132" s="19">
        <f ca="1">IF('Stock Price'!$I$11="OK",D132/INDEX(D$5:D$1258,'Stock Price'!$I$9)-1,"")</f>
        <v>-0.2466402080197071</v>
      </c>
      <c r="R132" s="19">
        <f ca="1">IF('Stock Price'!$I$11="OK",E132/INDEX(E$5:E$1258,'Stock Price'!$I$9)-1,"")</f>
        <v>0.15152125730404986</v>
      </c>
      <c r="S132" s="19">
        <f ca="1">IF('Stock Price'!$I$11="OK",F132/INDEX(F$5:F$1258,'Stock Price'!$I$9)-1,"")</f>
        <v>2.2934888241010754E-2</v>
      </c>
      <c r="T132" s="19">
        <f ca="1">IF('Stock Price'!$I$11="OK",G132/INDEX(G$5:G$1258,'Stock Price'!$I$9)-1,"")</f>
        <v>0.12253783951897157</v>
      </c>
      <c r="U132" s="19">
        <f ca="1">IF('Stock Price'!$I$11="OK",H132/INDEX(H$5:H$1258,'Stock Price'!$I$9)-1,"")</f>
        <v>0.71842105263157885</v>
      </c>
      <c r="V132" s="19">
        <f ca="1">IF('Stock Price'!$I$11="OK",I132/INDEX(I$5:I$1258,'Stock Price'!$I$9)-1,"")</f>
        <v>1.0996822875297854</v>
      </c>
      <c r="W132" s="19">
        <f ca="1">IF('Stock Price'!$I$11="OK",J132/INDEX(J$5:J$1258,'Stock Price'!$I$9)-1,"")</f>
        <v>-0.71690917842200741</v>
      </c>
      <c r="X132" s="19">
        <f ca="1">IF('Stock Price'!$I$11="OK",K132/INDEX(K$5:K$1258,'Stock Price'!$I$9)-1,"")</f>
        <v>0.40927796483352052</v>
      </c>
      <c r="Y132" s="19">
        <f ca="1">IF('Stock Price'!$I$11="OK",L132/INDEX(L$5:L$1258,'Stock Price'!$I$9)-1,"")</f>
        <v>-0.12114781769954186</v>
      </c>
      <c r="Z132" s="19">
        <f ca="1">IF('Stock Price'!$I$11="OK",M132/INDEX(M$5:M$1258,'Stock Price'!$I$9)-1,"")</f>
        <v>-0.26339889232916147</v>
      </c>
    </row>
    <row r="133" spans="1:26" x14ac:dyDescent="0.2">
      <c r="A133" s="16">
        <f>'Stock Price'!A133</f>
        <v>44658</v>
      </c>
      <c r="B133" s="17">
        <f>'Stock Price'!E133</f>
        <v>86.8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-0.18459370596524194</v>
      </c>
      <c r="P133" s="19">
        <f ca="1">IF('Stock Price'!$I$11="OK",C133/INDEX(C$5:C$1258,'Stock Price'!$I$9)-1,"")</f>
        <v>-0.36175400606323083</v>
      </c>
      <c r="Q133" s="19">
        <f ca="1">IF('Stock Price'!$I$11="OK",D133/INDEX(D$5:D$1258,'Stock Price'!$I$9)-1,"")</f>
        <v>-0.2342137676200905</v>
      </c>
      <c r="R133" s="19">
        <f ca="1">IF('Stock Price'!$I$11="OK",E133/INDEX(E$5:E$1258,'Stock Price'!$I$9)-1,"")</f>
        <v>0.16436631069917396</v>
      </c>
      <c r="S133" s="19">
        <f ca="1">IF('Stock Price'!$I$11="OK",F133/INDEX(F$5:F$1258,'Stock Price'!$I$9)-1,"")</f>
        <v>3.479105928085513E-2</v>
      </c>
      <c r="T133" s="19">
        <f ca="1">IF('Stock Price'!$I$11="OK",G133/INDEX(G$5:G$1258,'Stock Price'!$I$9)-1,"")</f>
        <v>0.15115073605639662</v>
      </c>
      <c r="U133" s="19">
        <f ca="1">IF('Stock Price'!$I$11="OK",H133/INDEX(H$5:H$1258,'Stock Price'!$I$9)-1,"")</f>
        <v>0.72368421052631571</v>
      </c>
      <c r="V133" s="19">
        <f ca="1">IF('Stock Price'!$I$11="OK",I133/INDEX(I$5:I$1258,'Stock Price'!$I$9)-1,"")</f>
        <v>1.1906274821286735</v>
      </c>
      <c r="W133" s="19">
        <f ca="1">IF('Stock Price'!$I$11="OK",J133/INDEX(J$5:J$1258,'Stock Price'!$I$9)-1,"")</f>
        <v>-0.7145118293902033</v>
      </c>
      <c r="X133" s="19">
        <f ca="1">IF('Stock Price'!$I$11="OK",K133/INDEX(K$5:K$1258,'Stock Price'!$I$9)-1,"")</f>
        <v>0.44519266741488961</v>
      </c>
      <c r="Y133" s="19">
        <f ca="1">IF('Stock Price'!$I$11="OK",L133/INDEX(L$5:L$1258,'Stock Price'!$I$9)-1,"")</f>
        <v>-0.12341451651796487</v>
      </c>
      <c r="Z133" s="19">
        <f ca="1">IF('Stock Price'!$I$11="OK",M133/INDEX(M$5:M$1258,'Stock Price'!$I$9)-1,"")</f>
        <v>-0.2443417208146178</v>
      </c>
    </row>
    <row r="134" spans="1:26" x14ac:dyDescent="0.2">
      <c r="A134" s="16">
        <f>'Stock Price'!A134</f>
        <v>44659</v>
      </c>
      <c r="B134" s="17">
        <f>'Stock Price'!E134</f>
        <v>87.68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-0.17632691404415213</v>
      </c>
      <c r="P134" s="19">
        <f ca="1">IF('Stock Price'!$I$11="OK",C134/INDEX(C$5:C$1258,'Stock Price'!$I$9)-1,"")</f>
        <v>-0.35246715749963908</v>
      </c>
      <c r="Q134" s="19">
        <f ca="1">IF('Stock Price'!$I$11="OK",D134/INDEX(D$5:D$1258,'Stock Price'!$I$9)-1,"")</f>
        <v>-0.22857533871629954</v>
      </c>
      <c r="R134" s="19">
        <f ca="1">IF('Stock Price'!$I$11="OK",E134/INDEX(E$5:E$1258,'Stock Price'!$I$9)-1,"")</f>
        <v>0.17469272617368525</v>
      </c>
      <c r="S134" s="19">
        <f ca="1">IF('Stock Price'!$I$11="OK",F134/INDEX(F$5:F$1258,'Stock Price'!$I$9)-1,"")</f>
        <v>3.8678328474246682E-2</v>
      </c>
      <c r="T134" s="19">
        <f ca="1">IF('Stock Price'!$I$11="OK",G134/INDEX(G$5:G$1258,'Stock Price'!$I$9)-1,"")</f>
        <v>0.1766535351441012</v>
      </c>
      <c r="U134" s="19">
        <f ca="1">IF('Stock Price'!$I$11="OK",H134/INDEX(H$5:H$1258,'Stock Price'!$I$9)-1,"")</f>
        <v>0.75894736842105281</v>
      </c>
      <c r="V134" s="19">
        <f ca="1">IF('Stock Price'!$I$11="OK",I134/INDEX(I$5:I$1258,'Stock Price'!$I$9)-1,"")</f>
        <v>1.1910246227164416</v>
      </c>
      <c r="W134" s="19">
        <f ca="1">IF('Stock Price'!$I$11="OK",J134/INDEX(J$5:J$1258,'Stock Price'!$I$9)-1,"")</f>
        <v>-0.71149431670924512</v>
      </c>
      <c r="X134" s="19">
        <f ca="1">IF('Stock Price'!$I$11="OK",K134/INDEX(K$5:K$1258,'Stock Price'!$I$9)-1,"")</f>
        <v>0.45473251028806572</v>
      </c>
      <c r="Y134" s="19">
        <f ca="1">IF('Stock Price'!$I$11="OK",L134/INDEX(L$5:L$1258,'Stock Price'!$I$9)-1,"")</f>
        <v>-0.1216783216783216</v>
      </c>
      <c r="Z134" s="19">
        <f ca="1">IF('Stock Price'!$I$11="OK",M134/INDEX(M$5:M$1258,'Stock Price'!$I$9)-1,"")</f>
        <v>-0.23701539400811122</v>
      </c>
    </row>
    <row r="135" spans="1:26" x14ac:dyDescent="0.2">
      <c r="A135" s="16">
        <f>'Stock Price'!A135</f>
        <v>44662</v>
      </c>
      <c r="B135" s="17">
        <f>'Stock Price'!E135</f>
        <v>86.63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-0.18619069985908887</v>
      </c>
      <c r="P135" s="19">
        <f ca="1">IF('Stock Price'!$I$11="OK",C135/INDEX(C$5:C$1258,'Stock Price'!$I$9)-1,"")</f>
        <v>-0.34534430489389345</v>
      </c>
      <c r="Q135" s="19">
        <f ca="1">IF('Stock Price'!$I$11="OK",D135/INDEX(D$5:D$1258,'Stock Price'!$I$9)-1,"")</f>
        <v>-0.24483372108936652</v>
      </c>
      <c r="R135" s="19">
        <f ca="1">IF('Stock Price'!$I$11="OK",E135/INDEX(E$5:E$1258,'Stock Price'!$I$9)-1,"")</f>
        <v>0.17066290550070518</v>
      </c>
      <c r="S135" s="19">
        <f ca="1">IF('Stock Price'!$I$11="OK",F135/INDEX(F$5:F$1258,'Stock Price'!$I$9)-1,"")</f>
        <v>3.498542274052463E-2</v>
      </c>
      <c r="T135" s="19">
        <f ca="1">IF('Stock Price'!$I$11="OK",G135/INDEX(G$5:G$1258,'Stock Price'!$I$9)-1,"")</f>
        <v>0.1913746630727764</v>
      </c>
      <c r="U135" s="19">
        <f ca="1">IF('Stock Price'!$I$11="OK",H135/INDEX(H$5:H$1258,'Stock Price'!$I$9)-1,"")</f>
        <v>0.7823684210526316</v>
      </c>
      <c r="V135" s="19">
        <f ca="1">IF('Stock Price'!$I$11="OK",I135/INDEX(I$5:I$1258,'Stock Price'!$I$9)-1,"")</f>
        <v>1.1417791898332008</v>
      </c>
      <c r="W135" s="19">
        <f ca="1">IF('Stock Price'!$I$11="OK",J135/INDEX(J$5:J$1258,'Stock Price'!$I$9)-1,"")</f>
        <v>-0.71402125217520085</v>
      </c>
      <c r="X135" s="19">
        <f ca="1">IF('Stock Price'!$I$11="OK",K135/INDEX(K$5:K$1258,'Stock Price'!$I$9)-1,"")</f>
        <v>0.43097643097643101</v>
      </c>
      <c r="Y135" s="19">
        <f ca="1">IF('Stock Price'!$I$11="OK",L135/INDEX(L$5:L$1258,'Stock Price'!$I$9)-1,"")</f>
        <v>-0.13267422232939474</v>
      </c>
      <c r="Z135" s="19">
        <f ca="1">IF('Stock Price'!$I$11="OK",M135/INDEX(M$5:M$1258,'Stock Price'!$I$9)-1,"")</f>
        <v>-0.25938685622083635</v>
      </c>
    </row>
    <row r="136" spans="1:26" x14ac:dyDescent="0.2">
      <c r="A136" s="16">
        <f>'Stock Price'!A136</f>
        <v>44663</v>
      </c>
      <c r="B136" s="17">
        <f>'Stock Price'!E136</f>
        <v>85.63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-0.19558478158759984</v>
      </c>
      <c r="P136" s="19">
        <f ca="1">IF('Stock Price'!$I$11="OK",C136/INDEX(C$5:C$1258,'Stock Price'!$I$9)-1,"")</f>
        <v>-0.35288580915259127</v>
      </c>
      <c r="Q136" s="19">
        <f ca="1">IF('Stock Price'!$I$11="OK",D136/INDEX(D$5:D$1258,'Stock Price'!$I$9)-1,"")</f>
        <v>-0.24226084576433571</v>
      </c>
      <c r="R136" s="19">
        <f ca="1">IF('Stock Price'!$I$11="OK",E136/INDEX(E$5:E$1258,'Stock Price'!$I$9)-1,"")</f>
        <v>0.17192222446101146</v>
      </c>
      <c r="S136" s="19">
        <f ca="1">IF('Stock Price'!$I$11="OK",F136/INDEX(F$5:F$1258,'Stock Price'!$I$9)-1,"")</f>
        <v>1.1661807580174877E-2</v>
      </c>
      <c r="T136" s="19">
        <f ca="1">IF('Stock Price'!$I$11="OK",G136/INDEX(G$5:G$1258,'Stock Price'!$I$9)-1,"")</f>
        <v>0.15529753265602331</v>
      </c>
      <c r="U136" s="19">
        <f ca="1">IF('Stock Price'!$I$11="OK",H136/INDEX(H$5:H$1258,'Stock Price'!$I$9)-1,"")</f>
        <v>0.77421052631578946</v>
      </c>
      <c r="V136" s="19">
        <f ca="1">IF('Stock Price'!$I$11="OK",I136/INDEX(I$5:I$1258,'Stock Price'!$I$9)-1,"")</f>
        <v>1.1092136616362192</v>
      </c>
      <c r="W136" s="19">
        <f ca="1">IF('Stock Price'!$I$11="OK",J136/INDEX(J$5:J$1258,'Stock Price'!$I$9)-1,"")</f>
        <v>-0.71483579547558218</v>
      </c>
      <c r="X136" s="19">
        <f ca="1">IF('Stock Price'!$I$11="OK",K136/INDEX(K$5:K$1258,'Stock Price'!$I$9)-1,"")</f>
        <v>0.43191170968948733</v>
      </c>
      <c r="Y136" s="19">
        <f ca="1">IF('Stock Price'!$I$11="OK",L136/INDEX(L$5:L$1258,'Stock Price'!$I$9)-1,"")</f>
        <v>-0.13238485652278753</v>
      </c>
      <c r="Z136" s="19">
        <f ca="1">IF('Stock Price'!$I$11="OK",M136/INDEX(M$5:M$1258,'Stock Price'!$I$9)-1,"")</f>
        <v>-0.27037634643059616</v>
      </c>
    </row>
    <row r="137" spans="1:26" x14ac:dyDescent="0.2">
      <c r="A137" s="16">
        <f>'Stock Price'!A137</f>
        <v>44664</v>
      </c>
      <c r="B137" s="17">
        <f>'Stock Price'!E137</f>
        <v>86.13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-0.19088774072334436</v>
      </c>
      <c r="P137" s="19">
        <f ca="1">IF('Stock Price'!$I$11="OK",C137/INDEX(C$5:C$1258,'Stock Price'!$I$9)-1,"")</f>
        <v>-0.35100043308791673</v>
      </c>
      <c r="Q137" s="19">
        <f ca="1">IF('Stock Price'!$I$11="OK",D137/INDEX(D$5:D$1258,'Stock Price'!$I$9)-1,"")</f>
        <v>-0.26251539619542907</v>
      </c>
      <c r="R137" s="19">
        <f ca="1">IF('Stock Price'!$I$11="OK",E137/INDEX(E$5:E$1258,'Stock Price'!$I$9)-1,"")</f>
        <v>0.17998186580697162</v>
      </c>
      <c r="S137" s="19">
        <f ca="1">IF('Stock Price'!$I$11="OK",F137/INDEX(F$5:F$1258,'Stock Price'!$I$9)-1,"")</f>
        <v>1.574344023323615E-2</v>
      </c>
      <c r="T137" s="19">
        <f ca="1">IF('Stock Price'!$I$11="OK",G137/INDEX(G$5:G$1258,'Stock Price'!$I$9)-1,"")</f>
        <v>0.17561683599419453</v>
      </c>
      <c r="U137" s="19">
        <f ca="1">IF('Stock Price'!$I$11="OK",H137/INDEX(H$5:H$1258,'Stock Price'!$I$9)-1,"")</f>
        <v>0.77684210526315778</v>
      </c>
      <c r="V137" s="19">
        <f ca="1">IF('Stock Price'!$I$11="OK",I137/INDEX(I$5:I$1258,'Stock Price'!$I$9)-1,"")</f>
        <v>1.1088165210484511</v>
      </c>
      <c r="W137" s="19">
        <f ca="1">IF('Stock Price'!$I$11="OK",J137/INDEX(J$5:J$1258,'Stock Price'!$I$9)-1,"")</f>
        <v>-0.71984338553815386</v>
      </c>
      <c r="X137" s="19">
        <f ca="1">IF('Stock Price'!$I$11="OK",K137/INDEX(K$5:K$1258,'Stock Price'!$I$9)-1,"")</f>
        <v>0.43789749345304907</v>
      </c>
      <c r="Y137" s="19">
        <f ca="1">IF('Stock Price'!$I$11="OK",L137/INDEX(L$5:L$1258,'Stock Price'!$I$9)-1,"")</f>
        <v>-0.12871955630576315</v>
      </c>
      <c r="Z137" s="19">
        <f ca="1">IF('Stock Price'!$I$11="OK",M137/INDEX(M$5:M$1258,'Stock Price'!$I$9)-1,"")</f>
        <v>-0.30683354411059272</v>
      </c>
    </row>
    <row r="138" spans="1:26" x14ac:dyDescent="0.2">
      <c r="A138" s="16">
        <f>'Stock Price'!A138</f>
        <v>44665</v>
      </c>
      <c r="B138" s="17">
        <f>'Stock Price'!E138</f>
        <v>86.91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-0.18356035697510575</v>
      </c>
      <c r="P138" s="19">
        <f ca="1">IF('Stock Price'!$I$11="OK",C138/INDEX(C$5:C$1258,'Stock Price'!$I$9)-1,"")</f>
        <v>-0.35393316009816655</v>
      </c>
      <c r="Q138" s="19">
        <f ca="1">IF('Stock Price'!$I$11="OK",D138/INDEX(D$5:D$1258,'Stock Price'!$I$9)-1,"")</f>
        <v>-0.26645682222526346</v>
      </c>
      <c r="R138" s="19">
        <f ca="1">IF('Stock Price'!$I$11="OK",E138/INDEX(E$5:E$1258,'Stock Price'!$I$9)-1,"")</f>
        <v>0.1666330848277251</v>
      </c>
      <c r="S138" s="19">
        <f ca="1">IF('Stock Price'!$I$11="OK",F138/INDEX(F$5:F$1258,'Stock Price'!$I$9)-1,"")</f>
        <v>3.4985422740525518E-3</v>
      </c>
      <c r="T138" s="19">
        <f ca="1">IF('Stock Price'!$I$11="OK",G138/INDEX(G$5:G$1258,'Stock Price'!$I$9)-1,"")</f>
        <v>0.15591955214596731</v>
      </c>
      <c r="U138" s="19">
        <f ca="1">IF('Stock Price'!$I$11="OK",H138/INDEX(H$5:H$1258,'Stock Price'!$I$9)-1,"")</f>
        <v>0.77105263157894721</v>
      </c>
      <c r="V138" s="19">
        <f ca="1">IF('Stock Price'!$I$11="OK",I138/INDEX(I$5:I$1258,'Stock Price'!$I$9)-1,"")</f>
        <v>1.1096108022239872</v>
      </c>
      <c r="W138" s="19">
        <f ca="1">IF('Stock Price'!$I$11="OK",J138/INDEX(J$5:J$1258,'Stock Price'!$I$9)-1,"")</f>
        <v>-0.72059313562145944</v>
      </c>
      <c r="X138" s="19">
        <f ca="1">IF('Stock Price'!$I$11="OK",K138/INDEX(K$5:K$1258,'Stock Price'!$I$9)-1,"")</f>
        <v>0.4498690609801721</v>
      </c>
      <c r="Y138" s="19">
        <f ca="1">IF('Stock Price'!$I$11="OK",L138/INDEX(L$5:L$1258,'Stock Price'!$I$9)-1,"")</f>
        <v>-0.13238485652278753</v>
      </c>
      <c r="Z138" s="19">
        <f ca="1">IF('Stock Price'!$I$11="OK",M138/INDEX(M$5:M$1258,'Stock Price'!$I$9)-1,"")</f>
        <v>-0.29218089049757967</v>
      </c>
    </row>
    <row r="139" spans="1:26" x14ac:dyDescent="0.2">
      <c r="A139" s="16">
        <f>'Stock Price'!A139</f>
        <v>44669</v>
      </c>
      <c r="B139" s="17">
        <f>'Stock Price'!E139</f>
        <v>86.07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-0.19145138562705499</v>
      </c>
      <c r="P139" s="19">
        <f ca="1">IF('Stock Price'!$I$11="OK",C139/INDEX(C$5:C$1258,'Stock Price'!$I$9)-1,"")</f>
        <v>-0.35574924209614556</v>
      </c>
      <c r="Q139" s="19">
        <f ca="1">IF('Stock Price'!$I$11="OK",D139/INDEX(D$5:D$1258,'Stock Price'!$I$9)-1,"")</f>
        <v>-0.22501710688381016</v>
      </c>
      <c r="R139" s="19">
        <f ca="1">IF('Stock Price'!$I$11="OK",E139/INDEX(E$5:E$1258,'Stock Price'!$I$9)-1,"")</f>
        <v>0.16361071932299009</v>
      </c>
      <c r="S139" s="19">
        <f ca="1">IF('Stock Price'!$I$11="OK",F139/INDEX(F$5:F$1258,'Stock Price'!$I$9)-1,"")</f>
        <v>-1.7492711370262759E-3</v>
      </c>
      <c r="T139" s="19">
        <f ca="1">IF('Stock Price'!$I$11="OK",G139/INDEX(G$5:G$1258,'Stock Price'!$I$9)-1,"")</f>
        <v>0.14430852166701236</v>
      </c>
      <c r="U139" s="19">
        <f ca="1">IF('Stock Price'!$I$11="OK",H139/INDEX(H$5:H$1258,'Stock Price'!$I$9)-1,"")</f>
        <v>0.77105263157894721</v>
      </c>
      <c r="V139" s="19">
        <f ca="1">IF('Stock Price'!$I$11="OK",I139/INDEX(I$5:I$1258,'Stock Price'!$I$9)-1,"")</f>
        <v>1.0587768069896746</v>
      </c>
      <c r="W139" s="19">
        <f ca="1">IF('Stock Price'!$I$11="OK",J139/INDEX(J$5:J$1258,'Stock Price'!$I$9)-1,"")</f>
        <v>-0.72340701247732242</v>
      </c>
      <c r="X139" s="19">
        <f ca="1">IF('Stock Price'!$I$11="OK",K139/INDEX(K$5:K$1258,'Stock Price'!$I$9)-1,"")</f>
        <v>0.4356528245417135</v>
      </c>
      <c r="Y139" s="19">
        <f ca="1">IF('Stock Price'!$I$11="OK",L139/INDEX(L$5:L$1258,'Stock Price'!$I$9)-1,"")</f>
        <v>-0.1431878466361225</v>
      </c>
      <c r="Z139" s="19">
        <f ca="1">IF('Stock Price'!$I$11="OK",M139/INDEX(M$5:M$1258,'Stock Price'!$I$9)-1,"")</f>
        <v>-0.30504557149709999</v>
      </c>
    </row>
    <row r="140" spans="1:26" x14ac:dyDescent="0.2">
      <c r="A140" s="16">
        <f>'Stock Price'!A140</f>
        <v>44670</v>
      </c>
      <c r="B140" s="17">
        <f>'Stock Price'!E140</f>
        <v>85.79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-0.194081728511038</v>
      </c>
      <c r="P140" s="19">
        <f ca="1">IF('Stock Price'!$I$11="OK",C140/INDEX(C$5:C$1258,'Stock Price'!$I$9)-1,"")</f>
        <v>-0.36035801934459355</v>
      </c>
      <c r="Q140" s="19">
        <f ca="1">IF('Stock Price'!$I$11="OK",D140/INDEX(D$5:D$1258,'Stock Price'!$I$9)-1,"")</f>
        <v>-0.26054468318051183</v>
      </c>
      <c r="R140" s="19">
        <f ca="1">IF('Stock Price'!$I$11="OK",E140/INDEX(E$5:E$1258,'Stock Price'!$I$9)-1,"")</f>
        <v>0.15580294176909115</v>
      </c>
      <c r="S140" s="19">
        <f ca="1">IF('Stock Price'!$I$11="OK",F140/INDEX(F$5:F$1258,'Stock Price'!$I$9)-1,"")</f>
        <v>-3.459669582118563E-2</v>
      </c>
      <c r="T140" s="19">
        <f ca="1">IF('Stock Price'!$I$11="OK",G140/INDEX(G$5:G$1258,'Stock Price'!$I$9)-1,"")</f>
        <v>0.14451586149699369</v>
      </c>
      <c r="U140" s="19">
        <f ca="1">IF('Stock Price'!$I$11="OK",H140/INDEX(H$5:H$1258,'Stock Price'!$I$9)-1,"")</f>
        <v>0.74789473684210539</v>
      </c>
      <c r="V140" s="19">
        <f ca="1">IF('Stock Price'!$I$11="OK",I140/INDEX(I$5:I$1258,'Stock Price'!$I$9)-1,"")</f>
        <v>0.99285146942017466</v>
      </c>
      <c r="W140" s="19">
        <f ca="1">IF('Stock Price'!$I$11="OK",J140/INDEX(J$5:J$1258,'Stock Price'!$I$9)-1,"")</f>
        <v>-0.72508237994742486</v>
      </c>
      <c r="X140" s="19">
        <f ca="1">IF('Stock Price'!$I$11="OK",K140/INDEX(K$5:K$1258,'Stock Price'!$I$9)-1,"")</f>
        <v>0.42910587355031815</v>
      </c>
      <c r="Y140" s="19">
        <f ca="1">IF('Stock Price'!$I$11="OK",L140/INDEX(L$5:L$1258,'Stock Price'!$I$9)-1,"")</f>
        <v>-0.11704846877260666</v>
      </c>
      <c r="Z140" s="19">
        <f ca="1">IF('Stock Price'!$I$11="OK",M140/INDEX(M$5:M$1258,'Stock Price'!$I$9)-1,"")</f>
        <v>-0.31817190702542408</v>
      </c>
    </row>
    <row r="141" spans="1:26" x14ac:dyDescent="0.2">
      <c r="A141" s="16">
        <f>'Stock Price'!A141</f>
        <v>44671</v>
      </c>
      <c r="B141" s="17">
        <f>'Stock Price'!E141</f>
        <v>86.46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-0.18778769375293569</v>
      </c>
      <c r="P141" s="19">
        <f ca="1">IF('Stock Price'!$I$11="OK",C141/INDEX(C$5:C$1258,'Stock Price'!$I$9)-1,"")</f>
        <v>-0.36287137288869642</v>
      </c>
      <c r="Q141" s="19">
        <f ca="1">IF('Stock Price'!$I$11="OK",D141/INDEX(D$5:D$1258,'Stock Price'!$I$9)-1,"")</f>
        <v>-0.25096482824688648</v>
      </c>
      <c r="R141" s="19">
        <f ca="1">IF('Stock Price'!$I$11="OK",E141/INDEX(E$5:E$1258,'Stock Price'!$I$9)-1,"")</f>
        <v>0.15454362280878486</v>
      </c>
      <c r="S141" s="19">
        <f ca="1">IF('Stock Price'!$I$11="OK",F141/INDEX(F$5:F$1258,'Stock Price'!$I$9)-1,"")</f>
        <v>-4.4703595724003953E-2</v>
      </c>
      <c r="T141" s="19">
        <f ca="1">IF('Stock Price'!$I$11="OK",G141/INDEX(G$5:G$1258,'Stock Price'!$I$9)-1,"")</f>
        <v>0.15799295044578066</v>
      </c>
      <c r="U141" s="19">
        <f ca="1">IF('Stock Price'!$I$11="OK",H141/INDEX(H$5:H$1258,'Stock Price'!$I$9)-1,"")</f>
        <v>0.71236842105263132</v>
      </c>
      <c r="V141" s="19">
        <f ca="1">IF('Stock Price'!$I$11="OK",I141/INDEX(I$5:I$1258,'Stock Price'!$I$9)-1,"")</f>
        <v>0.97577442414614768</v>
      </c>
      <c r="W141" s="19">
        <f ca="1">IF('Stock Price'!$I$11="OK",J141/INDEX(J$5:J$1258,'Stock Price'!$I$9)-1,"")</f>
        <v>-0.72886815505942459</v>
      </c>
      <c r="X141" s="19">
        <f ca="1">IF('Stock Price'!$I$11="OK",K141/INDEX(K$5:K$1258,'Stock Price'!$I$9)-1,"")</f>
        <v>0.44556677890011231</v>
      </c>
      <c r="Y141" s="19">
        <f ca="1">IF('Stock Price'!$I$11="OK",L141/INDEX(L$5:L$1258,'Stock Price'!$I$9)-1,"")</f>
        <v>-0.11314203038340975</v>
      </c>
      <c r="Z141" s="19">
        <f ca="1">IF('Stock Price'!$I$11="OK",M141/INDEX(M$5:M$1258,'Stock Price'!$I$9)-1,"")</f>
        <v>-0.31664558894073536</v>
      </c>
    </row>
    <row r="142" spans="1:26" x14ac:dyDescent="0.2">
      <c r="A142" s="16">
        <f>'Stock Price'!A142</f>
        <v>44672</v>
      </c>
      <c r="B142" s="17">
        <f>'Stock Price'!E142</f>
        <v>86.23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-0.18994833255049315</v>
      </c>
      <c r="P142" s="19">
        <f ca="1">IF('Stock Price'!$I$11="OK",C142/INDEX(C$5:C$1258,'Stock Price'!$I$9)-1,"")</f>
        <v>-0.37187960155911648</v>
      </c>
      <c r="Q142" s="19">
        <f ca="1">IF('Stock Price'!$I$11="OK",D142/INDEX(D$5:D$1258,'Stock Price'!$I$9)-1,"")</f>
        <v>-0.25890242233474758</v>
      </c>
      <c r="R142" s="19">
        <f ca="1">IF('Stock Price'!$I$11="OK",E142/INDEX(E$5:E$1258,'Stock Price'!$I$9)-1,"")</f>
        <v>0.150765665927866</v>
      </c>
      <c r="S142" s="19">
        <f ca="1">IF('Stock Price'!$I$11="OK",F142/INDEX(F$5:F$1258,'Stock Price'!$I$9)-1,"")</f>
        <v>-7.7356656948493807E-2</v>
      </c>
      <c r="T142" s="19">
        <f ca="1">IF('Stock Price'!$I$11="OK",G142/INDEX(G$5:G$1258,'Stock Price'!$I$9)-1,"")</f>
        <v>0.1451378809869377</v>
      </c>
      <c r="U142" s="19">
        <f ca="1">IF('Stock Price'!$I$11="OK",H142/INDEX(H$5:H$1258,'Stock Price'!$I$9)-1,"")</f>
        <v>0.74473684210526314</v>
      </c>
      <c r="V142" s="19">
        <f ca="1">IF('Stock Price'!$I$11="OK",I142/INDEX(I$5:I$1258,'Stock Price'!$I$9)-1,"")</f>
        <v>0.95035742652899136</v>
      </c>
      <c r="W142" s="19">
        <f ca="1">IF('Stock Price'!$I$11="OK",J142/INDEX(J$5:J$1258,'Stock Price'!$I$9)-1,"")</f>
        <v>-0.73193194860972266</v>
      </c>
      <c r="X142" s="19">
        <f ca="1">IF('Stock Price'!$I$11="OK",K142/INDEX(K$5:K$1258,'Stock Price'!$I$9)-1,"")</f>
        <v>0.45080433969322864</v>
      </c>
      <c r="Y142" s="19">
        <f ca="1">IF('Stock Price'!$I$11="OK",L142/INDEX(L$5:L$1258,'Stock Price'!$I$9)-1,"")</f>
        <v>-0.11569809500843975</v>
      </c>
      <c r="Z142" s="19">
        <f ca="1">IF('Stock Price'!$I$11="OK",M142/INDEX(M$5:M$1258,'Stock Price'!$I$9)-1,"")</f>
        <v>-0.30870873490035322</v>
      </c>
    </row>
    <row r="143" spans="1:26" x14ac:dyDescent="0.2">
      <c r="A143" s="16">
        <f>'Stock Price'!A143</f>
        <v>44673</v>
      </c>
      <c r="B143" s="17">
        <f>'Stock Price'!E143</f>
        <v>84.59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-0.20535462658525128</v>
      </c>
      <c r="P143" s="19">
        <f ca="1">IF('Stock Price'!$I$11="OK",C143/INDEX(C$5:C$1258,'Stock Price'!$I$9)-1,"")</f>
        <v>-0.37704706222029738</v>
      </c>
      <c r="Q143" s="19">
        <f ca="1">IF('Stock Price'!$I$11="OK",D143/INDEX(D$5:D$1258,'Stock Price'!$I$9)-1,"")</f>
        <v>-0.26278910633638985</v>
      </c>
      <c r="R143" s="19">
        <f ca="1">IF('Stock Price'!$I$11="OK",E143/INDEX(E$5:E$1258,'Stock Price'!$I$9)-1,"")</f>
        <v>0.13011283497884341</v>
      </c>
      <c r="S143" s="19">
        <f ca="1">IF('Stock Price'!$I$11="OK",F143/INDEX(F$5:F$1258,'Stock Price'!$I$9)-1,"")</f>
        <v>-6.9387755102040871E-2</v>
      </c>
      <c r="T143" s="19">
        <f ca="1">IF('Stock Price'!$I$11="OK",G143/INDEX(G$5:G$1258,'Stock Price'!$I$9)-1,"")</f>
        <v>0.12461123781878514</v>
      </c>
      <c r="U143" s="19">
        <f ca="1">IF('Stock Price'!$I$11="OK",H143/INDEX(H$5:H$1258,'Stock Price'!$I$9)-1,"")</f>
        <v>0.74157894736842134</v>
      </c>
      <c r="V143" s="19">
        <f ca="1">IF('Stock Price'!$I$11="OK",I143/INDEX(I$5:I$1258,'Stock Price'!$I$9)-1,"")</f>
        <v>0.9114376489277205</v>
      </c>
      <c r="W143" s="19">
        <f ca="1">IF('Stock Price'!$I$11="OK",J143/INDEX(J$5:J$1258,'Stock Price'!$I$9)-1,"")</f>
        <v>-0.74200266577807394</v>
      </c>
      <c r="X143" s="19">
        <f ca="1">IF('Stock Price'!$I$11="OK",K143/INDEX(K$5:K$1258,'Stock Price'!$I$9)-1,"")</f>
        <v>0.41694725028058355</v>
      </c>
      <c r="Y143" s="19">
        <f ca="1">IF('Stock Price'!$I$11="OK",L143/INDEX(L$5:L$1258,'Stock Price'!$I$9)-1,"")</f>
        <v>-0.12447552447552446</v>
      </c>
      <c r="Z143" s="19">
        <f ca="1">IF('Stock Price'!$I$11="OK",M143/INDEX(M$5:M$1258,'Stock Price'!$I$9)-1,"")</f>
        <v>-0.32410274301164355</v>
      </c>
    </row>
    <row r="144" spans="1:26" x14ac:dyDescent="0.2">
      <c r="A144" s="16">
        <f>'Stock Price'!A144</f>
        <v>44676</v>
      </c>
      <c r="B144" s="17">
        <f>'Stock Price'!E144</f>
        <v>85.44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-0.19736965711601695</v>
      </c>
      <c r="P144" s="19">
        <f ca="1">IF('Stock Price'!$I$11="OK",C144/INDEX(C$5:C$1258,'Stock Price'!$I$9)-1,"")</f>
        <v>-0.36845820701602428</v>
      </c>
      <c r="Q144" s="19">
        <f ca="1">IF('Stock Price'!$I$11="OK",D144/INDEX(D$5:D$1258,'Stock Price'!$I$9)-1,"")</f>
        <v>-0.29202134939099489</v>
      </c>
      <c r="R144" s="19">
        <f ca="1">IF('Stock Price'!$I$11="OK",E144/INDEX(E$5:E$1258,'Stock Price'!$I$9)-1,"")</f>
        <v>0.13691315736449727</v>
      </c>
      <c r="S144" s="19">
        <f ca="1">IF('Stock Price'!$I$11="OK",F144/INDEX(F$5:F$1258,'Stock Price'!$I$9)-1,"")</f>
        <v>-6.5500485908649209E-2</v>
      </c>
      <c r="T144" s="19">
        <f ca="1">IF('Stock Price'!$I$11="OK",G144/INDEX(G$5:G$1258,'Stock Price'!$I$9)-1,"")</f>
        <v>0.13083143271822517</v>
      </c>
      <c r="U144" s="19">
        <f ca="1">IF('Stock Price'!$I$11="OK",H144/INDEX(H$5:H$1258,'Stock Price'!$I$9)-1,"")</f>
        <v>0.69552631578947377</v>
      </c>
      <c r="V144" s="19">
        <f ca="1">IF('Stock Price'!$I$11="OK",I144/INDEX(I$5:I$1258,'Stock Price'!$I$9)-1,"")</f>
        <v>0.94400317712470239</v>
      </c>
      <c r="W144" s="19">
        <f ca="1">IF('Stock Price'!$I$11="OK",J144/INDEX(J$5:J$1258,'Stock Price'!$I$9)-1,"")</f>
        <v>-0.73601392128549747</v>
      </c>
      <c r="X144" s="19">
        <f ca="1">IF('Stock Price'!$I$11="OK",K144/INDEX(K$5:K$1258,'Stock Price'!$I$9)-1,"")</f>
        <v>0.42255892255892258</v>
      </c>
      <c r="Y144" s="19">
        <f ca="1">IF('Stock Price'!$I$11="OK",L144/INDEX(L$5:L$1258,'Stock Price'!$I$9)-1,"")</f>
        <v>-0.1029177718832891</v>
      </c>
      <c r="Z144" s="19">
        <f ca="1">IF('Stock Price'!$I$11="OK",M144/INDEX(M$5:M$1258,'Stock Price'!$I$9)-1,"")</f>
        <v>-0.31838995246609392</v>
      </c>
    </row>
    <row r="145" spans="1:26" x14ac:dyDescent="0.2">
      <c r="A145" s="16">
        <f>'Stock Price'!A145</f>
        <v>44677</v>
      </c>
      <c r="B145" s="17">
        <f>'Stock Price'!E145</f>
        <v>84.48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-0.20638797557538746</v>
      </c>
      <c r="P145" s="19">
        <f ca="1">IF('Stock Price'!$I$11="OK",C145/INDEX(C$5:C$1258,'Stock Price'!$I$9)-1,"")</f>
        <v>-0.37879312833838596</v>
      </c>
      <c r="Q145" s="19">
        <f ca="1">IF('Stock Price'!$I$11="OK",D145/INDEX(D$5:D$1258,'Stock Price'!$I$9)-1,"")</f>
        <v>-0.2913097030244971</v>
      </c>
      <c r="R145" s="19">
        <f ca="1">IF('Stock Price'!$I$11="OK",E145/INDEX(E$5:E$1258,'Stock Price'!$I$9)-1,"")</f>
        <v>0.11802337295990317</v>
      </c>
      <c r="S145" s="19">
        <f ca="1">IF('Stock Price'!$I$11="OK",F145/INDEX(F$5:F$1258,'Stock Price'!$I$9)-1,"")</f>
        <v>-0.10106899902818278</v>
      </c>
      <c r="T145" s="19">
        <f ca="1">IF('Stock Price'!$I$11="OK",G145/INDEX(G$5:G$1258,'Stock Price'!$I$9)-1,"")</f>
        <v>0.11776902342940088</v>
      </c>
      <c r="U145" s="19">
        <f ca="1">IF('Stock Price'!$I$11="OK",H145/INDEX(H$5:H$1258,'Stock Price'!$I$9)-1,"")</f>
        <v>0.68421052631578938</v>
      </c>
      <c r="V145" s="19">
        <f ca="1">IF('Stock Price'!$I$11="OK",I145/INDEX(I$5:I$1258,'Stock Price'!$I$9)-1,"")</f>
        <v>0.94718030182684676</v>
      </c>
      <c r="W145" s="19">
        <f ca="1">IF('Stock Price'!$I$11="OK",J145/INDEX(J$5:J$1258,'Stock Price'!$I$9)-1,"")</f>
        <v>-0.73820763449220628</v>
      </c>
      <c r="X145" s="19">
        <f ca="1">IF('Stock Price'!$I$11="OK",K145/INDEX(K$5:K$1258,'Stock Price'!$I$9)-1,"")</f>
        <v>0.41395435839880279</v>
      </c>
      <c r="Y145" s="19">
        <f ca="1">IF('Stock Price'!$I$11="OK",L145/INDEX(L$5:L$1258,'Stock Price'!$I$9)-1,"")</f>
        <v>-0.10933204726308166</v>
      </c>
      <c r="Z145" s="19">
        <f ca="1">IF('Stock Price'!$I$11="OK",M145/INDEX(M$5:M$1258,'Stock Price'!$I$9)-1,"")</f>
        <v>-0.31891326152370147</v>
      </c>
    </row>
    <row r="146" spans="1:26" x14ac:dyDescent="0.2">
      <c r="A146" s="16">
        <f>'Stock Price'!A146</f>
        <v>44678</v>
      </c>
      <c r="B146" s="17">
        <f>'Stock Price'!E146</f>
        <v>84.41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-0.2070455612963833</v>
      </c>
      <c r="P146" s="19">
        <f ca="1">IF('Stock Price'!$I$11="OK",C146/INDEX(C$5:C$1258,'Stock Price'!$I$9)-1,"")</f>
        <v>-0.37565035368846544</v>
      </c>
      <c r="Q146" s="19">
        <f ca="1">IF('Stock Price'!$I$11="OK",D146/INDEX(D$5:D$1258,'Stock Price'!$I$9)-1,"")</f>
        <v>-0.29202134939099489</v>
      </c>
      <c r="R146" s="19">
        <f ca="1">IF('Stock Price'!$I$11="OK",E146/INDEX(E$5:E$1258,'Stock Price'!$I$9)-1,"")</f>
        <v>0.14446907112633478</v>
      </c>
      <c r="S146" s="19">
        <f ca="1">IF('Stock Price'!$I$11="OK",F146/INDEX(F$5:F$1258,'Stock Price'!$I$9)-1,"")</f>
        <v>-8.6491739552964075E-2</v>
      </c>
      <c r="T146" s="19">
        <f ca="1">IF('Stock Price'!$I$11="OK",G146/INDEX(G$5:G$1258,'Stock Price'!$I$9)-1,"")</f>
        <v>0.12668463611859848</v>
      </c>
      <c r="U146" s="19">
        <f ca="1">IF('Stock Price'!$I$11="OK",H146/INDEX(H$5:H$1258,'Stock Price'!$I$9)-1,"")</f>
        <v>0.65000000000000013</v>
      </c>
      <c r="V146" s="19">
        <f ca="1">IF('Stock Price'!$I$11="OK",I146/INDEX(I$5:I$1258,'Stock Price'!$I$9)-1,"")</f>
        <v>0.97537728355837983</v>
      </c>
      <c r="W146" s="19">
        <f ca="1">IF('Stock Price'!$I$11="OK",J146/INDEX(J$5:J$1258,'Stock Price'!$I$9)-1,"")</f>
        <v>-0.73611573919804507</v>
      </c>
      <c r="X146" s="19">
        <f ca="1">IF('Stock Price'!$I$11="OK",K146/INDEX(K$5:K$1258,'Stock Price'!$I$9)-1,"")</f>
        <v>0.41806958473625144</v>
      </c>
      <c r="Y146" s="19">
        <f ca="1">IF('Stock Price'!$I$11="OK",L146/INDEX(L$5:L$1258,'Stock Price'!$I$9)-1,"")</f>
        <v>-0.12177477694719074</v>
      </c>
      <c r="Z146" s="19">
        <f ca="1">IF('Stock Price'!$I$11="OK",M146/INDEX(M$5:M$1258,'Stock Price'!$I$9)-1,"")</f>
        <v>-0.31263355283241023</v>
      </c>
    </row>
    <row r="147" spans="1:26" x14ac:dyDescent="0.2">
      <c r="A147" s="16">
        <f>'Stock Price'!A147</f>
        <v>44679</v>
      </c>
      <c r="B147" s="17">
        <f>'Stock Price'!E147</f>
        <v>88.58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-0.16787224048849225</v>
      </c>
      <c r="P147" s="19">
        <f ca="1">IF('Stock Price'!$I$11="OK",C147/INDEX(C$5:C$1258,'Stock Price'!$I$9)-1,"")</f>
        <v>-0.36999422549444194</v>
      </c>
      <c r="Q147" s="19">
        <f ca="1">IF('Stock Price'!$I$11="OK",D147/INDEX(D$5:D$1258,'Stock Price'!$I$9)-1,"")</f>
        <v>-0.28928424798138763</v>
      </c>
      <c r="R147" s="19">
        <f ca="1">IF('Stock Price'!$I$11="OK",E147/INDEX(E$5:E$1258,'Stock Price'!$I$9)-1,"")</f>
        <v>0.15202498488817229</v>
      </c>
      <c r="S147" s="19">
        <f ca="1">IF('Stock Price'!$I$11="OK",F147/INDEX(F$5:F$1258,'Stock Price'!$I$9)-1,"")</f>
        <v>-9.4655004859086622E-2</v>
      </c>
      <c r="T147" s="19">
        <f ca="1">IF('Stock Price'!$I$11="OK",G147/INDEX(G$5:G$1258,'Stock Price'!$I$9)-1,"")</f>
        <v>0.12813601492846782</v>
      </c>
      <c r="U147" s="19">
        <f ca="1">IF('Stock Price'!$I$11="OK",H147/INDEX(H$5:H$1258,'Stock Price'!$I$9)-1,"")</f>
        <v>0.63131578947368427</v>
      </c>
      <c r="V147" s="19">
        <f ca="1">IF('Stock Price'!$I$11="OK",I147/INDEX(I$5:I$1258,'Stock Price'!$I$9)-1,"")</f>
        <v>1.0059571088165211</v>
      </c>
      <c r="W147" s="19">
        <f ca="1">IF('Stock Price'!$I$11="OK",J147/INDEX(J$5:J$1258,'Stock Price'!$I$9)-1,"")</f>
        <v>-0.72484171942685771</v>
      </c>
      <c r="X147" s="19">
        <f ca="1">IF('Stock Price'!$I$11="OK",K147/INDEX(K$5:K$1258,'Stock Price'!$I$9)-1,"")</f>
        <v>0.44407033295922194</v>
      </c>
      <c r="Y147" s="19">
        <f ca="1">IF('Stock Price'!$I$11="OK",L147/INDEX(L$5:L$1258,'Stock Price'!$I$9)-1,"")</f>
        <v>-0.11521581866409447</v>
      </c>
      <c r="Z147" s="19">
        <f ca="1">IF('Stock Price'!$I$11="OK",M147/INDEX(M$5:M$1258,'Stock Price'!$I$9)-1,"")</f>
        <v>-0.31834634337795997</v>
      </c>
    </row>
    <row r="148" spans="1:26" x14ac:dyDescent="0.2">
      <c r="A148" s="16">
        <f>'Stock Price'!A148</f>
        <v>44680</v>
      </c>
      <c r="B148" s="17">
        <f>'Stock Price'!E148</f>
        <v>88.69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-0.16683889149835607</v>
      </c>
      <c r="P148" s="19">
        <f ca="1">IF('Stock Price'!$I$11="OK",C148/INDEX(C$5:C$1258,'Stock Price'!$I$9)-1,"")</f>
        <v>-0.3852872816515085</v>
      </c>
      <c r="Q148" s="19">
        <f ca="1">IF('Stock Price'!$I$11="OK",D148/INDEX(D$5:D$1258,'Stock Price'!$I$9)-1,"")</f>
        <v>-0.27559874093335157</v>
      </c>
      <c r="R148" s="19">
        <f ca="1">IF('Stock Price'!$I$11="OK",E148/INDEX(E$5:E$1258,'Stock Price'!$I$9)-1,"")</f>
        <v>0.1404392504533547</v>
      </c>
      <c r="S148" s="19">
        <f ca="1">IF('Stock Price'!$I$11="OK",F148/INDEX(F$5:F$1258,'Stock Price'!$I$9)-1,"")</f>
        <v>-0.10242954324586984</v>
      </c>
      <c r="T148" s="19">
        <f ca="1">IF('Stock Price'!$I$11="OK",G148/INDEX(G$5:G$1258,'Stock Price'!$I$9)-1,"")</f>
        <v>8.3350611652498463E-2</v>
      </c>
      <c r="U148" s="19">
        <f ca="1">IF('Stock Price'!$I$11="OK",H148/INDEX(H$5:H$1258,'Stock Price'!$I$9)-1,"")</f>
        <v>0.65526315789473677</v>
      </c>
      <c r="V148" s="19">
        <f ca="1">IF('Stock Price'!$I$11="OK",I148/INDEX(I$5:I$1258,'Stock Price'!$I$9)-1,"")</f>
        <v>0.94876886417791906</v>
      </c>
      <c r="W148" s="19">
        <f ca="1">IF('Stock Price'!$I$11="OK",J148/INDEX(J$5:J$1258,'Stock Price'!$I$9)-1,"")</f>
        <v>-0.72959939279499419</v>
      </c>
      <c r="X148" s="19">
        <f ca="1">IF('Stock Price'!$I$11="OK",K148/INDEX(K$5:K$1258,'Stock Price'!$I$9)-1,"")</f>
        <v>0.40796857463524128</v>
      </c>
      <c r="Y148" s="19">
        <f ca="1">IF('Stock Price'!$I$11="OK",L148/INDEX(L$5:L$1258,'Stock Price'!$I$9)-1,"")</f>
        <v>-0.12968410899445371</v>
      </c>
      <c r="Z148" s="19">
        <f ca="1">IF('Stock Price'!$I$11="OK",M148/INDEX(M$5:M$1258,'Stock Price'!$I$9)-1,"")</f>
        <v>-0.35946971348829093</v>
      </c>
    </row>
    <row r="149" spans="1:26" x14ac:dyDescent="0.2">
      <c r="A149" s="16">
        <f>'Stock Price'!A149</f>
        <v>44683</v>
      </c>
      <c r="B149" s="17">
        <f>'Stock Price'!E149</f>
        <v>87.65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-0.1766087364960075</v>
      </c>
      <c r="P149" s="19">
        <f ca="1">IF('Stock Price'!$I$11="OK",C149/INDEX(C$5:C$1258,'Stock Price'!$I$9)-1,"")</f>
        <v>-0.38794066695539187</v>
      </c>
      <c r="Q149" s="19">
        <f ca="1">IF('Stock Price'!$I$11="OK",D149/INDEX(D$5:D$1258,'Stock Price'!$I$9)-1,"")</f>
        <v>-0.28835363350212129</v>
      </c>
      <c r="R149" s="19">
        <f ca="1">IF('Stock Price'!$I$11="OK",E149/INDEX(E$5:E$1258,'Stock Price'!$I$9)-1,"")</f>
        <v>0.12633487809792454</v>
      </c>
      <c r="S149" s="19">
        <f ca="1">IF('Stock Price'!$I$11="OK",F149/INDEX(F$5:F$1258,'Stock Price'!$I$9)-1,"")</f>
        <v>-0.11564625850340138</v>
      </c>
      <c r="T149" s="19">
        <f ca="1">IF('Stock Price'!$I$11="OK",G149/INDEX(G$5:G$1258,'Stock Price'!$I$9)-1,"")</f>
        <v>0.100145137880987</v>
      </c>
      <c r="U149" s="19">
        <f ca="1">IF('Stock Price'!$I$11="OK",H149/INDEX(H$5:H$1258,'Stock Price'!$I$9)-1,"")</f>
        <v>0.58368421052631581</v>
      </c>
      <c r="V149" s="19">
        <f ca="1">IF('Stock Price'!$I$11="OK",I149/INDEX(I$5:I$1258,'Stock Price'!$I$9)-1,"")</f>
        <v>0.91977760127085006</v>
      </c>
      <c r="W149" s="19">
        <f ca="1">IF('Stock Price'!$I$11="OK",J149/INDEX(J$5:J$1258,'Stock Price'!$I$9)-1,"")</f>
        <v>-0.73197822947906244</v>
      </c>
      <c r="X149" s="19">
        <f ca="1">IF('Stock Price'!$I$11="OK",K149/INDEX(K$5:K$1258,'Stock Price'!$I$9)-1,"")</f>
        <v>0.40441451552562668</v>
      </c>
      <c r="Y149" s="19">
        <f ca="1">IF('Stock Price'!$I$11="OK",L149/INDEX(L$5:L$1258,'Stock Price'!$I$9)-1,"")</f>
        <v>-0.13846153846153852</v>
      </c>
      <c r="Z149" s="19">
        <f ca="1">IF('Stock Price'!$I$11="OK",M149/INDEX(M$5:M$1258,'Stock Price'!$I$9)-1,"")</f>
        <v>-0.3551524137630282</v>
      </c>
    </row>
    <row r="150" spans="1:26" x14ac:dyDescent="0.2">
      <c r="A150" s="16">
        <f>'Stock Price'!A150</f>
        <v>44684</v>
      </c>
      <c r="B150" s="17">
        <f>'Stock Price'!E150</f>
        <v>87.1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-0.18177548144668865</v>
      </c>
      <c r="P150" s="19">
        <f ca="1">IF('Stock Price'!$I$11="OK",C150/INDEX(C$5:C$1258,'Stock Price'!$I$9)-1,"")</f>
        <v>-0.389127327847553</v>
      </c>
      <c r="Q150" s="19">
        <f ca="1">IF('Stock Price'!$I$11="OK",D150/INDEX(D$5:D$1258,'Stock Price'!$I$9)-1,"")</f>
        <v>-0.28791569727658406</v>
      </c>
      <c r="R150" s="19">
        <f ca="1">IF('Stock Price'!$I$11="OK",E150/INDEX(E$5:E$1258,'Stock Price'!$I$9)-1,"")</f>
        <v>0.13640942978037462</v>
      </c>
      <c r="S150" s="19">
        <f ca="1">IF('Stock Price'!$I$11="OK",F150/INDEX(F$5:F$1258,'Stock Price'!$I$9)-1,"")</f>
        <v>-0.12283770651117587</v>
      </c>
      <c r="T150" s="19">
        <f ca="1">IF('Stock Price'!$I$11="OK",G150/INDEX(G$5:G$1258,'Stock Price'!$I$9)-1,"")</f>
        <v>0.10760937176031526</v>
      </c>
      <c r="U150" s="19">
        <f ca="1">IF('Stock Price'!$I$11="OK",H150/INDEX(H$5:H$1258,'Stock Price'!$I$9)-1,"")</f>
        <v>0.60894736842105268</v>
      </c>
      <c r="V150" s="19">
        <f ca="1">IF('Stock Price'!$I$11="OK",I150/INDEX(I$5:I$1258,'Stock Price'!$I$9)-1,"")</f>
        <v>0.95750595710881647</v>
      </c>
      <c r="W150" s="19">
        <f ca="1">IF('Stock Price'!$I$11="OK",J150/INDEX(J$5:J$1258,'Stock Price'!$I$9)-1,"")</f>
        <v>-0.73335739938539002</v>
      </c>
      <c r="X150" s="19">
        <f ca="1">IF('Stock Price'!$I$11="OK",K150/INDEX(K$5:K$1258,'Stock Price'!$I$9)-1,"")</f>
        <v>0.40385334829779262</v>
      </c>
      <c r="Y150" s="19">
        <f ca="1">IF('Stock Price'!$I$11="OK",L150/INDEX(L$5:L$1258,'Stock Price'!$I$9)-1,"")</f>
        <v>-0.14014950566674711</v>
      </c>
      <c r="Z150" s="19">
        <f ca="1">IF('Stock Price'!$I$11="OK",M150/INDEX(M$5:M$1258,'Stock Price'!$I$9)-1,"")</f>
        <v>-0.3476080415158519</v>
      </c>
    </row>
    <row r="151" spans="1:26" x14ac:dyDescent="0.2">
      <c r="A151" s="16">
        <f>'Stock Price'!A151</f>
        <v>44685</v>
      </c>
      <c r="B151" s="17">
        <f>'Stock Price'!E151</f>
        <v>88.52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-0.168435885392203</v>
      </c>
      <c r="P151" s="19">
        <f ca="1">IF('Stock Price'!$I$11="OK",C151/INDEX(C$5:C$1258,'Stock Price'!$I$9)-1,"")</f>
        <v>-0.38361123141331022</v>
      </c>
      <c r="Q151" s="19">
        <f ca="1">IF('Stock Price'!$I$11="OK",D151/INDEX(D$5:D$1258,'Stock Price'!$I$9)-1,"")</f>
        <v>-0.29245928561653212</v>
      </c>
      <c r="R151" s="19">
        <f ca="1">IF('Stock Price'!$I$11="OK",E151/INDEX(E$5:E$1258,'Stock Price'!$I$9)-1,"")</f>
        <v>0.1374168849486197</v>
      </c>
      <c r="S151" s="19">
        <f ca="1">IF('Stock Price'!$I$11="OK",F151/INDEX(F$5:F$1258,'Stock Price'!$I$9)-1,"")</f>
        <v>-0.12517006802721098</v>
      </c>
      <c r="T151" s="19">
        <f ca="1">IF('Stock Price'!$I$11="OK",G151/INDEX(G$5:G$1258,'Stock Price'!$I$9)-1,"")</f>
        <v>8.8326767572050713E-2</v>
      </c>
      <c r="U151" s="19">
        <f ca="1">IF('Stock Price'!$I$11="OK",H151/INDEX(H$5:H$1258,'Stock Price'!$I$9)-1,"")</f>
        <v>0.60789473684210527</v>
      </c>
      <c r="V151" s="19">
        <f ca="1">IF('Stock Price'!$I$11="OK",I151/INDEX(I$5:I$1258,'Stock Price'!$I$9)-1,"")</f>
        <v>0.97220015885623501</v>
      </c>
      <c r="W151" s="19">
        <f ca="1">IF('Stock Price'!$I$11="OK",J151/INDEX(J$5:J$1258,'Stock Price'!$I$9)-1,"")</f>
        <v>-0.72703543263356663</v>
      </c>
      <c r="X151" s="19">
        <f ca="1">IF('Stock Price'!$I$11="OK",K151/INDEX(K$5:K$1258,'Stock Price'!$I$9)-1,"")</f>
        <v>0.42742237186681642</v>
      </c>
      <c r="Y151" s="19">
        <f ca="1">IF('Stock Price'!$I$11="OK",L151/INDEX(L$5:L$1258,'Stock Price'!$I$9)-1,"")</f>
        <v>-0.1309380274897517</v>
      </c>
      <c r="Z151" s="19">
        <f ca="1">IF('Stock Price'!$I$11="OK",M151/INDEX(M$5:M$1258,'Stock Price'!$I$9)-1,"")</f>
        <v>-0.33892983297719248</v>
      </c>
    </row>
    <row r="152" spans="1:26" x14ac:dyDescent="0.2">
      <c r="A152" s="16">
        <f>'Stock Price'!A152</f>
        <v>44686</v>
      </c>
      <c r="B152" s="17">
        <f>'Stock Price'!E152</f>
        <v>88.01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-0.17322686707374346</v>
      </c>
      <c r="P152" s="19">
        <f ca="1">IF('Stock Price'!$I$11="OK",C152/INDEX(C$5:C$1258,'Stock Price'!$I$9)-1,"")</f>
        <v>-0.39799624657138732</v>
      </c>
      <c r="Q152" s="19">
        <f ca="1">IF('Stock Price'!$I$11="OK",D152/INDEX(D$5:D$1258,'Stock Price'!$I$9)-1,"")</f>
        <v>-0.30149172026823601</v>
      </c>
      <c r="R152" s="19">
        <f ca="1">IF('Stock Price'!$I$11="OK",E152/INDEX(E$5:E$1258,'Stock Price'!$I$9)-1,"")</f>
        <v>0.11802337295990317</v>
      </c>
      <c r="S152" s="19">
        <f ca="1">IF('Stock Price'!$I$11="OK",F152/INDEX(F$5:F$1258,'Stock Price'!$I$9)-1,"")</f>
        <v>-0.14965986394557829</v>
      </c>
      <c r="T152" s="19">
        <f ca="1">IF('Stock Price'!$I$11="OK",G152/INDEX(G$5:G$1258,'Stock Price'!$I$9)-1,"")</f>
        <v>6.7385444743935263E-2</v>
      </c>
      <c r="U152" s="19">
        <f ca="1">IF('Stock Price'!$I$11="OK",H152/INDEX(H$5:H$1258,'Stock Price'!$I$9)-1,"")</f>
        <v>0.59315789473684211</v>
      </c>
      <c r="V152" s="19">
        <f ca="1">IF('Stock Price'!$I$11="OK",I152/INDEX(I$5:I$1258,'Stock Price'!$I$9)-1,"")</f>
        <v>0.92414614773629888</v>
      </c>
      <c r="W152" s="19">
        <f ca="1">IF('Stock Price'!$I$11="OK",J152/INDEX(J$5:J$1258,'Stock Price'!$I$9)-1,"")</f>
        <v>-0.72937724462216291</v>
      </c>
      <c r="X152" s="19">
        <f ca="1">IF('Stock Price'!$I$11="OK",K152/INDEX(K$5:K$1258,'Stock Price'!$I$9)-1,"")</f>
        <v>0.42630003741114852</v>
      </c>
      <c r="Y152" s="19">
        <f ca="1">IF('Stock Price'!$I$11="OK",L152/INDEX(L$5:L$1258,'Stock Price'!$I$9)-1,"")</f>
        <v>-0.14752833373523033</v>
      </c>
      <c r="Z152" s="19">
        <f ca="1">IF('Stock Price'!$I$11="OK",M152/INDEX(M$5:M$1258,'Stock Price'!$I$9)-1,"")</f>
        <v>-0.33635689677728842</v>
      </c>
    </row>
    <row r="153" spans="1:26" x14ac:dyDescent="0.2">
      <c r="A153" s="16">
        <f>'Stock Price'!A153</f>
        <v>44687</v>
      </c>
      <c r="B153" s="17">
        <f>'Stock Price'!E153</f>
        <v>88.39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-0.16965711601690936</v>
      </c>
      <c r="P153" s="19">
        <f ca="1">IF('Stock Price'!$I$11="OK",C153/INDEX(C$5:C$1258,'Stock Price'!$I$9)-1,"")</f>
        <v>-0.400719647755161</v>
      </c>
      <c r="Q153" s="19">
        <f ca="1">IF('Stock Price'!$I$11="OK",D153/INDEX(D$5:D$1258,'Stock Price'!$I$9)-1,"")</f>
        <v>-0.31254960996304915</v>
      </c>
      <c r="R153" s="19">
        <f ca="1">IF('Stock Price'!$I$11="OK",E153/INDEX(E$5:E$1258,'Stock Price'!$I$9)-1,"")</f>
        <v>0.11046745919806567</v>
      </c>
      <c r="S153" s="19">
        <f ca="1">IF('Stock Price'!$I$11="OK",F153/INDEX(F$5:F$1258,'Stock Price'!$I$9)-1,"")</f>
        <v>-0.14596695821185623</v>
      </c>
      <c r="T153" s="19">
        <f ca="1">IF('Stock Price'!$I$11="OK",G153/INDEX(G$5:G$1258,'Stock Price'!$I$9)-1,"")</f>
        <v>6.5726726104084587E-2</v>
      </c>
      <c r="U153" s="19">
        <f ca="1">IF('Stock Price'!$I$11="OK",H153/INDEX(H$5:H$1258,'Stock Price'!$I$9)-1,"")</f>
        <v>0.57526315789473692</v>
      </c>
      <c r="V153" s="19">
        <f ca="1">IF('Stock Price'!$I$11="OK",I153/INDEX(I$5:I$1258,'Stock Price'!$I$9)-1,"")</f>
        <v>0.94757744241461483</v>
      </c>
      <c r="W153" s="19">
        <f ca="1">IF('Stock Price'!$I$11="OK",J153/INDEX(J$5:J$1258,'Stock Price'!$I$9)-1,"")</f>
        <v>-0.72518419785997268</v>
      </c>
      <c r="X153" s="19">
        <f ca="1">IF('Stock Price'!$I$11="OK",K153/INDEX(K$5:K$1258,'Stock Price'!$I$9)-1,"")</f>
        <v>0.43415637860082312</v>
      </c>
      <c r="Y153" s="19">
        <f ca="1">IF('Stock Price'!$I$11="OK",L153/INDEX(L$5:L$1258,'Stock Price'!$I$9)-1,"")</f>
        <v>-0.14940921147817698</v>
      </c>
      <c r="Z153" s="19">
        <f ca="1">IF('Stock Price'!$I$11="OK",M153/INDEX(M$5:M$1258,'Stock Price'!$I$9)-1,"")</f>
        <v>-0.33352230604858046</v>
      </c>
    </row>
    <row r="154" spans="1:26" x14ac:dyDescent="0.2">
      <c r="A154" s="16">
        <f>'Stock Price'!A154</f>
        <v>44690</v>
      </c>
      <c r="B154" s="17">
        <f>'Stock Price'!E154</f>
        <v>87.64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-0.17670267731329259</v>
      </c>
      <c r="P154" s="19">
        <f ca="1">IF('Stock Price'!$I$11="OK",C154/INDEX(C$5:C$1258,'Stock Price'!$I$9)-1,"")</f>
        <v>-0.41705933304460807</v>
      </c>
      <c r="Q154" s="19">
        <f ca="1">IF('Stock Price'!$I$11="OK",D154/INDEX(D$5:D$1258,'Stock Price'!$I$9)-1,"")</f>
        <v>-0.33472013138086765</v>
      </c>
      <c r="R154" s="19">
        <f ca="1">IF('Stock Price'!$I$11="OK",E154/INDEX(E$5:E$1258,'Stock Price'!$I$9)-1,"")</f>
        <v>8.704412653636906E-2</v>
      </c>
      <c r="S154" s="19">
        <f ca="1">IF('Stock Price'!$I$11="OK",F154/INDEX(F$5:F$1258,'Stock Price'!$I$9)-1,"")</f>
        <v>-0.15257531584062201</v>
      </c>
      <c r="T154" s="19">
        <f ca="1">IF('Stock Price'!$I$11="OK",G154/INDEX(G$5:G$1258,'Stock Price'!$I$9)-1,"")</f>
        <v>5.577441426498031E-2</v>
      </c>
      <c r="U154" s="19">
        <f ca="1">IF('Stock Price'!$I$11="OK",H154/INDEX(H$5:H$1258,'Stock Price'!$I$9)-1,"")</f>
        <v>0.54526315789473689</v>
      </c>
      <c r="V154" s="19">
        <f ca="1">IF('Stock Price'!$I$11="OK",I154/INDEX(I$5:I$1258,'Stock Price'!$I$9)-1,"")</f>
        <v>0.93169181890389208</v>
      </c>
      <c r="W154" s="19">
        <f ca="1">IF('Stock Price'!$I$11="OK",J154/INDEX(J$5:J$1258,'Stock Price'!$I$9)-1,"")</f>
        <v>-0.73228368321670545</v>
      </c>
      <c r="X154" s="19">
        <f ca="1">IF('Stock Price'!$I$11="OK",K154/INDEX(K$5:K$1258,'Stock Price'!$I$9)-1,"")</f>
        <v>0.42667414889637101</v>
      </c>
      <c r="Y154" s="19">
        <f ca="1">IF('Stock Price'!$I$11="OK",L154/INDEX(L$5:L$1258,'Stock Price'!$I$9)-1,"")</f>
        <v>-0.14477935857246194</v>
      </c>
      <c r="Z154" s="19">
        <f ca="1">IF('Stock Price'!$I$11="OK",M154/INDEX(M$5:M$1258,'Stock Price'!$I$9)-1,"")</f>
        <v>-0.34167720552963232</v>
      </c>
    </row>
    <row r="155" spans="1:26" x14ac:dyDescent="0.2">
      <c r="A155" s="16">
        <f>'Stock Price'!A155</f>
        <v>44691</v>
      </c>
      <c r="B155" s="17">
        <f>'Stock Price'!E155</f>
        <v>87.81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-0.17510568341944577</v>
      </c>
      <c r="P155" s="19">
        <f ca="1">IF('Stock Price'!$I$11="OK",C155/INDEX(C$5:C$1258,'Stock Price'!$I$9)-1,"")</f>
        <v>-0.41070521149126604</v>
      </c>
      <c r="Q155" s="19">
        <f ca="1">IF('Stock Price'!$I$11="OK",D155/INDEX(D$5:D$1258,'Stock Price'!$I$9)-1,"")</f>
        <v>-0.32256740112221161</v>
      </c>
      <c r="R155" s="19">
        <f ca="1">IF('Stock Price'!$I$11="OK",E155/INDEX(E$5:E$1258,'Stock Price'!$I$9)-1,"")</f>
        <v>9.3592585129961714E-2</v>
      </c>
      <c r="S155" s="19">
        <f ca="1">IF('Stock Price'!$I$11="OK",F155/INDEX(F$5:F$1258,'Stock Price'!$I$9)-1,"")</f>
        <v>-0.13275024295432469</v>
      </c>
      <c r="T155" s="19">
        <f ca="1">IF('Stock Price'!$I$11="OK",G155/INDEX(G$5:G$1258,'Stock Price'!$I$9)-1,"")</f>
        <v>8.1691893012647787E-2</v>
      </c>
      <c r="U155" s="19">
        <f ca="1">IF('Stock Price'!$I$11="OK",H155/INDEX(H$5:H$1258,'Stock Price'!$I$9)-1,"")</f>
        <v>0.62868421052631573</v>
      </c>
      <c r="V155" s="19">
        <f ca="1">IF('Stock Price'!$I$11="OK",I155/INDEX(I$5:I$1258,'Stock Price'!$I$9)-1,"")</f>
        <v>0.96544876886417796</v>
      </c>
      <c r="W155" s="19">
        <f ca="1">IF('Stock Price'!$I$11="OK",J155/INDEX(J$5:J$1258,'Stock Price'!$I$9)-1,"")</f>
        <v>-0.73555111259209893</v>
      </c>
      <c r="X155" s="19">
        <f ca="1">IF('Stock Price'!$I$11="OK",K155/INDEX(K$5:K$1258,'Stock Price'!$I$9)-1,"")</f>
        <v>0.42704826038159371</v>
      </c>
      <c r="Y155" s="19">
        <f ca="1">IF('Stock Price'!$I$11="OK",L155/INDEX(L$5:L$1258,'Stock Price'!$I$9)-1,"")</f>
        <v>-0.14593682179889067</v>
      </c>
      <c r="Z155" s="19">
        <f ca="1">IF('Stock Price'!$I$11="OK",M155/INDEX(M$5:M$1258,'Stock Price'!$I$9)-1,"")</f>
        <v>-0.33674937857049403</v>
      </c>
    </row>
    <row r="156" spans="1:26" x14ac:dyDescent="0.2">
      <c r="A156" s="16">
        <f>'Stock Price'!A156</f>
        <v>44692</v>
      </c>
      <c r="B156" s="17">
        <f>'Stock Price'!E156</f>
        <v>89.19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-0.16214185063410058</v>
      </c>
      <c r="P156" s="19">
        <f ca="1">IF('Stock Price'!$I$11="OK",C156/INDEX(C$5:C$1258,'Stock Price'!$I$9)-1,"")</f>
        <v>-0.41314927096867327</v>
      </c>
      <c r="Q156" s="19">
        <f ca="1">IF('Stock Price'!$I$11="OK",D156/INDEX(D$5:D$1258,'Stock Price'!$I$9)-1,"")</f>
        <v>-0.32831531408238679</v>
      </c>
      <c r="R156" s="19">
        <f ca="1">IF('Stock Price'!$I$11="OK",E156/INDEX(E$5:E$1258,'Stock Price'!$I$9)-1,"")</f>
        <v>7.1176707636510184E-2</v>
      </c>
      <c r="S156" s="19">
        <f ca="1">IF('Stock Price'!$I$11="OK",F156/INDEX(F$5:F$1258,'Stock Price'!$I$9)-1,"")</f>
        <v>-0.21166180758017494</v>
      </c>
      <c r="T156" s="19">
        <f ca="1">IF('Stock Price'!$I$11="OK",G156/INDEX(G$5:G$1258,'Stock Price'!$I$9)-1,"")</f>
        <v>5.162761766535362E-2</v>
      </c>
      <c r="U156" s="19">
        <f ca="1">IF('Stock Price'!$I$11="OK",H156/INDEX(H$5:H$1258,'Stock Price'!$I$9)-1,"")</f>
        <v>0.52736842105263149</v>
      </c>
      <c r="V156" s="19">
        <f ca="1">IF('Stock Price'!$I$11="OK",I156/INDEX(I$5:I$1258,'Stock Price'!$I$9)-1,"")</f>
        <v>0.96386020651310567</v>
      </c>
      <c r="W156" s="19">
        <f ca="1">IF('Stock Price'!$I$11="OK",J156/INDEX(J$5:J$1258,'Stock Price'!$I$9)-1,"")</f>
        <v>-0.73463475137916989</v>
      </c>
      <c r="X156" s="19">
        <f ca="1">IF('Stock Price'!$I$11="OK",K156/INDEX(K$5:K$1258,'Stock Price'!$I$9)-1,"")</f>
        <v>0.42442947998503566</v>
      </c>
      <c r="Y156" s="19">
        <f ca="1">IF('Stock Price'!$I$11="OK",L156/INDEX(L$5:L$1258,'Stock Price'!$I$9)-1,"")</f>
        <v>-0.15056667470460572</v>
      </c>
      <c r="Z156" s="19">
        <f ca="1">IF('Stock Price'!$I$11="OK",M156/INDEX(M$5:M$1258,'Stock Price'!$I$9)-1,"")</f>
        <v>-0.33731629671623564</v>
      </c>
    </row>
    <row r="157" spans="1:26" x14ac:dyDescent="0.2">
      <c r="A157" s="16">
        <f>'Stock Price'!A157</f>
        <v>44693</v>
      </c>
      <c r="B157" s="17">
        <f>'Stock Price'!E157</f>
        <v>90.83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-0.14673555659934245</v>
      </c>
      <c r="P157" s="19">
        <f ca="1">IF('Stock Price'!$I$11="OK",C157/INDEX(C$5:C$1258,'Stock Price'!$I$9)-1,"")</f>
        <v>-0.40379168471199656</v>
      </c>
      <c r="Q157" s="19">
        <f ca="1">IF('Stock Price'!$I$11="OK",D157/INDEX(D$5:D$1258,'Stock Price'!$I$9)-1,"")</f>
        <v>-0.33915423566443137</v>
      </c>
      <c r="R157" s="19">
        <f ca="1">IF('Stock Price'!$I$11="OK",E157/INDEX(E$5:E$1258,'Stock Price'!$I$9)-1,"")</f>
        <v>6.9665524884142682E-2</v>
      </c>
      <c r="S157" s="19">
        <f ca="1">IF('Stock Price'!$I$11="OK",F157/INDEX(F$5:F$1258,'Stock Price'!$I$9)-1,"")</f>
        <v>-0.23148688046647237</v>
      </c>
      <c r="T157" s="19">
        <f ca="1">IF('Stock Price'!$I$11="OK",G157/INDEX(G$5:G$1258,'Stock Price'!$I$9)-1,"")</f>
        <v>6.1994609164420567E-2</v>
      </c>
      <c r="U157" s="19">
        <f ca="1">IF('Stock Price'!$I$11="OK",H157/INDEX(H$5:H$1258,'Stock Price'!$I$9)-1,"")</f>
        <v>0.58947368421052637</v>
      </c>
      <c r="V157" s="19">
        <f ca="1">IF('Stock Price'!$I$11="OK",I157/INDEX(I$5:I$1258,'Stock Price'!$I$9)-1,"")</f>
        <v>1.0011914217633042</v>
      </c>
      <c r="W157" s="19">
        <f ca="1">IF('Stock Price'!$I$11="OK",J157/INDEX(J$5:J$1258,'Stock Price'!$I$9)-1,"")</f>
        <v>-0.72990484653263721</v>
      </c>
      <c r="X157" s="19">
        <f ca="1">IF('Stock Price'!$I$11="OK",K157/INDEX(K$5:K$1258,'Stock Price'!$I$9)-1,"")</f>
        <v>0.42723531612420484</v>
      </c>
      <c r="Y157" s="19">
        <f ca="1">IF('Stock Price'!$I$11="OK",L157/INDEX(L$5:L$1258,'Stock Price'!$I$9)-1,"")</f>
        <v>-0.14217506631299726</v>
      </c>
      <c r="Z157" s="19">
        <f ca="1">IF('Stock Price'!$I$11="OK",M157/INDEX(M$5:M$1258,'Stock Price'!$I$9)-1,"")</f>
        <v>-0.32715537918102133</v>
      </c>
    </row>
    <row r="158" spans="1:26" x14ac:dyDescent="0.2">
      <c r="A158" s="16">
        <f>'Stock Price'!A158</f>
        <v>44694</v>
      </c>
      <c r="B158" s="17">
        <f>'Stock Price'!E158</f>
        <v>90.41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-0.15068107092531713</v>
      </c>
      <c r="P158" s="19">
        <f ca="1">IF('Stock Price'!$I$11="OK",C158/INDEX(C$5:C$1258,'Stock Price'!$I$9)-1,"")</f>
        <v>-0.400719647755161</v>
      </c>
      <c r="Q158" s="19">
        <f ca="1">IF('Stock Price'!$I$11="OK",D158/INDEX(D$5:D$1258,'Stock Price'!$I$9)-1,"")</f>
        <v>-0.3112358012864378</v>
      </c>
      <c r="R158" s="19">
        <f ca="1">IF('Stock Price'!$I$11="OK",E158/INDEX(E$5:E$1258,'Stock Price'!$I$9)-1,"")</f>
        <v>9.1073947209349138E-2</v>
      </c>
      <c r="S158" s="19">
        <f ca="1">IF('Stock Price'!$I$11="OK",F158/INDEX(F$5:F$1258,'Stock Price'!$I$9)-1,"")</f>
        <v>-0.22740524781341109</v>
      </c>
      <c r="T158" s="19">
        <f ca="1">IF('Stock Price'!$I$11="OK",G158/INDEX(G$5:G$1258,'Stock Price'!$I$9)-1,"")</f>
        <v>7.8789135392909104E-2</v>
      </c>
      <c r="U158" s="19">
        <f ca="1">IF('Stock Price'!$I$11="OK",H158/INDEX(H$5:H$1258,'Stock Price'!$I$9)-1,"")</f>
        <v>0.6194736842105264</v>
      </c>
      <c r="V158" s="19">
        <f ca="1">IF('Stock Price'!$I$11="OK",I158/INDEX(I$5:I$1258,'Stock Price'!$I$9)-1,"")</f>
        <v>0.98252581413820494</v>
      </c>
      <c r="W158" s="19">
        <f ca="1">IF('Stock Price'!$I$11="OK",J158/INDEX(J$5:J$1258,'Stock Price'!$I$9)-1,"")</f>
        <v>-0.73006220148839274</v>
      </c>
      <c r="X158" s="19">
        <f ca="1">IF('Stock Price'!$I$11="OK",K158/INDEX(K$5:K$1258,'Stock Price'!$I$9)-1,"")</f>
        <v>0.41788252899364009</v>
      </c>
      <c r="Y158" s="19">
        <f ca="1">IF('Stock Price'!$I$11="OK",L158/INDEX(L$5:L$1258,'Stock Price'!$I$9)-1,"")</f>
        <v>-0.14709428502531952</v>
      </c>
      <c r="Z158" s="19">
        <f ca="1">IF('Stock Price'!$I$11="OK",M158/INDEX(M$5:M$1258,'Stock Price'!$I$9)-1,"")</f>
        <v>-0.33060049714360473</v>
      </c>
    </row>
    <row r="159" spans="1:26" x14ac:dyDescent="0.2">
      <c r="A159" s="16">
        <f>'Stock Price'!A159</f>
        <v>44697</v>
      </c>
      <c r="B159" s="17">
        <f>'Stock Price'!E159</f>
        <v>92.32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-0.13273837482386108</v>
      </c>
      <c r="P159" s="19">
        <f ca="1">IF('Stock Price'!$I$11="OK",C159/INDEX(C$5:C$1258,'Stock Price'!$I$9)-1,"")</f>
        <v>-0.38682330012992638</v>
      </c>
      <c r="Q159" s="19">
        <f ca="1">IF('Stock Price'!$I$11="OK",D159/INDEX(D$5:D$1258,'Stock Price'!$I$9)-1,"")</f>
        <v>-0.30707540714383474</v>
      </c>
      <c r="R159" s="19">
        <f ca="1">IF('Stock Price'!$I$11="OK",E159/INDEX(E$5:E$1258,'Stock Price'!$I$9)-1,"")</f>
        <v>0.11751964537578075</v>
      </c>
      <c r="S159" s="19">
        <f ca="1">IF('Stock Price'!$I$11="OK",F159/INDEX(F$5:F$1258,'Stock Price'!$I$9)-1,"")</f>
        <v>-0.2202137998056366</v>
      </c>
      <c r="T159" s="19">
        <f ca="1">IF('Stock Price'!$I$11="OK",G159/INDEX(G$5:G$1258,'Stock Price'!$I$9)-1,"")</f>
        <v>8.9778146381920054E-2</v>
      </c>
      <c r="U159" s="19">
        <f ca="1">IF('Stock Price'!$I$11="OK",H159/INDEX(H$5:H$1258,'Stock Price'!$I$9)-1,"")</f>
        <v>0.66342105263157891</v>
      </c>
      <c r="V159" s="19">
        <f ca="1">IF('Stock Price'!$I$11="OK",I159/INDEX(I$5:I$1258,'Stock Price'!$I$9)-1,"")</f>
        <v>1.0123113582208103</v>
      </c>
      <c r="W159" s="19">
        <f ca="1">IF('Stock Price'!$I$11="OK",J159/INDEX(J$5:J$1258,'Stock Price'!$I$9)-1,"")</f>
        <v>-0.72288866674071606</v>
      </c>
      <c r="X159" s="19">
        <f ca="1">IF('Stock Price'!$I$11="OK",K159/INDEX(K$5:K$1258,'Stock Price'!$I$9)-1,"")</f>
        <v>0.43864571642349404</v>
      </c>
      <c r="Y159" s="19">
        <f ca="1">IF('Stock Price'!$I$11="OK",L159/INDEX(L$5:L$1258,'Stock Price'!$I$9)-1,"")</f>
        <v>-0.14116228598987213</v>
      </c>
      <c r="Z159" s="19">
        <f ca="1">IF('Stock Price'!$I$11="OK",M159/INDEX(M$5:M$1258,'Stock Price'!$I$9)-1,"")</f>
        <v>-0.32200950678121321</v>
      </c>
    </row>
    <row r="160" spans="1:26" x14ac:dyDescent="0.2">
      <c r="A160" s="16">
        <f>'Stock Price'!A160</f>
        <v>44698</v>
      </c>
      <c r="B160" s="17">
        <f>'Stock Price'!E160</f>
        <v>93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-0.12635039924847347</v>
      </c>
      <c r="P160" s="19">
        <f ca="1">IF('Stock Price'!$I$11="OK",C160/INDEX(C$5:C$1258,'Stock Price'!$I$9)-1,"")</f>
        <v>-0.38605529089071744</v>
      </c>
      <c r="Q160" s="19">
        <f ca="1">IF('Stock Price'!$I$11="OK",D160/INDEX(D$5:D$1258,'Stock Price'!$I$9)-1,"")</f>
        <v>-0.29262351170110856</v>
      </c>
      <c r="R160" s="19">
        <f ca="1">IF('Stock Price'!$I$11="OK",E160/INDEX(E$5:E$1258,'Stock Price'!$I$9)-1,"")</f>
        <v>0.12608301430586333</v>
      </c>
      <c r="S160" s="19">
        <f ca="1">IF('Stock Price'!$I$11="OK",F160/INDEX(F$5:F$1258,'Stock Price'!$I$9)-1,"")</f>
        <v>-0.21535471331389711</v>
      </c>
      <c r="T160" s="19">
        <f ca="1">IF('Stock Price'!$I$11="OK",G160/INDEX(G$5:G$1258,'Stock Price'!$I$9)-1,"")</f>
        <v>9.6827700601285649E-2</v>
      </c>
      <c r="U160" s="19">
        <f ca="1">IF('Stock Price'!$I$11="OK",H160/INDEX(H$5:H$1258,'Stock Price'!$I$9)-1,"")</f>
        <v>0.68736842105263163</v>
      </c>
      <c r="V160" s="19">
        <f ca="1">IF('Stock Price'!$I$11="OK",I160/INDEX(I$5:I$1258,'Stock Price'!$I$9)-1,"")</f>
        <v>1.0389197776012709</v>
      </c>
      <c r="W160" s="19">
        <f ca="1">IF('Stock Price'!$I$11="OK",J160/INDEX(J$5:J$1258,'Stock Price'!$I$9)-1,"")</f>
        <v>-0.72101891961938613</v>
      </c>
      <c r="X160" s="19">
        <f ca="1">IF('Stock Price'!$I$11="OK",K160/INDEX(K$5:K$1258,'Stock Price'!$I$9)-1,"")</f>
        <v>0.46315001870557415</v>
      </c>
      <c r="Y160" s="19">
        <f ca="1">IF('Stock Price'!$I$11="OK",L160/INDEX(L$5:L$1258,'Stock Price'!$I$9)-1,"")</f>
        <v>-0.13759344104171689</v>
      </c>
      <c r="Z160" s="19">
        <f ca="1">IF('Stock Price'!$I$11="OK",M160/INDEX(M$5:M$1258,'Stock Price'!$I$9)-1,"")</f>
        <v>-0.32501853386245694</v>
      </c>
    </row>
    <row r="161" spans="1:26" x14ac:dyDescent="0.2">
      <c r="A161" s="16">
        <f>'Stock Price'!A161</f>
        <v>44699</v>
      </c>
      <c r="B161" s="17">
        <f>'Stock Price'!E161</f>
        <v>92.1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-0.13480507280413345</v>
      </c>
      <c r="P161" s="19">
        <f ca="1">IF('Stock Price'!$I$11="OK",C161/INDEX(C$5:C$1258,'Stock Price'!$I$9)-1,"")</f>
        <v>-0.38773134112891583</v>
      </c>
      <c r="Q161" s="19">
        <f ca="1">IF('Stock Price'!$I$11="OK",D161/INDEX(D$5:D$1258,'Stock Price'!$I$9)-1,"")</f>
        <v>-0.31304228821677849</v>
      </c>
      <c r="R161" s="19">
        <f ca="1">IF('Stock Price'!$I$11="OK",E161/INDEX(E$5:E$1258,'Stock Price'!$I$9)-1,"")</f>
        <v>9.888172476324808E-2</v>
      </c>
      <c r="S161" s="19">
        <f ca="1">IF('Stock Price'!$I$11="OK",F161/INDEX(F$5:F$1258,'Stock Price'!$I$9)-1,"")</f>
        <v>-0.21593780369290572</v>
      </c>
      <c r="T161" s="19">
        <f ca="1">IF('Stock Price'!$I$11="OK",G161/INDEX(G$5:G$1258,'Stock Price'!$I$9)-1,"")</f>
        <v>8.6253369272237368E-2</v>
      </c>
      <c r="U161" s="19">
        <f ca="1">IF('Stock Price'!$I$11="OK",H161/INDEX(H$5:H$1258,'Stock Price'!$I$9)-1,"")</f>
        <v>0.67894736842105252</v>
      </c>
      <c r="V161" s="19">
        <f ca="1">IF('Stock Price'!$I$11="OK",I161/INDEX(I$5:I$1258,'Stock Price'!$I$9)-1,"")</f>
        <v>1.0015885623510723</v>
      </c>
      <c r="W161" s="19">
        <f ca="1">IF('Stock Price'!$I$11="OK",J161/INDEX(J$5:J$1258,'Stock Price'!$I$9)-1,"")</f>
        <v>-0.72676700359139546</v>
      </c>
      <c r="X161" s="19">
        <f ca="1">IF('Stock Price'!$I$11="OK",K161/INDEX(K$5:K$1258,'Stock Price'!$I$9)-1,"")</f>
        <v>0.44070332959221847</v>
      </c>
      <c r="Y161" s="19">
        <f ca="1">IF('Stock Price'!$I$11="OK",L161/INDEX(L$5:L$1258,'Stock Price'!$I$9)-1,"")</f>
        <v>-0.15360501567398122</v>
      </c>
      <c r="Z161" s="19">
        <f ca="1">IF('Stock Price'!$I$11="OK",M161/INDEX(M$5:M$1258,'Stock Price'!$I$9)-1,"")</f>
        <v>-0.33526666957393914</v>
      </c>
    </row>
    <row r="162" spans="1:26" x14ac:dyDescent="0.2">
      <c r="A162" s="16">
        <f>'Stock Price'!A162</f>
        <v>44700</v>
      </c>
      <c r="B162" s="17">
        <f>'Stock Price'!E162</f>
        <v>92.09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-0.13489901362141854</v>
      </c>
      <c r="P162" s="19">
        <f ca="1">IF('Stock Price'!$I$11="OK",C162/INDEX(C$5:C$1258,'Stock Price'!$I$9)-1,"")</f>
        <v>-0.38095784610942685</v>
      </c>
      <c r="Q162" s="19">
        <f ca="1">IF('Stock Price'!$I$11="OK",D162/INDEX(D$5:D$1258,'Stock Price'!$I$9)-1,"")</f>
        <v>-0.31079786506090057</v>
      </c>
      <c r="R162" s="19">
        <f ca="1">IF('Stock Price'!$I$11="OK",E162/INDEX(E$5:E$1258,'Stock Price'!$I$9)-1,"")</f>
        <v>9.7118678218819365E-2</v>
      </c>
      <c r="S162" s="19">
        <f ca="1">IF('Stock Price'!$I$11="OK",F162/INDEX(F$5:F$1258,'Stock Price'!$I$9)-1,"")</f>
        <v>-0.2081632653061225</v>
      </c>
      <c r="T162" s="19">
        <f ca="1">IF('Stock Price'!$I$11="OK",G162/INDEX(G$5:G$1258,'Stock Price'!$I$9)-1,"")</f>
        <v>0.100145137880987</v>
      </c>
      <c r="U162" s="19">
        <f ca="1">IF('Stock Price'!$I$11="OK",H162/INDEX(H$5:H$1258,'Stock Price'!$I$9)-1,"")</f>
        <v>0.6684210526315788</v>
      </c>
      <c r="V162" s="19">
        <f ca="1">IF('Stock Price'!$I$11="OK",I162/INDEX(I$5:I$1258,'Stock Price'!$I$9)-1,"")</f>
        <v>1.0115170770452742</v>
      </c>
      <c r="W162" s="19">
        <f ca="1">IF('Stock Price'!$I$11="OK",J162/INDEX(J$5:J$1258,'Stock Price'!$I$9)-1,"")</f>
        <v>-0.73502351068162464</v>
      </c>
      <c r="X162" s="19">
        <f ca="1">IF('Stock Price'!$I$11="OK",K162/INDEX(K$5:K$1258,'Stock Price'!$I$9)-1,"")</f>
        <v>0.42087542087542062</v>
      </c>
      <c r="Y162" s="19">
        <f ca="1">IF('Stock Price'!$I$11="OK",L162/INDEX(L$5:L$1258,'Stock Price'!$I$9)-1,"")</f>
        <v>-0.16112852664576804</v>
      </c>
      <c r="Z162" s="19">
        <f ca="1">IF('Stock Price'!$I$11="OK",M162/INDEX(M$5:M$1258,'Stock Price'!$I$9)-1,"")</f>
        <v>-0.33836291483145087</v>
      </c>
    </row>
    <row r="163" spans="1:26" x14ac:dyDescent="0.2">
      <c r="A163" s="16">
        <f>'Stock Price'!A163</f>
        <v>44701</v>
      </c>
      <c r="B163" s="17">
        <f>'Stock Price'!E163</f>
        <v>93.55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-0.12118365429779243</v>
      </c>
      <c r="P163" s="19">
        <f ca="1">IF('Stock Price'!$I$11="OK",C163/INDEX(C$5:C$1258,'Stock Price'!$I$9)-1,"")</f>
        <v>-0.37558033780857514</v>
      </c>
      <c r="Q163" s="19">
        <f ca="1">IF('Stock Price'!$I$11="OK",D163/INDEX(D$5:D$1258,'Stock Price'!$I$9)-1,"")</f>
        <v>-0.30444778979061182</v>
      </c>
      <c r="R163" s="19">
        <f ca="1">IF('Stock Price'!$I$11="OK",E163/INDEX(E$5:E$1258,'Stock Price'!$I$9)-1,"")</f>
        <v>0.12129760225669939</v>
      </c>
      <c r="S163" s="19">
        <f ca="1">IF('Stock Price'!$I$11="OK",F163/INDEX(F$5:F$1258,'Stock Price'!$I$9)-1,"")</f>
        <v>-0.20097181729834801</v>
      </c>
      <c r="T163" s="19">
        <f ca="1">IF('Stock Price'!$I$11="OK",G163/INDEX(G$5:G$1258,'Stock Price'!$I$9)-1,"")</f>
        <v>0.12792867509848649</v>
      </c>
      <c r="U163" s="19">
        <f ca="1">IF('Stock Price'!$I$11="OK",H163/INDEX(H$5:H$1258,'Stock Price'!$I$9)-1,"")</f>
        <v>0.67736842105263162</v>
      </c>
      <c r="V163" s="19">
        <f ca="1">IF('Stock Price'!$I$11="OK",I163/INDEX(I$5:I$1258,'Stock Price'!$I$9)-1,"")</f>
        <v>1.0837966640190628</v>
      </c>
      <c r="W163" s="19">
        <f ca="1">IF('Stock Price'!$I$11="OK",J163/INDEX(J$5:J$1258,'Stock Price'!$I$9)-1,"")</f>
        <v>-0.7233792439557184</v>
      </c>
      <c r="X163" s="19">
        <f ca="1">IF('Stock Price'!$I$11="OK",K163/INDEX(K$5:K$1258,'Stock Price'!$I$9)-1,"")</f>
        <v>0.42517770295548063</v>
      </c>
      <c r="Y163" s="19">
        <f ca="1">IF('Stock Price'!$I$11="OK",L163/INDEX(L$5:L$1258,'Stock Price'!$I$9)-1,"")</f>
        <v>-0.14646732577767063</v>
      </c>
      <c r="Z163" s="19">
        <f ca="1">IF('Stock Price'!$I$11="OK",M163/INDEX(M$5:M$1258,'Stock Price'!$I$9)-1,"")</f>
        <v>-0.3414591600889626</v>
      </c>
    </row>
    <row r="164" spans="1:26" x14ac:dyDescent="0.2">
      <c r="A164" s="16">
        <f>'Stock Price'!A164</f>
        <v>44704</v>
      </c>
      <c r="B164" s="17">
        <f>'Stock Price'!E164</f>
        <v>93.83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-0.11855331141380931</v>
      </c>
      <c r="P164" s="19">
        <f ca="1">IF('Stock Price'!$I$11="OK",C164/INDEX(C$5:C$1258,'Stock Price'!$I$9)-1,"")</f>
        <v>-0.36657283095134974</v>
      </c>
      <c r="Q164" s="19">
        <f ca="1">IF('Stock Price'!$I$11="OK",D164/INDEX(D$5:D$1258,'Stock Price'!$I$9)-1,"")</f>
        <v>-0.28244149445736966</v>
      </c>
      <c r="R164" s="19">
        <f ca="1">IF('Stock Price'!$I$11="OK",E164/INDEX(E$5:E$1258,'Stock Price'!$I$9)-1,"")</f>
        <v>0.1270904694741084</v>
      </c>
      <c r="S164" s="19">
        <f ca="1">IF('Stock Price'!$I$11="OK",F164/INDEX(F$5:F$1258,'Stock Price'!$I$9)-1,"")</f>
        <v>-0.1863945578231293</v>
      </c>
      <c r="T164" s="19">
        <f ca="1">IF('Stock Price'!$I$11="OK",G164/INDEX(G$5:G$1258,'Stock Price'!$I$9)-1,"")</f>
        <v>0.14928467758656438</v>
      </c>
      <c r="U164" s="19">
        <f ca="1">IF('Stock Price'!$I$11="OK",H164/INDEX(H$5:H$1258,'Stock Price'!$I$9)-1,"")</f>
        <v>0.69657894736842096</v>
      </c>
      <c r="V164" s="19">
        <f ca="1">IF('Stock Price'!$I$11="OK",I164/INDEX(I$5:I$1258,'Stock Price'!$I$9)-1,"")</f>
        <v>1.1000794281175539</v>
      </c>
      <c r="W164" s="19">
        <f ca="1">IF('Stock Price'!$I$11="OK",J164/INDEX(J$5:J$1258,'Stock Price'!$I$9)-1,"")</f>
        <v>-0.71990817875522972</v>
      </c>
      <c r="X164" s="19">
        <f ca="1">IF('Stock Price'!$I$11="OK",K164/INDEX(K$5:K$1258,'Stock Price'!$I$9)-1,"")</f>
        <v>0.43471754582865696</v>
      </c>
      <c r="Y164" s="19">
        <f ca="1">IF('Stock Price'!$I$11="OK",L164/INDEX(L$5:L$1258,'Stock Price'!$I$9)-1,"")</f>
        <v>-0.13460332770677597</v>
      </c>
      <c r="Z164" s="19">
        <f ca="1">IF('Stock Price'!$I$11="OK",M164/INDEX(M$5:M$1258,'Stock Price'!$I$9)-1,"")</f>
        <v>-0.35445466835288475</v>
      </c>
    </row>
    <row r="165" spans="1:26" x14ac:dyDescent="0.2">
      <c r="A165" s="16">
        <f>'Stock Price'!A165</f>
        <v>44705</v>
      </c>
      <c r="B165" s="17">
        <f>'Stock Price'!E165</f>
        <v>94.64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-0.11094410521371534</v>
      </c>
      <c r="P165" s="19">
        <f ca="1">IF('Stock Price'!$I$11="OK",C165/INDEX(C$5:C$1258,'Stock Price'!$I$9)-1,"")</f>
        <v>-0.35805326981377217</v>
      </c>
      <c r="Q165" s="19">
        <f ca="1">IF('Stock Price'!$I$11="OK",D165/INDEX(D$5:D$1258,'Stock Price'!$I$9)-1,"")</f>
        <v>-0.27488709456685367</v>
      </c>
      <c r="R165" s="19">
        <f ca="1">IF('Stock Price'!$I$11="OK",E165/INDEX(E$5:E$1258,'Stock Price'!$I$9)-1,"")</f>
        <v>0.13338706427563962</v>
      </c>
      <c r="S165" s="19">
        <f ca="1">IF('Stock Price'!$I$11="OK",F165/INDEX(F$5:F$1258,'Stock Price'!$I$9)-1,"")</f>
        <v>-0.15976676384839661</v>
      </c>
      <c r="T165" s="19">
        <f ca="1">IF('Stock Price'!$I$11="OK",G165/INDEX(G$5:G$1258,'Stock Price'!$I$9)-1,"")</f>
        <v>0.1671159029649596</v>
      </c>
      <c r="U165" s="19">
        <f ca="1">IF('Stock Price'!$I$11="OK",H165/INDEX(H$5:H$1258,'Stock Price'!$I$9)-1,"")</f>
        <v>0.66552631578947374</v>
      </c>
      <c r="V165" s="19">
        <f ca="1">IF('Stock Price'!$I$11="OK",I165/INDEX(I$5:I$1258,'Stock Price'!$I$9)-1,"")</f>
        <v>1.1211278792692614</v>
      </c>
      <c r="W165" s="19">
        <f ca="1">IF('Stock Price'!$I$11="OK",J165/INDEX(J$5:J$1258,'Stock Price'!$I$9)-1,"")</f>
        <v>-0.71679810433559177</v>
      </c>
      <c r="X165" s="19">
        <f ca="1">IF('Stock Price'!$I$11="OK",K165/INDEX(K$5:K$1258,'Stock Price'!$I$9)-1,"")</f>
        <v>0.44276094276094269</v>
      </c>
      <c r="Y165" s="19">
        <f ca="1">IF('Stock Price'!$I$11="OK",L165/INDEX(L$5:L$1258,'Stock Price'!$I$9)-1,"")</f>
        <v>-0.12515071135760791</v>
      </c>
      <c r="Z165" s="19">
        <f ca="1">IF('Stock Price'!$I$11="OK",M165/INDEX(M$5:M$1258,'Stock Price'!$I$9)-1,"")</f>
        <v>-0.34974488683441629</v>
      </c>
    </row>
    <row r="166" spans="1:26" x14ac:dyDescent="0.2">
      <c r="A166" s="16">
        <f>'Stock Price'!A166</f>
        <v>44706</v>
      </c>
      <c r="B166" s="17">
        <f>'Stock Price'!E166</f>
        <v>93.75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-0.11930483795209024</v>
      </c>
      <c r="P166" s="19">
        <f ca="1">IF('Stock Price'!$I$11="OK",C166/INDEX(C$5:C$1258,'Stock Price'!$I$9)-1,"")</f>
        <v>-0.36280207882200088</v>
      </c>
      <c r="Q166" s="19">
        <f ca="1">IF('Stock Price'!$I$11="OK",D166/INDEX(D$5:D$1258,'Stock Price'!$I$9)-1,"")</f>
        <v>-0.26569043383057356</v>
      </c>
      <c r="R166" s="19">
        <f ca="1">IF('Stock Price'!$I$11="OK",E166/INDEX(E$5:E$1258,'Stock Price'!$I$9)-1,"")</f>
        <v>0.13263147289945598</v>
      </c>
      <c r="S166" s="19">
        <f ca="1">IF('Stock Price'!$I$11="OK",F166/INDEX(F$5:F$1258,'Stock Price'!$I$9)-1,"")</f>
        <v>-0.16443148688046649</v>
      </c>
      <c r="T166" s="19">
        <f ca="1">IF('Stock Price'!$I$11="OK",G166/INDEX(G$5:G$1258,'Stock Price'!$I$9)-1,"")</f>
        <v>0.15799295044578066</v>
      </c>
      <c r="U166" s="19">
        <f ca="1">IF('Stock Price'!$I$11="OK",H166/INDEX(H$5:H$1258,'Stock Price'!$I$9)-1,"")</f>
        <v>0.67842105263157904</v>
      </c>
      <c r="V166" s="19">
        <f ca="1">IF('Stock Price'!$I$11="OK",I166/INDEX(I$5:I$1258,'Stock Price'!$I$9)-1,"")</f>
        <v>1.1330420969023036</v>
      </c>
      <c r="W166" s="19">
        <f ca="1">IF('Stock Price'!$I$11="OK",J166/INDEX(J$5:J$1258,'Stock Price'!$I$9)-1,"")</f>
        <v>-0.71582620607945491</v>
      </c>
      <c r="X166" s="19">
        <f ca="1">IF('Stock Price'!$I$11="OK",K166/INDEX(K$5:K$1258,'Stock Price'!$I$9)-1,"")</f>
        <v>0.4448185559296669</v>
      </c>
      <c r="Y166" s="19">
        <f ca="1">IF('Stock Price'!$I$11="OK",L166/INDEX(L$5:L$1258,'Stock Price'!$I$9)-1,"")</f>
        <v>-0.13373523028695433</v>
      </c>
      <c r="Z166" s="19">
        <f ca="1">IF('Stock Price'!$I$11="OK",M166/INDEX(M$5:M$1258,'Stock Price'!$I$9)-1,"")</f>
        <v>-0.33731629671623564</v>
      </c>
    </row>
    <row r="167" spans="1:26" x14ac:dyDescent="0.2">
      <c r="A167" s="16">
        <f>'Stock Price'!A167</f>
        <v>44707</v>
      </c>
      <c r="B167" s="17">
        <f>'Stock Price'!E167</f>
        <v>92.31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-0.13283231564114606</v>
      </c>
      <c r="P167" s="19">
        <f ca="1">IF('Stock Price'!$I$11="OK",C167/INDEX(C$5:C$1258,'Stock Price'!$I$9)-1,"")</f>
        <v>-0.36273206294211058</v>
      </c>
      <c r="Q167" s="19">
        <f ca="1">IF('Stock Price'!$I$11="OK",D167/INDEX(D$5:D$1258,'Stock Price'!$I$9)-1,"")</f>
        <v>-0.26579991788695778</v>
      </c>
      <c r="R167" s="19">
        <f ca="1">IF('Stock Price'!$I$11="OK",E167/INDEX(E$5:E$1258,'Stock Price'!$I$9)-1,"")</f>
        <v>0.11877896433608703</v>
      </c>
      <c r="S167" s="19">
        <f ca="1">IF('Stock Price'!$I$11="OK",F167/INDEX(F$5:F$1258,'Stock Price'!$I$9)-1,"")</f>
        <v>-0.15782312925170072</v>
      </c>
      <c r="T167" s="19">
        <f ca="1">IF('Stock Price'!$I$11="OK",G167/INDEX(G$5:G$1258,'Stock Price'!$I$9)-1,"")</f>
        <v>0.15073605639643373</v>
      </c>
      <c r="U167" s="19">
        <f ca="1">IF('Stock Price'!$I$11="OK",H167/INDEX(H$5:H$1258,'Stock Price'!$I$9)-1,"")</f>
        <v>0.73421052631578965</v>
      </c>
      <c r="V167" s="19">
        <f ca="1">IF('Stock Price'!$I$11="OK",I167/INDEX(I$5:I$1258,'Stock Price'!$I$9)-1,"")</f>
        <v>1.1441620333598093</v>
      </c>
      <c r="W167" s="19">
        <f ca="1">IF('Stock Price'!$I$11="OK",J167/INDEX(J$5:J$1258,'Stock Price'!$I$9)-1,"")</f>
        <v>-0.70985597393461441</v>
      </c>
      <c r="X167" s="19">
        <f ca="1">IF('Stock Price'!$I$11="OK",K167/INDEX(K$5:K$1258,'Stock Price'!$I$9)-1,"")</f>
        <v>0.45136550692106248</v>
      </c>
      <c r="Y167" s="19">
        <f ca="1">IF('Stock Price'!$I$11="OK",L167/INDEX(L$5:L$1258,'Stock Price'!$I$9)-1,"")</f>
        <v>-0.13450687243790682</v>
      </c>
      <c r="Z167" s="19">
        <f ca="1">IF('Stock Price'!$I$11="OK",M167/INDEX(M$5:M$1258,'Stock Price'!$I$9)-1,"")</f>
        <v>-0.34337795996685716</v>
      </c>
    </row>
    <row r="168" spans="1:26" x14ac:dyDescent="0.2">
      <c r="A168" s="16">
        <f>'Stock Price'!A168</f>
        <v>44708</v>
      </c>
      <c r="B168" s="17">
        <f>'Stock Price'!E168</f>
        <v>93.08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-0.12559887271019265</v>
      </c>
      <c r="P168" s="19">
        <f ca="1">IF('Stock Price'!$I$11="OK",C168/INDEX(C$5:C$1258,'Stock Price'!$I$9)-1,"")</f>
        <v>-0.36133535441027864</v>
      </c>
      <c r="Q168" s="19">
        <f ca="1">IF('Stock Price'!$I$11="OK",D168/INDEX(D$5:D$1258,'Stock Price'!$I$9)-1,"")</f>
        <v>-0.28424798138771046</v>
      </c>
      <c r="R168" s="19">
        <f ca="1">IF('Stock Price'!$I$11="OK",E168/INDEX(E$5:E$1258,'Stock Price'!$I$9)-1,"")</f>
        <v>0.10971186782188203</v>
      </c>
      <c r="S168" s="19">
        <f ca="1">IF('Stock Price'!$I$11="OK",F168/INDEX(F$5:F$1258,'Stock Price'!$I$9)-1,"")</f>
        <v>-0.16307094266277944</v>
      </c>
      <c r="T168" s="19">
        <f ca="1">IF('Stock Price'!$I$11="OK",G168/INDEX(G$5:G$1258,'Stock Price'!$I$9)-1,"")</f>
        <v>0.14347916234708702</v>
      </c>
      <c r="U168" s="19">
        <f ca="1">IF('Stock Price'!$I$11="OK",H168/INDEX(H$5:H$1258,'Stock Price'!$I$9)-1,"")</f>
        <v>0.75210526315789461</v>
      </c>
      <c r="V168" s="19">
        <f ca="1">IF('Stock Price'!$I$11="OK",I168/INDEX(I$5:I$1258,'Stock Price'!$I$9)-1,"")</f>
        <v>1.1409849086576647</v>
      </c>
      <c r="W168" s="19">
        <f ca="1">IF('Stock Price'!$I$11="OK",J168/INDEX(J$5:J$1258,'Stock Price'!$I$9)-1,"")</f>
        <v>-0.70058128771890849</v>
      </c>
      <c r="X168" s="19">
        <f ca="1">IF('Stock Price'!$I$11="OK",K168/INDEX(K$5:K$1258,'Stock Price'!$I$9)-1,"")</f>
        <v>0.42424242424242431</v>
      </c>
      <c r="Y168" s="19">
        <f ca="1">IF('Stock Price'!$I$11="OK",L168/INDEX(L$5:L$1258,'Stock Price'!$I$9)-1,"")</f>
        <v>-0.12664576802507832</v>
      </c>
      <c r="Z168" s="19">
        <f ca="1">IF('Stock Price'!$I$11="OK",M168/INDEX(M$5:M$1258,'Stock Price'!$I$9)-1,"")</f>
        <v>-0.34586367799049322</v>
      </c>
    </row>
    <row r="169" spans="1:26" x14ac:dyDescent="0.2">
      <c r="A169" s="16">
        <f>'Stock Price'!A169</f>
        <v>44712</v>
      </c>
      <c r="B169" s="17">
        <f>'Stock Price'!E169</f>
        <v>92.03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-0.13546265852512918</v>
      </c>
      <c r="P169" s="19">
        <f ca="1">IF('Stock Price'!$I$11="OK",C169/INDEX(C$5:C$1258,'Stock Price'!$I$9)-1,"")</f>
        <v>-0.36496679659304165</v>
      </c>
      <c r="Q169" s="19">
        <f ca="1">IF('Stock Price'!$I$11="OK",D169/INDEX(D$5:D$1258,'Stock Price'!$I$9)-1,"")</f>
        <v>-0.29240454358834</v>
      </c>
      <c r="R169" s="19">
        <f ca="1">IF('Stock Price'!$I$11="OK",E169/INDEX(E$5:E$1258,'Stock Price'!$I$9)-1,"")</f>
        <v>0.10568204714890173</v>
      </c>
      <c r="S169" s="19">
        <f ca="1">IF('Stock Price'!$I$11="OK",F169/INDEX(F$5:F$1258,'Stock Price'!$I$9)-1,"")</f>
        <v>-0.17317784256559776</v>
      </c>
      <c r="T169" s="19">
        <f ca="1">IF('Stock Price'!$I$11="OK",G169/INDEX(G$5:G$1258,'Stock Price'!$I$9)-1,"")</f>
        <v>0.10408459465063236</v>
      </c>
      <c r="U169" s="19">
        <f ca="1">IF('Stock Price'!$I$11="OK",H169/INDEX(H$5:H$1258,'Stock Price'!$I$9)-1,"")</f>
        <v>0.75210526315789461</v>
      </c>
      <c r="V169" s="19">
        <f ca="1">IF('Stock Price'!$I$11="OK",I169/INDEX(I$5:I$1258,'Stock Price'!$I$9)-1,"")</f>
        <v>1.1064336775218426</v>
      </c>
      <c r="W169" s="19">
        <f ca="1">IF('Stock Price'!$I$11="OK",J169/INDEX(J$5:J$1258,'Stock Price'!$I$9)-1,"")</f>
        <v>-0.70987448628235028</v>
      </c>
      <c r="X169" s="19">
        <f ca="1">IF('Stock Price'!$I$11="OK",K169/INDEX(K$5:K$1258,'Stock Price'!$I$9)-1,"")</f>
        <v>0.41133557800224474</v>
      </c>
      <c r="Y169" s="19">
        <f ca="1">IF('Stock Price'!$I$11="OK",L169/INDEX(L$5:L$1258,'Stock Price'!$I$9)-1,"")</f>
        <v>-0.13416927899686515</v>
      </c>
      <c r="Z169" s="19">
        <f ca="1">IF('Stock Price'!$I$11="OK",M169/INDEX(M$5:M$1258,'Stock Price'!$I$9)-1,"")</f>
        <v>-0.35733286816972654</v>
      </c>
    </row>
    <row r="170" spans="1:26" x14ac:dyDescent="0.2">
      <c r="A170" s="16">
        <f>'Stock Price'!A170</f>
        <v>44713</v>
      </c>
      <c r="B170" s="17">
        <f>'Stock Price'!E170</f>
        <v>91.14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-0.14382339126350396</v>
      </c>
      <c r="P170" s="19">
        <f ca="1">IF('Stock Price'!$I$11="OK",C170/INDEX(C$5:C$1258,'Stock Price'!$I$9)-1,"")</f>
        <v>-0.37404431933015736</v>
      </c>
      <c r="Q170" s="19">
        <f ca="1">IF('Stock Price'!$I$11="OK",D170/INDEX(D$5:D$1258,'Stock Price'!$I$9)-1,"")</f>
        <v>-0.27663883946900247</v>
      </c>
      <c r="R170" s="19">
        <f ca="1">IF('Stock Price'!$I$11="OK",E170/INDEX(E$5:E$1258,'Stock Price'!$I$9)-1,"")</f>
        <v>8.4021761031634057E-2</v>
      </c>
      <c r="S170" s="19">
        <f ca="1">IF('Stock Price'!$I$11="OK",F170/INDEX(F$5:F$1258,'Stock Price'!$I$9)-1,"")</f>
        <v>-0.18833819241982519</v>
      </c>
      <c r="T170" s="19">
        <f ca="1">IF('Stock Price'!$I$11="OK",G170/INDEX(G$5:G$1258,'Stock Price'!$I$9)-1,"")</f>
        <v>0.10325523533070702</v>
      </c>
      <c r="U170" s="19">
        <f ca="1">IF('Stock Price'!$I$11="OK",H170/INDEX(H$5:H$1258,'Stock Price'!$I$9)-1,"")</f>
        <v>0.75631578947368405</v>
      </c>
      <c r="V170" s="19">
        <f ca="1">IF('Stock Price'!$I$11="OK",I170/INDEX(I$5:I$1258,'Stock Price'!$I$9)-1,"")</f>
        <v>1.0798252581413821</v>
      </c>
      <c r="W170" s="19">
        <f ca="1">IF('Stock Price'!$I$11="OK",J170/INDEX(J$5:J$1258,'Stock Price'!$I$9)-1,"")</f>
        <v>-0.71205894331519115</v>
      </c>
      <c r="X170" s="19">
        <f ca="1">IF('Stock Price'!$I$11="OK",K170/INDEX(K$5:K$1258,'Stock Price'!$I$9)-1,"")</f>
        <v>0.40216984661429089</v>
      </c>
      <c r="Y170" s="19">
        <f ca="1">IF('Stock Price'!$I$11="OK",L170/INDEX(L$5:L$1258,'Stock Price'!$I$9)-1,"")</f>
        <v>-0.14294670846394975</v>
      </c>
      <c r="Z170" s="19">
        <f ca="1">IF('Stock Price'!$I$11="OK",M170/INDEX(M$5:M$1258,'Stock Price'!$I$9)-1,"")</f>
        <v>-0.36322009506781205</v>
      </c>
    </row>
    <row r="171" spans="1:26" x14ac:dyDescent="0.2">
      <c r="A171" s="16">
        <f>'Stock Price'!A171</f>
        <v>44714</v>
      </c>
      <c r="B171" s="17">
        <f>'Stock Price'!E171</f>
        <v>90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-0.15453264443400661</v>
      </c>
      <c r="P171" s="19">
        <f ca="1">IF('Stock Price'!$I$11="OK",C171/INDEX(C$5:C$1258,'Stock Price'!$I$9)-1,"")</f>
        <v>-0.37299696838458207</v>
      </c>
      <c r="Q171" s="19">
        <f ca="1">IF('Stock Price'!$I$11="OK",D171/INDEX(D$5:D$1258,'Stock Price'!$I$9)-1,"")</f>
        <v>-0.29536061311071582</v>
      </c>
      <c r="R171" s="19">
        <f ca="1">IF('Stock Price'!$I$11="OK",E171/INDEX(E$5:E$1258,'Stock Price'!$I$9)-1,"")</f>
        <v>9.2836993753777852E-2</v>
      </c>
      <c r="S171" s="19">
        <f ca="1">IF('Stock Price'!$I$11="OK",F171/INDEX(F$5:F$1258,'Stock Price'!$I$9)-1,"")</f>
        <v>-0.17881438289601559</v>
      </c>
      <c r="T171" s="19">
        <f ca="1">IF('Stock Price'!$I$11="OK",G171/INDEX(G$5:G$1258,'Stock Price'!$I$9)-1,"")</f>
        <v>0.10802405142027793</v>
      </c>
      <c r="U171" s="19">
        <f ca="1">IF('Stock Price'!$I$11="OK",H171/INDEX(H$5:H$1258,'Stock Price'!$I$9)-1,"")</f>
        <v>0.72394736842105267</v>
      </c>
      <c r="V171" s="19">
        <f ca="1">IF('Stock Price'!$I$11="OK",I171/INDEX(I$5:I$1258,'Stock Price'!$I$9)-1,"")</f>
        <v>1.0921366163621924</v>
      </c>
      <c r="W171" s="19">
        <f ca="1">IF('Stock Price'!$I$11="OK",J171/INDEX(J$5:J$1258,'Stock Price'!$I$9)-1,"")</f>
        <v>-0.72006553371098514</v>
      </c>
      <c r="X171" s="19">
        <f ca="1">IF('Stock Price'!$I$11="OK",K171/INDEX(K$5:K$1258,'Stock Price'!$I$9)-1,"")</f>
        <v>0.40422745978301511</v>
      </c>
      <c r="Y171" s="19">
        <f ca="1">IF('Stock Price'!$I$11="OK",L171/INDEX(L$5:L$1258,'Stock Price'!$I$9)-1,"")</f>
        <v>-0.14564745599228357</v>
      </c>
      <c r="Z171" s="19">
        <f ca="1">IF('Stock Price'!$I$11="OK",M171/INDEX(M$5:M$1258,'Stock Price'!$I$9)-1,"")</f>
        <v>-0.36003663163403254</v>
      </c>
    </row>
    <row r="172" spans="1:26" x14ac:dyDescent="0.2">
      <c r="A172" s="16">
        <f>'Stock Price'!A172</f>
        <v>44715</v>
      </c>
      <c r="B172" s="17">
        <f>'Stock Price'!E172</f>
        <v>89.91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-0.15537811178957261</v>
      </c>
      <c r="P172" s="19">
        <f ca="1">IF('Stock Price'!$I$11="OK",C172/INDEX(C$5:C$1258,'Stock Price'!$I$9)-1,"")</f>
        <v>-0.37767576151292037</v>
      </c>
      <c r="Q172" s="19">
        <f ca="1">IF('Stock Price'!$I$11="OK",D172/INDEX(D$5:D$1258,'Stock Price'!$I$9)-1,"")</f>
        <v>-0.3076228274257562</v>
      </c>
      <c r="R172" s="19">
        <f ca="1">IF('Stock Price'!$I$11="OK",E172/INDEX(E$5:E$1258,'Stock Price'!$I$9)-1,"")</f>
        <v>7.5962119685673901E-2</v>
      </c>
      <c r="S172" s="19">
        <f ca="1">IF('Stock Price'!$I$11="OK",F172/INDEX(F$5:F$1258,'Stock Price'!$I$9)-1,"")</f>
        <v>-0.19241982507288635</v>
      </c>
      <c r="T172" s="19">
        <f ca="1">IF('Stock Price'!$I$11="OK",G172/INDEX(G$5:G$1258,'Stock Price'!$I$9)-1,"")</f>
        <v>0.10989010989010994</v>
      </c>
      <c r="U172" s="19">
        <f ca="1">IF('Stock Price'!$I$11="OK",H172/INDEX(H$5:H$1258,'Stock Price'!$I$9)-1,"")</f>
        <v>0.74000000000000021</v>
      </c>
      <c r="V172" s="19">
        <f ca="1">IF('Stock Price'!$I$11="OK",I172/INDEX(I$5:I$1258,'Stock Price'!$I$9)-1,"")</f>
        <v>1.1127879269261318</v>
      </c>
      <c r="W172" s="19">
        <f ca="1">IF('Stock Price'!$I$11="OK",J172/INDEX(J$5:J$1258,'Stock Price'!$I$9)-1,"")</f>
        <v>-0.72078751527268681</v>
      </c>
      <c r="X172" s="19">
        <f ca="1">IF('Stock Price'!$I$11="OK",K172/INDEX(K$5:K$1258,'Stock Price'!$I$9)-1,"")</f>
        <v>0.40609801720912841</v>
      </c>
      <c r="Y172" s="19">
        <f ca="1">IF('Stock Price'!$I$11="OK",L172/INDEX(L$5:L$1258,'Stock Price'!$I$9)-1,"")</f>
        <v>-0.14916807330600435</v>
      </c>
      <c r="Z172" s="19">
        <f ca="1">IF('Stock Price'!$I$11="OK",M172/INDEX(M$5:M$1258,'Stock Price'!$I$9)-1,"")</f>
        <v>-0.35820504993240598</v>
      </c>
    </row>
    <row r="173" spans="1:26" x14ac:dyDescent="0.2">
      <c r="A173" s="16">
        <f>'Stock Price'!A173</f>
        <v>44718</v>
      </c>
      <c r="B173" s="17">
        <f>'Stock Price'!E173</f>
        <v>89.84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-0.15603569751056834</v>
      </c>
      <c r="P173" s="19">
        <f ca="1">IF('Stock Price'!$I$11="OK",C173/INDEX(C$5:C$1258,'Stock Price'!$I$9)-1,"")</f>
        <v>-0.38081781434964634</v>
      </c>
      <c r="Q173" s="19">
        <f ca="1">IF('Stock Price'!$I$11="OK",D173/INDEX(D$5:D$1258,'Stock Price'!$I$9)-1,"")</f>
        <v>-0.31244012590666492</v>
      </c>
      <c r="R173" s="19">
        <f ca="1">IF('Stock Price'!$I$11="OK",E173/INDEX(E$5:E$1258,'Stock Price'!$I$9)-1,"")</f>
        <v>7.8228893814225264E-2</v>
      </c>
      <c r="S173" s="19">
        <f ca="1">IF('Stock Price'!$I$11="OK",F173/INDEX(F$5:F$1258,'Stock Price'!$I$9)-1,"")</f>
        <v>-0.19863945578231301</v>
      </c>
      <c r="T173" s="19">
        <f ca="1">IF('Stock Price'!$I$11="OK",G173/INDEX(G$5:G$1258,'Stock Price'!$I$9)-1,"")</f>
        <v>0.10304789550072591</v>
      </c>
      <c r="U173" s="19">
        <f ca="1">IF('Stock Price'!$I$11="OK",H173/INDEX(H$5:H$1258,'Stock Price'!$I$9)-1,"")</f>
        <v>0.75473684210526337</v>
      </c>
      <c r="V173" s="19">
        <f ca="1">IF('Stock Price'!$I$11="OK",I173/INDEX(I$5:I$1258,'Stock Price'!$I$9)-1,"")</f>
        <v>1.1151707704527403</v>
      </c>
      <c r="W173" s="19">
        <f ca="1">IF('Stock Price'!$I$11="OK",J173/INDEX(J$5:J$1258,'Stock Price'!$I$9)-1,"")</f>
        <v>-0.71920470954126392</v>
      </c>
      <c r="X173" s="19">
        <f ca="1">IF('Stock Price'!$I$11="OK",K173/INDEX(K$5:K$1258,'Stock Price'!$I$9)-1,"")</f>
        <v>0.40759446315001879</v>
      </c>
      <c r="Y173" s="19">
        <f ca="1">IF('Stock Price'!$I$11="OK",L173/INDEX(L$5:L$1258,'Stock Price'!$I$9)-1,"")</f>
        <v>-0.14926452857487338</v>
      </c>
      <c r="Z173" s="19">
        <f ca="1">IF('Stock Price'!$I$11="OK",M173/INDEX(M$5:M$1258,'Stock Price'!$I$9)-1,"")</f>
        <v>-0.36099603157297977</v>
      </c>
    </row>
    <row r="174" spans="1:26" x14ac:dyDescent="0.2">
      <c r="A174" s="16">
        <f>'Stock Price'!A174</f>
        <v>44719</v>
      </c>
      <c r="B174" s="17">
        <f>'Stock Price'!E174</f>
        <v>90.48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-0.15002348520432129</v>
      </c>
      <c r="P174" s="19">
        <f ca="1">IF('Stock Price'!$I$11="OK",C174/INDEX(C$5:C$1258,'Stock Price'!$I$9)-1,"")</f>
        <v>-0.37935108993792399</v>
      </c>
      <c r="Q174" s="19">
        <f ca="1">IF('Stock Price'!$I$11="OK",D174/INDEX(D$5:D$1258,'Stock Price'!$I$9)-1,"")</f>
        <v>-0.3152867113726564</v>
      </c>
      <c r="R174" s="19">
        <f ca="1">IF('Stock Price'!$I$11="OK",E174/INDEX(E$5:E$1258,'Stock Price'!$I$9)-1,"")</f>
        <v>0.11449727987104574</v>
      </c>
      <c r="S174" s="19">
        <f ca="1">IF('Stock Price'!$I$11="OK",F174/INDEX(F$5:F$1258,'Stock Price'!$I$9)-1,"")</f>
        <v>-0.20427599611273084</v>
      </c>
      <c r="T174" s="19">
        <f ca="1">IF('Stock Price'!$I$11="OK",G174/INDEX(G$5:G$1258,'Stock Price'!$I$9)-1,"")</f>
        <v>0.1132075471698113</v>
      </c>
      <c r="U174" s="19">
        <f ca="1">IF('Stock Price'!$I$11="OK",H174/INDEX(H$5:H$1258,'Stock Price'!$I$9)-1,"")</f>
        <v>0.73473684210526313</v>
      </c>
      <c r="V174" s="19">
        <f ca="1">IF('Stock Price'!$I$11="OK",I174/INDEX(I$5:I$1258,'Stock Price'!$I$9)-1,"")</f>
        <v>1.142970611596505</v>
      </c>
      <c r="W174" s="19">
        <f ca="1">IF('Stock Price'!$I$11="OK",J174/INDEX(J$5:J$1258,'Stock Price'!$I$9)-1,"")</f>
        <v>-0.7111148135806582</v>
      </c>
      <c r="X174" s="19">
        <f ca="1">IF('Stock Price'!$I$11="OK",K174/INDEX(K$5:K$1258,'Stock Price'!$I$9)-1,"")</f>
        <v>0.43265993265993274</v>
      </c>
      <c r="Y174" s="19">
        <f ca="1">IF('Stock Price'!$I$11="OK",L174/INDEX(L$5:L$1258,'Stock Price'!$I$9)-1,"")</f>
        <v>-0.13990836749457436</v>
      </c>
      <c r="Z174" s="19">
        <f ca="1">IF('Stock Price'!$I$11="OK",M174/INDEX(M$5:M$1258,'Stock Price'!$I$9)-1,"")</f>
        <v>-0.34961405957001446</v>
      </c>
    </row>
    <row r="175" spans="1:26" x14ac:dyDescent="0.2">
      <c r="A175" s="16">
        <f>'Stock Price'!A175</f>
        <v>44720</v>
      </c>
      <c r="B175" s="17">
        <f>'Stock Price'!E175</f>
        <v>89.48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-0.15941756693283227</v>
      </c>
      <c r="P175" s="19">
        <f ca="1">IF('Stock Price'!$I$11="OK",C175/INDEX(C$5:C$1258,'Stock Price'!$I$9)-1,"")</f>
        <v>-0.39003536884654255</v>
      </c>
      <c r="Q175" s="19">
        <f ca="1">IF('Stock Price'!$I$11="OK",D175/INDEX(D$5:D$1258,'Stock Price'!$I$9)-1,"")</f>
        <v>-0.3152867113726564</v>
      </c>
      <c r="R175" s="19">
        <f ca="1">IF('Stock Price'!$I$11="OK",E175/INDEX(E$5:E$1258,'Stock Price'!$I$9)-1,"")</f>
        <v>0.11323796091073945</v>
      </c>
      <c r="S175" s="19">
        <f ca="1">IF('Stock Price'!$I$11="OK",F175/INDEX(F$5:F$1258,'Stock Price'!$I$9)-1,"")</f>
        <v>-0.21068999028182711</v>
      </c>
      <c r="T175" s="19">
        <f ca="1">IF('Stock Price'!$I$11="OK",G175/INDEX(G$5:G$1258,'Stock Price'!$I$9)-1,"")</f>
        <v>9.641302094132298E-2</v>
      </c>
      <c r="U175" s="19">
        <f ca="1">IF('Stock Price'!$I$11="OK",H175/INDEX(H$5:H$1258,'Stock Price'!$I$9)-1,"")</f>
        <v>0.73342105263157897</v>
      </c>
      <c r="V175" s="19">
        <f ca="1">IF('Stock Price'!$I$11="OK",I175/INDEX(I$5:I$1258,'Stock Price'!$I$9)-1,"")</f>
        <v>1.1235107227958698</v>
      </c>
      <c r="W175" s="19">
        <f ca="1">IF('Stock Price'!$I$11="OK",J175/INDEX(J$5:J$1258,'Stock Price'!$I$9)-1,"")</f>
        <v>-0.7098282054130105</v>
      </c>
      <c r="X175" s="19">
        <f ca="1">IF('Stock Price'!$I$11="OK",K175/INDEX(K$5:K$1258,'Stock Price'!$I$9)-1,"")</f>
        <v>0.4249906472128695</v>
      </c>
      <c r="Y175" s="19">
        <f ca="1">IF('Stock Price'!$I$11="OK",L175/INDEX(L$5:L$1258,'Stock Price'!$I$9)-1,"")</f>
        <v>-0.14502049674463469</v>
      </c>
      <c r="Z175" s="19">
        <f ca="1">IF('Stock Price'!$I$11="OK",M175/INDEX(M$5:M$1258,'Stock Price'!$I$9)-1,"")</f>
        <v>-0.34913435960054073</v>
      </c>
    </row>
    <row r="176" spans="1:26" x14ac:dyDescent="0.2">
      <c r="A176" s="16">
        <f>'Stock Price'!A176</f>
        <v>44721</v>
      </c>
      <c r="B176" s="17">
        <f>'Stock Price'!E176</f>
        <v>88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-0.17332080789102866</v>
      </c>
      <c r="P176" s="19">
        <f ca="1">IF('Stock Price'!$I$11="OK",C176/INDEX(C$5:C$1258,'Stock Price'!$I$9)-1,"")</f>
        <v>-0.39680886386603142</v>
      </c>
      <c r="Q176" s="19">
        <f ca="1">IF('Stock Price'!$I$11="OK",D176/INDEX(D$5:D$1258,'Stock Price'!$I$9)-1,"")</f>
        <v>-0.32514027644724242</v>
      </c>
      <c r="R176" s="19">
        <f ca="1">IF('Stock Price'!$I$11="OK",E176/INDEX(E$5:E$1258,'Stock Price'!$I$9)-1,"")</f>
        <v>8.4021761031634057E-2</v>
      </c>
      <c r="S176" s="19">
        <f ca="1">IF('Stock Price'!$I$11="OK",F176/INDEX(F$5:F$1258,'Stock Price'!$I$9)-1,"")</f>
        <v>-0.21768707482993199</v>
      </c>
      <c r="T176" s="19">
        <f ca="1">IF('Stock Price'!$I$11="OK",G176/INDEX(G$5:G$1258,'Stock Price'!$I$9)-1,"")</f>
        <v>7.775243624300221E-2</v>
      </c>
      <c r="U176" s="19">
        <f ca="1">IF('Stock Price'!$I$11="OK",H176/INDEX(H$5:H$1258,'Stock Price'!$I$9)-1,"")</f>
        <v>0.72078947368421065</v>
      </c>
      <c r="V176" s="19">
        <f ca="1">IF('Stock Price'!$I$11="OK",I176/INDEX(I$5:I$1258,'Stock Price'!$I$9)-1,"")</f>
        <v>1.0563939634630661</v>
      </c>
      <c r="W176" s="19">
        <f ca="1">IF('Stock Price'!$I$11="OK",J176/INDEX(J$5:J$1258,'Stock Price'!$I$9)-1,"")</f>
        <v>-0.71930652745381174</v>
      </c>
      <c r="X176" s="19">
        <f ca="1">IF('Stock Price'!$I$11="OK",K176/INDEX(K$5:K$1258,'Stock Price'!$I$9)-1,"")</f>
        <v>0.42124953236064355</v>
      </c>
      <c r="Y176" s="19">
        <f ca="1">IF('Stock Price'!$I$11="OK",L176/INDEX(L$5:L$1258,'Stock Price'!$I$9)-1,"")</f>
        <v>-0.16223776223776221</v>
      </c>
      <c r="Z176" s="19">
        <f ca="1">IF('Stock Price'!$I$11="OK",M176/INDEX(M$5:M$1258,'Stock Price'!$I$9)-1,"")</f>
        <v>-0.36579303126771612</v>
      </c>
    </row>
    <row r="177" spans="1:26" x14ac:dyDescent="0.2">
      <c r="A177" s="16">
        <f>'Stock Price'!A177</f>
        <v>44722</v>
      </c>
      <c r="B177" s="17">
        <f>'Stock Price'!E177</f>
        <v>87.18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-0.18102395490840761</v>
      </c>
      <c r="P177" s="19">
        <f ca="1">IF('Stock Price'!$I$11="OK",C177/INDEX(C$5:C$1258,'Stock Price'!$I$9)-1,"")</f>
        <v>-0.40602641836292763</v>
      </c>
      <c r="Q177" s="19">
        <f ca="1">IF('Stock Price'!$I$11="OK",D177/INDEX(D$5:D$1258,'Stock Price'!$I$9)-1,"")</f>
        <v>-0.32672779526481466</v>
      </c>
      <c r="R177" s="19">
        <f ca="1">IF('Stock Price'!$I$11="OK",E177/INDEX(E$5:E$1258,'Stock Price'!$I$9)-1,"")</f>
        <v>0.10316340922828937</v>
      </c>
      <c r="S177" s="19">
        <f ca="1">IF('Stock Price'!$I$11="OK",F177/INDEX(F$5:F$1258,'Stock Price'!$I$9)-1,"")</f>
        <v>-0.23070942662779403</v>
      </c>
      <c r="T177" s="19">
        <f ca="1">IF('Stock Price'!$I$11="OK",G177/INDEX(G$5:G$1258,'Stock Price'!$I$9)-1,"")</f>
        <v>5.5567074434998975E-2</v>
      </c>
      <c r="U177" s="19">
        <f ca="1">IF('Stock Price'!$I$11="OK",H177/INDEX(H$5:H$1258,'Stock Price'!$I$9)-1,"")</f>
        <v>0.67263157894736847</v>
      </c>
      <c r="V177" s="19">
        <f ca="1">IF('Stock Price'!$I$11="OK",I177/INDEX(I$5:I$1258,'Stock Price'!$I$9)-1,"")</f>
        <v>0.98451151707704532</v>
      </c>
      <c r="W177" s="19">
        <f ca="1">IF('Stock Price'!$I$11="OK",J177/INDEX(J$5:J$1258,'Stock Price'!$I$9)-1,"")</f>
        <v>-0.72508237994742486</v>
      </c>
      <c r="X177" s="19">
        <f ca="1">IF('Stock Price'!$I$11="OK",K177/INDEX(K$5:K$1258,'Stock Price'!$I$9)-1,"")</f>
        <v>0.40460157126823804</v>
      </c>
      <c r="Y177" s="19">
        <f ca="1">IF('Stock Price'!$I$11="OK",L177/INDEX(L$5:L$1258,'Stock Price'!$I$9)-1,"")</f>
        <v>-0.1678321678321677</v>
      </c>
      <c r="Z177" s="19">
        <f ca="1">IF('Stock Price'!$I$11="OK",M177/INDEX(M$5:M$1258,'Stock Price'!$I$9)-1,"")</f>
        <v>-0.37551785792159087</v>
      </c>
    </row>
    <row r="178" spans="1:26" x14ac:dyDescent="0.2">
      <c r="A178" s="16">
        <f>'Stock Price'!A178</f>
        <v>44725</v>
      </c>
      <c r="B178" s="17">
        <f>'Stock Price'!E178</f>
        <v>85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-0.2015030530765618</v>
      </c>
      <c r="P178" s="19">
        <f ca="1">IF('Stock Price'!$I$11="OK",C178/INDEX(C$5:C$1258,'Stock Price'!$I$9)-1,"")</f>
        <v>-0.42369351811751121</v>
      </c>
      <c r="Q178" s="19">
        <f ca="1">IF('Stock Price'!$I$11="OK",D178/INDEX(D$5:D$1258,'Stock Price'!$I$9)-1,"")</f>
        <v>-0.36712741207061728</v>
      </c>
      <c r="R178" s="19">
        <f ca="1">IF('Stock Price'!$I$11="OK",E178/INDEX(E$5:E$1258,'Stock Price'!$I$9)-1,"")</f>
        <v>7.0421116260326322E-2</v>
      </c>
      <c r="S178" s="19">
        <f ca="1">IF('Stock Price'!$I$11="OK",F178/INDEX(F$5:F$1258,'Stock Price'!$I$9)-1,"")</f>
        <v>-0.24975704567541301</v>
      </c>
      <c r="T178" s="19">
        <f ca="1">IF('Stock Price'!$I$11="OK",G178/INDEX(G$5:G$1258,'Stock Price'!$I$9)-1,"")</f>
        <v>3.5040431266846417E-2</v>
      </c>
      <c r="U178" s="19">
        <f ca="1">IF('Stock Price'!$I$11="OK",H178/INDEX(H$5:H$1258,'Stock Price'!$I$9)-1,"")</f>
        <v>0.67026315789473689</v>
      </c>
      <c r="V178" s="19">
        <f ca="1">IF('Stock Price'!$I$11="OK",I178/INDEX(I$5:I$1258,'Stock Price'!$I$9)-1,"")</f>
        <v>0.90270055599682286</v>
      </c>
      <c r="W178" s="19">
        <f ca="1">IF('Stock Price'!$I$11="OK",J178/INDEX(J$5:J$1258,'Stock Price'!$I$9)-1,"")</f>
        <v>-0.73038616757377173</v>
      </c>
      <c r="X178" s="19">
        <f ca="1">IF('Stock Price'!$I$11="OK",K178/INDEX(K$5:K$1258,'Stock Price'!$I$9)-1,"")</f>
        <v>0.37635615413393175</v>
      </c>
      <c r="Y178" s="19">
        <f ca="1">IF('Stock Price'!$I$11="OK",L178/INDEX(L$5:L$1258,'Stock Price'!$I$9)-1,"")</f>
        <v>-0.17622377622377616</v>
      </c>
      <c r="Z178" s="19">
        <f ca="1">IF('Stock Price'!$I$11="OK",M178/INDEX(M$5:M$1258,'Stock Price'!$I$9)-1,"")</f>
        <v>-0.39200209323623048</v>
      </c>
    </row>
    <row r="179" spans="1:26" x14ac:dyDescent="0.2">
      <c r="A179" s="16">
        <f>'Stock Price'!A179</f>
        <v>44726</v>
      </c>
      <c r="B179" s="17">
        <f>'Stock Price'!E179</f>
        <v>84.5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-0.20620009394081729</v>
      </c>
      <c r="P179" s="19">
        <f ca="1">IF('Stock Price'!$I$11="OK",C179/INDEX(C$5:C$1258,'Stock Price'!$I$9)-1,"")</f>
        <v>-0.43772917568933156</v>
      </c>
      <c r="Q179" s="19">
        <f ca="1">IF('Stock Price'!$I$11="OK",D179/INDEX(D$5:D$1258,'Stock Price'!$I$9)-1,"")</f>
        <v>-0.3736362392226632</v>
      </c>
      <c r="R179" s="19">
        <f ca="1">IF('Stock Price'!$I$11="OK",E179/INDEX(E$5:E$1258,'Stock Price'!$I$9)-1,"")</f>
        <v>3.8686278460608348E-2</v>
      </c>
      <c r="S179" s="19">
        <f ca="1">IF('Stock Price'!$I$11="OK",F179/INDEX(F$5:F$1258,'Stock Price'!$I$9)-1,"")</f>
        <v>-0.25733722060252673</v>
      </c>
      <c r="T179" s="19">
        <f ca="1">IF('Stock Price'!$I$11="OK",G179/INDEX(G$5:G$1258,'Stock Price'!$I$9)-1,"")</f>
        <v>1.8453244868339214E-2</v>
      </c>
      <c r="U179" s="19">
        <f ca="1">IF('Stock Price'!$I$11="OK",H179/INDEX(H$5:H$1258,'Stock Price'!$I$9)-1,"")</f>
        <v>0.67394736842105263</v>
      </c>
      <c r="V179" s="19">
        <f ca="1">IF('Stock Price'!$I$11="OK",I179/INDEX(I$5:I$1258,'Stock Price'!$I$9)-1,"")</f>
        <v>0.90309769658459094</v>
      </c>
      <c r="W179" s="19">
        <f ca="1">IF('Stock Price'!$I$11="OK",J179/INDEX(J$5:J$1258,'Stock Price'!$I$9)-1,"")</f>
        <v>-0.73083972009330211</v>
      </c>
      <c r="X179" s="19">
        <f ca="1">IF('Stock Price'!$I$11="OK",K179/INDEX(K$5:K$1258,'Stock Price'!$I$9)-1,"")</f>
        <v>0.3630751964085297</v>
      </c>
      <c r="Y179" s="19">
        <f ca="1">IF('Stock Price'!$I$11="OK",L179/INDEX(L$5:L$1258,'Stock Price'!$I$9)-1,"")</f>
        <v>-0.18885941644562332</v>
      </c>
      <c r="Z179" s="19">
        <f ca="1">IF('Stock Price'!$I$11="OK",M179/INDEX(M$5:M$1258,'Stock Price'!$I$9)-1,"")</f>
        <v>-0.3998517291003445</v>
      </c>
    </row>
    <row r="180" spans="1:26" x14ac:dyDescent="0.2">
      <c r="A180" s="16">
        <f>'Stock Price'!A180</f>
        <v>44727</v>
      </c>
      <c r="B180" s="17">
        <f>'Stock Price'!E180</f>
        <v>84.63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-0.20497886331611093</v>
      </c>
      <c r="P180" s="19">
        <f ca="1">IF('Stock Price'!$I$11="OK",C180/INDEX(C$5:C$1258,'Stock Price'!$I$9)-1,"")</f>
        <v>-0.43186372166883213</v>
      </c>
      <c r="Q180" s="19">
        <f ca="1">IF('Stock Price'!$I$11="OK",D180/INDEX(D$5:D$1258,'Stock Price'!$I$9)-1,"")</f>
        <v>-0.36553989325304503</v>
      </c>
      <c r="R180" s="19">
        <f ca="1">IF('Stock Price'!$I$11="OK",E180/INDEX(E$5:E$1258,'Stock Price'!$I$9)-1,"")</f>
        <v>5.6568607696957374E-2</v>
      </c>
      <c r="S180" s="19">
        <f ca="1">IF('Stock Price'!$I$11="OK",F180/INDEX(F$5:F$1258,'Stock Price'!$I$9)-1,"")</f>
        <v>-0.25111758989310007</v>
      </c>
      <c r="T180" s="19">
        <f ca="1">IF('Stock Price'!$I$11="OK",G180/INDEX(G$5:G$1258,'Stock Price'!$I$9)-1,"")</f>
        <v>1.5757827078581865E-2</v>
      </c>
      <c r="U180" s="19">
        <f ca="1">IF('Stock Price'!$I$11="OK",H180/INDEX(H$5:H$1258,'Stock Price'!$I$9)-1,"")</f>
        <v>0.67210526315789476</v>
      </c>
      <c r="V180" s="19">
        <f ca="1">IF('Stock Price'!$I$11="OK",I180/INDEX(I$5:I$1258,'Stock Price'!$I$9)-1,"")</f>
        <v>0.92652899126290711</v>
      </c>
      <c r="W180" s="19">
        <f ca="1">IF('Stock Price'!$I$11="OK",J180/INDEX(J$5:J$1258,'Stock Price'!$I$9)-1,"")</f>
        <v>-0.72880336184234884</v>
      </c>
      <c r="X180" s="19">
        <f ca="1">IF('Stock Price'!$I$11="OK",K180/INDEX(K$5:K$1258,'Stock Price'!$I$9)-1,"")</f>
        <v>0.3658810325476991</v>
      </c>
      <c r="Y180" s="19">
        <f ca="1">IF('Stock Price'!$I$11="OK",L180/INDEX(L$5:L$1258,'Stock Price'!$I$9)-1,"")</f>
        <v>-0.18017844224740764</v>
      </c>
      <c r="Z180" s="19">
        <f ca="1">IF('Stock Price'!$I$11="OK",M180/INDEX(M$5:M$1258,'Stock Price'!$I$9)-1,"")</f>
        <v>-0.39780210195804799</v>
      </c>
    </row>
    <row r="181" spans="1:26" x14ac:dyDescent="0.2">
      <c r="A181" s="16">
        <f>'Stock Price'!A181</f>
        <v>44728</v>
      </c>
      <c r="B181" s="17">
        <f>'Stock Price'!E181</f>
        <v>84.89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-0.20253640206669798</v>
      </c>
      <c r="P181" s="19">
        <f ca="1">IF('Stock Price'!$I$11="OK",C181/INDEX(C$5:C$1258,'Stock Price'!$I$9)-1,"")</f>
        <v>-0.42844160531254505</v>
      </c>
      <c r="Q181" s="19">
        <f ca="1">IF('Stock Price'!$I$11="OK",D181/INDEX(D$5:D$1258,'Stock Price'!$I$9)-1,"")</f>
        <v>-0.34993841521828384</v>
      </c>
      <c r="R181" s="19">
        <f ca="1">IF('Stock Price'!$I$11="OK",E181/INDEX(E$5:E$1258,'Stock Price'!$I$9)-1,"")</f>
        <v>4.8760830143058431E-2</v>
      </c>
      <c r="S181" s="19">
        <f ca="1">IF('Stock Price'!$I$11="OK",F181/INDEX(F$5:F$1258,'Stock Price'!$I$9)-1,"")</f>
        <v>-0.23926141885325558</v>
      </c>
      <c r="T181" s="19">
        <f ca="1">IF('Stock Price'!$I$11="OK",G181/INDEX(G$5:G$1258,'Stock Price'!$I$9)-1,"")</f>
        <v>2.1770682148040787E-2</v>
      </c>
      <c r="U181" s="19">
        <f ca="1">IF('Stock Price'!$I$11="OK",H181/INDEX(H$5:H$1258,'Stock Price'!$I$9)-1,"")</f>
        <v>0.625</v>
      </c>
      <c r="V181" s="19">
        <f ca="1">IF('Stock Price'!$I$11="OK",I181/INDEX(I$5:I$1258,'Stock Price'!$I$9)-1,"")</f>
        <v>0.88562351072279566</v>
      </c>
      <c r="W181" s="19">
        <f ca="1">IF('Stock Price'!$I$11="OK",J181/INDEX(J$5:J$1258,'Stock Price'!$I$9)-1,"")</f>
        <v>-0.73335739938539002</v>
      </c>
      <c r="X181" s="19">
        <f ca="1">IF('Stock Price'!$I$11="OK",K181/INDEX(K$5:K$1258,'Stock Price'!$I$9)-1,"")</f>
        <v>0.35839880284324743</v>
      </c>
      <c r="Y181" s="19">
        <f ca="1">IF('Stock Price'!$I$11="OK",L181/INDEX(L$5:L$1258,'Stock Price'!$I$9)-1,"")</f>
        <v>-0.17974439353749694</v>
      </c>
      <c r="Z181" s="19">
        <f ca="1">IF('Stock Price'!$I$11="OK",M181/INDEX(M$5:M$1258,'Stock Price'!$I$9)-1,"")</f>
        <v>-0.39317953861584753</v>
      </c>
    </row>
    <row r="182" spans="1:26" x14ac:dyDescent="0.2">
      <c r="A182" s="16">
        <f>'Stock Price'!A182</f>
        <v>44729</v>
      </c>
      <c r="B182" s="17">
        <f>'Stock Price'!E182</f>
        <v>84.62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-0.2050728041333959</v>
      </c>
      <c r="P182" s="19">
        <f ca="1">IF('Stock Price'!$I$11="OK",C182/INDEX(C$5:C$1258,'Stock Price'!$I$9)-1,"")</f>
        <v>-0.43395842355998271</v>
      </c>
      <c r="Q182" s="19">
        <f ca="1">IF('Stock Price'!$I$11="OK",D182/INDEX(D$5:D$1258,'Stock Price'!$I$9)-1,"")</f>
        <v>-0.34189133707403863</v>
      </c>
      <c r="R182" s="19">
        <f ca="1">IF('Stock Price'!$I$11="OK",E182/INDEX(E$5:E$1258,'Stock Price'!$I$9)-1,"")</f>
        <v>3.9441869836792209E-2</v>
      </c>
      <c r="S182" s="19">
        <f ca="1">IF('Stock Price'!$I$11="OK",F182/INDEX(F$5:F$1258,'Stock Price'!$I$9)-1,"")</f>
        <v>-0.24256559766763852</v>
      </c>
      <c r="T182" s="19">
        <f ca="1">IF('Stock Price'!$I$11="OK",G182/INDEX(G$5:G$1258,'Stock Price'!$I$9)-1,"")</f>
        <v>2.0111963508190112E-2</v>
      </c>
      <c r="U182" s="19">
        <f ca="1">IF('Stock Price'!$I$11="OK",H182/INDEX(H$5:H$1258,'Stock Price'!$I$9)-1,"")</f>
        <v>0.64605263157894721</v>
      </c>
      <c r="V182" s="19">
        <f ca="1">IF('Stock Price'!$I$11="OK",I182/INDEX(I$5:I$1258,'Stock Price'!$I$9)-1,"")</f>
        <v>0.84789515488482925</v>
      </c>
      <c r="W182" s="19">
        <f ca="1">IF('Stock Price'!$I$11="OK",J182/INDEX(J$5:J$1258,'Stock Price'!$I$9)-1,"")</f>
        <v>-0.73073790218075452</v>
      </c>
      <c r="X182" s="19">
        <f ca="1">IF('Stock Price'!$I$11="OK",K182/INDEX(K$5:K$1258,'Stock Price'!$I$9)-1,"")</f>
        <v>0.37991021324354657</v>
      </c>
      <c r="Y182" s="19">
        <f ca="1">IF('Stock Price'!$I$11="OK",L182/INDEX(L$5:L$1258,'Stock Price'!$I$9)-1,"")</f>
        <v>-0.18273450687243786</v>
      </c>
      <c r="Z182" s="19">
        <f ca="1">IF('Stock Price'!$I$11="OK",M182/INDEX(M$5:M$1258,'Stock Price'!$I$9)-1,"")</f>
        <v>-0.39697352928350271</v>
      </c>
    </row>
    <row r="183" spans="1:26" x14ac:dyDescent="0.2">
      <c r="A183" s="16">
        <f>'Stock Price'!A183</f>
        <v>44733</v>
      </c>
      <c r="B183" s="17">
        <f>'Stock Price'!E183</f>
        <v>88.03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-0.17303898543917329</v>
      </c>
      <c r="P183" s="19">
        <f ca="1">IF('Stock Price'!$I$11="OK",C183/INDEX(C$5:C$1258,'Stock Price'!$I$9)-1,"")</f>
        <v>-0.43095568066984258</v>
      </c>
      <c r="Q183" s="19">
        <f ca="1">IF('Stock Price'!$I$11="OK",D183/INDEX(D$5:D$1258,'Stock Price'!$I$9)-1,"")</f>
        <v>-0.33269467633775829</v>
      </c>
      <c r="R183" s="19">
        <f ca="1">IF('Stock Price'!$I$11="OK",E183/INDEX(E$5:E$1258,'Stock Price'!$I$9)-1,"")</f>
        <v>5.2035059439854869E-2</v>
      </c>
      <c r="S183" s="19">
        <f ca="1">IF('Stock Price'!$I$11="OK",F183/INDEX(F$5:F$1258,'Stock Price'!$I$9)-1,"")</f>
        <v>-0.24256559766763852</v>
      </c>
      <c r="T183" s="19">
        <f ca="1">IF('Stock Price'!$I$11="OK",G183/INDEX(G$5:G$1258,'Stock Price'!$I$9)-1,"")</f>
        <v>2.6124818577648812E-2</v>
      </c>
      <c r="U183" s="19">
        <f ca="1">IF('Stock Price'!$I$11="OK",H183/INDEX(H$5:H$1258,'Stock Price'!$I$9)-1,"")</f>
        <v>0.63315789473684214</v>
      </c>
      <c r="V183" s="19">
        <f ca="1">IF('Stock Price'!$I$11="OK",I183/INDEX(I$5:I$1258,'Stock Price'!$I$9)-1,"")</f>
        <v>0.91064336775218435</v>
      </c>
      <c r="W183" s="19">
        <f ca="1">IF('Stock Price'!$I$11="OK",J183/INDEX(J$5:J$1258,'Stock Price'!$I$9)-1,"")</f>
        <v>-0.72477692620978185</v>
      </c>
      <c r="X183" s="19">
        <f ca="1">IF('Stock Price'!$I$11="OK",K183/INDEX(K$5:K$1258,'Stock Price'!$I$9)-1,"")</f>
        <v>0.43041526374859695</v>
      </c>
      <c r="Y183" s="19">
        <f ca="1">IF('Stock Price'!$I$11="OK",L183/INDEX(L$5:L$1258,'Stock Price'!$I$9)-1,"")</f>
        <v>-0.16561369664817938</v>
      </c>
      <c r="Z183" s="19">
        <f ca="1">IF('Stock Price'!$I$11="OK",M183/INDEX(M$5:M$1258,'Stock Price'!$I$9)-1,"")</f>
        <v>-0.37434041254197381</v>
      </c>
    </row>
    <row r="184" spans="1:26" x14ac:dyDescent="0.2">
      <c r="A184" s="16">
        <f>'Stock Price'!A184</f>
        <v>44734</v>
      </c>
      <c r="B184" s="17">
        <f>'Stock Price'!E184</f>
        <v>89.16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-0.16242367308595596</v>
      </c>
      <c r="P184" s="19">
        <f ca="1">IF('Stock Price'!$I$11="OK",C184/INDEX(C$5:C$1258,'Stock Price'!$I$9)-1,"")</f>
        <v>-0.43081637072325685</v>
      </c>
      <c r="Q184" s="19">
        <f ca="1">IF('Stock Price'!$I$11="OK",D184/INDEX(D$5:D$1258,'Stock Price'!$I$9)-1,"")</f>
        <v>-0.31353496647050771</v>
      </c>
      <c r="R184" s="19">
        <f ca="1">IF('Stock Price'!$I$11="OK",E184/INDEX(E$5:E$1258,'Stock Price'!$I$9)-1,"")</f>
        <v>5.70723352810798E-2</v>
      </c>
      <c r="S184" s="19">
        <f ca="1">IF('Stock Price'!$I$11="OK",F184/INDEX(F$5:F$1258,'Stock Price'!$I$9)-1,"")</f>
        <v>-0.22954324586977648</v>
      </c>
      <c r="T184" s="19">
        <f ca="1">IF('Stock Price'!$I$11="OK",G184/INDEX(G$5:G$1258,'Stock Price'!$I$9)-1,"")</f>
        <v>4.1467965996267786E-2</v>
      </c>
      <c r="U184" s="19">
        <f ca="1">IF('Stock Price'!$I$11="OK",H184/INDEX(H$5:H$1258,'Stock Price'!$I$9)-1,"")</f>
        <v>0.59842105263157896</v>
      </c>
      <c r="V184" s="19">
        <f ca="1">IF('Stock Price'!$I$11="OK",I184/INDEX(I$5:I$1258,'Stock Price'!$I$9)-1,"")</f>
        <v>0.94876886417791906</v>
      </c>
      <c r="W184" s="19">
        <f ca="1">IF('Stock Price'!$I$11="OK",J184/INDEX(J$5:J$1258,'Stock Price'!$I$9)-1,"")</f>
        <v>-0.71612240364322999</v>
      </c>
      <c r="X184" s="19">
        <f ca="1">IF('Stock Price'!$I$11="OK",K184/INDEX(K$5:K$1258,'Stock Price'!$I$9)-1,"")</f>
        <v>0.43191170968948733</v>
      </c>
      <c r="Y184" s="19">
        <f ca="1">IF('Stock Price'!$I$11="OK",L184/INDEX(L$5:L$1258,'Stock Price'!$I$9)-1,"")</f>
        <v>-0.15244755244755237</v>
      </c>
      <c r="Z184" s="19">
        <f ca="1">IF('Stock Price'!$I$11="OK",M184/INDEX(M$5:M$1258,'Stock Price'!$I$9)-1,"")</f>
        <v>-0.35650429549518114</v>
      </c>
    </row>
    <row r="185" spans="1:26" x14ac:dyDescent="0.2">
      <c r="A185" s="16">
        <f>'Stock Price'!A185</f>
        <v>44735</v>
      </c>
      <c r="B185" s="17">
        <f>'Stock Price'!E185</f>
        <v>92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-0.13574448097698455</v>
      </c>
      <c r="P185" s="19">
        <f ca="1">IF('Stock Price'!$I$11="OK",C185/INDEX(C$5:C$1258,'Stock Price'!$I$9)-1,"")</f>
        <v>-0.42837231124584962</v>
      </c>
      <c r="Q185" s="19">
        <f ca="1">IF('Stock Price'!$I$11="OK",D185/INDEX(D$5:D$1258,'Stock Price'!$I$9)-1,"")</f>
        <v>-0.30641850280552896</v>
      </c>
      <c r="R185" s="19">
        <f ca="1">IF('Stock Price'!$I$11="OK",E185/INDEX(E$5:E$1258,'Stock Price'!$I$9)-1,"")</f>
        <v>7.6717711061857763E-2</v>
      </c>
      <c r="S185" s="19">
        <f ca="1">IF('Stock Price'!$I$11="OK",F185/INDEX(F$5:F$1258,'Stock Price'!$I$9)-1,"")</f>
        <v>-0.22235179786200199</v>
      </c>
      <c r="T185" s="19">
        <f ca="1">IF('Stock Price'!$I$11="OK",G185/INDEX(G$5:G$1258,'Stock Price'!$I$9)-1,"")</f>
        <v>4.5407422765913363E-2</v>
      </c>
      <c r="U185" s="19">
        <f ca="1">IF('Stock Price'!$I$11="OK",H185/INDEX(H$5:H$1258,'Stock Price'!$I$9)-1,"")</f>
        <v>0.54052631578947374</v>
      </c>
      <c r="V185" s="19">
        <f ca="1">IF('Stock Price'!$I$11="OK",I185/INDEX(I$5:I$1258,'Stock Price'!$I$9)-1,"")</f>
        <v>0.98927720413026221</v>
      </c>
      <c r="W185" s="19">
        <f ca="1">IF('Stock Price'!$I$11="OK",J185/INDEX(J$5:J$1258,'Stock Price'!$I$9)-1,"")</f>
        <v>-0.71054093080084413</v>
      </c>
      <c r="X185" s="19">
        <f ca="1">IF('Stock Price'!$I$11="OK",K185/INDEX(K$5:K$1258,'Stock Price'!$I$9)-1,"")</f>
        <v>0.45323606434717534</v>
      </c>
      <c r="Y185" s="19">
        <f ca="1">IF('Stock Price'!$I$11="OK",L185/INDEX(L$5:L$1258,'Stock Price'!$I$9)-1,"")</f>
        <v>-0.13354231974921627</v>
      </c>
      <c r="Z185" s="19">
        <f ca="1">IF('Stock Price'!$I$11="OK",M185/INDEX(M$5:M$1258,'Stock Price'!$I$9)-1,"")</f>
        <v>-0.34826217783786151</v>
      </c>
    </row>
    <row r="186" spans="1:26" x14ac:dyDescent="0.2">
      <c r="A186" s="16">
        <f>'Stock Price'!A186</f>
        <v>44736</v>
      </c>
      <c r="B186" s="17">
        <f>'Stock Price'!E186</f>
        <v>93.13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-0.12512916862376711</v>
      </c>
      <c r="P186" s="19">
        <f ca="1">IF('Stock Price'!$I$11="OK",C186/INDEX(C$5:C$1258,'Stock Price'!$I$9)-1,"")</f>
        <v>-0.40763245272123572</v>
      </c>
      <c r="Q186" s="19">
        <f ca="1">IF('Stock Price'!$I$11="OK",D186/INDEX(D$5:D$1258,'Stock Price'!$I$9)-1,"")</f>
        <v>-0.29267825372930067</v>
      </c>
      <c r="R186" s="19">
        <f ca="1">IF('Stock Price'!$I$11="OK",E186/INDEX(E$5:E$1258,'Stock Price'!$I$9)-1,"")</f>
        <v>0.10039290751561536</v>
      </c>
      <c r="S186" s="19">
        <f ca="1">IF('Stock Price'!$I$11="OK",F186/INDEX(F$5:F$1258,'Stock Price'!$I$9)-1,"")</f>
        <v>-0.19067055393586008</v>
      </c>
      <c r="T186" s="19">
        <f ca="1">IF('Stock Price'!$I$11="OK",G186/INDEX(G$5:G$1258,'Stock Price'!$I$9)-1,"")</f>
        <v>0.10760937176031526</v>
      </c>
      <c r="U186" s="19">
        <f ca="1">IF('Stock Price'!$I$11="OK",H186/INDEX(H$5:H$1258,'Stock Price'!$I$9)-1,"")</f>
        <v>0.52078947368421047</v>
      </c>
      <c r="V186" s="19">
        <f ca="1">IF('Stock Price'!$I$11="OK",I186/INDEX(I$5:I$1258,'Stock Price'!$I$9)-1,"")</f>
        <v>1.0488482922954727</v>
      </c>
      <c r="W186" s="19">
        <f ca="1">IF('Stock Price'!$I$11="OK",J186/INDEX(J$5:J$1258,'Stock Price'!$I$9)-1,"")</f>
        <v>-0.69860046651116292</v>
      </c>
      <c r="X186" s="19">
        <f ca="1">IF('Stock Price'!$I$11="OK",K186/INDEX(K$5:K$1258,'Stock Price'!$I$9)-1,"")</f>
        <v>0.47699214365881026</v>
      </c>
      <c r="Y186" s="19">
        <f ca="1">IF('Stock Price'!$I$11="OK",L186/INDEX(L$5:L$1258,'Stock Price'!$I$9)-1,"")</f>
        <v>-0.12085845189293465</v>
      </c>
      <c r="Z186" s="19">
        <f ca="1">IF('Stock Price'!$I$11="OK",M186/INDEX(M$5:M$1258,'Stock Price'!$I$9)-1,"")</f>
        <v>-0.33565915136714486</v>
      </c>
    </row>
    <row r="187" spans="1:26" x14ac:dyDescent="0.2">
      <c r="A187" s="16">
        <f>'Stock Price'!A187</f>
        <v>44739</v>
      </c>
      <c r="B187" s="17">
        <f>'Stock Price'!E187</f>
        <v>94.41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-0.11310474401127291</v>
      </c>
      <c r="P187" s="19">
        <f ca="1">IF('Stock Price'!$I$11="OK",C187/INDEX(C$5:C$1258,'Stock Price'!$I$9)-1,"")</f>
        <v>-0.40449039988450985</v>
      </c>
      <c r="Q187" s="19">
        <f ca="1">IF('Stock Price'!$I$11="OK",D187/INDEX(D$5:D$1258,'Stock Price'!$I$9)-1,"")</f>
        <v>-0.30340714383467915</v>
      </c>
      <c r="R187" s="19">
        <f ca="1">IF('Stock Price'!$I$11="OK",E187/INDEX(E$5:E$1258,'Stock Price'!$I$9)-1,"")</f>
        <v>0.10064477130767679</v>
      </c>
      <c r="S187" s="19">
        <f ca="1">IF('Stock Price'!$I$11="OK",F187/INDEX(F$5:F$1258,'Stock Price'!$I$9)-1,"")</f>
        <v>-0.17939747327502431</v>
      </c>
      <c r="T187" s="19">
        <f ca="1">IF('Stock Price'!$I$11="OK",G187/INDEX(G$5:G$1258,'Stock Price'!$I$9)-1,"")</f>
        <v>9.0607505701845392E-2</v>
      </c>
      <c r="U187" s="19">
        <f ca="1">IF('Stock Price'!$I$11="OK",H187/INDEX(H$5:H$1258,'Stock Price'!$I$9)-1,"")</f>
        <v>0.56315789473684208</v>
      </c>
      <c r="V187" s="19">
        <f ca="1">IF('Stock Price'!$I$11="OK",I187/INDEX(I$5:I$1258,'Stock Price'!$I$9)-1,"")</f>
        <v>1.0603653693407469</v>
      </c>
      <c r="W187" s="19">
        <f ca="1">IF('Stock Price'!$I$11="OK",J187/INDEX(J$5:J$1258,'Stock Price'!$I$9)-1,"")</f>
        <v>-0.69707319782294785</v>
      </c>
      <c r="X187" s="19">
        <f ca="1">IF('Stock Price'!$I$11="OK",K187/INDEX(K$5:K$1258,'Stock Price'!$I$9)-1,"")</f>
        <v>0.4960718294051627</v>
      </c>
      <c r="Y187" s="19">
        <f ca="1">IF('Stock Price'!$I$11="OK",L187/INDEX(L$5:L$1258,'Stock Price'!$I$9)-1,"")</f>
        <v>-0.1216783216783216</v>
      </c>
      <c r="Z187" s="19">
        <f ca="1">IF('Stock Price'!$I$11="OK",M187/INDEX(M$5:M$1258,'Stock Price'!$I$9)-1,"")</f>
        <v>-0.33217042431642763</v>
      </c>
    </row>
    <row r="188" spans="1:26" x14ac:dyDescent="0.2">
      <c r="A188" s="16">
        <f>'Stock Price'!A188</f>
        <v>44740</v>
      </c>
      <c r="B188" s="17">
        <f>'Stock Price'!E188</f>
        <v>91.89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-0.13677782996712073</v>
      </c>
      <c r="P188" s="19">
        <f ca="1">IF('Stock Price'!$I$11="OK",C188/INDEX(C$5:C$1258,'Stock Price'!$I$9)-1,"")</f>
        <v>-0.41224122996968382</v>
      </c>
      <c r="Q188" s="19">
        <f ca="1">IF('Stock Price'!$I$11="OK",D188/INDEX(D$5:D$1258,'Stock Price'!$I$9)-1,"")</f>
        <v>-0.27904748870945684</v>
      </c>
      <c r="R188" s="19">
        <f ca="1">IF('Stock Price'!$I$11="OK",E188/INDEX(E$5:E$1258,'Stock Price'!$I$9)-1,"")</f>
        <v>9.1829538585532777E-2</v>
      </c>
      <c r="S188" s="19">
        <f ca="1">IF('Stock Price'!$I$11="OK",F188/INDEX(F$5:F$1258,'Stock Price'!$I$9)-1,"")</f>
        <v>-0.1961127308066084</v>
      </c>
      <c r="T188" s="19">
        <f ca="1">IF('Stock Price'!$I$11="OK",G188/INDEX(G$5:G$1258,'Stock Price'!$I$9)-1,"")</f>
        <v>8.1069873522703784E-2</v>
      </c>
      <c r="U188" s="19">
        <f ca="1">IF('Stock Price'!$I$11="OK",H188/INDEX(H$5:H$1258,'Stock Price'!$I$9)-1,"")</f>
        <v>0.58499999999999996</v>
      </c>
      <c r="V188" s="19">
        <f ca="1">IF('Stock Price'!$I$11="OK",I188/INDEX(I$5:I$1258,'Stock Price'!$I$9)-1,"")</f>
        <v>1.0119142176330418</v>
      </c>
      <c r="W188" s="19">
        <f ca="1">IF('Stock Price'!$I$11="OK",J188/INDEX(J$5:J$1258,'Stock Price'!$I$9)-1,"")</f>
        <v>-0.70600540560553893</v>
      </c>
      <c r="X188" s="19">
        <f ca="1">IF('Stock Price'!$I$11="OK",K188/INDEX(K$5:K$1258,'Stock Price'!$I$9)-1,"")</f>
        <v>0.47212869435091664</v>
      </c>
      <c r="Y188" s="19">
        <f ca="1">IF('Stock Price'!$I$11="OK",L188/INDEX(L$5:L$1258,'Stock Price'!$I$9)-1,"")</f>
        <v>-0.1466602363154087</v>
      </c>
      <c r="Z188" s="19">
        <f ca="1">IF('Stock Price'!$I$11="OK",M188/INDEX(M$5:M$1258,'Stock Price'!$I$9)-1,"")</f>
        <v>-0.33500501504513536</v>
      </c>
    </row>
    <row r="189" spans="1:26" x14ac:dyDescent="0.2">
      <c r="A189" s="16">
        <f>'Stock Price'!A189</f>
        <v>44741</v>
      </c>
      <c r="B189" s="17">
        <f>'Stock Price'!E189</f>
        <v>92.51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-0.13095349929544386</v>
      </c>
      <c r="P189" s="19">
        <f ca="1">IF('Stock Price'!$I$11="OK",C189/INDEX(C$5:C$1258,'Stock Price'!$I$9)-1,"")</f>
        <v>-0.40805182618738267</v>
      </c>
      <c r="Q189" s="19">
        <f ca="1">IF('Stock Price'!$I$11="OK",D189/INDEX(D$5:D$1258,'Stock Price'!$I$9)-1,"")</f>
        <v>-0.28287943068290688</v>
      </c>
      <c r="R189" s="19">
        <f ca="1">IF('Stock Price'!$I$11="OK",E189/INDEX(E$5:E$1258,'Stock Price'!$I$9)-1,"")</f>
        <v>0.10240781785210551</v>
      </c>
      <c r="S189" s="19">
        <f ca="1">IF('Stock Price'!$I$11="OK",F189/INDEX(F$5:F$1258,'Stock Price'!$I$9)-1,"")</f>
        <v>-0.18736637512147714</v>
      </c>
      <c r="T189" s="19">
        <f ca="1">IF('Stock Price'!$I$11="OK",G189/INDEX(G$5:G$1258,'Stock Price'!$I$9)-1,"")</f>
        <v>9.2058884511714734E-2</v>
      </c>
      <c r="U189" s="19">
        <f ca="1">IF('Stock Price'!$I$11="OK",H189/INDEX(H$5:H$1258,'Stock Price'!$I$9)-1,"")</f>
        <v>0.51631578947368406</v>
      </c>
      <c r="V189" s="19">
        <f ca="1">IF('Stock Price'!$I$11="OK",I189/INDEX(I$5:I$1258,'Stock Price'!$I$9)-1,"")</f>
        <v>1.0230341540905479</v>
      </c>
      <c r="W189" s="19">
        <f ca="1">IF('Stock Price'!$I$11="OK",J189/INDEX(J$5:J$1258,'Stock Price'!$I$9)-1,"")</f>
        <v>-0.70102558406457105</v>
      </c>
      <c r="X189" s="19">
        <f ca="1">IF('Stock Price'!$I$11="OK",K189/INDEX(K$5:K$1258,'Stock Price'!$I$9)-1,"")</f>
        <v>0.46427235316124205</v>
      </c>
      <c r="Y189" s="19">
        <f ca="1">IF('Stock Price'!$I$11="OK",L189/INDEX(L$5:L$1258,'Stock Price'!$I$9)-1,"")</f>
        <v>-0.14641909814323606</v>
      </c>
      <c r="Z189" s="19">
        <f ca="1">IF('Stock Price'!$I$11="OK",M189/INDEX(M$5:M$1258,'Stock Price'!$I$9)-1,"")</f>
        <v>-0.32780951550303095</v>
      </c>
    </row>
    <row r="190" spans="1:26" x14ac:dyDescent="0.2">
      <c r="A190" s="16">
        <f>'Stock Price'!A190</f>
        <v>44742</v>
      </c>
      <c r="B190" s="17">
        <f>'Stock Price'!E190</f>
        <v>91.17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-0.1435415688116487</v>
      </c>
      <c r="P190" s="19">
        <f ca="1">IF('Stock Price'!$I$11="OK",C190/INDEX(C$5:C$1258,'Stock Price'!$I$9)-1,"")</f>
        <v>-0.40972715461238629</v>
      </c>
      <c r="Q190" s="19">
        <f ca="1">IF('Stock Price'!$I$11="OK",D190/INDEX(D$5:D$1258,'Stock Price'!$I$9)-1,"")</f>
        <v>-0.29432051457506503</v>
      </c>
      <c r="R190" s="19">
        <f ca="1">IF('Stock Price'!$I$11="OK",E190/INDEX(E$5:E$1258,'Stock Price'!$I$9)-1,"")</f>
        <v>9.6363086842635504E-2</v>
      </c>
      <c r="S190" s="19">
        <f ca="1">IF('Stock Price'!$I$11="OK",F190/INDEX(F$5:F$1258,'Stock Price'!$I$9)-1,"")</f>
        <v>-0.18931000971817302</v>
      </c>
      <c r="T190" s="19">
        <f ca="1">IF('Stock Price'!$I$11="OK",G190/INDEX(G$5:G$1258,'Stock Price'!$I$9)-1,"")</f>
        <v>3.7321169396641096E-2</v>
      </c>
      <c r="U190" s="19">
        <f ca="1">IF('Stock Price'!$I$11="OK",H190/INDEX(H$5:H$1258,'Stock Price'!$I$9)-1,"")</f>
        <v>0.49263157894736831</v>
      </c>
      <c r="V190" s="19">
        <f ca="1">IF('Stock Price'!$I$11="OK",I190/INDEX(I$5:I$1258,'Stock Price'!$I$9)-1,"")</f>
        <v>1.0822081016679905</v>
      </c>
      <c r="W190" s="19">
        <f ca="1">IF('Stock Price'!$I$11="OK",J190/INDEX(J$5:J$1258,'Stock Price'!$I$9)-1,"")</f>
        <v>-0.69988707467881073</v>
      </c>
      <c r="X190" s="19">
        <f ca="1">IF('Stock Price'!$I$11="OK",K190/INDEX(K$5:K$1258,'Stock Price'!$I$9)-1,"")</f>
        <v>0.44032921810699577</v>
      </c>
      <c r="Y190" s="19">
        <f ca="1">IF('Stock Price'!$I$11="OK",L190/INDEX(L$5:L$1258,'Stock Price'!$I$9)-1,"")</f>
        <v>-0.14391126115264052</v>
      </c>
      <c r="Z190" s="19">
        <f ca="1">IF('Stock Price'!$I$11="OK",M190/INDEX(M$5:M$1258,'Stock Price'!$I$9)-1,"")</f>
        <v>-0.33208320614015963</v>
      </c>
    </row>
    <row r="191" spans="1:26" x14ac:dyDescent="0.2">
      <c r="A191" s="16">
        <f>'Stock Price'!A191</f>
        <v>44743</v>
      </c>
      <c r="B191" s="17">
        <f>'Stock Price'!E191</f>
        <v>92.42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-0.13179896665100987</v>
      </c>
      <c r="P191" s="19">
        <f ca="1">IF('Stock Price'!$I$11="OK",C191/INDEX(C$5:C$1258,'Stock Price'!$I$9)-1,"")</f>
        <v>-0.41091453731774208</v>
      </c>
      <c r="Q191" s="19">
        <f ca="1">IF('Stock Price'!$I$11="OK",D191/INDEX(D$5:D$1258,'Stock Price'!$I$9)-1,"")</f>
        <v>-0.28424798138771046</v>
      </c>
      <c r="R191" s="19">
        <f ca="1">IF('Stock Price'!$I$11="OK",E191/INDEX(E$5:E$1258,'Stock Price'!$I$9)-1,"")</f>
        <v>0.10190409026798308</v>
      </c>
      <c r="S191" s="19">
        <f ca="1">IF('Stock Price'!$I$11="OK",F191/INDEX(F$5:F$1258,'Stock Price'!$I$9)-1,"")</f>
        <v>-0.18347910592808558</v>
      </c>
      <c r="T191" s="19">
        <f ca="1">IF('Stock Price'!$I$11="OK",G191/INDEX(G$5:G$1258,'Stock Price'!$I$9)-1,"")</f>
        <v>5.764047273481232E-2</v>
      </c>
      <c r="U191" s="19">
        <f ca="1">IF('Stock Price'!$I$11="OK",H191/INDEX(H$5:H$1258,'Stock Price'!$I$9)-1,"")</f>
        <v>0.50921052631578956</v>
      </c>
      <c r="V191" s="19">
        <f ca="1">IF('Stock Price'!$I$11="OK",I191/INDEX(I$5:I$1258,'Stock Price'!$I$9)-1,"")</f>
        <v>1.0774424146147736</v>
      </c>
      <c r="W191" s="19">
        <f ca="1">IF('Stock Price'!$I$11="OK",J191/INDEX(J$5:J$1258,'Stock Price'!$I$9)-1,"")</f>
        <v>-0.69944277833314827</v>
      </c>
      <c r="X191" s="19">
        <f ca="1">IF('Stock Price'!$I$11="OK",K191/INDEX(K$5:K$1258,'Stock Price'!$I$9)-1,"")</f>
        <v>0.43733632622521523</v>
      </c>
      <c r="Y191" s="19">
        <f ca="1">IF('Stock Price'!$I$11="OK",L191/INDEX(L$5:L$1258,'Stock Price'!$I$9)-1,"")</f>
        <v>-0.13421750663129961</v>
      </c>
      <c r="Z191" s="19">
        <f ca="1">IF('Stock Price'!$I$11="OK",M191/INDEX(M$5:M$1258,'Stock Price'!$I$9)-1,"")</f>
        <v>-0.32929222449958562</v>
      </c>
    </row>
    <row r="192" spans="1:26" x14ac:dyDescent="0.2">
      <c r="A192" s="16">
        <f>'Stock Price'!A192</f>
        <v>44747</v>
      </c>
      <c r="B192" s="17">
        <f>'Stock Price'!E192</f>
        <v>92.64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-0.12973226867073751</v>
      </c>
      <c r="P192" s="19">
        <f ca="1">IF('Stock Price'!$I$11="OK",C192/INDEX(C$5:C$1258,'Stock Price'!$I$9)-1,"")</f>
        <v>-0.41147322073047499</v>
      </c>
      <c r="Q192" s="19">
        <f ca="1">IF('Stock Price'!$I$11="OK",D192/INDEX(D$5:D$1258,'Stock Price'!$I$9)-1,"")</f>
        <v>-0.3174763925003421</v>
      </c>
      <c r="R192" s="19">
        <f ca="1">IF('Stock Price'!$I$11="OK",E192/INDEX(E$5:E$1258,'Stock Price'!$I$9)-1,"")</f>
        <v>9.0570219625226711E-2</v>
      </c>
      <c r="S192" s="19">
        <f ca="1">IF('Stock Price'!$I$11="OK",F192/INDEX(F$5:F$1258,'Stock Price'!$I$9)-1,"")</f>
        <v>-0.19203109815354713</v>
      </c>
      <c r="T192" s="19">
        <f ca="1">IF('Stock Price'!$I$11="OK",G192/INDEX(G$5:G$1258,'Stock Price'!$I$9)-1,"")</f>
        <v>4.0431266846361336E-2</v>
      </c>
      <c r="U192" s="19">
        <f ca="1">IF('Stock Price'!$I$11="OK",H192/INDEX(H$5:H$1258,'Stock Price'!$I$9)-1,"")</f>
        <v>0.46105263157894738</v>
      </c>
      <c r="V192" s="19">
        <f ca="1">IF('Stock Price'!$I$11="OK",I192/INDEX(I$5:I$1258,'Stock Price'!$I$9)-1,"")</f>
        <v>1.0508339952343131</v>
      </c>
      <c r="W192" s="19">
        <f ca="1">IF('Stock Price'!$I$11="OK",J192/INDEX(J$5:J$1258,'Stock Price'!$I$9)-1,"")</f>
        <v>-0.69715650338775959</v>
      </c>
      <c r="X192" s="19">
        <f ca="1">IF('Stock Price'!$I$11="OK",K192/INDEX(K$5:K$1258,'Stock Price'!$I$9)-1,"")</f>
        <v>0.42087542087542062</v>
      </c>
      <c r="Y192" s="19">
        <f ca="1">IF('Stock Price'!$I$11="OK",L192/INDEX(L$5:L$1258,'Stock Price'!$I$9)-1,"")</f>
        <v>-0.14087292018326503</v>
      </c>
      <c r="Z192" s="19">
        <f ca="1">IF('Stock Price'!$I$11="OK",M192/INDEX(M$5:M$1258,'Stock Price'!$I$9)-1,"")</f>
        <v>-0.32872530635384412</v>
      </c>
    </row>
    <row r="193" spans="1:26" x14ac:dyDescent="0.2">
      <c r="A193" s="16">
        <f>'Stock Price'!A193</f>
        <v>44748</v>
      </c>
      <c r="B193" s="17">
        <f>'Stock Price'!E193</f>
        <v>93.13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-0.12512916862376711</v>
      </c>
      <c r="P193" s="19">
        <f ca="1">IF('Stock Price'!$I$11="OK",C193/INDEX(C$5:C$1258,'Stock Price'!$I$9)-1,"")</f>
        <v>-0.41531398873971415</v>
      </c>
      <c r="Q193" s="19">
        <f ca="1">IF('Stock Price'!$I$11="OK",D193/INDEX(D$5:D$1258,'Stock Price'!$I$9)-1,"")</f>
        <v>-0.28747776105104705</v>
      </c>
      <c r="R193" s="19">
        <f ca="1">IF('Stock Price'!$I$11="OK",E193/INDEX(E$5:E$1258,'Stock Price'!$I$9)-1,"")</f>
        <v>8.5784807576062772E-2</v>
      </c>
      <c r="S193" s="19">
        <f ca="1">IF('Stock Price'!$I$11="OK",F193/INDEX(F$5:F$1258,'Stock Price'!$I$9)-1,"")</f>
        <v>-0.18717201166180764</v>
      </c>
      <c r="T193" s="19">
        <f ca="1">IF('Stock Price'!$I$11="OK",G193/INDEX(G$5:G$1258,'Stock Price'!$I$9)-1,"")</f>
        <v>3.7528509226622431E-2</v>
      </c>
      <c r="U193" s="19">
        <f ca="1">IF('Stock Price'!$I$11="OK",H193/INDEX(H$5:H$1258,'Stock Price'!$I$9)-1,"")</f>
        <v>0.47868421052631582</v>
      </c>
      <c r="V193" s="19">
        <f ca="1">IF('Stock Price'!$I$11="OK",I193/INDEX(I$5:I$1258,'Stock Price'!$I$9)-1,"")</f>
        <v>1.0949166004765689</v>
      </c>
      <c r="W193" s="19">
        <f ca="1">IF('Stock Price'!$I$11="OK",J193/INDEX(J$5:J$1258,'Stock Price'!$I$9)-1,"")</f>
        <v>-0.69440741974897258</v>
      </c>
      <c r="X193" s="19">
        <f ca="1">IF('Stock Price'!$I$11="OK",K193/INDEX(K$5:K$1258,'Stock Price'!$I$9)-1,"")</f>
        <v>0.42573887018331469</v>
      </c>
      <c r="Y193" s="19">
        <f ca="1">IF('Stock Price'!$I$11="OK",L193/INDEX(L$5:L$1258,'Stock Price'!$I$9)-1,"")</f>
        <v>-0.14010127803231243</v>
      </c>
      <c r="Z193" s="19">
        <f ca="1">IF('Stock Price'!$I$11="OK",M193/INDEX(M$5:M$1258,'Stock Price'!$I$9)-1,"")</f>
        <v>-0.33483057869259958</v>
      </c>
    </row>
    <row r="194" spans="1:26" x14ac:dyDescent="0.2">
      <c r="A194" s="16">
        <f>'Stock Price'!A194</f>
        <v>44749</v>
      </c>
      <c r="B194" s="17">
        <f>'Stock Price'!E194</f>
        <v>93.01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-0.12625645843118838</v>
      </c>
      <c r="P194" s="19">
        <f ca="1">IF('Stock Price'!$I$11="OK",C194/INDEX(C$5:C$1258,'Stock Price'!$I$9)-1,"")</f>
        <v>-0.41063519561137574</v>
      </c>
      <c r="Q194" s="19">
        <f ca="1">IF('Stock Price'!$I$11="OK",D194/INDEX(D$5:D$1258,'Stock Price'!$I$9)-1,"")</f>
        <v>-0.27918434377993706</v>
      </c>
      <c r="R194" s="19">
        <f ca="1">IF('Stock Price'!$I$11="OK",E194/INDEX(E$5:E$1258,'Stock Price'!$I$9)-1,"")</f>
        <v>9.1073947209349138E-2</v>
      </c>
      <c r="S194" s="19">
        <f ca="1">IF('Stock Price'!$I$11="OK",F194/INDEX(F$5:F$1258,'Stock Price'!$I$9)-1,"")</f>
        <v>-0.18736637512147714</v>
      </c>
      <c r="T194" s="19">
        <f ca="1">IF('Stock Price'!$I$11="OK",G194/INDEX(G$5:G$1258,'Stock Price'!$I$9)-1,"")</f>
        <v>4.1260626166286674E-2</v>
      </c>
      <c r="U194" s="19">
        <f ca="1">IF('Stock Price'!$I$11="OK",H194/INDEX(H$5:H$1258,'Stock Price'!$I$9)-1,"")</f>
        <v>0.48921052631578954</v>
      </c>
      <c r="V194" s="19">
        <f ca="1">IF('Stock Price'!$I$11="OK",I194/INDEX(I$5:I$1258,'Stock Price'!$I$9)-1,"")</f>
        <v>1.1215250198570295</v>
      </c>
      <c r="W194" s="19">
        <f ca="1">IF('Stock Price'!$I$11="OK",J194/INDEX(J$5:J$1258,'Stock Price'!$I$9)-1,"")</f>
        <v>-0.69644377799992596</v>
      </c>
      <c r="X194" s="19">
        <f ca="1">IF('Stock Price'!$I$11="OK",K194/INDEX(K$5:K$1258,'Stock Price'!$I$9)-1,"")</f>
        <v>0.40553684998129436</v>
      </c>
      <c r="Y194" s="19">
        <f ca="1">IF('Stock Price'!$I$11="OK",L194/INDEX(L$5:L$1258,'Stock Price'!$I$9)-1,"")</f>
        <v>-0.13913672534362187</v>
      </c>
      <c r="Z194" s="19">
        <f ca="1">IF('Stock Price'!$I$11="OK",M194/INDEX(M$5:M$1258,'Stock Price'!$I$9)-1,"")</f>
        <v>-0.33714186036369975</v>
      </c>
    </row>
    <row r="195" spans="1:26" x14ac:dyDescent="0.2">
      <c r="A195" s="16">
        <f>'Stock Price'!A195</f>
        <v>44750</v>
      </c>
      <c r="B195" s="17">
        <f>'Stock Price'!E195</f>
        <v>92.78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-0.12841709722874595</v>
      </c>
      <c r="P195" s="19">
        <f ca="1">IF('Stock Price'!$I$11="OK",C195/INDEX(C$5:C$1258,'Stock Price'!$I$9)-1,"")</f>
        <v>-0.41105456907752269</v>
      </c>
      <c r="Q195" s="19">
        <f ca="1">IF('Stock Price'!$I$11="OK",D195/INDEX(D$5:D$1258,'Stock Price'!$I$9)-1,"")</f>
        <v>-0.28561653209251403</v>
      </c>
      <c r="R195" s="19">
        <f ca="1">IF('Stock Price'!$I$11="OK",E195/INDEX(E$5:E$1258,'Stock Price'!$I$9)-1,"")</f>
        <v>6.6391295587346244E-2</v>
      </c>
      <c r="S195" s="19">
        <f ca="1">IF('Stock Price'!$I$11="OK",F195/INDEX(F$5:F$1258,'Stock Price'!$I$9)-1,"")</f>
        <v>-0.20058309037900879</v>
      </c>
      <c r="T195" s="19">
        <f ca="1">IF('Stock Price'!$I$11="OK",G195/INDEX(G$5:G$1258,'Stock Price'!$I$9)-1,"")</f>
        <v>4.0016587186398445E-2</v>
      </c>
      <c r="U195" s="19">
        <f ca="1">IF('Stock Price'!$I$11="OK",H195/INDEX(H$5:H$1258,'Stock Price'!$I$9)-1,"")</f>
        <v>0.52184210526315788</v>
      </c>
      <c r="V195" s="19">
        <f ca="1">IF('Stock Price'!$I$11="OK",I195/INDEX(I$5:I$1258,'Stock Price'!$I$9)-1,"")</f>
        <v>1.1115965051628276</v>
      </c>
      <c r="W195" s="19">
        <f ca="1">IF('Stock Price'!$I$11="OK",J195/INDEX(J$5:J$1258,'Stock Price'!$I$9)-1,"")</f>
        <v>-0.6941112221851975</v>
      </c>
      <c r="X195" s="19">
        <f ca="1">IF('Stock Price'!$I$11="OK",K195/INDEX(K$5:K$1258,'Stock Price'!$I$9)-1,"")</f>
        <v>0.41002618780396549</v>
      </c>
      <c r="Y195" s="19">
        <f ca="1">IF('Stock Price'!$I$11="OK",L195/INDEX(L$5:L$1258,'Stock Price'!$I$9)-1,"")</f>
        <v>-0.14019773330118157</v>
      </c>
      <c r="Z195" s="19">
        <f ca="1">IF('Stock Price'!$I$11="OK",M195/INDEX(M$5:M$1258,'Stock Price'!$I$9)-1,"")</f>
        <v>-0.33343508787231257</v>
      </c>
    </row>
    <row r="196" spans="1:26" x14ac:dyDescent="0.2">
      <c r="A196" s="16">
        <f>'Stock Price'!A196</f>
        <v>44753</v>
      </c>
      <c r="B196" s="17">
        <f>'Stock Price'!E196</f>
        <v>94.3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-0.1141380930014092</v>
      </c>
      <c r="P196" s="19">
        <f ca="1">IF('Stock Price'!$I$11="OK",C196/INDEX(C$5:C$1258,'Stock Price'!$I$9)-1,"")</f>
        <v>-0.41000649631875263</v>
      </c>
      <c r="Q196" s="19">
        <f ca="1">IF('Stock Price'!$I$11="OK",D196/INDEX(D$5:D$1258,'Stock Price'!$I$9)-1,"")</f>
        <v>-0.28172984809087176</v>
      </c>
      <c r="R196" s="19">
        <f ca="1">IF('Stock Price'!$I$11="OK",E196/INDEX(E$5:E$1258,'Stock Price'!$I$9)-1,"")</f>
        <v>6.4628249042917529E-2</v>
      </c>
      <c r="S196" s="19">
        <f ca="1">IF('Stock Price'!$I$11="OK",F196/INDEX(F$5:F$1258,'Stock Price'!$I$9)-1,"")</f>
        <v>-0.19241982507288635</v>
      </c>
      <c r="T196" s="19">
        <f ca="1">IF('Stock Price'!$I$11="OK",G196/INDEX(G$5:G$1258,'Stock Price'!$I$9)-1,"")</f>
        <v>4.2712004976156015E-2</v>
      </c>
      <c r="U196" s="19">
        <f ca="1">IF('Stock Price'!$I$11="OK",H196/INDEX(H$5:H$1258,'Stock Price'!$I$9)-1,"")</f>
        <v>0.47763157894736841</v>
      </c>
      <c r="V196" s="19">
        <f ca="1">IF('Stock Price'!$I$11="OK",I196/INDEX(I$5:I$1258,'Stock Price'!$I$9)-1,"")</f>
        <v>1.1004765687053215</v>
      </c>
      <c r="W196" s="19">
        <f ca="1">IF('Stock Price'!$I$11="OK",J196/INDEX(J$5:J$1258,'Stock Price'!$I$9)-1,"")</f>
        <v>-0.69355585175311929</v>
      </c>
      <c r="X196" s="19">
        <f ca="1">IF('Stock Price'!$I$11="OK",K196/INDEX(K$5:K$1258,'Stock Price'!$I$9)-1,"")</f>
        <v>0.41339319117096895</v>
      </c>
      <c r="Y196" s="19">
        <f ca="1">IF('Stock Price'!$I$11="OK",L196/INDEX(L$5:L$1258,'Stock Price'!$I$9)-1,"")</f>
        <v>-0.1398601398601399</v>
      </c>
      <c r="Z196" s="19">
        <f ca="1">IF('Stock Price'!$I$11="OK",M196/INDEX(M$5:M$1258,'Stock Price'!$I$9)-1,"")</f>
        <v>-0.3317779425232219</v>
      </c>
    </row>
    <row r="197" spans="1:26" x14ac:dyDescent="0.2">
      <c r="A197" s="16">
        <f>'Stock Price'!A197</f>
        <v>44754</v>
      </c>
      <c r="B197" s="17">
        <f>'Stock Price'!E197</f>
        <v>93.6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-0.12071395021136688</v>
      </c>
      <c r="P197" s="19">
        <f ca="1">IF('Stock Price'!$I$11="OK",C197/INDEX(C$5:C$1258,'Stock Price'!$I$9)-1,"")</f>
        <v>-0.4138472643279919</v>
      </c>
      <c r="Q197" s="19">
        <f ca="1">IF('Stock Price'!$I$11="OK",D197/INDEX(D$5:D$1258,'Stock Price'!$I$9)-1,"")</f>
        <v>-0.27740522786369237</v>
      </c>
      <c r="R197" s="19">
        <f ca="1">IF('Stock Price'!$I$11="OK",E197/INDEX(E$5:E$1258,'Stock Price'!$I$9)-1,"")</f>
        <v>4.37235543018335E-2</v>
      </c>
      <c r="S197" s="19">
        <f ca="1">IF('Stock Price'!$I$11="OK",F197/INDEX(F$5:F$1258,'Stock Price'!$I$9)-1,"")</f>
        <v>-0.19086491739552969</v>
      </c>
      <c r="T197" s="19">
        <f ca="1">IF('Stock Price'!$I$11="OK",G197/INDEX(G$5:G$1258,'Stock Price'!$I$9)-1,"")</f>
        <v>4.0223927016380001E-2</v>
      </c>
      <c r="U197" s="19">
        <f ca="1">IF('Stock Price'!$I$11="OK",H197/INDEX(H$5:H$1258,'Stock Price'!$I$9)-1,"")</f>
        <v>0.48526315789473684</v>
      </c>
      <c r="V197" s="19">
        <f ca="1">IF('Stock Price'!$I$11="OK",I197/INDEX(I$5:I$1258,'Stock Price'!$I$9)-1,"")</f>
        <v>1.0667196187450356</v>
      </c>
      <c r="W197" s="19">
        <f ca="1">IF('Stock Price'!$I$11="OK",J197/INDEX(J$5:J$1258,'Stock Price'!$I$9)-1,"")</f>
        <v>-0.70047946980636078</v>
      </c>
      <c r="X197" s="19">
        <f ca="1">IF('Stock Price'!$I$11="OK",K197/INDEX(K$5:K$1258,'Stock Price'!$I$9)-1,"")</f>
        <v>0.40310512532734766</v>
      </c>
      <c r="Y197" s="19">
        <f ca="1">IF('Stock Price'!$I$11="OK",L197/INDEX(L$5:L$1258,'Stock Price'!$I$9)-1,"")</f>
        <v>-0.15191704846877263</v>
      </c>
      <c r="Z197" s="19">
        <f ca="1">IF('Stock Price'!$I$11="OK",M197/INDEX(M$5:M$1258,'Stock Price'!$I$9)-1,"")</f>
        <v>-0.3351358423095373</v>
      </c>
    </row>
    <row r="198" spans="1:26" x14ac:dyDescent="0.2">
      <c r="A198" s="16">
        <f>'Stock Price'!A198</f>
        <v>44755</v>
      </c>
      <c r="B198" s="17">
        <f>'Stock Price'!E198</f>
        <v>93.77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-0.11911695631752006</v>
      </c>
      <c r="P198" s="19">
        <f ca="1">IF('Stock Price'!$I$11="OK",C198/INDEX(C$5:C$1258,'Stock Price'!$I$9)-1,"")</f>
        <v>-0.42034141764111443</v>
      </c>
      <c r="Q198" s="19">
        <f ca="1">IF('Stock Price'!$I$11="OK",D198/INDEX(D$5:D$1258,'Stock Price'!$I$9)-1,"")</f>
        <v>-0.28846311755850562</v>
      </c>
      <c r="R198" s="19">
        <f ca="1">IF('Stock Price'!$I$11="OK",E198/INDEX(E$5:E$1258,'Stock Price'!$I$9)-1,"")</f>
        <v>3.0626637114648414E-2</v>
      </c>
      <c r="S198" s="19">
        <f ca="1">IF('Stock Price'!$I$11="OK",F198/INDEX(F$5:F$1258,'Stock Price'!$I$9)-1,"")</f>
        <v>-0.19203109815354713</v>
      </c>
      <c r="T198" s="19">
        <f ca="1">IF('Stock Price'!$I$11="OK",G198/INDEX(G$5:G$1258,'Stock Price'!$I$9)-1,"")</f>
        <v>3.2759693137051737E-2</v>
      </c>
      <c r="U198" s="19">
        <f ca="1">IF('Stock Price'!$I$11="OK",H198/INDEX(H$5:H$1258,'Stock Price'!$I$9)-1,"")</f>
        <v>0.47763157894736841</v>
      </c>
      <c r="V198" s="19">
        <f ca="1">IF('Stock Price'!$I$11="OK",I198/INDEX(I$5:I$1258,'Stock Price'!$I$9)-1,"")</f>
        <v>1.0567911040508338</v>
      </c>
      <c r="W198" s="19">
        <f ca="1">IF('Stock Price'!$I$11="OK",J198/INDEX(J$5:J$1258,'Stock Price'!$I$9)-1,"")</f>
        <v>-0.70152541745344144</v>
      </c>
      <c r="X198" s="19">
        <f ca="1">IF('Stock Price'!$I$11="OK",K198/INDEX(K$5:K$1258,'Stock Price'!$I$9)-1,"")</f>
        <v>0.39412644968200516</v>
      </c>
      <c r="Y198" s="19">
        <f ca="1">IF('Stock Price'!$I$11="OK",L198/INDEX(L$5:L$1258,'Stock Price'!$I$9)-1,"")</f>
        <v>-0.15389438148058832</v>
      </c>
      <c r="Z198" s="19">
        <f ca="1">IF('Stock Price'!$I$11="OK",M198/INDEX(M$5:M$1258,'Stock Price'!$I$9)-1,"")</f>
        <v>-0.33648772404169025</v>
      </c>
    </row>
    <row r="199" spans="1:26" x14ac:dyDescent="0.2">
      <c r="A199" s="16">
        <f>'Stock Price'!A199</f>
        <v>44756</v>
      </c>
      <c r="B199" s="17">
        <f>'Stock Price'!E199</f>
        <v>93.88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-0.11808360732738377</v>
      </c>
      <c r="P199" s="19">
        <f ca="1">IF('Stock Price'!$I$11="OK",C199/INDEX(C$5:C$1258,'Stock Price'!$I$9)-1,"")</f>
        <v>-0.42320485058466861</v>
      </c>
      <c r="Q199" s="19">
        <f ca="1">IF('Stock Price'!$I$11="OK",D199/INDEX(D$5:D$1258,'Stock Price'!$I$9)-1,"")</f>
        <v>-0.29207609141918711</v>
      </c>
      <c r="R199" s="19">
        <f ca="1">IF('Stock Price'!$I$11="OK",E199/INDEX(E$5:E$1258,'Stock Price'!$I$9)-1,"")</f>
        <v>1.2996171670360601E-2</v>
      </c>
      <c r="S199" s="19">
        <f ca="1">IF('Stock Price'!$I$11="OK",F199/INDEX(F$5:F$1258,'Stock Price'!$I$9)-1,"")</f>
        <v>-0.19475218658892135</v>
      </c>
      <c r="T199" s="19">
        <f ca="1">IF('Stock Price'!$I$11="OK",G199/INDEX(G$5:G$1258,'Stock Price'!$I$9)-1,"")</f>
        <v>2.5502799087704808E-2</v>
      </c>
      <c r="U199" s="19">
        <f ca="1">IF('Stock Price'!$I$11="OK",H199/INDEX(H$5:H$1258,'Stock Price'!$I$9)-1,"")</f>
        <v>0.43210526315789477</v>
      </c>
      <c r="V199" s="19">
        <f ca="1">IF('Stock Price'!$I$11="OK",I199/INDEX(I$5:I$1258,'Stock Price'!$I$9)-1,"")</f>
        <v>1.0409054805401112</v>
      </c>
      <c r="W199" s="19">
        <f ca="1">IF('Stock Price'!$I$11="OK",J199/INDEX(J$5:J$1258,'Stock Price'!$I$9)-1,"")</f>
        <v>-0.69742493242993076</v>
      </c>
      <c r="X199" s="19">
        <f ca="1">IF('Stock Price'!$I$11="OK",K199/INDEX(K$5:K$1258,'Stock Price'!$I$9)-1,"")</f>
        <v>0.3843995510662177</v>
      </c>
      <c r="Y199" s="19">
        <f ca="1">IF('Stock Price'!$I$11="OK",L199/INDEX(L$5:L$1258,'Stock Price'!$I$9)-1,"")</f>
        <v>-0.15273691825415958</v>
      </c>
      <c r="Z199" s="19">
        <f ca="1">IF('Stock Price'!$I$11="OK",M199/INDEX(M$5:M$1258,'Stock Price'!$I$9)-1,"")</f>
        <v>-0.34394487811259866</v>
      </c>
    </row>
    <row r="200" spans="1:26" x14ac:dyDescent="0.2">
      <c r="A200" s="16">
        <f>'Stock Price'!A200</f>
        <v>44757</v>
      </c>
      <c r="B200" s="17">
        <f>'Stock Price'!E200</f>
        <v>94.96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-0.10793799906059187</v>
      </c>
      <c r="P200" s="19">
        <f ca="1">IF('Stock Price'!$I$11="OK",C200/INDEX(C$5:C$1258,'Stock Price'!$I$9)-1,"")</f>
        <v>-0.40895914537317735</v>
      </c>
      <c r="Q200" s="19">
        <f ca="1">IF('Stock Price'!$I$11="OK",D200/INDEX(D$5:D$1258,'Stock Price'!$I$9)-1,"")</f>
        <v>-0.28145613794991109</v>
      </c>
      <c r="R200" s="19">
        <f ca="1">IF('Stock Price'!$I$11="OK",E200/INDEX(E$5:E$1258,'Stock Price'!$I$9)-1,"")</f>
        <v>3.8938142252669783E-2</v>
      </c>
      <c r="S200" s="19">
        <f ca="1">IF('Stock Price'!$I$11="OK",F200/INDEX(F$5:F$1258,'Stock Price'!$I$9)-1,"")</f>
        <v>-0.17473275024295432</v>
      </c>
      <c r="T200" s="19">
        <f ca="1">IF('Stock Price'!$I$11="OK",G200/INDEX(G$5:G$1258,'Stock Price'!$I$9)-1,"")</f>
        <v>4.665146174580137E-2</v>
      </c>
      <c r="U200" s="19">
        <f ca="1">IF('Stock Price'!$I$11="OK",H200/INDEX(H$5:H$1258,'Stock Price'!$I$9)-1,"")</f>
        <v>0.46394736842105266</v>
      </c>
      <c r="V200" s="19">
        <f ca="1">IF('Stock Price'!$I$11="OK",I200/INDEX(I$5:I$1258,'Stock Price'!$I$9)-1,"")</f>
        <v>1.0552025416997619</v>
      </c>
      <c r="W200" s="19">
        <f ca="1">IF('Stock Price'!$I$11="OK",J200/INDEX(J$5:J$1258,'Stock Price'!$I$9)-1,"")</f>
        <v>-0.69306527453811695</v>
      </c>
      <c r="X200" s="19">
        <f ca="1">IF('Stock Price'!$I$11="OK",K200/INDEX(K$5:K$1258,'Stock Price'!$I$9)-1,"")</f>
        <v>0.41507669285447069</v>
      </c>
      <c r="Y200" s="19">
        <f ca="1">IF('Stock Price'!$I$11="OK",L200/INDEX(L$5:L$1258,'Stock Price'!$I$9)-1,"")</f>
        <v>-0.14043887147335421</v>
      </c>
      <c r="Z200" s="19">
        <f ca="1">IF('Stock Price'!$I$11="OK",M200/INDEX(M$5:M$1258,'Stock Price'!$I$9)-1,"")</f>
        <v>-0.33007718808599706</v>
      </c>
    </row>
    <row r="201" spans="1:26" x14ac:dyDescent="0.2">
      <c r="A201" s="16">
        <f>'Stock Price'!A201</f>
        <v>44760</v>
      </c>
      <c r="B201" s="17">
        <f>'Stock Price'!E201</f>
        <v>92.34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-0.13255049318929069</v>
      </c>
      <c r="P201" s="19">
        <f ca="1">IF('Stock Price'!$I$11="OK",C201/INDEX(C$5:C$1258,'Stock Price'!$I$9)-1,"")</f>
        <v>-0.42250613541215531</v>
      </c>
      <c r="Q201" s="19">
        <f ca="1">IF('Stock Price'!$I$11="OK",D201/INDEX(D$5:D$1258,'Stock Price'!$I$9)-1,"")</f>
        <v>-0.26700424250718491</v>
      </c>
      <c r="R201" s="19">
        <f ca="1">IF('Stock Price'!$I$11="OK",E201/INDEX(E$5:E$1258,'Stock Price'!$I$9)-1,"")</f>
        <v>1.7781583719524541E-2</v>
      </c>
      <c r="S201" s="19">
        <f ca="1">IF('Stock Price'!$I$11="OK",F201/INDEX(F$5:F$1258,'Stock Price'!$I$9)-1,"")</f>
        <v>-0.18756073858114686</v>
      </c>
      <c r="T201" s="19">
        <f ca="1">IF('Stock Price'!$I$11="OK",G201/INDEX(G$5:G$1258,'Stock Price'!$I$9)-1,"")</f>
        <v>3.980924735641711E-2</v>
      </c>
      <c r="U201" s="19">
        <f ca="1">IF('Stock Price'!$I$11="OK",H201/INDEX(H$5:H$1258,'Stock Price'!$I$9)-1,"")</f>
        <v>0.45868421052631581</v>
      </c>
      <c r="V201" s="19">
        <f ca="1">IF('Stock Price'!$I$11="OK",I201/INDEX(I$5:I$1258,'Stock Price'!$I$9)-1,"")</f>
        <v>1.0154884829229549</v>
      </c>
      <c r="W201" s="19">
        <f ca="1">IF('Stock Price'!$I$11="OK",J201/INDEX(J$5:J$1258,'Stock Price'!$I$9)-1,"")</f>
        <v>-0.70216409345033137</v>
      </c>
      <c r="X201" s="19">
        <f ca="1">IF('Stock Price'!$I$11="OK",K201/INDEX(K$5:K$1258,'Stock Price'!$I$9)-1,"")</f>
        <v>0.37934904601571251</v>
      </c>
      <c r="Y201" s="19">
        <f ca="1">IF('Stock Price'!$I$11="OK",L201/INDEX(L$5:L$1258,'Stock Price'!$I$9)-1,"")</f>
        <v>-0.15972992524716667</v>
      </c>
      <c r="Z201" s="19">
        <f ca="1">IF('Stock Price'!$I$11="OK",M201/INDEX(M$5:M$1258,'Stock Price'!$I$9)-1,"")</f>
        <v>-0.34773886878025384</v>
      </c>
    </row>
    <row r="202" spans="1:26" x14ac:dyDescent="0.2">
      <c r="A202" s="16">
        <f>'Stock Price'!A202</f>
        <v>44761</v>
      </c>
      <c r="B202" s="17">
        <f>'Stock Price'!E202</f>
        <v>92.36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-0.13236261155472051</v>
      </c>
      <c r="P202" s="19">
        <f ca="1">IF('Stock Price'!$I$11="OK",C202/INDEX(C$5:C$1258,'Stock Price'!$I$9)-1,"")</f>
        <v>-0.3994622491699148</v>
      </c>
      <c r="Q202" s="19">
        <f ca="1">IF('Stock Price'!$I$11="OK",D202/INDEX(D$5:D$1258,'Stock Price'!$I$9)-1,"")</f>
        <v>-0.26344601067469553</v>
      </c>
      <c r="R202" s="19">
        <f ca="1">IF('Stock Price'!$I$11="OK",E202/INDEX(E$5:E$1258,'Stock Price'!$I$9)-1,"")</f>
        <v>-0.1152528712472296</v>
      </c>
      <c r="S202" s="19">
        <f ca="1">IF('Stock Price'!$I$11="OK",F202/INDEX(F$5:F$1258,'Stock Price'!$I$9)-1,"")</f>
        <v>-0.16870748299319727</v>
      </c>
      <c r="T202" s="19">
        <f ca="1">IF('Stock Price'!$I$11="OK",G202/INDEX(G$5:G$1258,'Stock Price'!$I$9)-1,"")</f>
        <v>6.9873522703711499E-2</v>
      </c>
      <c r="U202" s="19">
        <f ca="1">IF('Stock Price'!$I$11="OK",H202/INDEX(H$5:H$1258,'Stock Price'!$I$9)-1,"")</f>
        <v>0.52815789473684216</v>
      </c>
      <c r="V202" s="19">
        <f ca="1">IF('Stock Price'!$I$11="OK",I202/INDEX(I$5:I$1258,'Stock Price'!$I$9)-1,"")</f>
        <v>1.0401111993645751</v>
      </c>
      <c r="W202" s="19">
        <f ca="1">IF('Stock Price'!$I$11="OK",J202/INDEX(J$5:J$1258,'Stock Price'!$I$9)-1,"")</f>
        <v>-0.69806360842682069</v>
      </c>
      <c r="X202" s="19">
        <f ca="1">IF('Stock Price'!$I$11="OK",K202/INDEX(K$5:K$1258,'Stock Price'!$I$9)-1,"")</f>
        <v>0.36812570145903467</v>
      </c>
      <c r="Y202" s="19">
        <f ca="1">IF('Stock Price'!$I$11="OK",L202/INDEX(L$5:L$1258,'Stock Price'!$I$9)-1,"")</f>
        <v>-0.17197974439353747</v>
      </c>
      <c r="Z202" s="19">
        <f ca="1">IF('Stock Price'!$I$11="OK",M202/INDEX(M$5:M$1258,'Stock Price'!$I$9)-1,"")</f>
        <v>-0.34699751428197634</v>
      </c>
    </row>
    <row r="203" spans="1:26" x14ac:dyDescent="0.2">
      <c r="A203" s="16">
        <f>'Stock Price'!A203</f>
        <v>44762</v>
      </c>
      <c r="B203" s="17">
        <f>'Stock Price'!E203</f>
        <v>89.65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-0.15782057303898545</v>
      </c>
      <c r="P203" s="19">
        <f ca="1">IF('Stock Price'!$I$11="OK",C203/INDEX(C$5:C$1258,'Stock Price'!$I$9)-1,"")</f>
        <v>-0.41189187238342717</v>
      </c>
      <c r="Q203" s="19">
        <f ca="1">IF('Stock Price'!$I$11="OK",D203/INDEX(D$5:D$1258,'Stock Price'!$I$9)-1,"")</f>
        <v>-0.28884631175585063</v>
      </c>
      <c r="R203" s="19">
        <f ca="1">IF('Stock Price'!$I$11="OK",E203/INDEX(E$5:E$1258,'Stock Price'!$I$9)-1,"")</f>
        <v>-0.16179730002014914</v>
      </c>
      <c r="S203" s="19">
        <f ca="1">IF('Stock Price'!$I$11="OK",F203/INDEX(F$5:F$1258,'Stock Price'!$I$9)-1,"")</f>
        <v>-0.18017492711370264</v>
      </c>
      <c r="T203" s="19">
        <f ca="1">IF('Stock Price'!$I$11="OK",G203/INDEX(G$5:G$1258,'Stock Price'!$I$9)-1,"")</f>
        <v>3.4418411776902413E-2</v>
      </c>
      <c r="U203" s="19">
        <f ca="1">IF('Stock Price'!$I$11="OK",H203/INDEX(H$5:H$1258,'Stock Price'!$I$9)-1,"")</f>
        <v>0.54842105263157914</v>
      </c>
      <c r="V203" s="19">
        <f ca="1">IF('Stock Price'!$I$11="OK",I203/INDEX(I$5:I$1258,'Stock Price'!$I$9)-1,"")</f>
        <v>1.0182684670373314</v>
      </c>
      <c r="W203" s="19">
        <f ca="1">IF('Stock Price'!$I$11="OK",J203/INDEX(J$5:J$1258,'Stock Price'!$I$9)-1,"")</f>
        <v>-0.70192343292976411</v>
      </c>
      <c r="X203" s="19">
        <f ca="1">IF('Stock Price'!$I$11="OK",K203/INDEX(K$5:K$1258,'Stock Price'!$I$9)-1,"")</f>
        <v>0.36213991769547316</v>
      </c>
      <c r="Y203" s="19">
        <f ca="1">IF('Stock Price'!$I$11="OK",L203/INDEX(L$5:L$1258,'Stock Price'!$I$9)-1,"")</f>
        <v>-0.17670605256812144</v>
      </c>
      <c r="Z203" s="19">
        <f ca="1">IF('Stock Price'!$I$11="OK",M203/INDEX(M$5:M$1258,'Stock Price'!$I$9)-1,"")</f>
        <v>-0.35593737734943964</v>
      </c>
    </row>
    <row r="204" spans="1:26" x14ac:dyDescent="0.2">
      <c r="A204" s="16">
        <f>'Stock Price'!A204</f>
        <v>44763</v>
      </c>
      <c r="B204" s="17">
        <f>'Stock Price'!E204</f>
        <v>90.14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-0.15321747299201505</v>
      </c>
      <c r="P204" s="19">
        <f ca="1">IF('Stock Price'!$I$11="OK",C204/INDEX(C$5:C$1258,'Stock Price'!$I$9)-1,"")</f>
        <v>-0.40023025840912363</v>
      </c>
      <c r="Q204" s="19">
        <f ca="1">IF('Stock Price'!$I$11="OK",D204/INDEX(D$5:D$1258,'Stock Price'!$I$9)-1,"")</f>
        <v>-0.31271383604762559</v>
      </c>
      <c r="R204" s="19">
        <f ca="1">IF('Stock Price'!$I$11="OK",E204/INDEX(E$5:E$1258,'Stock Price'!$I$9)-1,"")</f>
        <v>-0.15414064074148714</v>
      </c>
      <c r="S204" s="19">
        <f ca="1">IF('Stock Price'!$I$11="OK",F204/INDEX(F$5:F$1258,'Stock Price'!$I$9)-1,"")</f>
        <v>-0.18445092322643342</v>
      </c>
      <c r="T204" s="19">
        <f ca="1">IF('Stock Price'!$I$11="OK",G204/INDEX(G$5:G$1258,'Stock Price'!$I$9)-1,"")</f>
        <v>3.5869790586771755E-2</v>
      </c>
      <c r="U204" s="19">
        <f ca="1">IF('Stock Price'!$I$11="OK",H204/INDEX(H$5:H$1258,'Stock Price'!$I$9)-1,"")</f>
        <v>0.51052631578947372</v>
      </c>
      <c r="V204" s="19">
        <f ca="1">IF('Stock Price'!$I$11="OK",I204/INDEX(I$5:I$1258,'Stock Price'!$I$9)-1,"")</f>
        <v>1.0301826846703732</v>
      </c>
      <c r="W204" s="19">
        <f ca="1">IF('Stock Price'!$I$11="OK",J204/INDEX(J$5:J$1258,'Stock Price'!$I$9)-1,"")</f>
        <v>-0.69739716390832673</v>
      </c>
      <c r="X204" s="19">
        <f ca="1">IF('Stock Price'!$I$11="OK",K204/INDEX(K$5:K$1258,'Stock Price'!$I$9)-1,"")</f>
        <v>0.36625514403292181</v>
      </c>
      <c r="Y204" s="19">
        <f ca="1">IF('Stock Price'!$I$11="OK",L204/INDEX(L$5:L$1258,'Stock Price'!$I$9)-1,"")</f>
        <v>-0.17381239450204966</v>
      </c>
      <c r="Z204" s="19">
        <f ca="1">IF('Stock Price'!$I$11="OK",M204/INDEX(M$5:M$1258,'Stock Price'!$I$9)-1,"")</f>
        <v>-0.35567572282063586</v>
      </c>
    </row>
    <row r="205" spans="1:26" x14ac:dyDescent="0.2">
      <c r="A205" s="16">
        <f>'Stock Price'!A205</f>
        <v>44764</v>
      </c>
      <c r="B205" s="17">
        <f>'Stock Price'!E205</f>
        <v>90.11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-0.15349929544387042</v>
      </c>
      <c r="P205" s="19">
        <f ca="1">IF('Stock Price'!$I$11="OK",C205/INDEX(C$5:C$1258,'Stock Price'!$I$9)-1,"")</f>
        <v>-0.40037029016890424</v>
      </c>
      <c r="Q205" s="19">
        <f ca="1">IF('Stock Price'!$I$11="OK",D205/INDEX(D$5:D$1258,'Stock Price'!$I$9)-1,"")</f>
        <v>-0.29579800191597105</v>
      </c>
      <c r="R205" s="19">
        <f ca="1">IF('Stock Price'!$I$11="OK",E205/INDEX(E$5:E$1258,'Stock Price'!$I$9)-1,"")</f>
        <v>-0.14789441869836795</v>
      </c>
      <c r="S205" s="19">
        <f ca="1">IF('Stock Price'!$I$11="OK",F205/INDEX(F$5:F$1258,'Stock Price'!$I$9)-1,"")</f>
        <v>-0.18211856171039853</v>
      </c>
      <c r="T205" s="19">
        <f ca="1">IF('Stock Price'!$I$11="OK",G205/INDEX(G$5:G$1258,'Stock Price'!$I$9)-1,"")</f>
        <v>3.3174372797014406E-2</v>
      </c>
      <c r="U205" s="19">
        <f ca="1">IF('Stock Price'!$I$11="OK",H205/INDEX(H$5:H$1258,'Stock Price'!$I$9)-1,"")</f>
        <v>0.4944736842105264</v>
      </c>
      <c r="V205" s="19">
        <f ca="1">IF('Stock Price'!$I$11="OK",I205/INDEX(I$5:I$1258,'Stock Price'!$I$9)-1,"")</f>
        <v>1.034551231135822</v>
      </c>
      <c r="W205" s="19">
        <f ca="1">IF('Stock Price'!$I$11="OK",J205/INDEX(J$5:J$1258,'Stock Price'!$I$9)-1,"")</f>
        <v>-0.69570328409048832</v>
      </c>
      <c r="X205" s="19">
        <f ca="1">IF('Stock Price'!$I$11="OK",K205/INDEX(K$5:K$1258,'Stock Price'!$I$9)-1,"")</f>
        <v>0.36457164234942008</v>
      </c>
      <c r="Y205" s="19">
        <f ca="1">IF('Stock Price'!$I$11="OK",L205/INDEX(L$5:L$1258,'Stock Price'!$I$9)-1,"")</f>
        <v>-0.16990595611285264</v>
      </c>
      <c r="Z205" s="19">
        <f ca="1">IF('Stock Price'!$I$11="OK",M205/INDEX(M$5:M$1258,'Stock Price'!$I$9)-1,"")</f>
        <v>-0.35253586847499019</v>
      </c>
    </row>
    <row r="206" spans="1:26" x14ac:dyDescent="0.2">
      <c r="A206" s="16">
        <f>'Stock Price'!A206</f>
        <v>44767</v>
      </c>
      <c r="B206" s="17">
        <f>'Stock Price'!E206</f>
        <v>90.53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-0.14955378111789575</v>
      </c>
      <c r="P206" s="19">
        <f ca="1">IF('Stock Price'!$I$11="OK",C206/INDEX(C$5:C$1258,'Stock Price'!$I$9)-1,"")</f>
        <v>-0.39890356575718211</v>
      </c>
      <c r="Q206" s="19">
        <f ca="1">IF('Stock Price'!$I$11="OK",D206/INDEX(D$5:D$1258,'Stock Price'!$I$9)-1,"")</f>
        <v>-0.29349938415218291</v>
      </c>
      <c r="R206" s="19">
        <f ca="1">IF('Stock Price'!$I$11="OK",E206/INDEX(E$5:E$1258,'Stock Price'!$I$9)-1,"")</f>
        <v>-0.15051380213580512</v>
      </c>
      <c r="S206" s="19">
        <f ca="1">IF('Stock Price'!$I$11="OK",F206/INDEX(F$5:F$1258,'Stock Price'!$I$9)-1,"")</f>
        <v>-0.17414965986394559</v>
      </c>
      <c r="T206" s="19">
        <f ca="1">IF('Stock Price'!$I$11="OK",G206/INDEX(G$5:G$1258,'Stock Price'!$I$9)-1,"")</f>
        <v>4.3126684636118684E-2</v>
      </c>
      <c r="U206" s="19">
        <f ca="1">IF('Stock Price'!$I$11="OK",H206/INDEX(H$5:H$1258,'Stock Price'!$I$9)-1,"")</f>
        <v>0.51815789473684215</v>
      </c>
      <c r="V206" s="19">
        <f ca="1">IF('Stock Price'!$I$11="OK",I206/INDEX(I$5:I$1258,'Stock Price'!$I$9)-1,"")</f>
        <v>1.0559968228752981</v>
      </c>
      <c r="W206" s="19">
        <f ca="1">IF('Stock Price'!$I$11="OK",J206/INDEX(J$5:J$1258,'Stock Price'!$I$9)-1,"")</f>
        <v>-0.69311155540745673</v>
      </c>
      <c r="X206" s="19">
        <f ca="1">IF('Stock Price'!$I$11="OK",K206/INDEX(K$5:K$1258,'Stock Price'!$I$9)-1,"")</f>
        <v>0.36251402918069586</v>
      </c>
      <c r="Y206" s="19">
        <f ca="1">IF('Stock Price'!$I$11="OK",L206/INDEX(L$5:L$1258,'Stock Price'!$I$9)-1,"")</f>
        <v>-0.16826621654207852</v>
      </c>
      <c r="Z206" s="19">
        <f ca="1">IF('Stock Price'!$I$11="OK",M206/INDEX(M$5:M$1258,'Stock Price'!$I$9)-1,"")</f>
        <v>-0.344904278051546</v>
      </c>
    </row>
    <row r="207" spans="1:26" x14ac:dyDescent="0.2">
      <c r="A207" s="16">
        <f>'Stock Price'!A207</f>
        <v>44768</v>
      </c>
      <c r="B207" s="17">
        <f>'Stock Price'!E207</f>
        <v>91.29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-0.14241427900422732</v>
      </c>
      <c r="P207" s="19">
        <f ca="1">IF('Stock Price'!$I$11="OK",C207/INDEX(C$5:C$1258,'Stock Price'!$I$9)-1,"")</f>
        <v>-0.39359679514941526</v>
      </c>
      <c r="Q207" s="19">
        <f ca="1">IF('Stock Price'!$I$11="OK",D207/INDEX(D$5:D$1258,'Stock Price'!$I$9)-1,"")</f>
        <v>-0.28123716983714242</v>
      </c>
      <c r="R207" s="19">
        <f ca="1">IF('Stock Price'!$I$11="OK",E207/INDEX(E$5:E$1258,'Stock Price'!$I$9)-1,"")</f>
        <v>-0.14326012492444085</v>
      </c>
      <c r="S207" s="19">
        <f ca="1">IF('Stock Price'!$I$11="OK",F207/INDEX(F$5:F$1258,'Stock Price'!$I$9)-1,"")</f>
        <v>-0.16559766763848405</v>
      </c>
      <c r="T207" s="19">
        <f ca="1">IF('Stock Price'!$I$11="OK",G207/INDEX(G$5:G$1258,'Stock Price'!$I$9)-1,"")</f>
        <v>4.3956043956044022E-2</v>
      </c>
      <c r="U207" s="19">
        <f ca="1">IF('Stock Price'!$I$11="OK",H207/INDEX(H$5:H$1258,'Stock Price'!$I$9)-1,"")</f>
        <v>0.51815789473684215</v>
      </c>
      <c r="V207" s="19">
        <f ca="1">IF('Stock Price'!$I$11="OK",I207/INDEX(I$5:I$1258,'Stock Price'!$I$9)-1,"")</f>
        <v>1.0770452740270056</v>
      </c>
      <c r="W207" s="19">
        <f ca="1">IF('Stock Price'!$I$11="OK",J207/INDEX(J$5:J$1258,'Stock Price'!$I$9)-1,"")</f>
        <v>-0.69310229923358879</v>
      </c>
      <c r="X207" s="19">
        <f ca="1">IF('Stock Price'!$I$11="OK",K207/INDEX(K$5:K$1258,'Stock Price'!$I$9)-1,"")</f>
        <v>0.37729143284698829</v>
      </c>
      <c r="Y207" s="19">
        <f ca="1">IF('Stock Price'!$I$11="OK",L207/INDEX(L$5:L$1258,'Stock Price'!$I$9)-1,"")</f>
        <v>-0.16238244514106581</v>
      </c>
      <c r="Z207" s="19">
        <f ca="1">IF('Stock Price'!$I$11="OK",M207/INDEX(M$5:M$1258,'Stock Price'!$I$9)-1,"")</f>
        <v>-0.34206968732283805</v>
      </c>
    </row>
    <row r="208" spans="1:26" x14ac:dyDescent="0.2">
      <c r="A208" s="16">
        <f>'Stock Price'!A208</f>
        <v>44769</v>
      </c>
      <c r="B208" s="17">
        <f>'Stock Price'!E208</f>
        <v>91.23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-0.14297792390793795</v>
      </c>
      <c r="P208" s="19">
        <f ca="1">IF('Stock Price'!$I$11="OK",C208/INDEX(C$5:C$1258,'Stock Price'!$I$9)-1,"")</f>
        <v>-0.39422549444203836</v>
      </c>
      <c r="Q208" s="19">
        <f ca="1">IF('Stock Price'!$I$11="OK",D208/INDEX(D$5:D$1258,'Stock Price'!$I$9)-1,"")</f>
        <v>-0.26486930340769133</v>
      </c>
      <c r="R208" s="19">
        <f ca="1">IF('Stock Price'!$I$11="OK",E208/INDEX(E$5:E$1258,'Stock Price'!$I$9)-1,"")</f>
        <v>-0.12270803949224263</v>
      </c>
      <c r="S208" s="19">
        <f ca="1">IF('Stock Price'!$I$11="OK",F208/INDEX(F$5:F$1258,'Stock Price'!$I$9)-1,"")</f>
        <v>-0.17123420796890187</v>
      </c>
      <c r="T208" s="19">
        <f ca="1">IF('Stock Price'!$I$11="OK",G208/INDEX(G$5:G$1258,'Stock Price'!$I$9)-1,"")</f>
        <v>5.577441426498031E-2</v>
      </c>
      <c r="U208" s="19">
        <f ca="1">IF('Stock Price'!$I$11="OK",H208/INDEX(H$5:H$1258,'Stock Price'!$I$9)-1,"")</f>
        <v>0.50052631578947371</v>
      </c>
      <c r="V208" s="19">
        <f ca="1">IF('Stock Price'!$I$11="OK",I208/INDEX(I$5:I$1258,'Stock Price'!$I$9)-1,"")</f>
        <v>1.0631453534551234</v>
      </c>
      <c r="W208" s="19">
        <f ca="1">IF('Stock Price'!$I$11="OK",J208/INDEX(J$5:J$1258,'Stock Price'!$I$9)-1,"")</f>
        <v>-0.69552741678699692</v>
      </c>
      <c r="X208" s="19">
        <f ca="1">IF('Stock Price'!$I$11="OK",K208/INDEX(K$5:K$1258,'Stock Price'!$I$9)-1,"")</f>
        <v>0.39936401047512171</v>
      </c>
      <c r="Y208" s="19">
        <f ca="1">IF('Stock Price'!$I$11="OK",L208/INDEX(L$5:L$1258,'Stock Price'!$I$9)-1,"")</f>
        <v>-0.16469737159392339</v>
      </c>
      <c r="Z208" s="19">
        <f ca="1">IF('Stock Price'!$I$11="OK",M208/INDEX(M$5:M$1258,'Stock Price'!$I$9)-1,"")</f>
        <v>-0.34084863285508693</v>
      </c>
    </row>
    <row r="209" spans="1:26" x14ac:dyDescent="0.2">
      <c r="A209" s="16">
        <f>'Stock Price'!A209</f>
        <v>44770</v>
      </c>
      <c r="B209" s="17">
        <f>'Stock Price'!E209</f>
        <v>89.94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-0.15509628933771724</v>
      </c>
      <c r="P209" s="19">
        <f ca="1">IF('Stock Price'!$I$11="OK",C209/INDEX(C$5:C$1258,'Stock Price'!$I$9)-1,"")</f>
        <v>-0.39066406813916554</v>
      </c>
      <c r="Q209" s="19">
        <f ca="1">IF('Stock Price'!$I$11="OK",D209/INDEX(D$5:D$1258,'Stock Price'!$I$9)-1,"")</f>
        <v>-0.28233201040098543</v>
      </c>
      <c r="R209" s="19">
        <f ca="1">IF('Stock Price'!$I$11="OK",E209/INDEX(E$5:E$1258,'Stock Price'!$I$9)-1,"")</f>
        <v>-0.13499899254483183</v>
      </c>
      <c r="S209" s="19">
        <f ca="1">IF('Stock Price'!$I$11="OK",F209/INDEX(F$5:F$1258,'Stock Price'!$I$9)-1,"")</f>
        <v>-0.17570456754130237</v>
      </c>
      <c r="T209" s="19">
        <f ca="1">IF('Stock Price'!$I$11="OK",G209/INDEX(G$5:G$1258,'Stock Price'!$I$9)-1,"")</f>
        <v>5.577441426498031E-2</v>
      </c>
      <c r="U209" s="19">
        <f ca="1">IF('Stock Price'!$I$11="OK",H209/INDEX(H$5:H$1258,'Stock Price'!$I$9)-1,"")</f>
        <v>0.5</v>
      </c>
      <c r="V209" s="19">
        <f ca="1">IF('Stock Price'!$I$11="OK",I209/INDEX(I$5:I$1258,'Stock Price'!$I$9)-1,"")</f>
        <v>1.0142970611596507</v>
      </c>
      <c r="W209" s="19">
        <f ca="1">IF('Stock Price'!$I$11="OK",J209/INDEX(J$5:J$1258,'Stock Price'!$I$9)-1,"")</f>
        <v>-0.69380576844755448</v>
      </c>
      <c r="X209" s="19">
        <f ca="1">IF('Stock Price'!$I$11="OK",K209/INDEX(K$5:K$1258,'Stock Price'!$I$9)-1,"")</f>
        <v>0.39730639730639727</v>
      </c>
      <c r="Y209" s="19">
        <f ca="1">IF('Stock Price'!$I$11="OK",L209/INDEX(L$5:L$1258,'Stock Price'!$I$9)-1,"")</f>
        <v>-0.15987460815047028</v>
      </c>
      <c r="Z209" s="19">
        <f ca="1">IF('Stock Price'!$I$11="OK",M209/INDEX(M$5:M$1258,'Stock Price'!$I$9)-1,"")</f>
        <v>-0.34695390519384239</v>
      </c>
    </row>
    <row r="210" spans="1:26" x14ac:dyDescent="0.2">
      <c r="A210" s="16">
        <f>'Stock Price'!A210</f>
        <v>44771</v>
      </c>
      <c r="B210" s="17">
        <f>'Stock Price'!E210</f>
        <v>89.34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-0.16073273837482382</v>
      </c>
      <c r="P210" s="19">
        <f ca="1">IF('Stock Price'!$I$11="OK",C210/INDEX(C$5:C$1258,'Stock Price'!$I$9)-1,"")</f>
        <v>-0.40064963187527058</v>
      </c>
      <c r="Q210" s="19">
        <f ca="1">IF('Stock Price'!$I$11="OK",D210/INDEX(D$5:D$1258,'Stock Price'!$I$9)-1,"")</f>
        <v>-0.2844122074722869</v>
      </c>
      <c r="R210" s="19">
        <f ca="1">IF('Stock Price'!$I$11="OK",E210/INDEX(E$5:E$1258,'Stock Price'!$I$9)-1,"")</f>
        <v>-0.15031231110215593</v>
      </c>
      <c r="S210" s="19">
        <f ca="1">IF('Stock Price'!$I$11="OK",F210/INDEX(F$5:F$1258,'Stock Price'!$I$9)-1,"")</f>
        <v>-0.19397473275024302</v>
      </c>
      <c r="T210" s="19">
        <f ca="1">IF('Stock Price'!$I$11="OK",G210/INDEX(G$5:G$1258,'Stock Price'!$I$9)-1,"")</f>
        <v>3.0478955007257058E-2</v>
      </c>
      <c r="U210" s="19">
        <f ca="1">IF('Stock Price'!$I$11="OK",H210/INDEX(H$5:H$1258,'Stock Price'!$I$9)-1,"")</f>
        <v>0.5</v>
      </c>
      <c r="V210" s="19">
        <f ca="1">IF('Stock Price'!$I$11="OK",I210/INDEX(I$5:I$1258,'Stock Price'!$I$9)-1,"")</f>
        <v>1.0059571088165211</v>
      </c>
      <c r="W210" s="19">
        <f ca="1">IF('Stock Price'!$I$11="OK",J210/INDEX(J$5:J$1258,'Stock Price'!$I$9)-1,"")</f>
        <v>-0.69483320374689916</v>
      </c>
      <c r="X210" s="19">
        <f ca="1">IF('Stock Price'!$I$11="OK",K210/INDEX(K$5:K$1258,'Stock Price'!$I$9)-1,"")</f>
        <v>0.38009726898615792</v>
      </c>
      <c r="Y210" s="19">
        <f ca="1">IF('Stock Price'!$I$11="OK",L210/INDEX(L$5:L$1258,'Stock Price'!$I$9)-1,"")</f>
        <v>-0.15833132384856519</v>
      </c>
      <c r="Z210" s="19">
        <f ca="1">IF('Stock Price'!$I$11="OK",M210/INDEX(M$5:M$1258,'Stock Price'!$I$9)-1,"")</f>
        <v>-0.37416597618943792</v>
      </c>
    </row>
    <row r="211" spans="1:26" x14ac:dyDescent="0.2">
      <c r="A211" s="16">
        <f>'Stock Price'!A211</f>
        <v>44774</v>
      </c>
      <c r="B211" s="17">
        <f>'Stock Price'!E211</f>
        <v>88.53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-0.1683419445749178</v>
      </c>
      <c r="P211" s="19">
        <f ca="1">IF('Stock Price'!$I$11="OK",C211/INDEX(C$5:C$1258,'Stock Price'!$I$9)-1,"")</f>
        <v>-0.40204634040710252</v>
      </c>
      <c r="Q211" s="19">
        <f ca="1">IF('Stock Price'!$I$11="OK",D211/INDEX(D$5:D$1258,'Stock Price'!$I$9)-1,"")</f>
        <v>-0.27390173805939522</v>
      </c>
      <c r="R211" s="19">
        <f ca="1">IF('Stock Price'!$I$11="OK",E211/INDEX(E$5:E$1258,'Stock Price'!$I$9)-1,"")</f>
        <v>-0.16119282691920211</v>
      </c>
      <c r="S211" s="19">
        <f ca="1">IF('Stock Price'!$I$11="OK",F211/INDEX(F$5:F$1258,'Stock Price'!$I$9)-1,"")</f>
        <v>-0.19727891156462596</v>
      </c>
      <c r="T211" s="19">
        <f ca="1">IF('Stock Price'!$I$11="OK",G211/INDEX(G$5:G$1258,'Stock Price'!$I$9)-1,"")</f>
        <v>1.3891768608749855E-2</v>
      </c>
      <c r="U211" s="19">
        <f ca="1">IF('Stock Price'!$I$11="OK",H211/INDEX(H$5:H$1258,'Stock Price'!$I$9)-1,"")</f>
        <v>0.49263157894736831</v>
      </c>
      <c r="V211" s="19">
        <f ca="1">IF('Stock Price'!$I$11="OK",I211/INDEX(I$5:I$1258,'Stock Price'!$I$9)-1,"")</f>
        <v>1.0099285146942019</v>
      </c>
      <c r="W211" s="19">
        <f ca="1">IF('Stock Price'!$I$11="OK",J211/INDEX(J$5:J$1258,'Stock Price'!$I$9)-1,"")</f>
        <v>-0.69996112406975453</v>
      </c>
      <c r="X211" s="19">
        <f ca="1">IF('Stock Price'!$I$11="OK",K211/INDEX(K$5:K$1258,'Stock Price'!$I$9)-1,"")</f>
        <v>0.37710437710437716</v>
      </c>
      <c r="Y211" s="19">
        <f ca="1">IF('Stock Price'!$I$11="OK",L211/INDEX(L$5:L$1258,'Stock Price'!$I$9)-1,"")</f>
        <v>-0.16127320954907165</v>
      </c>
      <c r="Z211" s="19">
        <f ca="1">IF('Stock Price'!$I$11="OK",M211/INDEX(M$5:M$1258,'Stock Price'!$I$9)-1,"")</f>
        <v>-0.38851336618551302</v>
      </c>
    </row>
    <row r="212" spans="1:26" x14ac:dyDescent="0.2">
      <c r="A212" s="16">
        <f>'Stock Price'!A212</f>
        <v>44775</v>
      </c>
      <c r="B212" s="17">
        <f>'Stock Price'!E212</f>
        <v>87.61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-0.17698449976514796</v>
      </c>
      <c r="P212" s="19">
        <f ca="1">IF('Stock Price'!$I$11="OK",C212/INDEX(C$5:C$1258,'Stock Price'!$I$9)-1,"")</f>
        <v>-0.40602641836292763</v>
      </c>
      <c r="Q212" s="19">
        <f ca="1">IF('Stock Price'!$I$11="OK",D212/INDEX(D$5:D$1258,'Stock Price'!$I$9)-1,"")</f>
        <v>-0.28671137265635693</v>
      </c>
      <c r="R212" s="19">
        <f ca="1">IF('Stock Price'!$I$11="OK",E212/INDEX(E$5:E$1258,'Stock Price'!$I$9)-1,"")</f>
        <v>-0.17025992343340723</v>
      </c>
      <c r="S212" s="19">
        <f ca="1">IF('Stock Price'!$I$11="OK",F212/INDEX(F$5:F$1258,'Stock Price'!$I$9)-1,"")</f>
        <v>-0.19766763848396507</v>
      </c>
      <c r="T212" s="19">
        <f ca="1">IF('Stock Price'!$I$11="OK",G212/INDEX(G$5:G$1258,'Stock Price'!$I$9)-1,"")</f>
        <v>1.1818370308936288E-2</v>
      </c>
      <c r="U212" s="19">
        <f ca="1">IF('Stock Price'!$I$11="OK",H212/INDEX(H$5:H$1258,'Stock Price'!$I$9)-1,"")</f>
        <v>0.52631578947368429</v>
      </c>
      <c r="V212" s="19">
        <f ca="1">IF('Stock Price'!$I$11="OK",I212/INDEX(I$5:I$1258,'Stock Price'!$I$9)-1,"")</f>
        <v>0.97339158061953923</v>
      </c>
      <c r="W212" s="19">
        <f ca="1">IF('Stock Price'!$I$11="OK",J212/INDEX(J$5:J$1258,'Stock Price'!$I$9)-1,"")</f>
        <v>-0.70361731274760264</v>
      </c>
      <c r="X212" s="19">
        <f ca="1">IF('Stock Price'!$I$11="OK",K212/INDEX(K$5:K$1258,'Stock Price'!$I$9)-1,"")</f>
        <v>0.37074448185559294</v>
      </c>
      <c r="Y212" s="19">
        <f ca="1">IF('Stock Price'!$I$11="OK",L212/INDEX(L$5:L$1258,'Stock Price'!$I$9)-1,"")</f>
        <v>-0.16604774535809019</v>
      </c>
      <c r="Z212" s="19">
        <f ca="1">IF('Stock Price'!$I$11="OK",M212/INDEX(M$5:M$1258,'Stock Price'!$I$9)-1,"")</f>
        <v>-0.38777201168723574</v>
      </c>
    </row>
    <row r="213" spans="1:26" x14ac:dyDescent="0.2">
      <c r="A213" s="16">
        <f>'Stock Price'!A213</f>
        <v>44776</v>
      </c>
      <c r="B213" s="17">
        <f>'Stock Price'!E213</f>
        <v>87.62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-0.17689055894786287</v>
      </c>
      <c r="P213" s="19">
        <f ca="1">IF('Stock Price'!$I$11="OK",C213/INDEX(C$5:C$1258,'Stock Price'!$I$9)-1,"")</f>
        <v>-0.40742312689475957</v>
      </c>
      <c r="Q213" s="19">
        <f ca="1">IF('Stock Price'!$I$11="OK",D213/INDEX(D$5:D$1258,'Stock Price'!$I$9)-1,"")</f>
        <v>-0.28671137265635693</v>
      </c>
      <c r="R213" s="19">
        <f ca="1">IF('Stock Price'!$I$11="OK",E213/INDEX(E$5:E$1258,'Stock Price'!$I$9)-1,"")</f>
        <v>-0.1775136006447714</v>
      </c>
      <c r="S213" s="19">
        <f ca="1">IF('Stock Price'!$I$11="OK",F213/INDEX(F$5:F$1258,'Stock Price'!$I$9)-1,"")</f>
        <v>-0.19203109815354713</v>
      </c>
      <c r="T213" s="19">
        <f ca="1">IF('Stock Price'!$I$11="OK",G213/INDEX(G$5:G$1258,'Stock Price'!$I$9)-1,"")</f>
        <v>1.2647729628861848E-2</v>
      </c>
      <c r="U213" s="19">
        <f ca="1">IF('Stock Price'!$I$11="OK",H213/INDEX(H$5:H$1258,'Stock Price'!$I$9)-1,"")</f>
        <v>0.54631578947368409</v>
      </c>
      <c r="V213" s="19">
        <f ca="1">IF('Stock Price'!$I$11="OK",I213/INDEX(I$5:I$1258,'Stock Price'!$I$9)-1,"")</f>
        <v>0.9801429706115965</v>
      </c>
      <c r="W213" s="19">
        <f ca="1">IF('Stock Price'!$I$11="OK",J213/INDEX(J$5:J$1258,'Stock Price'!$I$9)-1,"")</f>
        <v>-0.70951349550149945</v>
      </c>
      <c r="X213" s="19">
        <f ca="1">IF('Stock Price'!$I$11="OK",K213/INDEX(K$5:K$1258,'Stock Price'!$I$9)-1,"")</f>
        <v>0.36531986531986527</v>
      </c>
      <c r="Y213" s="19">
        <f ca="1">IF('Stock Price'!$I$11="OK",L213/INDEX(L$5:L$1258,'Stock Price'!$I$9)-1,"")</f>
        <v>-0.15799373040752351</v>
      </c>
      <c r="Z213" s="19">
        <f ca="1">IF('Stock Price'!$I$11="OK",M213/INDEX(M$5:M$1258,'Stock Price'!$I$9)-1,"")</f>
        <v>-0.38423967554838434</v>
      </c>
    </row>
    <row r="214" spans="1:26" x14ac:dyDescent="0.2">
      <c r="A214" s="16">
        <f>'Stock Price'!A214</f>
        <v>44777</v>
      </c>
      <c r="B214" s="17">
        <f>'Stock Price'!E214</f>
        <v>86.82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-0.18440582433067176</v>
      </c>
      <c r="P214" s="19">
        <f ca="1">IF('Stock Price'!$I$11="OK",C214/INDEX(C$5:C$1258,'Stock Price'!$I$9)-1,"")</f>
        <v>-0.40483903565757184</v>
      </c>
      <c r="Q214" s="19">
        <f ca="1">IF('Stock Price'!$I$11="OK",D214/INDEX(D$5:D$1258,'Stock Price'!$I$9)-1,"")</f>
        <v>-0.27006979608594506</v>
      </c>
      <c r="R214" s="19">
        <f ca="1">IF('Stock Price'!$I$11="OK",E214/INDEX(E$5:E$1258,'Stock Price'!$I$9)-1,"")</f>
        <v>-0.18194640338504942</v>
      </c>
      <c r="S214" s="19">
        <f ca="1">IF('Stock Price'!$I$11="OK",F214/INDEX(F$5:F$1258,'Stock Price'!$I$9)-1,"")</f>
        <v>-0.19922254616132162</v>
      </c>
      <c r="T214" s="19">
        <f ca="1">IF('Stock Price'!$I$11="OK",G214/INDEX(G$5:G$1258,'Stock Price'!$I$9)-1,"")</f>
        <v>1.9697283848227221E-2</v>
      </c>
      <c r="U214" s="19">
        <f ca="1">IF('Stock Price'!$I$11="OK",H214/INDEX(H$5:H$1258,'Stock Price'!$I$9)-1,"")</f>
        <v>0.50736842105263169</v>
      </c>
      <c r="V214" s="19">
        <f ca="1">IF('Stock Price'!$I$11="OK",I214/INDEX(I$5:I$1258,'Stock Price'!$I$9)-1,"")</f>
        <v>0.9801429706115965</v>
      </c>
      <c r="W214" s="19">
        <f ca="1">IF('Stock Price'!$I$11="OK",J214/INDEX(J$5:J$1258,'Stock Price'!$I$9)-1,"")</f>
        <v>-0.7169554592913473</v>
      </c>
      <c r="X214" s="19">
        <f ca="1">IF('Stock Price'!$I$11="OK",K214/INDEX(K$5:K$1258,'Stock Price'!$I$9)-1,"")</f>
        <v>0.34904601571268246</v>
      </c>
      <c r="Y214" s="19">
        <f ca="1">IF('Stock Price'!$I$11="OK",L214/INDEX(L$5:L$1258,'Stock Price'!$I$9)-1,"")</f>
        <v>-0.17149746804919219</v>
      </c>
      <c r="Z214" s="19">
        <f ca="1">IF('Stock Price'!$I$11="OK",M214/INDEX(M$5:M$1258,'Stock Price'!$I$9)-1,"")</f>
        <v>-0.39418254764292882</v>
      </c>
    </row>
    <row r="215" spans="1:26" x14ac:dyDescent="0.2">
      <c r="A215" s="16">
        <f>'Stock Price'!A215</f>
        <v>44778</v>
      </c>
      <c r="B215" s="17">
        <f>'Stock Price'!E215</f>
        <v>87.41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-0.17886331611085027</v>
      </c>
      <c r="P215" s="19">
        <f ca="1">IF('Stock Price'!$I$11="OK",C215/INDEX(C$5:C$1258,'Stock Price'!$I$9)-1,"")</f>
        <v>-0.40246499206005482</v>
      </c>
      <c r="Q215" s="19">
        <f ca="1">IF('Stock Price'!$I$11="OK",D215/INDEX(D$5:D$1258,'Stock Price'!$I$9)-1,"")</f>
        <v>-0.29842616668947586</v>
      </c>
      <c r="R215" s="19">
        <f ca="1">IF('Stock Price'!$I$11="OK",E215/INDEX(E$5:E$1258,'Stock Price'!$I$9)-1,"")</f>
        <v>-0.18255087648599644</v>
      </c>
      <c r="S215" s="19">
        <f ca="1">IF('Stock Price'!$I$11="OK",F215/INDEX(F$5:F$1258,'Stock Price'!$I$9)-1,"")</f>
        <v>-0.20000000000000007</v>
      </c>
      <c r="T215" s="19">
        <f ca="1">IF('Stock Price'!$I$11="OK",G215/INDEX(G$5:G$1258,'Stock Price'!$I$9)-1,"")</f>
        <v>3.0686294837238393E-2</v>
      </c>
      <c r="U215" s="19">
        <f ca="1">IF('Stock Price'!$I$11="OK",H215/INDEX(H$5:H$1258,'Stock Price'!$I$9)-1,"")</f>
        <v>0.40210526315789474</v>
      </c>
      <c r="V215" s="19">
        <f ca="1">IF('Stock Price'!$I$11="OK",I215/INDEX(I$5:I$1258,'Stock Price'!$I$9)-1,"")</f>
        <v>0.95671167593328055</v>
      </c>
      <c r="W215" s="19">
        <f ca="1">IF('Stock Price'!$I$11="OK",J215/INDEX(J$5:J$1258,'Stock Price'!$I$9)-1,"")</f>
        <v>-0.72109296901032982</v>
      </c>
      <c r="X215" s="19">
        <f ca="1">IF('Stock Price'!$I$11="OK",K215/INDEX(K$5:K$1258,'Stock Price'!$I$9)-1,"")</f>
        <v>0.34904601571268246</v>
      </c>
      <c r="Y215" s="19">
        <f ca="1">IF('Stock Price'!$I$11="OK",L215/INDEX(L$5:L$1258,'Stock Price'!$I$9)-1,"")</f>
        <v>-0.17477694719074022</v>
      </c>
      <c r="Z215" s="19">
        <f ca="1">IF('Stock Price'!$I$11="OK",M215/INDEX(M$5:M$1258,'Stock Price'!$I$9)-1,"")</f>
        <v>-0.39802014739871794</v>
      </c>
    </row>
    <row r="216" spans="1:26" x14ac:dyDescent="0.2">
      <c r="A216" s="16">
        <f>'Stock Price'!A216</f>
        <v>44781</v>
      </c>
      <c r="B216" s="17">
        <f>'Stock Price'!E216</f>
        <v>88.49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-0.16871770784405826</v>
      </c>
      <c r="P216" s="19">
        <f ca="1">IF('Stock Price'!$I$11="OK",C216/INDEX(C$5:C$1258,'Stock Price'!$I$9)-1,"")</f>
        <v>-0.39988162263606175</v>
      </c>
      <c r="Q216" s="19">
        <f ca="1">IF('Stock Price'!$I$11="OK",D216/INDEX(D$5:D$1258,'Stock Price'!$I$9)-1,"")</f>
        <v>-0.27006979608594506</v>
      </c>
      <c r="R216" s="19">
        <f ca="1">IF('Stock Price'!$I$11="OK",E216/INDEX(E$5:E$1258,'Stock Price'!$I$9)-1,"")</f>
        <v>-0.18778964336087045</v>
      </c>
      <c r="S216" s="19">
        <f ca="1">IF('Stock Price'!$I$11="OK",F216/INDEX(F$5:F$1258,'Stock Price'!$I$9)-1,"")</f>
        <v>-0.1961127308066084</v>
      </c>
      <c r="T216" s="19">
        <f ca="1">IF('Stock Price'!$I$11="OK",G216/INDEX(G$5:G$1258,'Stock Price'!$I$9)-1,"")</f>
        <v>1.7623885548413876E-2</v>
      </c>
      <c r="U216" s="19">
        <f ca="1">IF('Stock Price'!$I$11="OK",H216/INDEX(H$5:H$1258,'Stock Price'!$I$9)-1,"")</f>
        <v>0.39342105263157912</v>
      </c>
      <c r="V216" s="19">
        <f ca="1">IF('Stock Price'!$I$11="OK",I216/INDEX(I$5:I$1258,'Stock Price'!$I$9)-1,"")</f>
        <v>0.96862589356632256</v>
      </c>
      <c r="W216" s="19">
        <f ca="1">IF('Stock Price'!$I$11="OK",J216/INDEX(J$5:J$1258,'Stock Price'!$I$9)-1,"")</f>
        <v>-0.72000074049390939</v>
      </c>
      <c r="X216" s="19">
        <f ca="1">IF('Stock Price'!$I$11="OK",K216/INDEX(K$5:K$1258,'Stock Price'!$I$9)-1,"")</f>
        <v>0.3804713804713804</v>
      </c>
      <c r="Y216" s="19">
        <f ca="1">IF('Stock Price'!$I$11="OK",L216/INDEX(L$5:L$1258,'Stock Price'!$I$9)-1,"")</f>
        <v>-0.17916566192428263</v>
      </c>
      <c r="Z216" s="19">
        <f ca="1">IF('Stock Price'!$I$11="OK",M216/INDEX(M$5:M$1258,'Stock Price'!$I$9)-1,"")</f>
        <v>-0.38799005712790546</v>
      </c>
    </row>
    <row r="217" spans="1:26" x14ac:dyDescent="0.2">
      <c r="A217" s="16">
        <f>'Stock Price'!A217</f>
        <v>44782</v>
      </c>
      <c r="B217" s="17">
        <f>'Stock Price'!E217</f>
        <v>89.52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-0.15904180366369192</v>
      </c>
      <c r="P217" s="19">
        <f ca="1">IF('Stock Price'!$I$11="OK",C217/INDEX(C$5:C$1258,'Stock Price'!$I$9)-1,"")</f>
        <v>-0.39143207737837438</v>
      </c>
      <c r="Q217" s="19">
        <f ca="1">IF('Stock Price'!$I$11="OK",D217/INDEX(D$5:D$1258,'Stock Price'!$I$9)-1,"")</f>
        <v>-0.29842616668947586</v>
      </c>
      <c r="R217" s="19">
        <f ca="1">IF('Stock Price'!$I$11="OK",E217/INDEX(E$5:E$1258,'Stock Price'!$I$9)-1,"")</f>
        <v>-0.19343139230304252</v>
      </c>
      <c r="S217" s="19">
        <f ca="1">IF('Stock Price'!$I$11="OK",F217/INDEX(F$5:F$1258,'Stock Price'!$I$9)-1,"")</f>
        <v>-0.19241982507288635</v>
      </c>
      <c r="T217" s="19">
        <f ca="1">IF('Stock Price'!$I$11="OK",G217/INDEX(G$5:G$1258,'Stock Price'!$I$9)-1,"")</f>
        <v>8.9156126891976051E-3</v>
      </c>
      <c r="U217" s="19">
        <f ca="1">IF('Stock Price'!$I$11="OK",H217/INDEX(H$5:H$1258,'Stock Price'!$I$9)-1,"")</f>
        <v>0.37263157894736842</v>
      </c>
      <c r="V217" s="19">
        <f ca="1">IF('Stock Price'!$I$11="OK",I217/INDEX(I$5:I$1258,'Stock Price'!$I$9)-1,"")</f>
        <v>0.97696584590945212</v>
      </c>
      <c r="W217" s="19">
        <f ca="1">IF('Stock Price'!$I$11="OK",J217/INDEX(J$5:J$1258,'Stock Price'!$I$9)-1,"")</f>
        <v>-0.71951941945277498</v>
      </c>
      <c r="X217" s="19">
        <f ca="1">IF('Stock Price'!$I$11="OK",K217/INDEX(K$5:K$1258,'Stock Price'!$I$9)-1,"")</f>
        <v>0.40216984661429089</v>
      </c>
      <c r="Y217" s="19">
        <f ca="1">IF('Stock Price'!$I$11="OK",L217/INDEX(L$5:L$1258,'Stock Price'!$I$9)-1,"")</f>
        <v>-0.17926211719315166</v>
      </c>
      <c r="Z217" s="19">
        <f ca="1">IF('Stock Price'!$I$11="OK",M217/INDEX(M$5:M$1258,'Stock Price'!$I$9)-1,"")</f>
        <v>-0.38838253892111119</v>
      </c>
    </row>
    <row r="218" spans="1:26" x14ac:dyDescent="0.2">
      <c r="A218" s="16">
        <f>'Stock Price'!A218</f>
        <v>44783</v>
      </c>
      <c r="B218" s="17">
        <f>'Stock Price'!E218</f>
        <v>89.19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-0.16214185063410058</v>
      </c>
      <c r="P218" s="19">
        <f ca="1">IF('Stock Price'!$I$11="OK",C218/INDEX(C$5:C$1258,'Stock Price'!$I$9)-1,"")</f>
        <v>-0.38947668543380964</v>
      </c>
      <c r="Q218" s="19">
        <f ca="1">IF('Stock Price'!$I$11="OK",D218/INDEX(D$5:D$1258,'Stock Price'!$I$9)-1,"")</f>
        <v>-0.27505132065143012</v>
      </c>
      <c r="R218" s="19">
        <f ca="1">IF('Stock Price'!$I$11="OK",E218/INDEX(E$5:E$1258,'Stock Price'!$I$9)-1,"")</f>
        <v>-0.22828934112432009</v>
      </c>
      <c r="S218" s="19">
        <f ca="1">IF('Stock Price'!$I$11="OK",F218/INDEX(F$5:F$1258,'Stock Price'!$I$9)-1,"")</f>
        <v>-0.18192419825072881</v>
      </c>
      <c r="T218" s="19">
        <f ca="1">IF('Stock Price'!$I$11="OK",G218/INDEX(G$5:G$1258,'Stock Price'!$I$9)-1,"")</f>
        <v>-6.2823968484345682E-2</v>
      </c>
      <c r="U218" s="19">
        <f ca="1">IF('Stock Price'!$I$11="OK",H218/INDEX(H$5:H$1258,'Stock Price'!$I$9)-1,"")</f>
        <v>0.36578947368421044</v>
      </c>
      <c r="V218" s="19">
        <f ca="1">IF('Stock Price'!$I$11="OK",I218/INDEX(I$5:I$1258,'Stock Price'!$I$9)-1,"")</f>
        <v>0.98371723590150917</v>
      </c>
      <c r="W218" s="19">
        <f ca="1">IF('Stock Price'!$I$11="OK",J218/INDEX(J$5:J$1258,'Stock Price'!$I$9)-1,"")</f>
        <v>-0.71804768780776773</v>
      </c>
      <c r="X218" s="19">
        <f ca="1">IF('Stock Price'!$I$11="OK",K218/INDEX(K$5:K$1258,'Stock Price'!$I$9)-1,"")</f>
        <v>0.40029928918817803</v>
      </c>
      <c r="Y218" s="19">
        <f ca="1">IF('Stock Price'!$I$11="OK",L218/INDEX(L$5:L$1258,'Stock Price'!$I$9)-1,"")</f>
        <v>-0.17689896310585973</v>
      </c>
      <c r="Z218" s="19">
        <f ca="1">IF('Stock Price'!$I$11="OK",M218/INDEX(M$5:M$1258,'Stock Price'!$I$9)-1,"")</f>
        <v>-0.38537351183986746</v>
      </c>
    </row>
    <row r="219" spans="1:26" x14ac:dyDescent="0.2">
      <c r="A219" s="16">
        <f>'Stock Price'!A219</f>
        <v>44784</v>
      </c>
      <c r="B219" s="17">
        <f>'Stock Price'!E219</f>
        <v>88.93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-0.1645843118835133</v>
      </c>
      <c r="P219" s="19">
        <f ca="1">IF('Stock Price'!$I$11="OK",C219/INDEX(C$5:C$1258,'Stock Price'!$I$9)-1,"")</f>
        <v>-0.40239497618016462</v>
      </c>
      <c r="Q219" s="19">
        <f ca="1">IF('Stock Price'!$I$11="OK",D219/INDEX(D$5:D$1258,'Stock Price'!$I$9)-1,"")</f>
        <v>-0.29648282468865483</v>
      </c>
      <c r="R219" s="19">
        <f ca="1">IF('Stock Price'!$I$11="OK",E219/INDEX(E$5:E$1258,'Stock Price'!$I$9)-1,"")</f>
        <v>-0.28007253677211374</v>
      </c>
      <c r="S219" s="19">
        <f ca="1">IF('Stock Price'!$I$11="OK",F219/INDEX(F$5:F$1258,'Stock Price'!$I$9)-1,"")</f>
        <v>-0.20233236151603506</v>
      </c>
      <c r="T219" s="19">
        <f ca="1">IF('Stock Price'!$I$11="OK",G219/INDEX(G$5:G$1258,'Stock Price'!$I$9)-1,"")</f>
        <v>-9.973045822102411E-2</v>
      </c>
      <c r="U219" s="19">
        <f ca="1">IF('Stock Price'!$I$11="OK",H219/INDEX(H$5:H$1258,'Stock Price'!$I$9)-1,"")</f>
        <v>0.3600000000000001</v>
      </c>
      <c r="V219" s="19">
        <f ca="1">IF('Stock Price'!$I$11="OK",I219/INDEX(I$5:I$1258,'Stock Price'!$I$9)-1,"")</f>
        <v>0.91779189833200947</v>
      </c>
      <c r="W219" s="19">
        <f ca="1">IF('Stock Price'!$I$11="OK",J219/INDEX(J$5:J$1258,'Stock Price'!$I$9)-1,"")</f>
        <v>-0.72123181161834937</v>
      </c>
      <c r="X219" s="19">
        <f ca="1">IF('Stock Price'!$I$11="OK",K219/INDEX(K$5:K$1258,'Stock Price'!$I$9)-1,"")</f>
        <v>0.39281705948372592</v>
      </c>
      <c r="Y219" s="19">
        <f ca="1">IF('Stock Price'!$I$11="OK",L219/INDEX(L$5:L$1258,'Stock Price'!$I$9)-1,"")</f>
        <v>-0.19392331806124918</v>
      </c>
      <c r="Z219" s="19">
        <f ca="1">IF('Stock Price'!$I$11="OK",M219/INDEX(M$5:M$1258,'Stock Price'!$I$9)-1,"")</f>
        <v>-0.38040207579259511</v>
      </c>
    </row>
    <row r="220" spans="1:26" x14ac:dyDescent="0.2">
      <c r="A220" s="16">
        <f>'Stock Price'!A220</f>
        <v>44785</v>
      </c>
      <c r="B220" s="17">
        <f>'Stock Price'!E220</f>
        <v>91.02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-0.14495068107092535</v>
      </c>
      <c r="P220" s="19">
        <f ca="1">IF('Stock Price'!$I$11="OK",C220/INDEX(C$5:C$1258,'Stock Price'!$I$9)-1,"")</f>
        <v>-0.40169698282084587</v>
      </c>
      <c r="Q220" s="19">
        <f ca="1">IF('Stock Price'!$I$11="OK",D220/INDEX(D$5:D$1258,'Stock Price'!$I$9)-1,"")</f>
        <v>-0.30264130286027102</v>
      </c>
      <c r="R220" s="19">
        <f ca="1">IF('Stock Price'!$I$11="OK",E220/INDEX(E$5:E$1258,'Stock Price'!$I$9)-1,"")</f>
        <v>-0.27402780576264363</v>
      </c>
      <c r="S220" s="19">
        <f ca="1">IF('Stock Price'!$I$11="OK",F220/INDEX(F$5:F$1258,'Stock Price'!$I$9)-1,"")</f>
        <v>-0.18367346938775519</v>
      </c>
      <c r="T220" s="19">
        <f ca="1">IF('Stock Price'!$I$11="OK",G220/INDEX(G$5:G$1258,'Stock Price'!$I$9)-1,"")</f>
        <v>-8.0033174372797E-2</v>
      </c>
      <c r="U220" s="19">
        <f ca="1">IF('Stock Price'!$I$11="OK",H220/INDEX(H$5:H$1258,'Stock Price'!$I$9)-1,"")</f>
        <v>0.42500000000000004</v>
      </c>
      <c r="V220" s="19">
        <f ca="1">IF('Stock Price'!$I$11="OK",I220/INDEX(I$5:I$1258,'Stock Price'!$I$9)-1,"")</f>
        <v>0.99007148530579836</v>
      </c>
      <c r="W220" s="19">
        <f ca="1">IF('Stock Price'!$I$11="OK",J220/INDEX(J$5:J$1258,'Stock Price'!$I$9)-1,"")</f>
        <v>-0.71483579547558218</v>
      </c>
      <c r="X220" s="19">
        <f ca="1">IF('Stock Price'!$I$11="OK",K220/INDEX(K$5:K$1258,'Stock Price'!$I$9)-1,"")</f>
        <v>0.41358024691358009</v>
      </c>
      <c r="Y220" s="19">
        <f ca="1">IF('Stock Price'!$I$11="OK",L220/INDEX(L$5:L$1258,'Stock Price'!$I$9)-1,"")</f>
        <v>-0.2027972027972027</v>
      </c>
      <c r="Z220" s="19">
        <f ca="1">IF('Stock Price'!$I$11="OK",M220/INDEX(M$5:M$1258,'Stock Price'!$I$9)-1,"")</f>
        <v>-0.37813440320962888</v>
      </c>
    </row>
    <row r="221" spans="1:26" x14ac:dyDescent="0.2">
      <c r="A221" s="16">
        <f>'Stock Price'!A221</f>
        <v>44788</v>
      </c>
      <c r="B221" s="17">
        <f>'Stock Price'!E221</f>
        <v>90.6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-0.14889619539690002</v>
      </c>
      <c r="P221" s="19">
        <f ca="1">IF('Stock Price'!$I$11="OK",C221/INDEX(C$5:C$1258,'Stock Price'!$I$9)-1,"")</f>
        <v>-0.40379168471199656</v>
      </c>
      <c r="Q221" s="19">
        <f ca="1">IF('Stock Price'!$I$11="OK",D221/INDEX(D$5:D$1258,'Stock Price'!$I$9)-1,"")</f>
        <v>-0.27989599014643507</v>
      </c>
      <c r="R221" s="19">
        <f ca="1">IF('Stock Price'!$I$11="OK",E221/INDEX(E$5:E$1258,'Stock Price'!$I$9)-1,"")</f>
        <v>-0.29578883739673578</v>
      </c>
      <c r="S221" s="19">
        <f ca="1">IF('Stock Price'!$I$11="OK",F221/INDEX(F$5:F$1258,'Stock Price'!$I$9)-1,"")</f>
        <v>-0.17823129251700687</v>
      </c>
      <c r="T221" s="19">
        <f ca="1">IF('Stock Price'!$I$11="OK",G221/INDEX(G$5:G$1258,'Stock Price'!$I$9)-1,"")</f>
        <v>-9.1229525191789285E-2</v>
      </c>
      <c r="U221" s="19">
        <f ca="1">IF('Stock Price'!$I$11="OK",H221/INDEX(H$5:H$1258,'Stock Price'!$I$9)-1,"")</f>
        <v>0.40947368421052643</v>
      </c>
      <c r="V221" s="19">
        <f ca="1">IF('Stock Price'!$I$11="OK",I221/INDEX(I$5:I$1258,'Stock Price'!$I$9)-1,"")</f>
        <v>0.97577442414614768</v>
      </c>
      <c r="W221" s="19">
        <f ca="1">IF('Stock Price'!$I$11="OK",J221/INDEX(J$5:J$1258,'Stock Price'!$I$9)-1,"")</f>
        <v>-0.70941167758895185</v>
      </c>
      <c r="X221" s="19">
        <f ca="1">IF('Stock Price'!$I$11="OK",K221/INDEX(K$5:K$1258,'Stock Price'!$I$9)-1,"")</f>
        <v>0.39412644968200516</v>
      </c>
      <c r="Y221" s="19">
        <f ca="1">IF('Stock Price'!$I$11="OK",L221/INDEX(L$5:L$1258,'Stock Price'!$I$9)-1,"")</f>
        <v>-0.19898721967687483</v>
      </c>
      <c r="Z221" s="19">
        <f ca="1">IF('Stock Price'!$I$11="OK",M221/INDEX(M$5:M$1258,'Stock Price'!$I$9)-1,"")</f>
        <v>-0.37948628494178194</v>
      </c>
    </row>
    <row r="222" spans="1:26" x14ac:dyDescent="0.2">
      <c r="A222" s="16">
        <f>'Stock Price'!A222</f>
        <v>44789</v>
      </c>
      <c r="B222" s="17">
        <f>'Stock Price'!E222</f>
        <v>90.59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-0.14899013621418511</v>
      </c>
      <c r="P222" s="19">
        <f ca="1">IF('Stock Price'!$I$11="OK",C222/INDEX(C$5:C$1258,'Stock Price'!$I$9)-1,"")</f>
        <v>-0.400719647755161</v>
      </c>
      <c r="Q222" s="19">
        <f ca="1">IF('Stock Price'!$I$11="OK",D222/INDEX(D$5:D$1258,'Stock Price'!$I$9)-1,"")</f>
        <v>-0.26574517585876567</v>
      </c>
      <c r="R222" s="19">
        <f ca="1">IF('Stock Price'!$I$11="OK",E222/INDEX(E$5:E$1258,'Stock Price'!$I$9)-1,"")</f>
        <v>-0.28954261535361681</v>
      </c>
      <c r="S222" s="19">
        <f ca="1">IF('Stock Price'!$I$11="OK",F222/INDEX(F$5:F$1258,'Stock Price'!$I$9)-1,"")</f>
        <v>-0.19203109815354713</v>
      </c>
      <c r="T222" s="19">
        <f ca="1">IF('Stock Price'!$I$11="OK",G222/INDEX(G$5:G$1258,'Stock Price'!$I$9)-1,"")</f>
        <v>-7.091022185361795E-2</v>
      </c>
      <c r="U222" s="19">
        <f ca="1">IF('Stock Price'!$I$11="OK",H222/INDEX(H$5:H$1258,'Stock Price'!$I$9)-1,"")</f>
        <v>0.42894736842105252</v>
      </c>
      <c r="V222" s="19">
        <f ca="1">IF('Stock Price'!$I$11="OK",I222/INDEX(I$5:I$1258,'Stock Price'!$I$9)-1,"")</f>
        <v>0.9801429706115965</v>
      </c>
      <c r="W222" s="19">
        <f ca="1">IF('Stock Price'!$I$11="OK",J222/INDEX(J$5:J$1258,'Stock Price'!$I$9)-1,"")</f>
        <v>-0.71277166870302489</v>
      </c>
      <c r="X222" s="19">
        <f ca="1">IF('Stock Price'!$I$11="OK",K222/INDEX(K$5:K$1258,'Stock Price'!$I$9)-1,"")</f>
        <v>0.38664421997755327</v>
      </c>
      <c r="Y222" s="19">
        <f ca="1">IF('Stock Price'!$I$11="OK",L222/INDEX(L$5:L$1258,'Stock Price'!$I$9)-1,"")</f>
        <v>-0.19184952978056424</v>
      </c>
      <c r="Z222" s="19">
        <f ca="1">IF('Stock Price'!$I$11="OK",M222/INDEX(M$5:M$1258,'Stock Price'!$I$9)-1,"")</f>
        <v>-0.37835244865029871</v>
      </c>
    </row>
    <row r="223" spans="1:26" x14ac:dyDescent="0.2">
      <c r="A223" s="16">
        <f>'Stock Price'!A223</f>
        <v>44790</v>
      </c>
      <c r="B223" s="17">
        <f>'Stock Price'!E223</f>
        <v>91.04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-0.14476279943635506</v>
      </c>
      <c r="P223" s="19">
        <f ca="1">IF('Stock Price'!$I$11="OK",C223/INDEX(C$5:C$1258,'Stock Price'!$I$9)-1,"")</f>
        <v>-0.40490905153746204</v>
      </c>
      <c r="Q223" s="19">
        <f ca="1">IF('Stock Price'!$I$11="OK",D223/INDEX(D$5:D$1258,'Stock Price'!$I$9)-1,"")</f>
        <v>-0.26574517585876567</v>
      </c>
      <c r="R223" s="19">
        <f ca="1">IF('Stock Price'!$I$11="OK",E223/INDEX(E$5:E$1258,'Stock Price'!$I$9)-1,"")</f>
        <v>-0.30082611323796093</v>
      </c>
      <c r="S223" s="19">
        <f ca="1">IF('Stock Price'!$I$11="OK",F223/INDEX(F$5:F$1258,'Stock Price'!$I$9)-1,"")</f>
        <v>-0.19067055393586008</v>
      </c>
      <c r="T223" s="19">
        <f ca="1">IF('Stock Price'!$I$11="OK",G223/INDEX(G$5:G$1258,'Stock Price'!$I$9)-1,"")</f>
        <v>-0.12544059713871025</v>
      </c>
      <c r="U223" s="19">
        <f ca="1">IF('Stock Price'!$I$11="OK",H223/INDEX(H$5:H$1258,'Stock Price'!$I$9)-1,"")</f>
        <v>0.40447368421052632</v>
      </c>
      <c r="V223" s="19">
        <f ca="1">IF('Stock Price'!$I$11="OK",I223/INDEX(I$5:I$1258,'Stock Price'!$I$9)-1,"")</f>
        <v>0.95671167593328055</v>
      </c>
      <c r="W223" s="19">
        <f ca="1">IF('Stock Price'!$I$11="OK",J223/INDEX(J$5:J$1258,'Stock Price'!$I$9)-1,"")</f>
        <v>-0.70674589951497646</v>
      </c>
      <c r="X223" s="19">
        <f ca="1">IF('Stock Price'!$I$11="OK",K223/INDEX(K$5:K$1258,'Stock Price'!$I$9)-1,"")</f>
        <v>0.39468761690983922</v>
      </c>
      <c r="Y223" s="19">
        <f ca="1">IF('Stock Price'!$I$11="OK",L223/INDEX(L$5:L$1258,'Stock Price'!$I$9)-1,"")</f>
        <v>-0.19180130214612967</v>
      </c>
      <c r="Z223" s="19">
        <f ca="1">IF('Stock Price'!$I$11="OK",M223/INDEX(M$5:M$1258,'Stock Price'!$I$9)-1,"")</f>
        <v>-0.38319305743316912</v>
      </c>
    </row>
    <row r="224" spans="1:26" x14ac:dyDescent="0.2">
      <c r="A224" s="16">
        <f>'Stock Price'!A224</f>
        <v>44791</v>
      </c>
      <c r="B224" s="17">
        <f>'Stock Price'!E224</f>
        <v>91.4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-0.14138093001409113</v>
      </c>
      <c r="P224" s="19">
        <f ca="1">IF('Stock Price'!$I$11="OK",C224/INDEX(C$5:C$1258,'Stock Price'!$I$9)-1,"")</f>
        <v>-0.40700375342861261</v>
      </c>
      <c r="Q224" s="19">
        <f ca="1">IF('Stock Price'!$I$11="OK",D224/INDEX(D$5:D$1258,'Stock Price'!$I$9)-1,"")</f>
        <v>-0.28742301902285494</v>
      </c>
      <c r="R224" s="19">
        <f ca="1">IF('Stock Price'!$I$11="OK",E224/INDEX(E$5:E$1258,'Stock Price'!$I$9)-1,"")</f>
        <v>-0.30989320975216605</v>
      </c>
      <c r="S224" s="19">
        <f ca="1">IF('Stock Price'!$I$11="OK",F224/INDEX(F$5:F$1258,'Stock Price'!$I$9)-1,"")</f>
        <v>-0.18445092322643342</v>
      </c>
      <c r="T224" s="19">
        <f ca="1">IF('Stock Price'!$I$11="OK",G224/INDEX(G$5:G$1258,'Stock Price'!$I$9)-1,"")</f>
        <v>-0.14596724030686292</v>
      </c>
      <c r="U224" s="19">
        <f ca="1">IF('Stock Price'!$I$11="OK",H224/INDEX(H$5:H$1258,'Stock Price'!$I$9)-1,"")</f>
        <v>0.42263157894736847</v>
      </c>
      <c r="V224" s="19">
        <f ca="1">IF('Stock Price'!$I$11="OK",I224/INDEX(I$5:I$1258,'Stock Price'!$I$9)-1,"")</f>
        <v>0.92930897537728341</v>
      </c>
      <c r="W224" s="19">
        <f ca="1">IF('Stock Price'!$I$11="OK",J224/INDEX(J$5:J$1258,'Stock Price'!$I$9)-1,"")</f>
        <v>-0.70683846125365613</v>
      </c>
      <c r="X224" s="19">
        <f ca="1">IF('Stock Price'!$I$11="OK",K224/INDEX(K$5:K$1258,'Stock Price'!$I$9)-1,"")</f>
        <v>0.38701833146277598</v>
      </c>
      <c r="Y224" s="19">
        <f ca="1">IF('Stock Price'!$I$11="OK",L224/INDEX(L$5:L$1258,'Stock Price'!$I$9)-1,"")</f>
        <v>-0.19570774053532669</v>
      </c>
      <c r="Z224" s="19">
        <f ca="1">IF('Stock Price'!$I$11="OK",M224/INDEX(M$5:M$1258,'Stock Price'!$I$9)-1,"")</f>
        <v>-0.38384719375517862</v>
      </c>
    </row>
    <row r="225" spans="1:26" x14ac:dyDescent="0.2">
      <c r="A225" s="16">
        <f>'Stock Price'!A225</f>
        <v>44792</v>
      </c>
      <c r="B225" s="17">
        <f>'Stock Price'!E225</f>
        <v>92.08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-0.13499295443870363</v>
      </c>
      <c r="P225" s="19">
        <f ca="1">IF('Stock Price'!$I$11="OK",C225/INDEX(C$5:C$1258,'Stock Price'!$I$9)-1,"")</f>
        <v>-0.40113829940811307</v>
      </c>
      <c r="Q225" s="19">
        <f ca="1">IF('Stock Price'!$I$11="OK",D225/INDEX(D$5:D$1258,'Stock Price'!$I$9)-1,"")</f>
        <v>-0.28205830026002465</v>
      </c>
      <c r="R225" s="19">
        <f ca="1">IF('Stock Price'!$I$11="OK",E225/INDEX(E$5:E$1258,'Stock Price'!$I$9)-1,"")</f>
        <v>-0.31372153939149705</v>
      </c>
      <c r="S225" s="19">
        <f ca="1">IF('Stock Price'!$I$11="OK",F225/INDEX(F$5:F$1258,'Stock Price'!$I$9)-1,"")</f>
        <v>-0.18036929057337225</v>
      </c>
      <c r="T225" s="19">
        <f ca="1">IF('Stock Price'!$I$11="OK",G225/INDEX(G$5:G$1258,'Stock Price'!$I$9)-1,"")</f>
        <v>-0.14430852166701214</v>
      </c>
      <c r="U225" s="19">
        <f ca="1">IF('Stock Price'!$I$11="OK",H225/INDEX(H$5:H$1258,'Stock Price'!$I$9)-1,"")</f>
        <v>0.43157894736842106</v>
      </c>
      <c r="V225" s="19">
        <f ca="1">IF('Stock Price'!$I$11="OK",I225/INDEX(I$5:I$1258,'Stock Price'!$I$9)-1,"")</f>
        <v>0.95194598888006343</v>
      </c>
      <c r="W225" s="19">
        <f ca="1">IF('Stock Price'!$I$11="OK",J225/INDEX(J$5:J$1258,'Stock Price'!$I$9)-1,"")</f>
        <v>-0.7012384760635344</v>
      </c>
      <c r="X225" s="19">
        <f ca="1">IF('Stock Price'!$I$11="OK",K225/INDEX(K$5:K$1258,'Stock Price'!$I$9)-1,"")</f>
        <v>0.40909090909090895</v>
      </c>
      <c r="Y225" s="19">
        <f ca="1">IF('Stock Price'!$I$11="OK",L225/INDEX(L$5:L$1258,'Stock Price'!$I$9)-1,"")</f>
        <v>-0.18345792138895589</v>
      </c>
      <c r="Z225" s="19">
        <f ca="1">IF('Stock Price'!$I$11="OK",M225/INDEX(M$5:M$1258,'Stock Price'!$I$9)-1,"")</f>
        <v>-0.3814050848196765</v>
      </c>
    </row>
    <row r="226" spans="1:26" x14ac:dyDescent="0.2">
      <c r="A226" s="16">
        <f>'Stock Price'!A226</f>
        <v>44795</v>
      </c>
      <c r="B226" s="17">
        <f>'Stock Price'!E226</f>
        <v>91.16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-0.14363550962893379</v>
      </c>
      <c r="P226" s="19">
        <f ca="1">IF('Stock Price'!$I$11="OK",C226/INDEX(C$5:C$1258,'Stock Price'!$I$9)-1,"")</f>
        <v>-0.41070521149126604</v>
      </c>
      <c r="Q226" s="19">
        <f ca="1">IF('Stock Price'!$I$11="OK",D226/INDEX(D$5:D$1258,'Stock Price'!$I$9)-1,"")</f>
        <v>-0.25687696729163823</v>
      </c>
      <c r="R226" s="19">
        <f ca="1">IF('Stock Price'!$I$11="OK",E226/INDEX(E$5:E$1258,'Stock Price'!$I$9)-1,"")</f>
        <v>-0.31392303042514613</v>
      </c>
      <c r="S226" s="19">
        <f ca="1">IF('Stock Price'!$I$11="OK",F226/INDEX(F$5:F$1258,'Stock Price'!$I$9)-1,"")</f>
        <v>-0.18736637512147714</v>
      </c>
      <c r="T226" s="19">
        <f ca="1">IF('Stock Price'!$I$11="OK",G226/INDEX(G$5:G$1258,'Stock Price'!$I$9)-1,"")</f>
        <v>-0.15073605639643373</v>
      </c>
      <c r="U226" s="19">
        <f ca="1">IF('Stock Price'!$I$11="OK",H226/INDEX(H$5:H$1258,'Stock Price'!$I$9)-1,"")</f>
        <v>0.40552631578947351</v>
      </c>
      <c r="V226" s="19">
        <f ca="1">IF('Stock Price'!$I$11="OK",I226/INDEX(I$5:I$1258,'Stock Price'!$I$9)-1,"")</f>
        <v>0.94201747418586179</v>
      </c>
      <c r="W226" s="19">
        <f ca="1">IF('Stock Price'!$I$11="OK",J226/INDEX(J$5:J$1258,'Stock Price'!$I$9)-1,"")</f>
        <v>-0.70093302232589139</v>
      </c>
      <c r="X226" s="19">
        <f ca="1">IF('Stock Price'!$I$11="OK",K226/INDEX(K$5:K$1258,'Stock Price'!$I$9)-1,"")</f>
        <v>0.39450056116722765</v>
      </c>
      <c r="Y226" s="19">
        <f ca="1">IF('Stock Price'!$I$11="OK",L226/INDEX(L$5:L$1258,'Stock Price'!$I$9)-1,"")</f>
        <v>-0.19175307451169521</v>
      </c>
      <c r="Z226" s="19">
        <f ca="1">IF('Stock Price'!$I$11="OK",M226/INDEX(M$5:M$1258,'Stock Price'!$I$9)-1,"")</f>
        <v>-0.38799005712790546</v>
      </c>
    </row>
    <row r="227" spans="1:26" x14ac:dyDescent="0.2">
      <c r="A227" s="16">
        <f>'Stock Price'!A227</f>
        <v>44796</v>
      </c>
      <c r="B227" s="17">
        <f>'Stock Price'!E227</f>
        <v>90.2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-0.15265382808830441</v>
      </c>
      <c r="P227" s="19">
        <f ca="1">IF('Stock Price'!$I$11="OK",C227/INDEX(C$5:C$1258,'Stock Price'!$I$9)-1,"")</f>
        <v>-0.41705933304460807</v>
      </c>
      <c r="Q227" s="19">
        <f ca="1">IF('Stock Price'!$I$11="OK",D227/INDEX(D$5:D$1258,'Stock Price'!$I$9)-1,"")</f>
        <v>-0.27193102504447797</v>
      </c>
      <c r="R227" s="19">
        <f ca="1">IF('Stock Price'!$I$11="OK",E227/INDEX(E$5:E$1258,'Stock Price'!$I$9)-1,"")</f>
        <v>-0.3203707435019143</v>
      </c>
      <c r="S227" s="19">
        <f ca="1">IF('Stock Price'!$I$11="OK",F227/INDEX(F$5:F$1258,'Stock Price'!$I$9)-1,"")</f>
        <v>-0.19805636540330429</v>
      </c>
      <c r="T227" s="19">
        <f ca="1">IF('Stock Price'!$I$11="OK",G227/INDEX(G$5:G$1258,'Stock Price'!$I$9)-1,"")</f>
        <v>-0.15571221231598587</v>
      </c>
      <c r="U227" s="19">
        <f ca="1">IF('Stock Price'!$I$11="OK",H227/INDEX(H$5:H$1258,'Stock Price'!$I$9)-1,"")</f>
        <v>0.40763157894736857</v>
      </c>
      <c r="V227" s="19">
        <f ca="1">IF('Stock Price'!$I$11="OK",I227/INDEX(I$5:I$1258,'Stock Price'!$I$9)-1,"")</f>
        <v>0.90667196187450361</v>
      </c>
      <c r="W227" s="19">
        <f ca="1">IF('Stock Price'!$I$11="OK",J227/INDEX(J$5:J$1258,'Stock Price'!$I$9)-1,"")</f>
        <v>-0.70833796142026728</v>
      </c>
      <c r="X227" s="19">
        <f ca="1">IF('Stock Price'!$I$11="OK",K227/INDEX(K$5:K$1258,'Stock Price'!$I$9)-1,"")</f>
        <v>0.36120463898241661</v>
      </c>
      <c r="Y227" s="19">
        <f ca="1">IF('Stock Price'!$I$11="OK",L227/INDEX(L$5:L$1258,'Stock Price'!$I$9)-1,"")</f>
        <v>-0.19879430913913676</v>
      </c>
      <c r="Z227" s="19">
        <f ca="1">IF('Stock Price'!$I$11="OK",M227/INDEX(M$5:M$1258,'Stock Price'!$I$9)-1,"")</f>
        <v>-0.39374645676158904</v>
      </c>
    </row>
    <row r="228" spans="1:26" x14ac:dyDescent="0.2">
      <c r="A228" s="16">
        <f>'Stock Price'!A228</f>
        <v>44797</v>
      </c>
      <c r="B228" s="17">
        <f>'Stock Price'!E228</f>
        <v>90.01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-0.15443870361672141</v>
      </c>
      <c r="P228" s="19">
        <f ca="1">IF('Stock Price'!$I$11="OK",C228/INDEX(C$5:C$1258,'Stock Price'!$I$9)-1,"")</f>
        <v>-0.41615201385881329</v>
      </c>
      <c r="Q228" s="19">
        <f ca="1">IF('Stock Price'!$I$11="OK",D228/INDEX(D$5:D$1258,'Stock Price'!$I$9)-1,"")</f>
        <v>-0.29924729711235809</v>
      </c>
      <c r="R228" s="19">
        <f ca="1">IF('Stock Price'!$I$11="OK",E228/INDEX(E$5:E$1258,'Stock Price'!$I$9)-1,"")</f>
        <v>-0.32440056417489427</v>
      </c>
      <c r="S228" s="19">
        <f ca="1">IF('Stock Price'!$I$11="OK",F228/INDEX(F$5:F$1258,'Stock Price'!$I$9)-1,"")</f>
        <v>-0.20233236151603506</v>
      </c>
      <c r="T228" s="19">
        <f ca="1">IF('Stock Price'!$I$11="OK",G228/INDEX(G$5:G$1258,'Stock Price'!$I$9)-1,"")</f>
        <v>-0.15861496993572466</v>
      </c>
      <c r="U228" s="19">
        <f ca="1">IF('Stock Price'!$I$11="OK",H228/INDEX(H$5:H$1258,'Stock Price'!$I$9)-1,"")</f>
        <v>0.40710526315789464</v>
      </c>
      <c r="V228" s="19">
        <f ca="1">IF('Stock Price'!$I$11="OK",I228/INDEX(I$5:I$1258,'Stock Price'!$I$9)-1,"")</f>
        <v>0.88363780778395551</v>
      </c>
      <c r="W228" s="19">
        <f ca="1">IF('Stock Price'!$I$11="OK",J228/INDEX(J$5:J$1258,'Stock Price'!$I$9)-1,"")</f>
        <v>-0.70484838387204263</v>
      </c>
      <c r="X228" s="19">
        <f ca="1">IF('Stock Price'!$I$11="OK",K228/INDEX(K$5:K$1258,'Stock Price'!$I$9)-1,"")</f>
        <v>0.35465768799102126</v>
      </c>
      <c r="Y228" s="19">
        <f ca="1">IF('Stock Price'!$I$11="OK",L228/INDEX(L$5:L$1258,'Stock Price'!$I$9)-1,"")</f>
        <v>-0.2014468290330359</v>
      </c>
      <c r="Z228" s="19">
        <f ca="1">IF('Stock Price'!$I$11="OK",M228/INDEX(M$5:M$1258,'Stock Price'!$I$9)-1,"")</f>
        <v>-0.39858706554445944</v>
      </c>
    </row>
    <row r="229" spans="1:26" x14ac:dyDescent="0.2">
      <c r="A229" s="16">
        <f>'Stock Price'!A229</f>
        <v>44798</v>
      </c>
      <c r="B229" s="17">
        <f>'Stock Price'!E229</f>
        <v>90.27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-0.15199624236730869</v>
      </c>
      <c r="P229" s="19">
        <f ca="1">IF('Stock Price'!$I$11="OK",C229/INDEX(C$5:C$1258,'Stock Price'!$I$9)-1,"")</f>
        <v>-0.41754872239064522</v>
      </c>
      <c r="Q229" s="19">
        <f ca="1">IF('Stock Price'!$I$11="OK",D229/INDEX(D$5:D$1258,'Stock Price'!$I$9)-1,"")</f>
        <v>-0.29924729711235809</v>
      </c>
      <c r="R229" s="19">
        <f ca="1">IF('Stock Price'!$I$11="OK",E229/INDEX(E$5:E$1258,'Stock Price'!$I$9)-1,"")</f>
        <v>-0.3203707435019143</v>
      </c>
      <c r="S229" s="19">
        <f ca="1">IF('Stock Price'!$I$11="OK",F229/INDEX(F$5:F$1258,'Stock Price'!$I$9)-1,"")</f>
        <v>-0.19241982507288635</v>
      </c>
      <c r="T229" s="19">
        <f ca="1">IF('Stock Price'!$I$11="OK",G229/INDEX(G$5:G$1258,'Stock Price'!$I$9)-1,"")</f>
        <v>-0.16048102840555656</v>
      </c>
      <c r="U229" s="19">
        <f ca="1">IF('Stock Price'!$I$11="OK",H229/INDEX(H$5:H$1258,'Stock Price'!$I$9)-1,"")</f>
        <v>0.43552631578947354</v>
      </c>
      <c r="V229" s="19">
        <f ca="1">IF('Stock Price'!$I$11="OK",I229/INDEX(I$5:I$1258,'Stock Price'!$I$9)-1,"")</f>
        <v>0.90230341540905479</v>
      </c>
      <c r="W229" s="19">
        <f ca="1">IF('Stock Price'!$I$11="OK",J229/INDEX(J$5:J$1258,'Stock Price'!$I$9)-1,"")</f>
        <v>-0.70089599763041943</v>
      </c>
      <c r="X229" s="19">
        <f ca="1">IF('Stock Price'!$I$11="OK",K229/INDEX(K$5:K$1258,'Stock Price'!$I$9)-1,"")</f>
        <v>0.33744855967078191</v>
      </c>
      <c r="Y229" s="19">
        <f ca="1">IF('Stock Price'!$I$11="OK",L229/INDEX(L$5:L$1258,'Stock Price'!$I$9)-1,"")</f>
        <v>-0.19397154569568364</v>
      </c>
      <c r="Z229" s="19">
        <f ca="1">IF('Stock Price'!$I$11="OK",M229/INDEX(M$5:M$1258,'Stock Price'!$I$9)-1,"")</f>
        <v>-0.39239457502943609</v>
      </c>
    </row>
    <row r="230" spans="1:26" x14ac:dyDescent="0.2">
      <c r="A230" s="16">
        <f>'Stock Price'!A230</f>
        <v>44799</v>
      </c>
      <c r="B230" s="17">
        <f>'Stock Price'!E230</f>
        <v>89.26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-0.16148426491310475</v>
      </c>
      <c r="P230" s="19">
        <f ca="1">IF('Stock Price'!$I$11="OK",C230/INDEX(C$5:C$1258,'Stock Price'!$I$9)-1,"")</f>
        <v>-0.42264616717193593</v>
      </c>
      <c r="Q230" s="19">
        <f ca="1">IF('Stock Price'!$I$11="OK",D230/INDEX(D$5:D$1258,'Stock Price'!$I$9)-1,"")</f>
        <v>-0.28047078144245252</v>
      </c>
      <c r="R230" s="19">
        <f ca="1">IF('Stock Price'!$I$11="OK",E230/INDEX(E$5:E$1258,'Stock Price'!$I$9)-1,"")</f>
        <v>-0.33125125931896038</v>
      </c>
      <c r="S230" s="19">
        <f ca="1">IF('Stock Price'!$I$11="OK",F230/INDEX(F$5:F$1258,'Stock Price'!$I$9)-1,"")</f>
        <v>-0.2104956268221575</v>
      </c>
      <c r="T230" s="19">
        <f ca="1">IF('Stock Price'!$I$11="OK",G230/INDEX(G$5:G$1258,'Stock Price'!$I$9)-1,"")</f>
        <v>-0.15363881401617241</v>
      </c>
      <c r="U230" s="19">
        <f ca="1">IF('Stock Price'!$I$11="OK",H230/INDEX(H$5:H$1258,'Stock Price'!$I$9)-1,"")</f>
        <v>0.41315789473684217</v>
      </c>
      <c r="V230" s="19">
        <f ca="1">IF('Stock Price'!$I$11="OK",I230/INDEX(I$5:I$1258,'Stock Price'!$I$9)-1,"")</f>
        <v>0.85941223193010319</v>
      </c>
      <c r="W230" s="19">
        <f ca="1">IF('Stock Price'!$I$11="OK",J230/INDEX(J$5:J$1258,'Stock Price'!$I$9)-1,"")</f>
        <v>-0.70791217742234069</v>
      </c>
      <c r="X230" s="19">
        <f ca="1">IF('Stock Price'!$I$11="OK",K230/INDEX(K$5:K$1258,'Stock Price'!$I$9)-1,"")</f>
        <v>0.33164983164983153</v>
      </c>
      <c r="Y230" s="19">
        <f ca="1">IF('Stock Price'!$I$11="OK",L230/INDEX(L$5:L$1258,'Stock Price'!$I$9)-1,"")</f>
        <v>-0.20776464914395942</v>
      </c>
      <c r="Z230" s="19">
        <f ca="1">IF('Stock Price'!$I$11="OK",M230/INDEX(M$5:M$1258,'Stock Price'!$I$9)-1,"")</f>
        <v>-0.40539008329335835</v>
      </c>
    </row>
    <row r="231" spans="1:26" x14ac:dyDescent="0.2">
      <c r="A231" s="16">
        <f>'Stock Price'!A231</f>
        <v>44802</v>
      </c>
      <c r="B231" s="17">
        <f>'Stock Price'!E231</f>
        <v>87.59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-0.17717238139971814</v>
      </c>
      <c r="P231" s="19">
        <f ca="1">IF('Stock Price'!$I$11="OK",C231/INDEX(C$5:C$1258,'Stock Price'!$I$9)-1,"")</f>
        <v>-0.42564891006207595</v>
      </c>
      <c r="Q231" s="19">
        <f ca="1">IF('Stock Price'!$I$11="OK",D231/INDEX(D$5:D$1258,'Stock Price'!$I$9)-1,"")</f>
        <v>-0.29519638702613937</v>
      </c>
      <c r="R231" s="19">
        <f ca="1">IF('Stock Price'!$I$11="OK",E231/INDEX(E$5:E$1258,'Stock Price'!$I$9)-1,"")</f>
        <v>-0.33286318758815236</v>
      </c>
      <c r="S231" s="19">
        <f ca="1">IF('Stock Price'!$I$11="OK",F231/INDEX(F$5:F$1258,'Stock Price'!$I$9)-1,"")</f>
        <v>-0.21185617103984455</v>
      </c>
      <c r="T231" s="19">
        <f ca="1">IF('Stock Price'!$I$11="OK",G231/INDEX(G$5:G$1258,'Stock Price'!$I$9)-1,"")</f>
        <v>-0.15612689197594842</v>
      </c>
      <c r="U231" s="19">
        <f ca="1">IF('Stock Price'!$I$11="OK",H231/INDEX(H$5:H$1258,'Stock Price'!$I$9)-1,"")</f>
        <v>0.34394736842105256</v>
      </c>
      <c r="V231" s="19">
        <f ca="1">IF('Stock Price'!$I$11="OK",I231/INDEX(I$5:I$1258,'Stock Price'!$I$9)-1,"")</f>
        <v>0.83598093725178702</v>
      </c>
      <c r="W231" s="19">
        <f ca="1">IF('Stock Price'!$I$11="OK",J231/INDEX(J$5:J$1258,'Stock Price'!$I$9)-1,"")</f>
        <v>-0.71291976748491237</v>
      </c>
      <c r="X231" s="19">
        <f ca="1">IF('Stock Price'!$I$11="OK",K231/INDEX(K$5:K$1258,'Stock Price'!$I$9)-1,"")</f>
        <v>0.2485970819304153</v>
      </c>
      <c r="Y231" s="19">
        <f ca="1">IF('Stock Price'!$I$11="OK",L231/INDEX(L$5:L$1258,'Stock Price'!$I$9)-1,"")</f>
        <v>-0.21388955871714488</v>
      </c>
      <c r="Z231" s="19">
        <f ca="1">IF('Stock Price'!$I$11="OK",M231/INDEX(M$5:M$1258,'Stock Price'!$I$9)-1,"")</f>
        <v>-0.40818106493393225</v>
      </c>
    </row>
    <row r="232" spans="1:26" x14ac:dyDescent="0.2">
      <c r="A232" s="16">
        <f>'Stock Price'!A232</f>
        <v>44803</v>
      </c>
      <c r="B232" s="17">
        <f>'Stock Price'!E232</f>
        <v>86.88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-0.18384217942696113</v>
      </c>
      <c r="P232" s="19">
        <f ca="1">IF('Stock Price'!$I$11="OK",C232/INDEX(C$5:C$1258,'Stock Price'!$I$9)-1,"")</f>
        <v>-0.43605312545113328</v>
      </c>
      <c r="Q232" s="19">
        <f ca="1">IF('Stock Price'!$I$11="OK",D232/INDEX(D$5:D$1258,'Stock Price'!$I$9)-1,"")</f>
        <v>-0.31150951142739847</v>
      </c>
      <c r="R232" s="19">
        <f ca="1">IF('Stock Price'!$I$11="OK",E232/INDEX(E$5:E$1258,'Stock Price'!$I$9)-1,"")</f>
        <v>-0.33588555309288737</v>
      </c>
      <c r="S232" s="19">
        <f ca="1">IF('Stock Price'!$I$11="OK",F232/INDEX(F$5:F$1258,'Stock Price'!$I$9)-1,"")</f>
        <v>-0.21593780369290572</v>
      </c>
      <c r="T232" s="19">
        <f ca="1">IF('Stock Price'!$I$11="OK",G232/INDEX(G$5:G$1258,'Stock Price'!$I$9)-1,"")</f>
        <v>-0.14493054115695614</v>
      </c>
      <c r="U232" s="19">
        <f ca="1">IF('Stock Price'!$I$11="OK",H232/INDEX(H$5:H$1258,'Stock Price'!$I$9)-1,"")</f>
        <v>0.36473684210526325</v>
      </c>
      <c r="V232" s="19">
        <f ca="1">IF('Stock Price'!$I$11="OK",I232/INDEX(I$5:I$1258,'Stock Price'!$I$9)-1,"")</f>
        <v>0.82088959491660063</v>
      </c>
      <c r="W232" s="19">
        <f ca="1">IF('Stock Price'!$I$11="OK",J232/INDEX(J$5:J$1258,'Stock Price'!$I$9)-1,"")</f>
        <v>-0.715798437557851</v>
      </c>
      <c r="X232" s="19">
        <f ca="1">IF('Stock Price'!$I$11="OK",K232/INDEX(K$5:K$1258,'Stock Price'!$I$9)-1,"")</f>
        <v>0.25701459034792373</v>
      </c>
      <c r="Y232" s="19">
        <f ca="1">IF('Stock Price'!$I$11="OK",L232/INDEX(L$5:L$1258,'Stock Price'!$I$9)-1,"")</f>
        <v>-0.21663853387991316</v>
      </c>
      <c r="Z232" s="19">
        <f ca="1">IF('Stock Price'!$I$11="OK",M232/INDEX(M$5:M$1258,'Stock Price'!$I$9)-1,"")</f>
        <v>-0.40887881034407569</v>
      </c>
    </row>
    <row r="233" spans="1:26" x14ac:dyDescent="0.2">
      <c r="A233" s="16">
        <f>'Stock Price'!A233</f>
        <v>44804</v>
      </c>
      <c r="B233" s="17">
        <f>'Stock Price'!E233</f>
        <v>85.36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-0.19812118365429787</v>
      </c>
      <c r="P233" s="19">
        <f ca="1">IF('Stock Price'!$I$11="OK",C233/INDEX(C$5:C$1258,'Stock Price'!$I$9)-1,"")</f>
        <v>-0.43772917568933156</v>
      </c>
      <c r="Q233" s="19">
        <f ca="1">IF('Stock Price'!$I$11="OK",D233/INDEX(D$5:D$1258,'Stock Price'!$I$9)-1,"")</f>
        <v>-0.31879020117695367</v>
      </c>
      <c r="R233" s="19">
        <f ca="1">IF('Stock Price'!$I$11="OK",E233/INDEX(E$5:E$1258,'Stock Price'!$I$9)-1,"")</f>
        <v>-0.34555712270803962</v>
      </c>
      <c r="S233" s="19">
        <f ca="1">IF('Stock Price'!$I$11="OK",F233/INDEX(F$5:F$1258,'Stock Price'!$I$9)-1,"")</f>
        <v>-0.21399416909621005</v>
      </c>
      <c r="T233" s="19">
        <f ca="1">IF('Stock Price'!$I$11="OK",G233/INDEX(G$5:G$1258,'Stock Price'!$I$9)-1,"")</f>
        <v>-0.14928467758656427</v>
      </c>
      <c r="U233" s="19">
        <f ca="1">IF('Stock Price'!$I$11="OK",H233/INDEX(H$5:H$1258,'Stock Price'!$I$9)-1,"")</f>
        <v>0.38421052631578956</v>
      </c>
      <c r="V233" s="19">
        <f ca="1">IF('Stock Price'!$I$11="OK",I233/INDEX(I$5:I$1258,'Stock Price'!$I$9)-1,"")</f>
        <v>0.79626687847498001</v>
      </c>
      <c r="W233" s="19">
        <f ca="1">IF('Stock Price'!$I$11="OK",J233/INDEX(J$5:J$1258,'Stock Price'!$I$9)-1,"")</f>
        <v>-0.72117627457514155</v>
      </c>
      <c r="X233" s="19">
        <f ca="1">IF('Stock Price'!$I$11="OK",K233/INDEX(K$5:K$1258,'Stock Price'!$I$9)-1,"")</f>
        <v>0.26094276094276081</v>
      </c>
      <c r="Y233" s="19">
        <f ca="1">IF('Stock Price'!$I$11="OK",L233/INDEX(L$5:L$1258,'Stock Price'!$I$9)-1,"")</f>
        <v>-0.22189534603327699</v>
      </c>
      <c r="Z233" s="19">
        <f ca="1">IF('Stock Price'!$I$11="OK",M233/INDEX(M$5:M$1258,'Stock Price'!$I$9)-1,"")</f>
        <v>-0.4136322009506781</v>
      </c>
    </row>
    <row r="234" spans="1:26" x14ac:dyDescent="0.2">
      <c r="A234" s="16">
        <f>'Stock Price'!A234</f>
        <v>44805</v>
      </c>
      <c r="B234" s="17">
        <f>'Stock Price'!E234</f>
        <v>87.15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-0.18130577736026299</v>
      </c>
      <c r="P234" s="19">
        <f ca="1">IF('Stock Price'!$I$11="OK",C234/INDEX(C$5:C$1258,'Stock Price'!$I$9)-1,"")</f>
        <v>-0.43905586834127319</v>
      </c>
      <c r="Q234" s="19">
        <f ca="1">IF('Stock Price'!$I$11="OK",D234/INDEX(D$5:D$1258,'Stock Price'!$I$9)-1,"")</f>
        <v>-0.35371561516354189</v>
      </c>
      <c r="R234" s="19">
        <f ca="1">IF('Stock Price'!$I$11="OK",E234/INDEX(E$5:E$1258,'Stock Price'!$I$9)-1,"")</f>
        <v>-0.36147491436631074</v>
      </c>
      <c r="S234" s="19">
        <f ca="1">IF('Stock Price'!$I$11="OK",F234/INDEX(F$5:F$1258,'Stock Price'!$I$9)-1,"")</f>
        <v>-0.21690962099125366</v>
      </c>
      <c r="T234" s="19">
        <f ca="1">IF('Stock Price'!$I$11="OK",G234/INDEX(G$5:G$1258,'Stock Price'!$I$9)-1,"")</f>
        <v>-0.16234708687538879</v>
      </c>
      <c r="U234" s="19">
        <f ca="1">IF('Stock Price'!$I$11="OK",H234/INDEX(H$5:H$1258,'Stock Price'!$I$9)-1,"")</f>
        <v>0.34684210526315784</v>
      </c>
      <c r="V234" s="19">
        <f ca="1">IF('Stock Price'!$I$11="OK",I234/INDEX(I$5:I$1258,'Stock Price'!$I$9)-1,"")</f>
        <v>0.85186656076250999</v>
      </c>
      <c r="W234" s="19">
        <f ca="1">IF('Stock Price'!$I$11="OK",J234/INDEX(J$5:J$1258,'Stock Price'!$I$9)-1,"")</f>
        <v>-0.71386389721944532</v>
      </c>
      <c r="X234" s="19">
        <f ca="1">IF('Stock Price'!$I$11="OK",K234/INDEX(K$5:K$1258,'Stock Price'!$I$9)-1,"")</f>
        <v>0.29236812570145898</v>
      </c>
      <c r="Y234" s="19">
        <f ca="1">IF('Stock Price'!$I$11="OK",L234/INDEX(L$5:L$1258,'Stock Price'!$I$9)-1,"")</f>
        <v>-0.20260429225946464</v>
      </c>
      <c r="Z234" s="19">
        <f ca="1">IF('Stock Price'!$I$11="OK",M234/INDEX(M$5:M$1258,'Stock Price'!$I$9)-1,"")</f>
        <v>-0.39623217478522532</v>
      </c>
    </row>
    <row r="235" spans="1:26" x14ac:dyDescent="0.2">
      <c r="A235" s="16">
        <f>'Stock Price'!A235</f>
        <v>44806</v>
      </c>
      <c r="B235" s="17">
        <f>'Stock Price'!E235</f>
        <v>86.23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-0.18994833255049315</v>
      </c>
      <c r="P235" s="19">
        <f ca="1">IF('Stock Price'!$I$11="OK",C235/INDEX(C$5:C$1258,'Stock Price'!$I$9)-1,"")</f>
        <v>-0.44345531976324526</v>
      </c>
      <c r="Q235" s="19">
        <f ca="1">IF('Stock Price'!$I$11="OK",D235/INDEX(D$5:D$1258,'Stock Price'!$I$9)-1,"")</f>
        <v>-0.30702066511564252</v>
      </c>
      <c r="R235" s="19">
        <f ca="1">IF('Stock Price'!$I$11="OK",E235/INDEX(E$5:E$1258,'Stock Price'!$I$9)-1,"")</f>
        <v>-0.35825105782792666</v>
      </c>
      <c r="S235" s="19">
        <f ca="1">IF('Stock Price'!$I$11="OK",F235/INDEX(F$5:F$1258,'Stock Price'!$I$9)-1,"")</f>
        <v>-0.2225461613216716</v>
      </c>
      <c r="T235" s="19">
        <f ca="1">IF('Stock Price'!$I$11="OK",G235/INDEX(G$5:G$1258,'Stock Price'!$I$9)-1,"")</f>
        <v>-0.16898196143479161</v>
      </c>
      <c r="U235" s="19">
        <f ca="1">IF('Stock Price'!$I$11="OK",H235/INDEX(H$5:H$1258,'Stock Price'!$I$9)-1,"")</f>
        <v>0.38500000000000001</v>
      </c>
      <c r="V235" s="19">
        <f ca="1">IF('Stock Price'!$I$11="OK",I235/INDEX(I$5:I$1258,'Stock Price'!$I$9)-1,"")</f>
        <v>0.81493248610007951</v>
      </c>
      <c r="W235" s="19">
        <f ca="1">IF('Stock Price'!$I$11="OK",J235/INDEX(J$5:J$1258,'Stock Price'!$I$9)-1,"")</f>
        <v>-0.72108371283646189</v>
      </c>
      <c r="X235" s="19">
        <f ca="1">IF('Stock Price'!$I$11="OK",K235/INDEX(K$5:K$1258,'Stock Price'!$I$9)-1,"")</f>
        <v>0.28338945005611671</v>
      </c>
      <c r="Y235" s="19">
        <f ca="1">IF('Stock Price'!$I$11="OK",L235/INDEX(L$5:L$1258,'Stock Price'!$I$9)-1,"")</f>
        <v>-0.21514347721244265</v>
      </c>
      <c r="Z235" s="19">
        <f ca="1">IF('Stock Price'!$I$11="OK",M235/INDEX(M$5:M$1258,'Stock Price'!$I$9)-1,"")</f>
        <v>-0.40569534691029607</v>
      </c>
    </row>
    <row r="236" spans="1:26" x14ac:dyDescent="0.2">
      <c r="A236" s="16">
        <f>'Stock Price'!A236</f>
        <v>44810</v>
      </c>
      <c r="B236" s="17">
        <f>'Stock Price'!E236</f>
        <v>86.42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-0.18816345702207615</v>
      </c>
      <c r="P236" s="19">
        <f ca="1">IF('Stock Price'!$I$11="OK",C236/INDEX(C$5:C$1258,'Stock Price'!$I$9)-1,"")</f>
        <v>-0.44296665223040266</v>
      </c>
      <c r="Q236" s="19">
        <f ca="1">IF('Stock Price'!$I$11="OK",D236/INDEX(D$5:D$1258,'Stock Price'!$I$9)-1,"")</f>
        <v>-0.35946352812371696</v>
      </c>
      <c r="R236" s="19">
        <f ca="1">IF('Stock Price'!$I$11="OK",E236/INDEX(E$5:E$1258,'Stock Price'!$I$9)-1,"")</f>
        <v>-0.36590771710658876</v>
      </c>
      <c r="S236" s="19">
        <f ca="1">IF('Stock Price'!$I$11="OK",F236/INDEX(F$5:F$1258,'Stock Price'!$I$9)-1,"")</f>
        <v>-0.20447035957240045</v>
      </c>
      <c r="T236" s="19">
        <f ca="1">IF('Stock Price'!$I$11="OK",G236/INDEX(G$5:G$1258,'Stock Price'!$I$9)-1,"")</f>
        <v>-0.17914161310387711</v>
      </c>
      <c r="U236" s="19">
        <f ca="1">IF('Stock Price'!$I$11="OK",H236/INDEX(H$5:H$1258,'Stock Price'!$I$9)-1,"")</f>
        <v>0.35552631578947369</v>
      </c>
      <c r="V236" s="19">
        <f ca="1">IF('Stock Price'!$I$11="OK",I236/INDEX(I$5:I$1258,'Stock Price'!$I$9)-1,"")</f>
        <v>0.81731532962668774</v>
      </c>
      <c r="W236" s="19">
        <f ca="1">IF('Stock Price'!$I$11="OK",J236/INDEX(J$5:J$1258,'Stock Price'!$I$9)-1,"")</f>
        <v>-0.71600207338294641</v>
      </c>
      <c r="X236" s="19">
        <f ca="1">IF('Stock Price'!$I$11="OK",K236/INDEX(K$5:K$1258,'Stock Price'!$I$9)-1,"")</f>
        <v>0.2841376730265619</v>
      </c>
      <c r="Y236" s="19">
        <f ca="1">IF('Stock Price'!$I$11="OK",L236/INDEX(L$5:L$1258,'Stock Price'!$I$9)-1,"")</f>
        <v>-0.21302146129732336</v>
      </c>
      <c r="Z236" s="19">
        <f ca="1">IF('Stock Price'!$I$11="OK",M236/INDEX(M$5:M$1258,'Stock Price'!$I$9)-1,"")</f>
        <v>-0.39998255636474644</v>
      </c>
    </row>
    <row r="237" spans="1:26" x14ac:dyDescent="0.2">
      <c r="A237" s="16">
        <f>'Stock Price'!A237</f>
        <v>44811</v>
      </c>
      <c r="B237" s="17">
        <f>'Stock Price'!E237</f>
        <v>86.87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-0.1839361202442461</v>
      </c>
      <c r="P237" s="19">
        <f ca="1">IF('Stock Price'!$I$11="OK",C237/INDEX(C$5:C$1258,'Stock Price'!$I$9)-1,"")</f>
        <v>-0.43479644867908185</v>
      </c>
      <c r="Q237" s="19">
        <f ca="1">IF('Stock Price'!$I$11="OK",D237/INDEX(D$5:D$1258,'Stock Price'!$I$9)-1,"")</f>
        <v>-0.37725468728616396</v>
      </c>
      <c r="R237" s="19">
        <f ca="1">IF('Stock Price'!$I$11="OK",E237/INDEX(E$5:E$1258,'Stock Price'!$I$9)-1,"")</f>
        <v>-0.36550473503929082</v>
      </c>
      <c r="S237" s="19">
        <f ca="1">IF('Stock Price'!$I$11="OK",F237/INDEX(F$5:F$1258,'Stock Price'!$I$9)-1,"")</f>
        <v>-0.1910592808551993</v>
      </c>
      <c r="T237" s="19">
        <f ca="1">IF('Stock Price'!$I$11="OK",G237/INDEX(G$5:G$1258,'Stock Price'!$I$9)-1,"")</f>
        <v>-0.16089570806551934</v>
      </c>
      <c r="U237" s="19">
        <f ca="1">IF('Stock Price'!$I$11="OK",H237/INDEX(H$5:H$1258,'Stock Price'!$I$9)-1,"")</f>
        <v>0.34368421052631581</v>
      </c>
      <c r="V237" s="19">
        <f ca="1">IF('Stock Price'!$I$11="OK",I237/INDEX(I$5:I$1258,'Stock Price'!$I$9)-1,"")</f>
        <v>0.83200953137410649</v>
      </c>
      <c r="W237" s="19">
        <f ca="1">IF('Stock Price'!$I$11="OK",J237/INDEX(J$5:J$1258,'Stock Price'!$I$9)-1,"")</f>
        <v>-0.71157762227405674</v>
      </c>
      <c r="X237" s="19">
        <f ca="1">IF('Stock Price'!$I$11="OK",K237/INDEX(K$5:K$1258,'Stock Price'!$I$9)-1,"")</f>
        <v>0.28619528619528634</v>
      </c>
      <c r="Y237" s="19">
        <f ca="1">IF('Stock Price'!$I$11="OK",L237/INDEX(L$5:L$1258,'Stock Price'!$I$9)-1,"")</f>
        <v>-0.20872920183265009</v>
      </c>
      <c r="Z237" s="19">
        <f ca="1">IF('Stock Price'!$I$11="OK",M237/INDEX(M$5:M$1258,'Stock Price'!$I$9)-1,"")</f>
        <v>-0.3950983384937421</v>
      </c>
    </row>
    <row r="238" spans="1:26" x14ac:dyDescent="0.2">
      <c r="A238" s="16">
        <f>'Stock Price'!A238</f>
        <v>44812</v>
      </c>
      <c r="B238" s="17">
        <f>'Stock Price'!E238</f>
        <v>87.42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-0.17876937529356507</v>
      </c>
      <c r="P238" s="19">
        <f ca="1">IF('Stock Price'!$I$11="OK",C238/INDEX(C$5:C$1258,'Stock Price'!$I$9)-1,"")</f>
        <v>-0.43256171502815066</v>
      </c>
      <c r="Q238" s="19">
        <f ca="1">IF('Stock Price'!$I$11="OK",D238/INDEX(D$5:D$1258,'Stock Price'!$I$9)-1,"")</f>
        <v>-0.34878883262624882</v>
      </c>
      <c r="R238" s="19">
        <f ca="1">IF('Stock Price'!$I$11="OK",E238/INDEX(E$5:E$1258,'Stock Price'!$I$9)-1,"")</f>
        <v>-0.36510175297199277</v>
      </c>
      <c r="S238" s="19">
        <f ca="1">IF('Stock Price'!$I$11="OK",F238/INDEX(F$5:F$1258,'Stock Price'!$I$9)-1,"")</f>
        <v>-0.18833819241982519</v>
      </c>
      <c r="T238" s="19">
        <f ca="1">IF('Stock Price'!$I$11="OK",G238/INDEX(G$5:G$1258,'Stock Price'!$I$9)-1,"")</f>
        <v>-0.16898196143479161</v>
      </c>
      <c r="U238" s="19">
        <f ca="1">IF('Stock Price'!$I$11="OK",H238/INDEX(H$5:H$1258,'Stock Price'!$I$9)-1,"")</f>
        <v>0.36605263157894719</v>
      </c>
      <c r="V238" s="19">
        <f ca="1">IF('Stock Price'!$I$11="OK",I238/INDEX(I$5:I$1258,'Stock Price'!$I$9)-1,"")</f>
        <v>0.86973788721207312</v>
      </c>
      <c r="W238" s="19">
        <f ca="1">IF('Stock Price'!$I$11="OK",J238/INDEX(J$5:J$1258,'Stock Price'!$I$9)-1,"")</f>
        <v>-0.70796771446554851</v>
      </c>
      <c r="X238" s="19">
        <f ca="1">IF('Stock Price'!$I$11="OK",K238/INDEX(K$5:K$1258,'Stock Price'!$I$9)-1,"")</f>
        <v>0.29779274223718666</v>
      </c>
      <c r="Y238" s="19">
        <f ca="1">IF('Stock Price'!$I$11="OK",L238/INDEX(L$5:L$1258,'Stock Price'!$I$9)-1,"")</f>
        <v>-0.20236315408729211</v>
      </c>
      <c r="Z238" s="19">
        <f ca="1">IF('Stock Price'!$I$11="OK",M238/INDEX(M$5:M$1258,'Stock Price'!$I$9)-1,"")</f>
        <v>-0.38720509354149402</v>
      </c>
    </row>
    <row r="239" spans="1:26" x14ac:dyDescent="0.2">
      <c r="A239" s="16">
        <f>'Stock Price'!A239</f>
        <v>44813</v>
      </c>
      <c r="B239" s="17">
        <f>'Stock Price'!E239</f>
        <v>87.34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-0.17952090183184588</v>
      </c>
      <c r="P239" s="19">
        <f ca="1">IF('Stock Price'!$I$11="OK",C239/INDEX(C$5:C$1258,'Stock Price'!$I$9)-1,"")</f>
        <v>-0.42320485058466861</v>
      </c>
      <c r="Q239" s="19">
        <f ca="1">IF('Stock Price'!$I$11="OK",D239/INDEX(D$5:D$1258,'Stock Price'!$I$9)-1,"")</f>
        <v>-0.32826057205419468</v>
      </c>
      <c r="R239" s="19">
        <f ca="1">IF('Stock Price'!$I$11="OK",E239/INDEX(E$5:E$1258,'Stock Price'!$I$9)-1,"")</f>
        <v>-0.35744509369333066</v>
      </c>
      <c r="S239" s="19">
        <f ca="1">IF('Stock Price'!$I$11="OK",F239/INDEX(F$5:F$1258,'Stock Price'!$I$9)-1,"")</f>
        <v>-0.17978620019436342</v>
      </c>
      <c r="T239" s="19">
        <f ca="1">IF('Stock Price'!$I$11="OK",G239/INDEX(G$5:G$1258,'Stock Price'!$I$9)-1,"")</f>
        <v>-0.15405349367613519</v>
      </c>
      <c r="U239" s="19">
        <f ca="1">IF('Stock Price'!$I$11="OK",H239/INDEX(H$5:H$1258,'Stock Price'!$I$9)-1,"")</f>
        <v>0.39131578947368406</v>
      </c>
      <c r="V239" s="19">
        <f ca="1">IF('Stock Price'!$I$11="OK",I239/INDEX(I$5:I$1258,'Stock Price'!$I$9)-1,"")</f>
        <v>0.89992057188244656</v>
      </c>
      <c r="W239" s="19">
        <f ca="1">IF('Stock Price'!$I$11="OK",J239/INDEX(J$5:J$1258,'Stock Price'!$I$9)-1,"")</f>
        <v>-0.70593135621459513</v>
      </c>
      <c r="X239" s="19">
        <f ca="1">IF('Stock Price'!$I$11="OK",K239/INDEX(K$5:K$1258,'Stock Price'!$I$9)-1,"")</f>
        <v>0.31238309016086796</v>
      </c>
      <c r="Y239" s="19">
        <f ca="1">IF('Stock Price'!$I$11="OK",L239/INDEX(L$5:L$1258,'Stock Price'!$I$9)-1,"")</f>
        <v>-0.20081986978538702</v>
      </c>
      <c r="Z239" s="19">
        <f ca="1">IF('Stock Price'!$I$11="OK",M239/INDEX(M$5:M$1258,'Stock Price'!$I$9)-1,"")</f>
        <v>-0.38328027560943712</v>
      </c>
    </row>
    <row r="240" spans="1:26" x14ac:dyDescent="0.2">
      <c r="A240" s="16">
        <f>'Stock Price'!A240</f>
        <v>44816</v>
      </c>
      <c r="B240" s="17">
        <f>'Stock Price'!E240</f>
        <v>88.16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-0.17181775481446693</v>
      </c>
      <c r="P240" s="19">
        <f ca="1">IF('Stock Price'!$I$11="OK",C240/INDEX(C$5:C$1258,'Stock Price'!$I$9)-1,"")</f>
        <v>-0.41622130792550882</v>
      </c>
      <c r="Q240" s="19">
        <f ca="1">IF('Stock Price'!$I$11="OK",D240/INDEX(D$5:D$1258,'Stock Price'!$I$9)-1,"")</f>
        <v>-0.3490625427672096</v>
      </c>
      <c r="R240" s="19">
        <f ca="1">IF('Stock Price'!$I$11="OK",E240/INDEX(E$5:E$1258,'Stock Price'!$I$9)-1,"")</f>
        <v>-0.34616159580898642</v>
      </c>
      <c r="S240" s="19">
        <f ca="1">IF('Stock Price'!$I$11="OK",F240/INDEX(F$5:F$1258,'Stock Price'!$I$9)-1,"")</f>
        <v>-0.17998056365403314</v>
      </c>
      <c r="T240" s="19">
        <f ca="1">IF('Stock Price'!$I$11="OK",G240/INDEX(G$5:G$1258,'Stock Price'!$I$9)-1,"")</f>
        <v>-0.13974704540742267</v>
      </c>
      <c r="U240" s="19">
        <f ca="1">IF('Stock Price'!$I$11="OK",H240/INDEX(H$5:H$1258,'Stock Price'!$I$9)-1,"")</f>
        <v>0.42342105263157914</v>
      </c>
      <c r="V240" s="19">
        <f ca="1">IF('Stock Price'!$I$11="OK",I240/INDEX(I$5:I$1258,'Stock Price'!$I$9)-1,"")</f>
        <v>0.89674344718030174</v>
      </c>
      <c r="W240" s="19">
        <f ca="1">IF('Stock Price'!$I$11="OK",J240/INDEX(J$5:J$1258,'Stock Price'!$I$9)-1,"")</f>
        <v>-0.70822688733385164</v>
      </c>
      <c r="X240" s="19">
        <f ca="1">IF('Stock Price'!$I$11="OK",K240/INDEX(K$5:K$1258,'Stock Price'!$I$9)-1,"")</f>
        <v>0.35353535353535359</v>
      </c>
      <c r="Y240" s="19">
        <f ca="1">IF('Stock Price'!$I$11="OK",L240/INDEX(L$5:L$1258,'Stock Price'!$I$9)-1,"")</f>
        <v>-0.2011574632264288</v>
      </c>
      <c r="Z240" s="19">
        <f ca="1">IF('Stock Price'!$I$11="OK",M240/INDEX(M$5:M$1258,'Stock Price'!$I$9)-1,"")</f>
        <v>-0.37970433038245166</v>
      </c>
    </row>
    <row r="241" spans="1:26" x14ac:dyDescent="0.2">
      <c r="A241" s="16">
        <f>'Stock Price'!A241</f>
        <v>44817</v>
      </c>
      <c r="B241" s="17">
        <f>'Stock Price'!E241</f>
        <v>86.28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-0.1894786284640676</v>
      </c>
      <c r="P241" s="19">
        <f ca="1">IF('Stock Price'!$I$11="OK",C241/INDEX(C$5:C$1258,'Stock Price'!$I$9)-1,"")</f>
        <v>-0.42774361195322652</v>
      </c>
      <c r="Q241" s="19">
        <f ca="1">IF('Stock Price'!$I$11="OK",D241/INDEX(D$5:D$1258,'Stock Price'!$I$9)-1,"")</f>
        <v>-0.35700013685507059</v>
      </c>
      <c r="R241" s="19">
        <f ca="1">IF('Stock Price'!$I$11="OK",E241/INDEX(E$5:E$1258,'Stock Price'!$I$9)-1,"")</f>
        <v>-0.36268386056820479</v>
      </c>
      <c r="S241" s="19">
        <f ca="1">IF('Stock Price'!$I$11="OK",F241/INDEX(F$5:F$1258,'Stock Price'!$I$9)-1,"")</f>
        <v>-0.18425655976676392</v>
      </c>
      <c r="T241" s="19">
        <f ca="1">IF('Stock Price'!$I$11="OK",G241/INDEX(G$5:G$1258,'Stock Price'!$I$9)-1,"")</f>
        <v>-0.15965166908563122</v>
      </c>
      <c r="U241" s="19">
        <f ca="1">IF('Stock Price'!$I$11="OK",H241/INDEX(H$5:H$1258,'Stock Price'!$I$9)-1,"")</f>
        <v>0.41736842105263161</v>
      </c>
      <c r="V241" s="19">
        <f ca="1">IF('Stock Price'!$I$11="OK",I241/INDEX(I$5:I$1258,'Stock Price'!$I$9)-1,"")</f>
        <v>0.83439237490071472</v>
      </c>
      <c r="W241" s="19">
        <f ca="1">IF('Stock Price'!$I$11="OK",J241/INDEX(J$5:J$1258,'Stock Price'!$I$9)-1,"")</f>
        <v>-0.71631678329445736</v>
      </c>
      <c r="X241" s="19">
        <f ca="1">IF('Stock Price'!$I$11="OK",K241/INDEX(K$5:K$1258,'Stock Price'!$I$9)-1,"")</f>
        <v>0.32884399551066235</v>
      </c>
      <c r="Y241" s="19">
        <f ca="1">IF('Stock Price'!$I$11="OK",L241/INDEX(L$5:L$1258,'Stock Price'!$I$9)-1,"")</f>
        <v>-0.22194357366771156</v>
      </c>
      <c r="Z241" s="19">
        <f ca="1">IF('Stock Price'!$I$11="OK",M241/INDEX(M$5:M$1258,'Stock Price'!$I$9)-1,"")</f>
        <v>-0.39588330208015354</v>
      </c>
    </row>
    <row r="242" spans="1:26" x14ac:dyDescent="0.2">
      <c r="A242" s="16">
        <f>'Stock Price'!A242</f>
        <v>44818</v>
      </c>
      <c r="B242" s="17">
        <f>'Stock Price'!E242</f>
        <v>86.95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-0.18318459370596518</v>
      </c>
      <c r="P242" s="19">
        <f ca="1">IF('Stock Price'!$I$11="OK",C242/INDEX(C$5:C$1258,'Stock Price'!$I$9)-1,"")</f>
        <v>-0.435005774505558</v>
      </c>
      <c r="Q242" s="19">
        <f ca="1">IF('Stock Price'!$I$11="OK",D242/INDEX(D$5:D$1258,'Stock Price'!$I$9)-1,"")</f>
        <v>-0.36296701792801422</v>
      </c>
      <c r="R242" s="19">
        <f ca="1">IF('Stock Price'!$I$11="OK",E242/INDEX(E$5:E$1258,'Stock Price'!$I$9)-1,"")</f>
        <v>-0.37134797501511185</v>
      </c>
      <c r="S242" s="19">
        <f ca="1">IF('Stock Price'!$I$11="OK",F242/INDEX(F$5:F$1258,'Stock Price'!$I$9)-1,"")</f>
        <v>-0.18367346938775519</v>
      </c>
      <c r="T242" s="19">
        <f ca="1">IF('Stock Price'!$I$11="OK",G242/INDEX(G$5:G$1258,'Stock Price'!$I$9)-1,"")</f>
        <v>-0.16960398092473561</v>
      </c>
      <c r="U242" s="19">
        <f ca="1">IF('Stock Price'!$I$11="OK",H242/INDEX(H$5:H$1258,'Stock Price'!$I$9)-1,"")</f>
        <v>0.41394736842105262</v>
      </c>
      <c r="V242" s="19">
        <f ca="1">IF('Stock Price'!$I$11="OK",I242/INDEX(I$5:I$1258,'Stock Price'!$I$9)-1,"")</f>
        <v>0.83280381254964264</v>
      </c>
      <c r="W242" s="19">
        <f ca="1">IF('Stock Price'!$I$11="OK",J242/INDEX(J$5:J$1258,'Stock Price'!$I$9)-1,"")</f>
        <v>-0.71341960087378276</v>
      </c>
      <c r="X242" s="19">
        <f ca="1">IF('Stock Price'!$I$11="OK",K242/INDEX(K$5:K$1258,'Stock Price'!$I$9)-1,"")</f>
        <v>0.31818181818181812</v>
      </c>
      <c r="Y242" s="19">
        <f ca="1">IF('Stock Price'!$I$11="OK",L242/INDEX(L$5:L$1258,'Stock Price'!$I$9)-1,"")</f>
        <v>-0.20588377140101277</v>
      </c>
      <c r="Z242" s="19">
        <f ca="1">IF('Stock Price'!$I$11="OK",M242/INDEX(M$5:M$1258,'Stock Price'!$I$9)-1,"")</f>
        <v>-0.39143517509048886</v>
      </c>
    </row>
    <row r="243" spans="1:26" x14ac:dyDescent="0.2">
      <c r="A243" s="16">
        <f>'Stock Price'!A243</f>
        <v>44819</v>
      </c>
      <c r="B243" s="17">
        <f>'Stock Price'!E243</f>
        <v>86.75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-0.18506341005166749</v>
      </c>
      <c r="P243" s="19">
        <f ca="1">IF('Stock Price'!$I$11="OK",C243/INDEX(C$5:C$1258,'Stock Price'!$I$9)-1,"")</f>
        <v>-0.43619315721091378</v>
      </c>
      <c r="Q243" s="19">
        <f ca="1">IF('Stock Price'!$I$11="OK",D243/INDEX(D$5:D$1258,'Stock Price'!$I$9)-1,"")</f>
        <v>-0.38245517996441769</v>
      </c>
      <c r="R243" s="19">
        <f ca="1">IF('Stock Price'!$I$11="OK",E243/INDEX(E$5:E$1258,'Stock Price'!$I$9)-1,"")</f>
        <v>-0.37497481362079388</v>
      </c>
      <c r="S243" s="19">
        <f ca="1">IF('Stock Price'!$I$11="OK",F243/INDEX(F$5:F$1258,'Stock Price'!$I$9)-1,"")</f>
        <v>-0.1716229348882411</v>
      </c>
      <c r="T243" s="19">
        <f ca="1">IF('Stock Price'!$I$11="OK",G243/INDEX(G$5:G$1258,'Stock Price'!$I$9)-1,"")</f>
        <v>-0.15674891146589254</v>
      </c>
      <c r="U243" s="19">
        <f ca="1">IF('Stock Price'!$I$11="OK",H243/INDEX(H$5:H$1258,'Stock Price'!$I$9)-1,"")</f>
        <v>0.3978947368421053</v>
      </c>
      <c r="V243" s="19">
        <f ca="1">IF('Stock Price'!$I$11="OK",I243/INDEX(I$5:I$1258,'Stock Price'!$I$9)-1,"")</f>
        <v>0.82446386020651308</v>
      </c>
      <c r="W243" s="19">
        <f ca="1">IF('Stock Price'!$I$11="OK",J243/INDEX(J$5:J$1258,'Stock Price'!$I$9)-1,"")</f>
        <v>-0.71354918730793426</v>
      </c>
      <c r="X243" s="19">
        <f ca="1">IF('Stock Price'!$I$11="OK",K243/INDEX(K$5:K$1258,'Stock Price'!$I$9)-1,"")</f>
        <v>0.34268612046389824</v>
      </c>
      <c r="Y243" s="19">
        <f ca="1">IF('Stock Price'!$I$11="OK",L243/INDEX(L$5:L$1258,'Stock Price'!$I$9)-1,"")</f>
        <v>-0.2038582107547624</v>
      </c>
      <c r="Z243" s="19">
        <f ca="1">IF('Stock Price'!$I$11="OK",M243/INDEX(M$5:M$1258,'Stock Price'!$I$9)-1,"")</f>
        <v>-0.3785268850028346</v>
      </c>
    </row>
    <row r="244" spans="1:26" x14ac:dyDescent="0.2">
      <c r="A244" s="16">
        <f>'Stock Price'!A244</f>
        <v>44820</v>
      </c>
      <c r="B244" s="17">
        <f>'Stock Price'!E244</f>
        <v>87.72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-0.17595115077501178</v>
      </c>
      <c r="P244" s="19">
        <f ca="1">IF('Stock Price'!$I$11="OK",C244/INDEX(C$5:C$1258,'Stock Price'!$I$9)-1,"")</f>
        <v>-0.43682113469034212</v>
      </c>
      <c r="Q244" s="19">
        <f ca="1">IF('Stock Price'!$I$11="OK",D244/INDEX(D$5:D$1258,'Stock Price'!$I$9)-1,"")</f>
        <v>-0.38141508142876701</v>
      </c>
      <c r="R244" s="19">
        <f ca="1">IF('Stock Price'!$I$11="OK",E244/INDEX(E$5:E$1258,'Stock Price'!$I$9)-1,"")</f>
        <v>-0.37880314326012499</v>
      </c>
      <c r="S244" s="19">
        <f ca="1">IF('Stock Price'!$I$11="OK",F244/INDEX(F$5:F$1258,'Stock Price'!$I$9)-1,"")</f>
        <v>-0.1768707482993197</v>
      </c>
      <c r="T244" s="19">
        <f ca="1">IF('Stock Price'!$I$11="OK",G244/INDEX(G$5:G$1258,'Stock Price'!$I$9)-1,"")</f>
        <v>-0.15363881401617241</v>
      </c>
      <c r="U244" s="19">
        <f ca="1">IF('Stock Price'!$I$11="OK",H244/INDEX(H$5:H$1258,'Stock Price'!$I$9)-1,"")</f>
        <v>0.37605263157894742</v>
      </c>
      <c r="V244" s="19">
        <f ca="1">IF('Stock Price'!$I$11="OK",I244/INDEX(I$5:I$1258,'Stock Price'!$I$9)-1,"")</f>
        <v>0.82803812549642575</v>
      </c>
      <c r="W244" s="19">
        <f ca="1">IF('Stock Price'!$I$11="OK",J244/INDEX(J$5:J$1258,'Stock Price'!$I$9)-1,"")</f>
        <v>-0.7140860453922766</v>
      </c>
      <c r="X244" s="19">
        <f ca="1">IF('Stock Price'!$I$11="OK",K244/INDEX(K$5:K$1258,'Stock Price'!$I$9)-1,"")</f>
        <v>0.33782267115600439</v>
      </c>
      <c r="Y244" s="19">
        <f ca="1">IF('Stock Price'!$I$11="OK",L244/INDEX(L$5:L$1258,'Stock Price'!$I$9)-1,"")</f>
        <v>-0.19170484687726064</v>
      </c>
      <c r="Z244" s="19">
        <f ca="1">IF('Stock Price'!$I$11="OK",M244/INDEX(M$5:M$1258,'Stock Price'!$I$9)-1,"")</f>
        <v>-0.37176747634206964</v>
      </c>
    </row>
    <row r="245" spans="1:26" x14ac:dyDescent="0.2">
      <c r="A245" s="16">
        <f>'Stock Price'!A245</f>
        <v>44823</v>
      </c>
      <c r="B245" s="17">
        <f>'Stock Price'!E245</f>
        <v>86.64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-0.18609675904180367</v>
      </c>
      <c r="P245" s="19">
        <f ca="1">IF('Stock Price'!$I$11="OK",C245/INDEX(C$5:C$1258,'Stock Price'!$I$9)-1,"")</f>
        <v>-0.43626317309080409</v>
      </c>
      <c r="Q245" s="19">
        <f ca="1">IF('Stock Price'!$I$11="OK",D245/INDEX(D$5:D$1258,'Stock Price'!$I$9)-1,"")</f>
        <v>-0.39258245517996448</v>
      </c>
      <c r="R245" s="19">
        <f ca="1">IF('Stock Price'!$I$11="OK",E245/INDEX(E$5:E$1258,'Stock Price'!$I$9)-1,"")</f>
        <v>-0.37981059842836995</v>
      </c>
      <c r="S245" s="19">
        <f ca="1">IF('Stock Price'!$I$11="OK",F245/INDEX(F$5:F$1258,'Stock Price'!$I$9)-1,"")</f>
        <v>-0.18814382896015547</v>
      </c>
      <c r="T245" s="19">
        <f ca="1">IF('Stock Price'!$I$11="OK",G245/INDEX(G$5:G$1258,'Stock Price'!$I$9)-1,"")</f>
        <v>-0.15840763010574321</v>
      </c>
      <c r="U245" s="19">
        <f ca="1">IF('Stock Price'!$I$11="OK",H245/INDEX(H$5:H$1258,'Stock Price'!$I$9)-1,"")</f>
        <v>0.37947368421052641</v>
      </c>
      <c r="V245" s="19">
        <f ca="1">IF('Stock Price'!$I$11="OK",I245/INDEX(I$5:I$1258,'Stock Price'!$I$9)-1,"")</f>
        <v>0.80460683081810958</v>
      </c>
      <c r="W245" s="19">
        <f ca="1">IF('Stock Price'!$I$11="OK",J245/INDEX(J$5:J$1258,'Stock Price'!$I$9)-1,"")</f>
        <v>-0.71760339146210517</v>
      </c>
      <c r="X245" s="19">
        <f ca="1">IF('Stock Price'!$I$11="OK",K245/INDEX(K$5:K$1258,'Stock Price'!$I$9)-1,"")</f>
        <v>0.3129442573887018</v>
      </c>
      <c r="Y245" s="19">
        <f ca="1">IF('Stock Price'!$I$11="OK",L245/INDEX(L$5:L$1258,'Stock Price'!$I$9)-1,"")</f>
        <v>-0.19807089462261873</v>
      </c>
      <c r="Z245" s="19">
        <f ca="1">IF('Stock Price'!$I$11="OK",M245/INDEX(M$5:M$1258,'Stock Price'!$I$9)-1,"")</f>
        <v>-0.3778727486808251</v>
      </c>
    </row>
    <row r="246" spans="1:26" x14ac:dyDescent="0.2">
      <c r="A246" s="16">
        <f>'Stock Price'!A246</f>
        <v>44824</v>
      </c>
      <c r="B246" s="17">
        <f>'Stock Price'!E246</f>
        <v>86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-0.19210897134805072</v>
      </c>
      <c r="P246" s="19">
        <f ca="1">IF('Stock Price'!$I$11="OK",C246/INDEX(C$5:C$1258,'Stock Price'!$I$9)-1,"")</f>
        <v>-0.4442933448823444</v>
      </c>
      <c r="Q246" s="19">
        <f ca="1">IF('Stock Price'!$I$11="OK",D246/INDEX(D$5:D$1258,'Stock Price'!$I$9)-1,"")</f>
        <v>-0.39504584644861096</v>
      </c>
      <c r="R246" s="19">
        <f ca="1">IF('Stock Price'!$I$11="OK",E246/INDEX(E$5:E$1258,'Stock Price'!$I$9)-1,"")</f>
        <v>-0.3856538384041911</v>
      </c>
      <c r="S246" s="19">
        <f ca="1">IF('Stock Price'!$I$11="OK",F246/INDEX(F$5:F$1258,'Stock Price'!$I$9)-1,"")</f>
        <v>-0.20116618075801751</v>
      </c>
      <c r="T246" s="19">
        <f ca="1">IF('Stock Price'!$I$11="OK",G246/INDEX(G$5:G$1258,'Stock Price'!$I$9)-1,"")</f>
        <v>-0.1718847190545304</v>
      </c>
      <c r="U246" s="19">
        <f ca="1">IF('Stock Price'!$I$11="OK",H246/INDEX(H$5:H$1258,'Stock Price'!$I$9)-1,"")</f>
        <v>0.37052631578947359</v>
      </c>
      <c r="V246" s="19">
        <f ca="1">IF('Stock Price'!$I$11="OK",I246/INDEX(I$5:I$1258,'Stock Price'!$I$9)-1,"")</f>
        <v>0.77799841143764903</v>
      </c>
      <c r="W246" s="19">
        <f ca="1">IF('Stock Price'!$I$11="OK",J246/INDEX(J$5:J$1258,'Stock Price'!$I$9)-1,"")</f>
        <v>-0.72071346588174312</v>
      </c>
      <c r="X246" s="19">
        <f ca="1">IF('Stock Price'!$I$11="OK",K246/INDEX(K$5:K$1258,'Stock Price'!$I$9)-1,"")</f>
        <v>0.30433969322858223</v>
      </c>
      <c r="Y246" s="19">
        <f ca="1">IF('Stock Price'!$I$11="OK",L246/INDEX(L$5:L$1258,'Stock Price'!$I$9)-1,"")</f>
        <v>-0.20438871473354225</v>
      </c>
      <c r="Z246" s="19">
        <f ca="1">IF('Stock Price'!$I$11="OK",M246/INDEX(M$5:M$1258,'Stock Price'!$I$9)-1,"")</f>
        <v>-0.38175395752474817</v>
      </c>
    </row>
    <row r="247" spans="1:26" x14ac:dyDescent="0.2">
      <c r="A247" s="16">
        <f>'Stock Price'!A247</f>
        <v>44825</v>
      </c>
      <c r="B247" s="17">
        <f>'Stock Price'!E247</f>
        <v>84.53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-0.20591827148896191</v>
      </c>
      <c r="P247" s="19">
        <f ca="1">IF('Stock Price'!$I$11="OK",C247/INDEX(C$5:C$1258,'Stock Price'!$I$9)-1,"")</f>
        <v>-0.45853832828064089</v>
      </c>
      <c r="Q247" s="19">
        <f ca="1">IF('Stock Price'!$I$11="OK",D247/INDEX(D$5:D$1258,'Stock Price'!$I$9)-1,"")</f>
        <v>-0.37509237717257427</v>
      </c>
      <c r="R247" s="19">
        <f ca="1">IF('Stock Price'!$I$11="OK",E247/INDEX(E$5:E$1258,'Stock Price'!$I$9)-1,"")</f>
        <v>-0.4001611928269192</v>
      </c>
      <c r="S247" s="19">
        <f ca="1">IF('Stock Price'!$I$11="OK",F247/INDEX(F$5:F$1258,'Stock Price'!$I$9)-1,"")</f>
        <v>-0.22079689018464521</v>
      </c>
      <c r="T247" s="19">
        <f ca="1">IF('Stock Price'!$I$11="OK",G247/INDEX(G$5:G$1258,'Stock Price'!$I$9)-1,"")</f>
        <v>-0.19635081899232842</v>
      </c>
      <c r="U247" s="19">
        <f ca="1">IF('Stock Price'!$I$11="OK",H247/INDEX(H$5:H$1258,'Stock Price'!$I$9)-1,"")</f>
        <v>0.37236842105263146</v>
      </c>
      <c r="V247" s="19">
        <f ca="1">IF('Stock Price'!$I$11="OK",I247/INDEX(I$5:I$1258,'Stock Price'!$I$9)-1,"")</f>
        <v>0.74424146147736314</v>
      </c>
      <c r="W247" s="19">
        <f ca="1">IF('Stock Price'!$I$11="OK",J247/INDEX(J$5:J$1258,'Stock Price'!$I$9)-1,"")</f>
        <v>-0.72557295716242731</v>
      </c>
      <c r="X247" s="19">
        <f ca="1">IF('Stock Price'!$I$11="OK",K247/INDEX(K$5:K$1258,'Stock Price'!$I$9)-1,"")</f>
        <v>0.29928918817807704</v>
      </c>
      <c r="Y247" s="19">
        <f ca="1">IF('Stock Price'!$I$11="OK",L247/INDEX(L$5:L$1258,'Stock Price'!$I$9)-1,"")</f>
        <v>-0.21253918495297808</v>
      </c>
      <c r="Z247" s="19">
        <f ca="1">IF('Stock Price'!$I$11="OK",M247/INDEX(M$5:M$1258,'Stock Price'!$I$9)-1,"")</f>
        <v>-0.38812088439230741</v>
      </c>
    </row>
    <row r="248" spans="1:26" x14ac:dyDescent="0.2">
      <c r="A248" s="16">
        <f>'Stock Price'!A248</f>
        <v>44826</v>
      </c>
      <c r="B248" s="17">
        <f>'Stock Price'!E248</f>
        <v>87.51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-0.17792390793799906</v>
      </c>
      <c r="P248" s="19">
        <f ca="1">IF('Stock Price'!$I$11="OK",C248/INDEX(C$5:C$1258,'Stock Price'!$I$9)-1,"")</f>
        <v>-0.46133174534430488</v>
      </c>
      <c r="Q248" s="19">
        <f ca="1">IF('Stock Price'!$I$11="OK",D248/INDEX(D$5:D$1258,'Stock Price'!$I$9)-1,"")</f>
        <v>-0.38907896537566722</v>
      </c>
      <c r="R248" s="19">
        <f ca="1">IF('Stock Price'!$I$11="OK",E248/INDEX(E$5:E$1258,'Stock Price'!$I$9)-1,"")</f>
        <v>-0.39532540801934313</v>
      </c>
      <c r="S248" s="19">
        <f ca="1">IF('Stock Price'!$I$11="OK",F248/INDEX(F$5:F$1258,'Stock Price'!$I$9)-1,"")</f>
        <v>-0.22176870748299327</v>
      </c>
      <c r="T248" s="19">
        <f ca="1">IF('Stock Price'!$I$11="OK",G248/INDEX(G$5:G$1258,'Stock Price'!$I$9)-1,"")</f>
        <v>-0.18867924528301872</v>
      </c>
      <c r="U248" s="19">
        <f ca="1">IF('Stock Price'!$I$11="OK",H248/INDEX(H$5:H$1258,'Stock Price'!$I$9)-1,"")</f>
        <v>0.35526315789473695</v>
      </c>
      <c r="V248" s="19">
        <f ca="1">IF('Stock Price'!$I$11="OK",I248/INDEX(I$5:I$1258,'Stock Price'!$I$9)-1,"")</f>
        <v>0.77005559968228754</v>
      </c>
      <c r="W248" s="19">
        <f ca="1">IF('Stock Price'!$I$11="OK",J248/INDEX(J$5:J$1258,'Stock Price'!$I$9)-1,"")</f>
        <v>-0.71225332296641852</v>
      </c>
      <c r="X248" s="19">
        <f ca="1">IF('Stock Price'!$I$11="OK",K248/INDEX(K$5:K$1258,'Stock Price'!$I$9)-1,"")</f>
        <v>0.33352038907594483</v>
      </c>
      <c r="Y248" s="19">
        <f ca="1">IF('Stock Price'!$I$11="OK",L248/INDEX(L$5:L$1258,'Stock Price'!$I$9)-1,"")</f>
        <v>-0.19855317096696401</v>
      </c>
      <c r="Z248" s="19">
        <f ca="1">IF('Stock Price'!$I$11="OK",M248/INDEX(M$5:M$1258,'Stock Price'!$I$9)-1,"")</f>
        <v>-0.37634643059613626</v>
      </c>
    </row>
    <row r="249" spans="1:26" x14ac:dyDescent="0.2">
      <c r="A249" s="16">
        <f>'Stock Price'!A249</f>
        <v>44827</v>
      </c>
      <c r="B249" s="17">
        <f>'Stock Price'!E249</f>
        <v>86.78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-0.18478158759981211</v>
      </c>
      <c r="P249" s="19">
        <f ca="1">IF('Stock Price'!$I$11="OK",C249/INDEX(C$5:C$1258,'Stock Price'!$I$9)-1,"")</f>
        <v>-0.46922260718925934</v>
      </c>
      <c r="Q249" s="19">
        <f ca="1">IF('Stock Price'!$I$11="OK",D249/INDEX(D$5:D$1258,'Stock Price'!$I$9)-1,"")</f>
        <v>-0.40687012453811422</v>
      </c>
      <c r="R249" s="19">
        <f ca="1">IF('Stock Price'!$I$11="OK",E249/INDEX(E$5:E$1258,'Stock Price'!$I$9)-1,"")</f>
        <v>-0.40842232520652832</v>
      </c>
      <c r="S249" s="19">
        <f ca="1">IF('Stock Price'!$I$11="OK",F249/INDEX(F$5:F$1258,'Stock Price'!$I$9)-1,"")</f>
        <v>-0.23032069970845481</v>
      </c>
      <c r="T249" s="19">
        <f ca="1">IF('Stock Price'!$I$11="OK",G249/INDEX(G$5:G$1258,'Stock Price'!$I$9)-1,"")</f>
        <v>-0.20381505287165658</v>
      </c>
      <c r="U249" s="19">
        <f ca="1">IF('Stock Price'!$I$11="OK",H249/INDEX(H$5:H$1258,'Stock Price'!$I$9)-1,"")</f>
        <v>0.30460526315789482</v>
      </c>
      <c r="V249" s="19">
        <f ca="1">IF('Stock Price'!$I$11="OK",I249/INDEX(I$5:I$1258,'Stock Price'!$I$9)-1,"")</f>
        <v>0.75059571088165211</v>
      </c>
      <c r="W249" s="19">
        <f ca="1">IF('Stock Price'!$I$11="OK",J249/INDEX(J$5:J$1258,'Stock Price'!$I$9)-1,"")</f>
        <v>-0.71170720870820836</v>
      </c>
      <c r="X249" s="19">
        <f ca="1">IF('Stock Price'!$I$11="OK",K249/INDEX(K$5:K$1258,'Stock Price'!$I$9)-1,"")</f>
        <v>0.32267115600448926</v>
      </c>
      <c r="Y249" s="19">
        <f ca="1">IF('Stock Price'!$I$11="OK",L249/INDEX(L$5:L$1258,'Stock Price'!$I$9)-1,"")</f>
        <v>-0.19594887870749933</v>
      </c>
      <c r="Z249" s="19">
        <f ca="1">IF('Stock Price'!$I$11="OK",M249/INDEX(M$5:M$1258,'Stock Price'!$I$9)-1,"")</f>
        <v>-0.37612838515546643</v>
      </c>
    </row>
    <row r="250" spans="1:26" x14ac:dyDescent="0.2">
      <c r="A250" s="16">
        <f>'Stock Price'!A250</f>
        <v>44830</v>
      </c>
      <c r="B250" s="17">
        <f>'Stock Price'!E250</f>
        <v>86.18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-0.1904180366369187</v>
      </c>
      <c r="P250" s="19">
        <f ca="1">IF('Stock Price'!$I$11="OK",C250/INDEX(C$5:C$1258,'Stock Price'!$I$9)-1,"")</f>
        <v>-0.47899884509888835</v>
      </c>
      <c r="Q250" s="19">
        <f ca="1">IF('Stock Price'!$I$11="OK",D250/INDEX(D$5:D$1258,'Stock Price'!$I$9)-1,"")</f>
        <v>-0.42794580539208982</v>
      </c>
      <c r="R250" s="19">
        <f ca="1">IF('Stock Price'!$I$11="OK",E250/INDEX(E$5:E$1258,'Stock Price'!$I$9)-1,"")</f>
        <v>-0.41930284102357451</v>
      </c>
      <c r="S250" s="19">
        <f ca="1">IF('Stock Price'!$I$11="OK",F250/INDEX(F$5:F$1258,'Stock Price'!$I$9)-1,"")</f>
        <v>-0.24800777453838685</v>
      </c>
      <c r="T250" s="19">
        <f ca="1">IF('Stock Price'!$I$11="OK",G250/INDEX(G$5:G$1258,'Stock Price'!$I$9)-1,"")</f>
        <v>-0.2276591333195106</v>
      </c>
      <c r="U250" s="19">
        <f ca="1">IF('Stock Price'!$I$11="OK",H250/INDEX(H$5:H$1258,'Stock Price'!$I$9)-1,"")</f>
        <v>0.2728947368421053</v>
      </c>
      <c r="V250" s="19">
        <f ca="1">IF('Stock Price'!$I$11="OK",I250/INDEX(I$5:I$1258,'Stock Price'!$I$9)-1,"")</f>
        <v>0.74066719618745025</v>
      </c>
      <c r="W250" s="19">
        <f ca="1">IF('Stock Price'!$I$11="OK",J250/INDEX(J$5:J$1258,'Stock Price'!$I$9)-1,"")</f>
        <v>-0.71537265355992452</v>
      </c>
      <c r="X250" s="19">
        <f ca="1">IF('Stock Price'!$I$11="OK",K250/INDEX(K$5:K$1258,'Stock Price'!$I$9)-1,"")</f>
        <v>0.31219603441825683</v>
      </c>
      <c r="Y250" s="19">
        <f ca="1">IF('Stock Price'!$I$11="OK",L250/INDEX(L$5:L$1258,'Stock Price'!$I$9)-1,"")</f>
        <v>-0.20086809741982159</v>
      </c>
      <c r="Z250" s="19">
        <f ca="1">IF('Stock Price'!$I$11="OK",M250/INDEX(M$5:M$1258,'Stock Price'!$I$9)-1,"")</f>
        <v>-0.38419606646025029</v>
      </c>
    </row>
    <row r="251" spans="1:26" x14ac:dyDescent="0.2">
      <c r="A251" s="16">
        <f>'Stock Price'!A251</f>
        <v>44831</v>
      </c>
      <c r="B251" s="17">
        <f>'Stock Price'!E251</f>
        <v>85.84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-0.19361202442461245</v>
      </c>
      <c r="P251" s="19">
        <f ca="1">IF('Stock Price'!$I$11="OK",C251/INDEX(C$5:C$1258,'Stock Price'!$I$9)-1,"")</f>
        <v>-0.47871950339252201</v>
      </c>
      <c r="Q251" s="19">
        <f ca="1">IF('Stock Price'!$I$11="OK",D251/INDEX(D$5:D$1258,'Stock Price'!$I$9)-1,"")</f>
        <v>-0.4169973997536609</v>
      </c>
      <c r="R251" s="19">
        <f ca="1">IF('Stock Price'!$I$11="OK",E251/INDEX(E$5:E$1258,'Stock Price'!$I$9)-1,"")</f>
        <v>-0.42252669756195849</v>
      </c>
      <c r="S251" s="19">
        <f ca="1">IF('Stock Price'!$I$11="OK",F251/INDEX(F$5:F$1258,'Stock Price'!$I$9)-1,"")</f>
        <v>-0.24101068999028197</v>
      </c>
      <c r="T251" s="19">
        <f ca="1">IF('Stock Price'!$I$11="OK",G251/INDEX(G$5:G$1258,'Stock Price'!$I$9)-1,"")</f>
        <v>-0.22828115280945471</v>
      </c>
      <c r="U251" s="19">
        <f ca="1">IF('Stock Price'!$I$11="OK",H251/INDEX(H$5:H$1258,'Stock Price'!$I$9)-1,"")</f>
        <v>0.26986842105263165</v>
      </c>
      <c r="V251" s="19">
        <f ca="1">IF('Stock Price'!$I$11="OK",I251/INDEX(I$5:I$1258,'Stock Price'!$I$9)-1,"")</f>
        <v>0.75099285146942041</v>
      </c>
      <c r="W251" s="19">
        <f ca="1">IF('Stock Price'!$I$11="OK",J251/INDEX(J$5:J$1258,'Stock Price'!$I$9)-1,"")</f>
        <v>-0.71204043096745528</v>
      </c>
      <c r="X251" s="19">
        <f ca="1">IF('Stock Price'!$I$11="OK",K251/INDEX(K$5:K$1258,'Stock Price'!$I$9)-1,"")</f>
        <v>0.31612420501309391</v>
      </c>
      <c r="Y251" s="19">
        <f ca="1">IF('Stock Price'!$I$11="OK",L251/INDEX(L$5:L$1258,'Stock Price'!$I$9)-1,"")</f>
        <v>-0.20453339763684586</v>
      </c>
      <c r="Z251" s="19">
        <f ca="1">IF('Stock Price'!$I$11="OK",M251/INDEX(M$5:M$1258,'Stock Price'!$I$9)-1,"")</f>
        <v>-0.381972002965418</v>
      </c>
    </row>
    <row r="252" spans="1:26" x14ac:dyDescent="0.2">
      <c r="A252" s="16">
        <f>'Stock Price'!A252</f>
        <v>44832</v>
      </c>
      <c r="B252" s="17">
        <f>'Stock Price'!E252</f>
        <v>86.78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-0.18478158759981211</v>
      </c>
      <c r="P252" s="19">
        <f ca="1">IF('Stock Price'!$I$11="OK",C252/INDEX(C$5:C$1258,'Stock Price'!$I$9)-1,"")</f>
        <v>-0.46705788941821857</v>
      </c>
      <c r="Q252" s="19">
        <f ca="1">IF('Stock Price'!$I$11="OK",D252/INDEX(D$5:D$1258,'Stock Price'!$I$9)-1,"")</f>
        <v>-0.40736280279184345</v>
      </c>
      <c r="R252" s="19">
        <f ca="1">IF('Stock Price'!$I$11="OK",E252/INDEX(E$5:E$1258,'Stock Price'!$I$9)-1,"")</f>
        <v>-0.40640741487003829</v>
      </c>
      <c r="S252" s="19">
        <f ca="1">IF('Stock Price'!$I$11="OK",F252/INDEX(F$5:F$1258,'Stock Price'!$I$9)-1,"")</f>
        <v>-0.18853255587949469</v>
      </c>
      <c r="T252" s="19">
        <f ca="1">IF('Stock Price'!$I$11="OK",G252/INDEX(G$5:G$1258,'Stock Price'!$I$9)-1,"")</f>
        <v>-0.20858386896122738</v>
      </c>
      <c r="U252" s="19">
        <f ca="1">IF('Stock Price'!$I$11="OK",H252/INDEX(H$5:H$1258,'Stock Price'!$I$9)-1,"")</f>
        <v>0.26815789473684215</v>
      </c>
      <c r="V252" s="19">
        <f ca="1">IF('Stock Price'!$I$11="OK",I252/INDEX(I$5:I$1258,'Stock Price'!$I$9)-1,"")</f>
        <v>0.7644956314535345</v>
      </c>
      <c r="W252" s="19">
        <f ca="1">IF('Stock Price'!$I$11="OK",J252/INDEX(J$5:J$1258,'Stock Price'!$I$9)-1,"")</f>
        <v>-0.69049205820282133</v>
      </c>
      <c r="X252" s="19">
        <f ca="1">IF('Stock Price'!$I$11="OK",K252/INDEX(K$5:K$1258,'Stock Price'!$I$9)-1,"")</f>
        <v>0.34792368125701456</v>
      </c>
      <c r="Y252" s="19">
        <f ca="1">IF('Stock Price'!$I$11="OK",L252/INDEX(L$5:L$1258,'Stock Price'!$I$9)-1,"")</f>
        <v>-0.19768507354714238</v>
      </c>
      <c r="Z252" s="19">
        <f ca="1">IF('Stock Price'!$I$11="OK",M252/INDEX(M$5:M$1258,'Stock Price'!$I$9)-1,"")</f>
        <v>-0.36941258558283552</v>
      </c>
    </row>
    <row r="253" spans="1:26" x14ac:dyDescent="0.2">
      <c r="A253" s="16">
        <f>'Stock Price'!A253</f>
        <v>44833</v>
      </c>
      <c r="B253" s="17">
        <f>'Stock Price'!E253</f>
        <v>86.64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-0.18609675904180367</v>
      </c>
      <c r="P253" s="19">
        <f ca="1">IF('Stock Price'!$I$11="OK",C253/INDEX(C$5:C$1258,'Stock Price'!$I$9)-1,"")</f>
        <v>-0.46531182330012988</v>
      </c>
      <c r="Q253" s="19">
        <f ca="1">IF('Stock Price'!$I$11="OK",D253/INDEX(D$5:D$1258,'Stock Price'!$I$9)-1,"")</f>
        <v>-0.40331189270562473</v>
      </c>
      <c r="R253" s="19">
        <f ca="1">IF('Stock Price'!$I$11="OK",E253/INDEX(E$5:E$1258,'Stock Price'!$I$9)-1,"")</f>
        <v>-0.40842232520652832</v>
      </c>
      <c r="S253" s="19">
        <f ca="1">IF('Stock Price'!$I$11="OK",F253/INDEX(F$5:F$1258,'Stock Price'!$I$9)-1,"")</f>
        <v>-0.20097181729834801</v>
      </c>
      <c r="T253" s="19">
        <f ca="1">IF('Stock Price'!$I$11="OK",G253/INDEX(G$5:G$1258,'Stock Price'!$I$9)-1,"")</f>
        <v>-0.21210864607091018</v>
      </c>
      <c r="U253" s="19">
        <f ca="1">IF('Stock Price'!$I$11="OK",H253/INDEX(H$5:H$1258,'Stock Price'!$I$9)-1,"")</f>
        <v>0.25578947368421057</v>
      </c>
      <c r="V253" s="19">
        <f ca="1">IF('Stock Price'!$I$11="OK",I253/INDEX(I$5:I$1258,'Stock Price'!$I$9)-1,"")</f>
        <v>0.75377283558379649</v>
      </c>
      <c r="W253" s="19">
        <f ca="1">IF('Stock Price'!$I$11="OK",J253/INDEX(J$5:J$1258,'Stock Price'!$I$9)-1,"")</f>
        <v>-0.69453700618312419</v>
      </c>
      <c r="X253" s="19">
        <f ca="1">IF('Stock Price'!$I$11="OK",K253/INDEX(K$5:K$1258,'Stock Price'!$I$9)-1,"")</f>
        <v>0.34137673026561899</v>
      </c>
      <c r="Y253" s="19">
        <f ca="1">IF('Stock Price'!$I$11="OK",L253/INDEX(L$5:L$1258,'Stock Price'!$I$9)-1,"")</f>
        <v>-0.20651073064866166</v>
      </c>
      <c r="Z253" s="19">
        <f ca="1">IF('Stock Price'!$I$11="OK",M253/INDEX(M$5:M$1258,'Stock Price'!$I$9)-1,"")</f>
        <v>-0.37761109415202132</v>
      </c>
    </row>
    <row r="254" spans="1:26" x14ac:dyDescent="0.2">
      <c r="A254" s="16">
        <f>'Stock Price'!A254</f>
        <v>44834</v>
      </c>
      <c r="B254" s="17">
        <f>'Stock Price'!E254</f>
        <v>86.12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-0.19098168154062933</v>
      </c>
      <c r="P254" s="19">
        <f ca="1">IF('Stock Price'!$I$11="OK",C254/INDEX(C$5:C$1258,'Stock Price'!$I$9)-1,"")</f>
        <v>-0.46922260718925934</v>
      </c>
      <c r="Q254" s="19">
        <f ca="1">IF('Stock Price'!$I$11="OK",D254/INDEX(D$5:D$1258,'Stock Price'!$I$9)-1,"")</f>
        <v>-0.41371287806213231</v>
      </c>
      <c r="R254" s="19">
        <f ca="1">IF('Stock Price'!$I$11="OK",E254/INDEX(E$5:E$1258,'Stock Price'!$I$9)-1,"")</f>
        <v>-0.40701188797098531</v>
      </c>
      <c r="S254" s="19">
        <f ca="1">IF('Stock Price'!$I$11="OK",F254/INDEX(F$5:F$1258,'Stock Price'!$I$9)-1,"")</f>
        <v>-0.2104956268221575</v>
      </c>
      <c r="T254" s="19">
        <f ca="1">IF('Stock Price'!$I$11="OK",G254/INDEX(G$5:G$1258,'Stock Price'!$I$9)-1,"")</f>
        <v>-0.2116939664109474</v>
      </c>
      <c r="U254" s="19">
        <f ca="1">IF('Stock Price'!$I$11="OK",H254/INDEX(H$5:H$1258,'Stock Price'!$I$9)-1,"")</f>
        <v>0.2477631578947368</v>
      </c>
      <c r="V254" s="19">
        <f ca="1">IF('Stock Price'!$I$11="OK",I254/INDEX(I$5:I$1258,'Stock Price'!$I$9)-1,"")</f>
        <v>0.73788721207307373</v>
      </c>
      <c r="W254" s="19">
        <f ca="1">IF('Stock Price'!$I$11="OK",J254/INDEX(J$5:J$1258,'Stock Price'!$I$9)-1,"")</f>
        <v>-0.70070161797919206</v>
      </c>
      <c r="X254" s="19">
        <f ca="1">IF('Stock Price'!$I$11="OK",K254/INDEX(K$5:K$1258,'Stock Price'!$I$9)-1,"")</f>
        <v>0.32977927422371867</v>
      </c>
      <c r="Y254" s="19">
        <f ca="1">IF('Stock Price'!$I$11="OK",L254/INDEX(L$5:L$1258,'Stock Price'!$I$9)-1,"")</f>
        <v>-0.21215336387750172</v>
      </c>
      <c r="Z254" s="19">
        <f ca="1">IF('Stock Price'!$I$11="OK",M254/INDEX(M$5:M$1258,'Stock Price'!$I$9)-1,"")</f>
        <v>-0.41472242815402727</v>
      </c>
    </row>
    <row r="255" spans="1:26" x14ac:dyDescent="0.2">
      <c r="A255" s="16">
        <f>'Stock Price'!A255</f>
        <v>44837</v>
      </c>
      <c r="B255" s="17">
        <f>'Stock Price'!E255</f>
        <v>87.55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-0.17754814466885871</v>
      </c>
      <c r="P255" s="19">
        <f ca="1">IF('Stock Price'!$I$11="OK",C255/INDEX(C$5:C$1258,'Stock Price'!$I$9)-1,"")</f>
        <v>-0.46461382994081135</v>
      </c>
      <c r="Q255" s="19">
        <f ca="1">IF('Stock Price'!$I$11="OK",D255/INDEX(D$5:D$1258,'Stock Price'!$I$9)-1,"")</f>
        <v>-0.39099493636239224</v>
      </c>
      <c r="R255" s="19">
        <f ca="1">IF('Stock Price'!$I$11="OK",E255/INDEX(E$5:E$1258,'Stock Price'!$I$9)-1,"")</f>
        <v>-0.39048962321176706</v>
      </c>
      <c r="S255" s="19">
        <f ca="1">IF('Stock Price'!$I$11="OK",F255/INDEX(F$5:F$1258,'Stock Price'!$I$9)-1,"")</f>
        <v>-0.21341107871720122</v>
      </c>
      <c r="T255" s="19">
        <f ca="1">IF('Stock Price'!$I$11="OK",G255/INDEX(G$5:G$1258,'Stock Price'!$I$9)-1,"")</f>
        <v>-0.18743520630313082</v>
      </c>
      <c r="U255" s="19">
        <f ca="1">IF('Stock Price'!$I$11="OK",H255/INDEX(H$5:H$1258,'Stock Price'!$I$9)-1,"")</f>
        <v>0.26197368421052625</v>
      </c>
      <c r="V255" s="19">
        <f ca="1">IF('Stock Price'!$I$11="OK",I255/INDEX(I$5:I$1258,'Stock Price'!$I$9)-1,"")</f>
        <v>0.75297855440826056</v>
      </c>
      <c r="W255" s="19">
        <f ca="1">IF('Stock Price'!$I$11="OK",J255/INDEX(J$5:J$1258,'Stock Price'!$I$9)-1,"")</f>
        <v>-0.70236772927542668</v>
      </c>
      <c r="X255" s="19">
        <f ca="1">IF('Stock Price'!$I$11="OK",K255/INDEX(K$5:K$1258,'Stock Price'!$I$9)-1,"")</f>
        <v>0.31930415263748602</v>
      </c>
      <c r="Y255" s="19">
        <f ca="1">IF('Stock Price'!$I$11="OK",L255/INDEX(L$5:L$1258,'Stock Price'!$I$9)-1,"")</f>
        <v>-0.21292500602845432</v>
      </c>
      <c r="Z255" s="19">
        <f ca="1">IF('Stock Price'!$I$11="OK",M255/INDEX(M$5:M$1258,'Stock Price'!$I$9)-1,"")</f>
        <v>-0.39679909293096682</v>
      </c>
    </row>
    <row r="256" spans="1:26" x14ac:dyDescent="0.2">
      <c r="A256" s="16">
        <f>'Stock Price'!A256</f>
        <v>44838</v>
      </c>
      <c r="B256" s="17">
        <f>'Stock Price'!E256</f>
        <v>88.39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-0.16965711601690936</v>
      </c>
      <c r="P256" s="19">
        <f ca="1">IF('Stock Price'!$I$11="OK",C256/INDEX(C$5:C$1258,'Stock Price'!$I$9)-1,"")</f>
        <v>-0.45372022520571675</v>
      </c>
      <c r="Q256" s="19">
        <f ca="1">IF('Stock Price'!$I$11="OK",D256/INDEX(D$5:D$1258,'Stock Price'!$I$9)-1,"")</f>
        <v>-0.38141508142876701</v>
      </c>
      <c r="R256" s="19">
        <f ca="1">IF('Stock Price'!$I$11="OK",E256/INDEX(E$5:E$1258,'Stock Price'!$I$9)-1,"")</f>
        <v>-0.38122103566391297</v>
      </c>
      <c r="S256" s="19">
        <f ca="1">IF('Stock Price'!$I$11="OK",F256/INDEX(F$5:F$1258,'Stock Price'!$I$9)-1,"")</f>
        <v>-0.17531584062196315</v>
      </c>
      <c r="T256" s="19">
        <f ca="1">IF('Stock Price'!$I$11="OK",G256/INDEX(G$5:G$1258,'Stock Price'!$I$9)-1,"")</f>
        <v>-0.16815260211486627</v>
      </c>
      <c r="U256" s="19">
        <f ca="1">IF('Stock Price'!$I$11="OK",H256/INDEX(H$5:H$1258,'Stock Price'!$I$9)-1,"")</f>
        <v>0.2801315789473684</v>
      </c>
      <c r="V256" s="19">
        <f ca="1">IF('Stock Price'!$I$11="OK",I256/INDEX(I$5:I$1258,'Stock Price'!$I$9)-1,"")</f>
        <v>0.76568705321683872</v>
      </c>
      <c r="W256" s="19">
        <f ca="1">IF('Stock Price'!$I$11="OK",J256/INDEX(J$5:J$1258,'Stock Price'!$I$9)-1,"")</f>
        <v>-0.69464808026953984</v>
      </c>
      <c r="X256" s="19">
        <f ca="1">IF('Stock Price'!$I$11="OK",K256/INDEX(K$5:K$1258,'Stock Price'!$I$9)-1,"")</f>
        <v>0.33202394313505401</v>
      </c>
      <c r="Y256" s="19">
        <f ca="1">IF('Stock Price'!$I$11="OK",L256/INDEX(L$5:L$1258,'Stock Price'!$I$9)-1,"")</f>
        <v>-0.20125391849529772</v>
      </c>
      <c r="Z256" s="19">
        <f ca="1">IF('Stock Price'!$I$11="OK",M256/INDEX(M$5:M$1258,'Stock Price'!$I$9)-1,"")</f>
        <v>-0.38079455758580083</v>
      </c>
    </row>
    <row r="257" spans="1:26" x14ac:dyDescent="0.2">
      <c r="A257" s="16">
        <f>'Stock Price'!A257</f>
        <v>44839</v>
      </c>
      <c r="B257" s="17">
        <f>'Stock Price'!E257</f>
        <v>88.39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-0.16965711601690936</v>
      </c>
      <c r="P257" s="19">
        <f ca="1">IF('Stock Price'!$I$11="OK",C257/INDEX(C$5:C$1258,'Stock Price'!$I$9)-1,"")</f>
        <v>-0.45972571098599679</v>
      </c>
      <c r="Q257" s="19">
        <f ca="1">IF('Stock Price'!$I$11="OK",D257/INDEX(D$5:D$1258,'Stock Price'!$I$9)-1,"")</f>
        <v>-0.3861228958532914</v>
      </c>
      <c r="R257" s="19">
        <f ca="1">IF('Stock Price'!$I$11="OK",E257/INDEX(E$5:E$1258,'Stock Price'!$I$9)-1,"")</f>
        <v>-0.38726576667338308</v>
      </c>
      <c r="S257" s="19">
        <f ca="1">IF('Stock Price'!$I$11="OK",F257/INDEX(F$5:F$1258,'Stock Price'!$I$9)-1,"")</f>
        <v>-0.18892128279883391</v>
      </c>
      <c r="T257" s="19">
        <f ca="1">IF('Stock Price'!$I$11="OK",G257/INDEX(G$5:G$1258,'Stock Price'!$I$9)-1,"")</f>
        <v>-0.17437279701430641</v>
      </c>
      <c r="U257" s="19">
        <f ca="1">IF('Stock Price'!$I$11="OK",H257/INDEX(H$5:H$1258,'Stock Price'!$I$9)-1,"")</f>
        <v>0.28026315789473677</v>
      </c>
      <c r="V257" s="19">
        <f ca="1">IF('Stock Price'!$I$11="OK",I257/INDEX(I$5:I$1258,'Stock Price'!$I$9)-1,"")</f>
        <v>0.75218427323272441</v>
      </c>
      <c r="W257" s="19">
        <f ca="1">IF('Stock Price'!$I$11="OK",J257/INDEX(J$5:J$1258,'Stock Price'!$I$9)-1,"")</f>
        <v>-0.69289866340849349</v>
      </c>
      <c r="X257" s="19">
        <f ca="1">IF('Stock Price'!$I$11="OK",K257/INDEX(K$5:K$1258,'Stock Price'!$I$9)-1,"")</f>
        <v>0.33651328095772537</v>
      </c>
      <c r="Y257" s="19">
        <f ca="1">IF('Stock Price'!$I$11="OK",L257/INDEX(L$5:L$1258,'Stock Price'!$I$9)-1,"")</f>
        <v>-0.2037135278514588</v>
      </c>
      <c r="Z257" s="19">
        <f ca="1">IF('Stock Price'!$I$11="OK",M257/INDEX(M$5:M$1258,'Stock Price'!$I$9)-1,"")</f>
        <v>-0.37495093977584926</v>
      </c>
    </row>
    <row r="258" spans="1:26" x14ac:dyDescent="0.2">
      <c r="A258" s="16">
        <f>'Stock Price'!A258</f>
        <v>44840</v>
      </c>
      <c r="B258" s="17">
        <f>'Stock Price'!E258</f>
        <v>87.44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-0.17858149365899489</v>
      </c>
      <c r="P258" s="19">
        <f ca="1">IF('Stock Price'!$I$11="OK",C258/INDEX(C$5:C$1258,'Stock Price'!$I$9)-1,"")</f>
        <v>-0.46901328136278331</v>
      </c>
      <c r="Q258" s="19">
        <f ca="1">IF('Stock Price'!$I$11="OK",D258/INDEX(D$5:D$1258,'Stock Price'!$I$9)-1,"")</f>
        <v>-0.40265498836731906</v>
      </c>
      <c r="R258" s="19">
        <f ca="1">IF('Stock Price'!$I$11="OK",E258/INDEX(E$5:E$1258,'Stock Price'!$I$9)-1,"")</f>
        <v>-0.39552689905299221</v>
      </c>
      <c r="S258" s="19">
        <f ca="1">IF('Stock Price'!$I$11="OK",F258/INDEX(F$5:F$1258,'Stock Price'!$I$9)-1,"")</f>
        <v>-0.20213799805636545</v>
      </c>
      <c r="T258" s="19">
        <f ca="1">IF('Stock Price'!$I$11="OK",G258/INDEX(G$5:G$1258,'Stock Price'!$I$9)-1,"")</f>
        <v>-0.19344806137258963</v>
      </c>
      <c r="U258" s="19">
        <f ca="1">IF('Stock Price'!$I$11="OK",H258/INDEX(H$5:H$1258,'Stock Price'!$I$9)-1,"")</f>
        <v>0.25539473684210523</v>
      </c>
      <c r="V258" s="19">
        <f ca="1">IF('Stock Price'!$I$11="OK",I258/INDEX(I$5:I$1258,'Stock Price'!$I$9)-1,"")</f>
        <v>0.7112787926926134</v>
      </c>
      <c r="W258" s="19">
        <f ca="1">IF('Stock Price'!$I$11="OK",J258/INDEX(J$5:J$1258,'Stock Price'!$I$9)-1,"")</f>
        <v>-0.69181569106594099</v>
      </c>
      <c r="X258" s="19">
        <f ca="1">IF('Stock Price'!$I$11="OK",K258/INDEX(K$5:K$1258,'Stock Price'!$I$9)-1,"")</f>
        <v>0.31387953610175812</v>
      </c>
      <c r="Y258" s="19">
        <f ca="1">IF('Stock Price'!$I$11="OK",L258/INDEX(L$5:L$1258,'Stock Price'!$I$9)-1,"")</f>
        <v>-0.21914637087050881</v>
      </c>
      <c r="Z258" s="19">
        <f ca="1">IF('Stock Price'!$I$11="OK",M258/INDEX(M$5:M$1258,'Stock Price'!$I$9)-1,"")</f>
        <v>-0.3882081025685753</v>
      </c>
    </row>
    <row r="259" spans="1:26" x14ac:dyDescent="0.2">
      <c r="A259" s="16">
        <f>'Stock Price'!A259</f>
        <v>44841</v>
      </c>
      <c r="B259" s="17">
        <f>'Stock Price'!E259</f>
        <v>87.6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-0.17707844058243316</v>
      </c>
      <c r="P259" s="19">
        <f ca="1">IF('Stock Price'!$I$11="OK",C259/INDEX(C$5:C$1258,'Stock Price'!$I$9)-1,"")</f>
        <v>-0.47173668254655698</v>
      </c>
      <c r="Q259" s="19">
        <f ca="1">IF('Stock Price'!$I$11="OK",D259/INDEX(D$5:D$1258,'Stock Price'!$I$9)-1,"")</f>
        <v>-0.40057479129601758</v>
      </c>
      <c r="R259" s="19">
        <f ca="1">IF('Stock Price'!$I$11="OK",E259/INDEX(E$5:E$1258,'Stock Price'!$I$9)-1,"")</f>
        <v>-0.3933104976828532</v>
      </c>
      <c r="S259" s="19">
        <f ca="1">IF('Stock Price'!$I$11="OK",F259/INDEX(F$5:F$1258,'Stock Price'!$I$9)-1,"")</f>
        <v>-0.2104956268221575</v>
      </c>
      <c r="T259" s="19">
        <f ca="1">IF('Stock Price'!$I$11="OK",G259/INDEX(G$5:G$1258,'Stock Price'!$I$9)-1,"")</f>
        <v>-0.19427742069251497</v>
      </c>
      <c r="U259" s="19">
        <f ca="1">IF('Stock Price'!$I$11="OK",H259/INDEX(H$5:H$1258,'Stock Price'!$I$9)-1,"")</f>
        <v>0.24789473684210539</v>
      </c>
      <c r="V259" s="19">
        <f ca="1">IF('Stock Price'!$I$11="OK",I259/INDEX(I$5:I$1258,'Stock Price'!$I$9)-1,"")</f>
        <v>0.68069896743447189</v>
      </c>
      <c r="W259" s="19">
        <f ca="1">IF('Stock Price'!$I$11="OK",J259/INDEX(J$5:J$1258,'Stock Price'!$I$9)-1,"")</f>
        <v>-0.6976378244288941</v>
      </c>
      <c r="X259" s="19">
        <f ca="1">IF('Stock Price'!$I$11="OK",K259/INDEX(K$5:K$1258,'Stock Price'!$I$9)-1,"")</f>
        <v>0.30377852600074817</v>
      </c>
      <c r="Y259" s="19">
        <f ca="1">IF('Stock Price'!$I$11="OK",L259/INDEX(L$5:L$1258,'Stock Price'!$I$9)-1,"")</f>
        <v>-0.22739329635881367</v>
      </c>
      <c r="Z259" s="19">
        <f ca="1">IF('Stock Price'!$I$11="OK",M259/INDEX(M$5:M$1258,'Stock Price'!$I$9)-1,"")</f>
        <v>-0.39488029305307226</v>
      </c>
    </row>
    <row r="260" spans="1:26" x14ac:dyDescent="0.2">
      <c r="A260" s="16">
        <f>'Stock Price'!A260</f>
        <v>44844</v>
      </c>
      <c r="B260" s="17">
        <f>'Stock Price'!E260</f>
        <v>90.48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-0.15002348520432129</v>
      </c>
      <c r="P260" s="19">
        <f ca="1">IF('Stock Price'!$I$11="OK",C260/INDEX(C$5:C$1258,'Stock Price'!$I$9)-1,"")</f>
        <v>-0.47243467590587551</v>
      </c>
      <c r="Q260" s="19">
        <f ca="1">IF('Stock Price'!$I$11="OK",D260/INDEX(D$5:D$1258,'Stock Price'!$I$9)-1,"")</f>
        <v>-0.39455316819488173</v>
      </c>
      <c r="R260" s="19">
        <f ca="1">IF('Stock Price'!$I$11="OK",E260/INDEX(E$5:E$1258,'Stock Price'!$I$9)-1,"")</f>
        <v>-0.3916985694136611</v>
      </c>
      <c r="S260" s="19">
        <f ca="1">IF('Stock Price'!$I$11="OK",F260/INDEX(F$5:F$1258,'Stock Price'!$I$9)-1,"")</f>
        <v>-0.22312925170068032</v>
      </c>
      <c r="T260" s="19">
        <f ca="1">IF('Stock Price'!$I$11="OK",G260/INDEX(G$5:G$1258,'Stock Price'!$I$9)-1,"")</f>
        <v>-0.18930126477296283</v>
      </c>
      <c r="U260" s="19">
        <f ca="1">IF('Stock Price'!$I$11="OK",H260/INDEX(H$5:H$1258,'Stock Price'!$I$9)-1,"")</f>
        <v>0.25092105263157882</v>
      </c>
      <c r="V260" s="19">
        <f ca="1">IF('Stock Price'!$I$11="OK",I260/INDEX(I$5:I$1258,'Stock Price'!$I$9)-1,"")</f>
        <v>0.65806195393169187</v>
      </c>
      <c r="W260" s="19">
        <f ca="1">IF('Stock Price'!$I$11="OK",J260/INDEX(J$5:J$1258,'Stock Price'!$I$9)-1,"")</f>
        <v>-0.70020178459032167</v>
      </c>
      <c r="X260" s="19">
        <f ca="1">IF('Stock Price'!$I$11="OK",K260/INDEX(K$5:K$1258,'Stock Price'!$I$9)-1,"")</f>
        <v>0.28095772540217001</v>
      </c>
      <c r="Y260" s="19">
        <f ca="1">IF('Stock Price'!$I$11="OK",L260/INDEX(L$5:L$1258,'Stock Price'!$I$9)-1,"")</f>
        <v>-0.22638051603568843</v>
      </c>
      <c r="Z260" s="19">
        <f ca="1">IF('Stock Price'!$I$11="OK",M260/INDEX(M$5:M$1258,'Stock Price'!$I$9)-1,"")</f>
        <v>-0.39684270201910077</v>
      </c>
    </row>
    <row r="261" spans="1:26" x14ac:dyDescent="0.2">
      <c r="A261" s="16">
        <f>'Stock Price'!A261</f>
        <v>44845</v>
      </c>
      <c r="B261" s="17">
        <f>'Stock Price'!E261</f>
        <v>91.05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-0.14466885861907008</v>
      </c>
      <c r="P261" s="19">
        <f ca="1">IF('Stock Price'!$I$11="OK",C261/INDEX(C$5:C$1258,'Stock Price'!$I$9)-1,"")</f>
        <v>-0.47026995813483463</v>
      </c>
      <c r="Q261" s="19">
        <f ca="1">IF('Stock Price'!$I$11="OK",D261/INDEX(D$5:D$1258,'Stock Price'!$I$9)-1,"")</f>
        <v>-0.4024360202545505</v>
      </c>
      <c r="R261" s="19">
        <f ca="1">IF('Stock Price'!$I$11="OK",E261/INDEX(E$5:E$1258,'Stock Price'!$I$9)-1,"")</f>
        <v>-0.38686278460608503</v>
      </c>
      <c r="S261" s="19">
        <f ca="1">IF('Stock Price'!$I$11="OK",F261/INDEX(F$5:F$1258,'Stock Price'!$I$9)-1,"")</f>
        <v>-0.21224489795918366</v>
      </c>
      <c r="T261" s="19">
        <f ca="1">IF('Stock Price'!$I$11="OK",G261/INDEX(G$5:G$1258,'Stock Price'!$I$9)-1,"")</f>
        <v>-0.17706821480406387</v>
      </c>
      <c r="U261" s="19">
        <f ca="1">IF('Stock Price'!$I$11="OK",H261/INDEX(H$5:H$1258,'Stock Price'!$I$9)-1,"")</f>
        <v>0.27407894736842109</v>
      </c>
      <c r="V261" s="19">
        <f ca="1">IF('Stock Price'!$I$11="OK",I261/INDEX(I$5:I$1258,'Stock Price'!$I$9)-1,"")</f>
        <v>0.66481334392374913</v>
      </c>
      <c r="W261" s="19">
        <f ca="1">IF('Stock Price'!$I$11="OK",J261/INDEX(J$5:J$1258,'Stock Price'!$I$9)-1,"")</f>
        <v>-0.69676774408530484</v>
      </c>
      <c r="X261" s="19">
        <f ca="1">IF('Stock Price'!$I$11="OK",K261/INDEX(K$5:K$1258,'Stock Price'!$I$9)-1,"")</f>
        <v>0.30284324728769185</v>
      </c>
      <c r="Y261" s="19">
        <f ca="1">IF('Stock Price'!$I$11="OK",L261/INDEX(L$5:L$1258,'Stock Price'!$I$9)-1,"")</f>
        <v>-0.21519170484687733</v>
      </c>
      <c r="Z261" s="19">
        <f ca="1">IF('Stock Price'!$I$11="OK",M261/INDEX(M$5:M$1258,'Stock Price'!$I$9)-1,"")</f>
        <v>-0.38288779381623139</v>
      </c>
    </row>
    <row r="262" spans="1:26" x14ac:dyDescent="0.2">
      <c r="A262" s="16">
        <f>'Stock Price'!A262</f>
        <v>44846</v>
      </c>
      <c r="B262" s="17">
        <f>'Stock Price'!E262</f>
        <v>90.42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-0.15058713010803193</v>
      </c>
      <c r="P262" s="19">
        <f ca="1">IF('Stock Price'!$I$11="OK",C262/INDEX(C$5:C$1258,'Stock Price'!$I$9)-1,"")</f>
        <v>-0.4741107261440739</v>
      </c>
      <c r="Q262" s="19">
        <f ca="1">IF('Stock Price'!$I$11="OK",D262/INDEX(D$5:D$1258,'Stock Price'!$I$9)-1,"")</f>
        <v>-0.40276447242370339</v>
      </c>
      <c r="R262" s="19">
        <f ca="1">IF('Stock Price'!$I$11="OK",E262/INDEX(E$5:E$1258,'Stock Price'!$I$9)-1,"")</f>
        <v>-0.38807173080797908</v>
      </c>
      <c r="S262" s="19">
        <f ca="1">IF('Stock Price'!$I$11="OK",F262/INDEX(F$5:F$1258,'Stock Price'!$I$9)-1,"")</f>
        <v>-0.22099125364431493</v>
      </c>
      <c r="T262" s="19">
        <f ca="1">IF('Stock Price'!$I$11="OK",G262/INDEX(G$5:G$1258,'Stock Price'!$I$9)-1,"")</f>
        <v>-0.18639850715322404</v>
      </c>
      <c r="U262" s="19">
        <f ca="1">IF('Stock Price'!$I$11="OK",H262/INDEX(H$5:H$1258,'Stock Price'!$I$9)-1,"")</f>
        <v>0.29460526315789481</v>
      </c>
      <c r="V262" s="19">
        <f ca="1">IF('Stock Price'!$I$11="OK",I262/INDEX(I$5:I$1258,'Stock Price'!$I$9)-1,"")</f>
        <v>0.66918189038919773</v>
      </c>
      <c r="W262" s="19">
        <f ca="1">IF('Stock Price'!$I$11="OK",J262/INDEX(J$5:J$1258,'Stock Price'!$I$9)-1,"")</f>
        <v>-0.69957236476729978</v>
      </c>
      <c r="X262" s="19">
        <f ca="1">IF('Stock Price'!$I$11="OK",K262/INDEX(K$5:K$1258,'Stock Price'!$I$9)-1,"")</f>
        <v>0.2959221848110738</v>
      </c>
      <c r="Y262" s="19">
        <f ca="1">IF('Stock Price'!$I$11="OK",L262/INDEX(L$5:L$1258,'Stock Price'!$I$9)-1,"")</f>
        <v>-0.2153846153846154</v>
      </c>
      <c r="Z262" s="19">
        <f ca="1">IF('Stock Price'!$I$11="OK",M262/INDEX(M$5:M$1258,'Stock Price'!$I$9)-1,"")</f>
        <v>-0.38955998430072836</v>
      </c>
    </row>
    <row r="263" spans="1:26" x14ac:dyDescent="0.2">
      <c r="A263" s="16">
        <f>'Stock Price'!A263</f>
        <v>44847</v>
      </c>
      <c r="B263" s="17">
        <f>'Stock Price'!E263</f>
        <v>92.49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-0.13114138093001415</v>
      </c>
      <c r="P263" s="19">
        <f ca="1">IF('Stock Price'!$I$11="OK",C263/INDEX(C$5:C$1258,'Stock Price'!$I$9)-1,"")</f>
        <v>-0.46922260718925934</v>
      </c>
      <c r="Q263" s="19">
        <f ca="1">IF('Stock Price'!$I$11="OK",D263/INDEX(D$5:D$1258,'Stock Price'!$I$9)-1,"")</f>
        <v>-0.41097577665252505</v>
      </c>
      <c r="R263" s="19">
        <f ca="1">IF('Stock Price'!$I$11="OK",E263/INDEX(E$5:E$1258,'Stock Price'!$I$9)-1,"")</f>
        <v>-0.38242998186580701</v>
      </c>
      <c r="S263" s="19">
        <f ca="1">IF('Stock Price'!$I$11="OK",F263/INDEX(F$5:F$1258,'Stock Price'!$I$9)-1,"")</f>
        <v>-0.21516034985422738</v>
      </c>
      <c r="T263" s="19">
        <f ca="1">IF('Stock Price'!$I$11="OK",G263/INDEX(G$5:G$1258,'Stock Price'!$I$9)-1,"")</f>
        <v>-0.17229939871449296</v>
      </c>
      <c r="U263" s="19">
        <f ca="1">IF('Stock Price'!$I$11="OK",H263/INDEX(H$5:H$1258,'Stock Price'!$I$9)-1,"")</f>
        <v>0.31039473684210539</v>
      </c>
      <c r="V263" s="19">
        <f ca="1">IF('Stock Price'!$I$11="OK",I263/INDEX(I$5:I$1258,'Stock Price'!$I$9)-1,"")</f>
        <v>0.70691024622716436</v>
      </c>
      <c r="W263" s="19">
        <f ca="1">IF('Stock Price'!$I$11="OK",J263/INDEX(J$5:J$1258,'Stock Price'!$I$9)-1,"")</f>
        <v>-0.6926024658447183</v>
      </c>
      <c r="X263" s="19">
        <f ca="1">IF('Stock Price'!$I$11="OK",K263/INDEX(K$5:K$1258,'Stock Price'!$I$9)-1,"")</f>
        <v>0.32379349046015693</v>
      </c>
      <c r="Y263" s="19">
        <f ca="1">IF('Stock Price'!$I$11="OK",L263/INDEX(L$5:L$1258,'Stock Price'!$I$9)-1,"")</f>
        <v>-0.20352061731372073</v>
      </c>
      <c r="Z263" s="19">
        <f ca="1">IF('Stock Price'!$I$11="OK",M263/INDEX(M$5:M$1258,'Stock Price'!$I$9)-1,"")</f>
        <v>-0.37673891238934198</v>
      </c>
    </row>
    <row r="264" spans="1:26" x14ac:dyDescent="0.2">
      <c r="A264" s="16">
        <f>'Stock Price'!A264</f>
        <v>44848</v>
      </c>
      <c r="B264" s="17">
        <f>'Stock Price'!E264</f>
        <v>92.18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-0.13405354626585242</v>
      </c>
      <c r="P264" s="19">
        <f ca="1">IF('Stock Price'!$I$11="OK",C264/INDEX(C$5:C$1258,'Stock Price'!$I$9)-1,"")</f>
        <v>-0.47229536595928978</v>
      </c>
      <c r="Q264" s="19">
        <f ca="1">IF('Stock Price'!$I$11="OK",D264/INDEX(D$5:D$1258,'Stock Price'!$I$9)-1,"")</f>
        <v>-0.3904475160804709</v>
      </c>
      <c r="R264" s="19">
        <f ca="1">IF('Stock Price'!$I$11="OK",E264/INDEX(E$5:E$1258,'Stock Price'!$I$9)-1,"")</f>
        <v>-0.38122103566391297</v>
      </c>
      <c r="S264" s="19">
        <f ca="1">IF('Stock Price'!$I$11="OK",F264/INDEX(F$5:F$1258,'Stock Price'!$I$9)-1,"")</f>
        <v>-0.21321671525753172</v>
      </c>
      <c r="T264" s="19">
        <f ca="1">IF('Stock Price'!$I$11="OK",G264/INDEX(G$5:G$1258,'Stock Price'!$I$9)-1,"")</f>
        <v>-0.17934895293385855</v>
      </c>
      <c r="U264" s="19">
        <f ca="1">IF('Stock Price'!$I$11="OK",H264/INDEX(H$5:H$1258,'Stock Price'!$I$9)-1,"")</f>
        <v>0.28947368421052633</v>
      </c>
      <c r="V264" s="19">
        <f ca="1">IF('Stock Price'!$I$11="OK",I264/INDEX(I$5:I$1258,'Stock Price'!$I$9)-1,"")</f>
        <v>0.70214455917394747</v>
      </c>
      <c r="W264" s="19">
        <f ca="1">IF('Stock Price'!$I$11="OK",J264/INDEX(J$5:J$1258,'Stock Price'!$I$9)-1,"")</f>
        <v>-0.69325965418934432</v>
      </c>
      <c r="X264" s="19">
        <f ca="1">IF('Stock Price'!$I$11="OK",K264/INDEX(K$5:K$1258,'Stock Price'!$I$9)-1,"")</f>
        <v>0.32098765432098775</v>
      </c>
      <c r="Y264" s="19">
        <f ca="1">IF('Stock Price'!$I$11="OK",L264/INDEX(L$5:L$1258,'Stock Price'!$I$9)-1,"")</f>
        <v>-0.20684832408970333</v>
      </c>
      <c r="Z264" s="19">
        <f ca="1">IF('Stock Price'!$I$11="OK",M264/INDEX(M$5:M$1258,'Stock Price'!$I$9)-1,"")</f>
        <v>-0.37665169421307398</v>
      </c>
    </row>
    <row r="265" spans="1:26" x14ac:dyDescent="0.2">
      <c r="A265" s="16">
        <f>'Stock Price'!A265</f>
        <v>44851</v>
      </c>
      <c r="B265" s="17">
        <f>'Stock Price'!E265</f>
        <v>94.12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-0.11582902771254111</v>
      </c>
      <c r="P265" s="19">
        <f ca="1">IF('Stock Price'!$I$11="OK",C265/INDEX(C$5:C$1258,'Stock Price'!$I$9)-1,"")</f>
        <v>-0.46042370434531543</v>
      </c>
      <c r="Q265" s="19">
        <f ca="1">IF('Stock Price'!$I$11="OK",D265/INDEX(D$5:D$1258,'Stock Price'!$I$9)-1,"")</f>
        <v>-0.37429861776378825</v>
      </c>
      <c r="R265" s="19">
        <f ca="1">IF('Stock Price'!$I$11="OK",E265/INDEX(E$5:E$1258,'Stock Price'!$I$9)-1,"")</f>
        <v>-0.36933306467862181</v>
      </c>
      <c r="S265" s="19">
        <f ca="1">IF('Stock Price'!$I$11="OK",F265/INDEX(F$5:F$1258,'Stock Price'!$I$9)-1,"")</f>
        <v>-0.19922254616132162</v>
      </c>
      <c r="T265" s="19">
        <f ca="1">IF('Stock Price'!$I$11="OK",G265/INDEX(G$5:G$1258,'Stock Price'!$I$9)-1,"")</f>
        <v>-0.16151772755546334</v>
      </c>
      <c r="U265" s="19">
        <f ca="1">IF('Stock Price'!$I$11="OK",H265/INDEX(H$5:H$1258,'Stock Price'!$I$9)-1,"")</f>
        <v>0.32157894736842096</v>
      </c>
      <c r="V265" s="19">
        <f ca="1">IF('Stock Price'!$I$11="OK",I265/INDEX(I$5:I$1258,'Stock Price'!$I$9)-1,"")</f>
        <v>0.73351866560762513</v>
      </c>
      <c r="W265" s="19">
        <f ca="1">IF('Stock Price'!$I$11="OK",J265/INDEX(J$5:J$1258,'Stock Price'!$I$9)-1,"")</f>
        <v>-0.69199155836943238</v>
      </c>
      <c r="X265" s="19">
        <f ca="1">IF('Stock Price'!$I$11="OK",K265/INDEX(K$5:K$1258,'Stock Price'!$I$9)-1,"")</f>
        <v>0.33520389075944612</v>
      </c>
      <c r="Y265" s="19">
        <f ca="1">IF('Stock Price'!$I$11="OK",L265/INDEX(L$5:L$1258,'Stock Price'!$I$9)-1,"")</f>
        <v>-0.19657583795514821</v>
      </c>
      <c r="Z265" s="19">
        <f ca="1">IF('Stock Price'!$I$11="OK",M265/INDEX(M$5:M$1258,'Stock Price'!$I$9)-1,"")</f>
        <v>-0.37024115825738091</v>
      </c>
    </row>
    <row r="266" spans="1:26" x14ac:dyDescent="0.2">
      <c r="A266" s="16">
        <f>'Stock Price'!A266</f>
        <v>44852</v>
      </c>
      <c r="B266" s="17">
        <f>'Stock Price'!E266</f>
        <v>94.61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-0.11122592766557071</v>
      </c>
      <c r="P266" s="19">
        <f ca="1">IF('Stock Price'!$I$11="OK",C266/INDEX(C$5:C$1258,'Stock Price'!$I$9)-1,"")</f>
        <v>-0.45888768586689765</v>
      </c>
      <c r="Q266" s="19">
        <f ca="1">IF('Stock Price'!$I$11="OK",D266/INDEX(D$5:D$1258,'Stock Price'!$I$9)-1,"")</f>
        <v>-0.39849459422471611</v>
      </c>
      <c r="R266" s="19">
        <f ca="1">IF('Stock Price'!$I$11="OK",E266/INDEX(E$5:E$1258,'Stock Price'!$I$9)-1,"")</f>
        <v>-0.37034051984686689</v>
      </c>
      <c r="S266" s="19">
        <f ca="1">IF('Stock Price'!$I$11="OK",F266/INDEX(F$5:F$1258,'Stock Price'!$I$9)-1,"")</f>
        <v>-0.20155490767735673</v>
      </c>
      <c r="T266" s="19">
        <f ca="1">IF('Stock Price'!$I$11="OK",G266/INDEX(G$5:G$1258,'Stock Price'!$I$9)-1,"")</f>
        <v>-0.16960398092473561</v>
      </c>
      <c r="U266" s="19">
        <f ca="1">IF('Stock Price'!$I$11="OK",H266/INDEX(H$5:H$1258,'Stock Price'!$I$9)-1,"")</f>
        <v>0.30881578947368427</v>
      </c>
      <c r="V266" s="19">
        <f ca="1">IF('Stock Price'!$I$11="OK",I266/INDEX(I$5:I$1258,'Stock Price'!$I$9)-1,"")</f>
        <v>0.75099285146942041</v>
      </c>
      <c r="W266" s="19">
        <f ca="1">IF('Stock Price'!$I$11="OK",J266/INDEX(J$5:J$1258,'Stock Price'!$I$9)-1,"")</f>
        <v>-0.68989040690140324</v>
      </c>
      <c r="X266" s="19">
        <f ca="1">IF('Stock Price'!$I$11="OK",K266/INDEX(K$5:K$1258,'Stock Price'!$I$9)-1,"")</f>
        <v>0.34193789749345282</v>
      </c>
      <c r="Y266" s="19">
        <f ca="1">IF('Stock Price'!$I$11="OK",L266/INDEX(L$5:L$1258,'Stock Price'!$I$9)-1,"")</f>
        <v>-0.19937304075235107</v>
      </c>
      <c r="Z266" s="19">
        <f ca="1">IF('Stock Price'!$I$11="OK",M266/INDEX(M$5:M$1258,'Stock Price'!$I$9)-1,"")</f>
        <v>-0.36941258558283552</v>
      </c>
    </row>
    <row r="267" spans="1:26" x14ac:dyDescent="0.2">
      <c r="A267" s="16">
        <f>'Stock Price'!A267</f>
        <v>44853</v>
      </c>
      <c r="B267" s="17">
        <f>'Stock Price'!E267</f>
        <v>93.26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-0.12390793799906052</v>
      </c>
      <c r="P267" s="19">
        <f ca="1">IF('Stock Price'!$I$11="OK",C267/INDEX(C$5:C$1258,'Stock Price'!$I$9)-1,"")</f>
        <v>-0.46573119676627683</v>
      </c>
      <c r="Q267" s="19">
        <f ca="1">IF('Stock Price'!$I$11="OK",D267/INDEX(D$5:D$1258,'Stock Price'!$I$9)-1,"")</f>
        <v>-0.40741754482003567</v>
      </c>
      <c r="R267" s="19">
        <f ca="1">IF('Stock Price'!$I$11="OK",E267/INDEX(E$5:E$1258,'Stock Price'!$I$9)-1,"")</f>
        <v>-0.36913157364497284</v>
      </c>
      <c r="S267" s="19">
        <f ca="1">IF('Stock Price'!$I$11="OK",F267/INDEX(F$5:F$1258,'Stock Price'!$I$9)-1,"")</f>
        <v>-0.2128279883381925</v>
      </c>
      <c r="T267" s="19">
        <f ca="1">IF('Stock Price'!$I$11="OK",G267/INDEX(G$5:G$1258,'Stock Price'!$I$9)-1,"")</f>
        <v>-0.17810491395397055</v>
      </c>
      <c r="U267" s="19">
        <f ca="1">IF('Stock Price'!$I$11="OK",H267/INDEX(H$5:H$1258,'Stock Price'!$I$9)-1,"")</f>
        <v>0.30921052631578938</v>
      </c>
      <c r="V267" s="19">
        <f ca="1">IF('Stock Price'!$I$11="OK",I267/INDEX(I$5:I$1258,'Stock Price'!$I$9)-1,"")</f>
        <v>0.71207307386814933</v>
      </c>
      <c r="W267" s="19">
        <f ca="1">IF('Stock Price'!$I$11="OK",J267/INDEX(J$5:J$1258,'Stock Price'!$I$9)-1,"")</f>
        <v>-0.69520345070161793</v>
      </c>
      <c r="X267" s="19">
        <f ca="1">IF('Stock Price'!$I$11="OK",K267/INDEX(K$5:K$1258,'Stock Price'!$I$9)-1,"")</f>
        <v>0.33071455293677521</v>
      </c>
      <c r="Y267" s="19">
        <f ca="1">IF('Stock Price'!$I$11="OK",L267/INDEX(L$5:L$1258,'Stock Price'!$I$9)-1,"")</f>
        <v>-0.20573908849770917</v>
      </c>
      <c r="Z267" s="19">
        <f ca="1">IF('Stock Price'!$I$11="OK",M267/INDEX(M$5:M$1258,'Stock Price'!$I$9)-1,"")</f>
        <v>-0.3758231215385287</v>
      </c>
    </row>
    <row r="268" spans="1:26" x14ac:dyDescent="0.2">
      <c r="A268" s="16">
        <f>'Stock Price'!A268</f>
        <v>44854</v>
      </c>
      <c r="B268" s="17">
        <f>'Stock Price'!E268</f>
        <v>92.94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-0.12691404415218421</v>
      </c>
      <c r="P268" s="19">
        <f ca="1">IF('Stock Price'!$I$11="OK",C268/INDEX(C$5:C$1258,'Stock Price'!$I$9)-1,"")</f>
        <v>-0.47243467590587551</v>
      </c>
      <c r="Q268" s="19">
        <f ca="1">IF('Stock Price'!$I$11="OK",D268/INDEX(D$5:D$1258,'Stock Price'!$I$9)-1,"")</f>
        <v>-0.39849459422471611</v>
      </c>
      <c r="R268" s="19">
        <f ca="1">IF('Stock Price'!$I$11="OK",E268/INDEX(E$5:E$1258,'Stock Price'!$I$9)-1,"")</f>
        <v>-0.37416884948619789</v>
      </c>
      <c r="S268" s="19">
        <f ca="1">IF('Stock Price'!$I$11="OK",F268/INDEX(F$5:F$1258,'Stock Price'!$I$9)-1,"")</f>
        <v>-0.22137998056365404</v>
      </c>
      <c r="T268" s="19">
        <f ca="1">IF('Stock Price'!$I$11="OK",G268/INDEX(G$5:G$1258,'Stock Price'!$I$9)-1,"")</f>
        <v>-0.17831225378395177</v>
      </c>
      <c r="U268" s="19">
        <f ca="1">IF('Stock Price'!$I$11="OK",H268/INDEX(H$5:H$1258,'Stock Price'!$I$9)-1,"")</f>
        <v>0.31052631578947354</v>
      </c>
      <c r="V268" s="19">
        <f ca="1">IF('Stock Price'!$I$11="OK",I268/INDEX(I$5:I$1258,'Stock Price'!$I$9)-1,"")</f>
        <v>0.70413026211278784</v>
      </c>
      <c r="W268" s="19">
        <f ca="1">IF('Stock Price'!$I$11="OK",J268/INDEX(J$5:J$1258,'Stock Price'!$I$9)-1,"")</f>
        <v>-0.69540708652671324</v>
      </c>
      <c r="X268" s="19">
        <f ca="1">IF('Stock Price'!$I$11="OK",K268/INDEX(K$5:K$1258,'Stock Price'!$I$9)-1,"")</f>
        <v>0.31593714927048255</v>
      </c>
      <c r="Y268" s="19">
        <f ca="1">IF('Stock Price'!$I$11="OK",L268/INDEX(L$5:L$1258,'Stock Price'!$I$9)-1,"")</f>
        <v>-0.2037135278514588</v>
      </c>
      <c r="Z268" s="19">
        <f ca="1">IF('Stock Price'!$I$11="OK",M268/INDEX(M$5:M$1258,'Stock Price'!$I$9)-1,"")</f>
        <v>-0.37669530330120793</v>
      </c>
    </row>
    <row r="269" spans="1:26" x14ac:dyDescent="0.2">
      <c r="A269" s="16">
        <f>'Stock Price'!A269</f>
        <v>44855</v>
      </c>
      <c r="B269" s="17">
        <f>'Stock Price'!E269</f>
        <v>95.67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-0.10126820103334899</v>
      </c>
      <c r="P269" s="19">
        <f ca="1">IF('Stock Price'!$I$11="OK",C269/INDEX(C$5:C$1258,'Stock Price'!$I$9)-1,"")</f>
        <v>-0.46161108705067133</v>
      </c>
      <c r="Q269" s="19">
        <f ca="1">IF('Stock Price'!$I$11="OK",D269/INDEX(D$5:D$1258,'Stock Price'!$I$9)-1,"")</f>
        <v>-0.39838511016833178</v>
      </c>
      <c r="R269" s="19">
        <f ca="1">IF('Stock Price'!$I$11="OK",E269/INDEX(E$5:E$1258,'Stock Price'!$I$9)-1,"")</f>
        <v>-0.35784807576062871</v>
      </c>
      <c r="S269" s="19">
        <f ca="1">IF('Stock Price'!$I$11="OK",F269/INDEX(F$5:F$1258,'Stock Price'!$I$9)-1,"")</f>
        <v>-0.20777453838678339</v>
      </c>
      <c r="T269" s="19">
        <f ca="1">IF('Stock Price'!$I$11="OK",G269/INDEX(G$5:G$1258,'Stock Price'!$I$9)-1,"")</f>
        <v>-0.16151772755546334</v>
      </c>
      <c r="U269" s="19">
        <f ca="1">IF('Stock Price'!$I$11="OK",H269/INDEX(H$5:H$1258,'Stock Price'!$I$9)-1,"")</f>
        <v>0.31578947368421062</v>
      </c>
      <c r="V269" s="19">
        <f ca="1">IF('Stock Price'!$I$11="OK",I269/INDEX(I$5:I$1258,'Stock Price'!$I$9)-1,"")</f>
        <v>0.78514694201747437</v>
      </c>
      <c r="W269" s="19">
        <f ca="1">IF('Stock Price'!$I$11="OK",J269/INDEX(J$5:J$1258,'Stock Price'!$I$9)-1,"")</f>
        <v>-0.68457736310118844</v>
      </c>
      <c r="X269" s="19">
        <f ca="1">IF('Stock Price'!$I$11="OK",K269/INDEX(K$5:K$1258,'Stock Price'!$I$9)-1,"")</f>
        <v>0.35072951739618397</v>
      </c>
      <c r="Y269" s="19">
        <f ca="1">IF('Stock Price'!$I$11="OK",L269/INDEX(L$5:L$1258,'Stock Price'!$I$9)-1,"")</f>
        <v>-0.18635157945502767</v>
      </c>
      <c r="Z269" s="19">
        <f ca="1">IF('Stock Price'!$I$11="OK",M269/INDEX(M$5:M$1258,'Stock Price'!$I$9)-1,"")</f>
        <v>-0.3586847499018796</v>
      </c>
    </row>
    <row r="270" spans="1:26" x14ac:dyDescent="0.2">
      <c r="A270" s="16">
        <f>'Stock Price'!A270</f>
        <v>44858</v>
      </c>
      <c r="B270" s="17">
        <f>'Stock Price'!E270</f>
        <v>97.37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-8.5298262094880228E-2</v>
      </c>
      <c r="P270" s="19">
        <f ca="1">IF('Stock Price'!$I$11="OK",C270/INDEX(C$5:C$1258,'Stock Price'!$I$9)-1,"")</f>
        <v>-0.45735166738847988</v>
      </c>
      <c r="Q270" s="19">
        <f ca="1">IF('Stock Price'!$I$11="OK",D270/INDEX(D$5:D$1258,'Stock Price'!$I$9)-1,"")</f>
        <v>-0.4035308608183934</v>
      </c>
      <c r="R270" s="19">
        <f ca="1">IF('Stock Price'!$I$11="OK",E270/INDEX(E$5:E$1258,'Stock Price'!$I$9)-1,"")</f>
        <v>-0.36006447713076772</v>
      </c>
      <c r="S270" s="19">
        <f ca="1">IF('Stock Price'!$I$11="OK",F270/INDEX(F$5:F$1258,'Stock Price'!$I$9)-1,"")</f>
        <v>-0.20952380952380956</v>
      </c>
      <c r="T270" s="19">
        <f ca="1">IF('Stock Price'!$I$11="OK",G270/INDEX(G$5:G$1258,'Stock Price'!$I$9)-1,"")</f>
        <v>-0.15363881401617241</v>
      </c>
      <c r="U270" s="19">
        <f ca="1">IF('Stock Price'!$I$11="OK",H270/INDEX(H$5:H$1258,'Stock Price'!$I$9)-1,"")</f>
        <v>0.34210526315789469</v>
      </c>
      <c r="V270" s="19">
        <f ca="1">IF('Stock Price'!$I$11="OK",I270/INDEX(I$5:I$1258,'Stock Price'!$I$9)-1,"")</f>
        <v>0.80857823669579032</v>
      </c>
      <c r="W270" s="19">
        <f ca="1">IF('Stock Price'!$I$11="OK",J270/INDEX(J$5:J$1258,'Stock Price'!$I$9)-1,"")</f>
        <v>-0.67797771113332594</v>
      </c>
      <c r="X270" s="19">
        <f ca="1">IF('Stock Price'!$I$11="OK",K270/INDEX(K$5:K$1258,'Stock Price'!$I$9)-1,"")</f>
        <v>0.36531986531986527</v>
      </c>
      <c r="Y270" s="19">
        <f ca="1">IF('Stock Price'!$I$11="OK",L270/INDEX(L$5:L$1258,'Stock Price'!$I$9)-1,"")</f>
        <v>-0.17540390643838921</v>
      </c>
      <c r="Z270" s="19">
        <f ca="1">IF('Stock Price'!$I$11="OK",M270/INDEX(M$5:M$1258,'Stock Price'!$I$9)-1,"")</f>
        <v>-0.34198246914657016</v>
      </c>
    </row>
    <row r="271" spans="1:26" x14ac:dyDescent="0.2">
      <c r="A271" s="16">
        <f>'Stock Price'!A271</f>
        <v>44859</v>
      </c>
      <c r="B271" s="17">
        <f>'Stock Price'!E271</f>
        <v>97.71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-8.2104274307186587E-2</v>
      </c>
      <c r="P271" s="19">
        <f ca="1">IF('Stock Price'!$I$11="OK",C271/INDEX(C$5:C$1258,'Stock Price'!$I$9)-1,"")</f>
        <v>-0.45176483326115202</v>
      </c>
      <c r="Q271" s="19">
        <f ca="1">IF('Stock Price'!$I$11="OK",D271/INDEX(D$5:D$1258,'Stock Price'!$I$9)-1,"")</f>
        <v>-0.39126919392363491</v>
      </c>
      <c r="R271" s="19">
        <f ca="1">IF('Stock Price'!$I$11="OK",E271/INDEX(E$5:E$1258,'Stock Price'!$I$9)-1,"")</f>
        <v>-0.35039290751561558</v>
      </c>
      <c r="S271" s="19">
        <f ca="1">IF('Stock Price'!$I$11="OK",F271/INDEX(F$5:F$1258,'Stock Price'!$I$9)-1,"")</f>
        <v>-0.18950437317784252</v>
      </c>
      <c r="T271" s="19">
        <f ca="1">IF('Stock Price'!$I$11="OK",G271/INDEX(G$5:G$1258,'Stock Price'!$I$9)-1,"")</f>
        <v>-0.1441011818370308</v>
      </c>
      <c r="U271" s="19">
        <f ca="1">IF('Stock Price'!$I$11="OK",H271/INDEX(H$5:H$1258,'Stock Price'!$I$9)-1,"")</f>
        <v>0.3386842105263157</v>
      </c>
      <c r="V271" s="19">
        <f ca="1">IF('Stock Price'!$I$11="OK",I271/INDEX(I$5:I$1258,'Stock Price'!$I$9)-1,"")</f>
        <v>0.81056393963463091</v>
      </c>
      <c r="W271" s="19">
        <f ca="1">IF('Stock Price'!$I$11="OK",J271/INDEX(J$5:J$1258,'Stock Price'!$I$9)-1,"")</f>
        <v>-0.6748213558443481</v>
      </c>
      <c r="X271" s="19">
        <f ca="1">IF('Stock Price'!$I$11="OK",K271/INDEX(K$5:K$1258,'Stock Price'!$I$9)-1,"")</f>
        <v>0.36120463898241661</v>
      </c>
      <c r="Y271" s="19">
        <f ca="1">IF('Stock Price'!$I$11="OK",L271/INDEX(L$5:L$1258,'Stock Price'!$I$9)-1,"")</f>
        <v>-0.17670605256812144</v>
      </c>
      <c r="Z271" s="19">
        <f ca="1">IF('Stock Price'!$I$11="OK",M271/INDEX(M$5:M$1258,'Stock Price'!$I$9)-1,"")</f>
        <v>-0.34664864157690467</v>
      </c>
    </row>
    <row r="272" spans="1:26" x14ac:dyDescent="0.2">
      <c r="A272" s="16">
        <f>'Stock Price'!A272</f>
        <v>44860</v>
      </c>
      <c r="B272" s="17">
        <f>'Stock Price'!E272</f>
        <v>98.41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-7.5528417097228795E-2</v>
      </c>
      <c r="P272" s="19">
        <f ca="1">IF('Stock Price'!$I$11="OK",C272/INDEX(C$5:C$1258,'Stock Price'!$I$9)-1,"")</f>
        <v>-0.44408401905586836</v>
      </c>
      <c r="Q272" s="19">
        <f ca="1">IF('Stock Price'!$I$11="OK",D272/INDEX(D$5:D$1258,'Stock Price'!$I$9)-1,"")</f>
        <v>-0.37334063227042569</v>
      </c>
      <c r="R272" s="19">
        <f ca="1">IF('Stock Price'!$I$11="OK",E272/INDEX(E$5:E$1258,'Stock Price'!$I$9)-1,"")</f>
        <v>-0.34132581100141046</v>
      </c>
      <c r="S272" s="19">
        <f ca="1">IF('Stock Price'!$I$11="OK",F272/INDEX(F$5:F$1258,'Stock Price'!$I$9)-1,"")</f>
        <v>-0.18872691933916419</v>
      </c>
      <c r="T272" s="19">
        <f ca="1">IF('Stock Price'!$I$11="OK",G272/INDEX(G$5:G$1258,'Stock Price'!$I$9)-1,"")</f>
        <v>-0.13228281152809451</v>
      </c>
      <c r="U272" s="19">
        <f ca="1">IF('Stock Price'!$I$11="OK",H272/INDEX(H$5:H$1258,'Stock Price'!$I$9)-1,"")</f>
        <v>0.36263157894736842</v>
      </c>
      <c r="V272" s="19">
        <f ca="1">IF('Stock Price'!$I$11="OK",I272/INDEX(I$5:I$1258,'Stock Price'!$I$9)-1,"")</f>
        <v>0.82922954725972997</v>
      </c>
      <c r="W272" s="19">
        <f ca="1">IF('Stock Price'!$I$11="OK",J272/INDEX(J$5:J$1258,'Stock Price'!$I$9)-1,"")</f>
        <v>-0.66875856196082784</v>
      </c>
      <c r="X272" s="19">
        <f ca="1">IF('Stock Price'!$I$11="OK",K272/INDEX(K$5:K$1258,'Stock Price'!$I$9)-1,"")</f>
        <v>0.39263000374111479</v>
      </c>
      <c r="Y272" s="19">
        <f ca="1">IF('Stock Price'!$I$11="OK",L272/INDEX(L$5:L$1258,'Stock Price'!$I$9)-1,"")</f>
        <v>-0.16947190740294182</v>
      </c>
      <c r="Z272" s="19">
        <f ca="1">IF('Stock Price'!$I$11="OK",M272/INDEX(M$5:M$1258,'Stock Price'!$I$9)-1,"")</f>
        <v>-0.33491779686886747</v>
      </c>
    </row>
    <row r="273" spans="1:26" x14ac:dyDescent="0.2">
      <c r="A273" s="16">
        <f>'Stock Price'!A273</f>
        <v>44861</v>
      </c>
      <c r="B273" s="17">
        <f>'Stock Price'!E273</f>
        <v>99.74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-6.3034288398309157E-2</v>
      </c>
      <c r="P273" s="19">
        <f ca="1">IF('Stock Price'!$I$11="OK",C273/INDEX(C$5:C$1258,'Stock Price'!$I$9)-1,"")</f>
        <v>-0.44457268658871085</v>
      </c>
      <c r="Q273" s="19">
        <f ca="1">IF('Stock Price'!$I$11="OK",D273/INDEX(D$5:D$1258,'Stock Price'!$I$9)-1,"")</f>
        <v>-0.36855070480361307</v>
      </c>
      <c r="R273" s="19">
        <f ca="1">IF('Stock Price'!$I$11="OK",E273/INDEX(E$5:E$1258,'Stock Price'!$I$9)-1,"")</f>
        <v>-0.34072133790046344</v>
      </c>
      <c r="S273" s="19">
        <f ca="1">IF('Stock Price'!$I$11="OK",F273/INDEX(F$5:F$1258,'Stock Price'!$I$9)-1,"")</f>
        <v>-0.20213799805636545</v>
      </c>
      <c r="T273" s="19">
        <f ca="1">IF('Stock Price'!$I$11="OK",G273/INDEX(G$5:G$1258,'Stock Price'!$I$9)-1,"")</f>
        <v>-0.13788098693759065</v>
      </c>
      <c r="U273" s="19">
        <f ca="1">IF('Stock Price'!$I$11="OK",H273/INDEX(H$5:H$1258,'Stock Price'!$I$9)-1,"")</f>
        <v>0.37052631578947359</v>
      </c>
      <c r="V273" s="19">
        <f ca="1">IF('Stock Price'!$I$11="OK",I273/INDEX(I$5:I$1258,'Stock Price'!$I$9)-1,"")</f>
        <v>0.81652104845115181</v>
      </c>
      <c r="W273" s="19">
        <f ca="1">IF('Stock Price'!$I$11="OK",J273/INDEX(J$5:J$1258,'Stock Price'!$I$9)-1,"")</f>
        <v>-0.67017475656262726</v>
      </c>
      <c r="X273" s="19">
        <f ca="1">IF('Stock Price'!$I$11="OK",K273/INDEX(K$5:K$1258,'Stock Price'!$I$9)-1,"")</f>
        <v>0.39543583988028419</v>
      </c>
      <c r="Y273" s="19">
        <f ca="1">IF('Stock Price'!$I$11="OK",L273/INDEX(L$5:L$1258,'Stock Price'!$I$9)-1,"")</f>
        <v>-0.16898963105859655</v>
      </c>
      <c r="Z273" s="19">
        <f ca="1">IF('Stock Price'!$I$11="OK",M273/INDEX(M$5:M$1258,'Stock Price'!$I$9)-1,"")</f>
        <v>-0.33060049714360473</v>
      </c>
    </row>
    <row r="274" spans="1:26" x14ac:dyDescent="0.2">
      <c r="A274" s="16">
        <f>'Stock Price'!A274</f>
        <v>44862</v>
      </c>
      <c r="B274" s="17">
        <f>'Stock Price'!E274</f>
        <v>100.77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-5.3358384217942811E-2</v>
      </c>
      <c r="P274" s="19">
        <f ca="1">IF('Stock Price'!$I$11="OK",C274/INDEX(C$5:C$1258,'Stock Price'!$I$9)-1,"")</f>
        <v>-0.43605312545113328</v>
      </c>
      <c r="Q274" s="19">
        <f ca="1">IF('Stock Price'!$I$11="OK",D274/INDEX(D$5:D$1258,'Stock Price'!$I$9)-1,"")</f>
        <v>-0.37375119748186669</v>
      </c>
      <c r="R274" s="19">
        <f ca="1">IF('Stock Price'!$I$11="OK",E274/INDEX(E$5:E$1258,'Stock Price'!$I$9)-1,"")</f>
        <v>-0.32963933104976828</v>
      </c>
      <c r="S274" s="19">
        <f ca="1">IF('Stock Price'!$I$11="OK",F274/INDEX(F$5:F$1258,'Stock Price'!$I$9)-1,"")</f>
        <v>-0.19125364431486891</v>
      </c>
      <c r="T274" s="19">
        <f ca="1">IF('Stock Price'!$I$11="OK",G274/INDEX(G$5:G$1258,'Stock Price'!$I$9)-1,"")</f>
        <v>-0.10740203193033382</v>
      </c>
      <c r="U274" s="19">
        <f ca="1">IF('Stock Price'!$I$11="OK",H274/INDEX(H$5:H$1258,'Stock Price'!$I$9)-1,"")</f>
        <v>0.38684210526315788</v>
      </c>
      <c r="V274" s="19">
        <f ca="1">IF('Stock Price'!$I$11="OK",I274/INDEX(I$5:I$1258,'Stock Price'!$I$9)-1,"")</f>
        <v>0.88363780778395551</v>
      </c>
      <c r="W274" s="19">
        <f ca="1">IF('Stock Price'!$I$11="OK",J274/INDEX(J$5:J$1258,'Stock Price'!$I$9)-1,"")</f>
        <v>-0.66687030249176193</v>
      </c>
      <c r="X274" s="19">
        <f ca="1">IF('Stock Price'!$I$11="OK",K274/INDEX(K$5:K$1258,'Stock Price'!$I$9)-1,"")</f>
        <v>0.43714927048260366</v>
      </c>
      <c r="Y274" s="19">
        <f ca="1">IF('Stock Price'!$I$11="OK",L274/INDEX(L$5:L$1258,'Stock Price'!$I$9)-1,"")</f>
        <v>-0.1566433566433566</v>
      </c>
      <c r="Z274" s="19">
        <f ca="1">IF('Stock Price'!$I$11="OK",M274/INDEX(M$5:M$1258,'Stock Price'!$I$9)-1,"")</f>
        <v>-0.35628625005451131</v>
      </c>
    </row>
    <row r="275" spans="1:26" x14ac:dyDescent="0.2">
      <c r="A275" s="16">
        <f>'Stock Price'!A275</f>
        <v>44865</v>
      </c>
      <c r="B275" s="17">
        <f>'Stock Price'!E275</f>
        <v>101.2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-4.9318929074682938E-2</v>
      </c>
      <c r="P275" s="19">
        <f ca="1">IF('Stock Price'!$I$11="OK",C275/INDEX(C$5:C$1258,'Stock Price'!$I$9)-1,"")</f>
        <v>-0.43346975602714011</v>
      </c>
      <c r="Q275" s="19">
        <f ca="1">IF('Stock Price'!$I$11="OK",D275/INDEX(D$5:D$1258,'Stock Price'!$I$9)-1,"")</f>
        <v>-0.36258382373066922</v>
      </c>
      <c r="R275" s="19">
        <f ca="1">IF('Stock Price'!$I$11="OK",E275/INDEX(E$5:E$1258,'Stock Price'!$I$9)-1,"")</f>
        <v>-0.33165424138625832</v>
      </c>
      <c r="S275" s="19">
        <f ca="1">IF('Stock Price'!$I$11="OK",F275/INDEX(F$5:F$1258,'Stock Price'!$I$9)-1,"")</f>
        <v>-0.19650145772594751</v>
      </c>
      <c r="T275" s="19">
        <f ca="1">IF('Stock Price'!$I$11="OK",G275/INDEX(G$5:G$1258,'Stock Price'!$I$9)-1,"")</f>
        <v>-0.10366991499066969</v>
      </c>
      <c r="U275" s="19">
        <f ca="1">IF('Stock Price'!$I$11="OK",H275/INDEX(H$5:H$1258,'Stock Price'!$I$9)-1,"")</f>
        <v>0.40052631578947362</v>
      </c>
      <c r="V275" s="19">
        <f ca="1">IF('Stock Price'!$I$11="OK",I275/INDEX(I$5:I$1258,'Stock Price'!$I$9)-1,"")</f>
        <v>0.84868943606036518</v>
      </c>
      <c r="W275" s="19">
        <f ca="1">IF('Stock Price'!$I$11="OK",J275/INDEX(J$5:J$1258,'Stock Price'!$I$9)-1,"")</f>
        <v>-0.66484320041467659</v>
      </c>
      <c r="X275" s="19">
        <f ca="1">IF('Stock Price'!$I$11="OK",K275/INDEX(K$5:K$1258,'Stock Price'!$I$9)-1,"")</f>
        <v>0.44912083800972691</v>
      </c>
      <c r="Y275" s="19">
        <f ca="1">IF('Stock Price'!$I$11="OK",L275/INDEX(L$5:L$1258,'Stock Price'!$I$9)-1,"")</f>
        <v>-0.16098384374246444</v>
      </c>
      <c r="Z275" s="19">
        <f ca="1">IF('Stock Price'!$I$11="OK",M275/INDEX(M$5:M$1258,'Stock Price'!$I$9)-1,"")</f>
        <v>-0.36156294971872138</v>
      </c>
    </row>
    <row r="276" spans="1:26" x14ac:dyDescent="0.2">
      <c r="A276" s="16">
        <f>'Stock Price'!A276</f>
        <v>44866</v>
      </c>
      <c r="B276" s="17">
        <f>'Stock Price'!E276</f>
        <v>99.76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-6.2846406763738871E-2</v>
      </c>
      <c r="P276" s="19">
        <f ca="1">IF('Stock Price'!$I$11="OK",C276/INDEX(C$5:C$1258,'Stock Price'!$I$9)-1,"")</f>
        <v>-0.43395842355998271</v>
      </c>
      <c r="Q276" s="19">
        <f ca="1">IF('Stock Price'!$I$11="OK",D276/INDEX(D$5:D$1258,'Stock Price'!$I$9)-1,"")</f>
        <v>-0.35349664705077333</v>
      </c>
      <c r="R276" s="19">
        <f ca="1">IF('Stock Price'!$I$11="OK",E276/INDEX(E$5:E$1258,'Stock Price'!$I$9)-1,"")</f>
        <v>-0.32581100141043728</v>
      </c>
      <c r="S276" s="19">
        <f ca="1">IF('Stock Price'!$I$11="OK",F276/INDEX(F$5:F$1258,'Stock Price'!$I$9)-1,"")</f>
        <v>-0.19961127308066084</v>
      </c>
      <c r="T276" s="19">
        <f ca="1">IF('Stock Price'!$I$11="OK",G276/INDEX(G$5:G$1258,'Stock Price'!$I$9)-1,"")</f>
        <v>-0.10864607091022171</v>
      </c>
      <c r="U276" s="19">
        <f ca="1">IF('Stock Price'!$I$11="OK",H276/INDEX(H$5:H$1258,'Stock Price'!$I$9)-1,"")</f>
        <v>0.41736842105263161</v>
      </c>
      <c r="V276" s="19">
        <f ca="1">IF('Stock Price'!$I$11="OK",I276/INDEX(I$5:I$1258,'Stock Price'!$I$9)-1,"")</f>
        <v>0.90667196187450361</v>
      </c>
      <c r="W276" s="19">
        <f ca="1">IF('Stock Price'!$I$11="OK",J276/INDEX(J$5:J$1258,'Stock Price'!$I$9)-1,"")</f>
        <v>-0.67364582176311605</v>
      </c>
      <c r="X276" s="19">
        <f ca="1">IF('Stock Price'!$I$11="OK",K276/INDEX(K$5:K$1258,'Stock Price'!$I$9)-1,"")</f>
        <v>0.45342312008978669</v>
      </c>
      <c r="Y276" s="19">
        <f ca="1">IF('Stock Price'!$I$11="OK",L276/INDEX(L$5:L$1258,'Stock Price'!$I$9)-1,"")</f>
        <v>-0.16522787557270313</v>
      </c>
      <c r="Z276" s="19">
        <f ca="1">IF('Stock Price'!$I$11="OK",M276/INDEX(M$5:M$1258,'Stock Price'!$I$9)-1,"")</f>
        <v>-0.3593388862238891</v>
      </c>
    </row>
    <row r="277" spans="1:26" x14ac:dyDescent="0.2">
      <c r="A277" s="16">
        <f>'Stock Price'!A277</f>
        <v>44867</v>
      </c>
      <c r="B277" s="17">
        <f>'Stock Price'!E277</f>
        <v>99.4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-6.6228276186002799E-2</v>
      </c>
      <c r="P277" s="19">
        <f ca="1">IF('Stock Price'!$I$11="OK",C277/INDEX(C$5:C$1258,'Stock Price'!$I$9)-1,"")</f>
        <v>-0.43724050815648907</v>
      </c>
      <c r="Q277" s="19">
        <f ca="1">IF('Stock Price'!$I$11="OK",D277/INDEX(D$5:D$1258,'Stock Price'!$I$9)-1,"")</f>
        <v>-0.34309566169426586</v>
      </c>
      <c r="R277" s="19">
        <f ca="1">IF('Stock Price'!$I$11="OK",E277/INDEX(E$5:E$1258,'Stock Price'!$I$9)-1,"")</f>
        <v>-0.33266169655450339</v>
      </c>
      <c r="S277" s="19">
        <f ca="1">IF('Stock Price'!$I$11="OK",F277/INDEX(F$5:F$1258,'Stock Price'!$I$9)-1,"")</f>
        <v>-0.19941690962099134</v>
      </c>
      <c r="T277" s="19">
        <f ca="1">IF('Stock Price'!$I$11="OK",G277/INDEX(G$5:G$1258,'Stock Price'!$I$9)-1,"")</f>
        <v>-0.1096827700601285</v>
      </c>
      <c r="U277" s="19">
        <f ca="1">IF('Stock Price'!$I$11="OK",H277/INDEX(H$5:H$1258,'Stock Price'!$I$9)-1,"")</f>
        <v>0.40552631578947351</v>
      </c>
      <c r="V277" s="19">
        <f ca="1">IF('Stock Price'!$I$11="OK",I277/INDEX(I$5:I$1258,'Stock Price'!$I$9)-1,"")</f>
        <v>0.86934074662430505</v>
      </c>
      <c r="W277" s="19">
        <f ca="1">IF('Stock Price'!$I$11="OK",J277/INDEX(J$5:J$1258,'Stock Price'!$I$9)-1,"")</f>
        <v>-0.67144285238253909</v>
      </c>
      <c r="X277" s="19">
        <f ca="1">IF('Stock Price'!$I$11="OK",K277/INDEX(K$5:K$1258,'Stock Price'!$I$9)-1,"")</f>
        <v>0.44874672652450442</v>
      </c>
      <c r="Y277" s="19">
        <f ca="1">IF('Stock Price'!$I$11="OK",L277/INDEX(L$5:L$1258,'Stock Price'!$I$9)-1,"")</f>
        <v>-0.17805642633228835</v>
      </c>
      <c r="Z277" s="19">
        <f ca="1">IF('Stock Price'!$I$11="OK",M277/INDEX(M$5:M$1258,'Stock Price'!$I$9)-1,"")</f>
        <v>-0.36976145828790719</v>
      </c>
    </row>
    <row r="278" spans="1:26" x14ac:dyDescent="0.2">
      <c r="A278" s="16">
        <f>'Stock Price'!A278</f>
        <v>44868</v>
      </c>
      <c r="B278" s="17">
        <f>'Stock Price'!E278</f>
        <v>98.75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-7.2334429309535042E-2</v>
      </c>
      <c r="P278" s="19">
        <f ca="1">IF('Stock Price'!$I$11="OK",C278/INDEX(C$5:C$1258,'Stock Price'!$I$9)-1,"")</f>
        <v>-0.43870723256821131</v>
      </c>
      <c r="Q278" s="19">
        <f ca="1">IF('Stock Price'!$I$11="OK",D278/INDEX(D$5:D$1258,'Stock Price'!$I$9)-1,"")</f>
        <v>-0.33789516901601202</v>
      </c>
      <c r="R278" s="19">
        <f ca="1">IF('Stock Price'!$I$11="OK",E278/INDEX(E$5:E$1258,'Stock Price'!$I$9)-1,"")</f>
        <v>-0.33830344549667535</v>
      </c>
      <c r="S278" s="19">
        <f ca="1">IF('Stock Price'!$I$11="OK",F278/INDEX(F$5:F$1258,'Stock Price'!$I$9)-1,"")</f>
        <v>-0.20485908649173967</v>
      </c>
      <c r="T278" s="19">
        <f ca="1">IF('Stock Price'!$I$11="OK",G278/INDEX(G$5:G$1258,'Stock Price'!$I$9)-1,"")</f>
        <v>-0.11175616835994184</v>
      </c>
      <c r="U278" s="19">
        <f ca="1">IF('Stock Price'!$I$11="OK",H278/INDEX(H$5:H$1258,'Stock Price'!$I$9)-1,"")</f>
        <v>0.39657894736842114</v>
      </c>
      <c r="V278" s="19">
        <f ca="1">IF('Stock Price'!$I$11="OK",I278/INDEX(I$5:I$1258,'Stock Price'!$I$9)-1,"")</f>
        <v>0.84948371723590155</v>
      </c>
      <c r="W278" s="19">
        <f ca="1">IF('Stock Price'!$I$11="OK",J278/INDEX(J$5:J$1258,'Stock Price'!$I$9)-1,"")</f>
        <v>-0.66522270354326329</v>
      </c>
      <c r="X278" s="19">
        <f ca="1">IF('Stock Price'!$I$11="OK",K278/INDEX(K$5:K$1258,'Stock Price'!$I$9)-1,"")</f>
        <v>0.46801346801346799</v>
      </c>
      <c r="Y278" s="19">
        <f ca="1">IF('Stock Price'!$I$11="OK",L278/INDEX(L$5:L$1258,'Stock Price'!$I$9)-1,"")</f>
        <v>-0.17665782493368698</v>
      </c>
      <c r="Z278" s="19">
        <f ca="1">IF('Stock Price'!$I$11="OK",M278/INDEX(M$5:M$1258,'Stock Price'!$I$9)-1,"")</f>
        <v>-0.37019754916924696</v>
      </c>
    </row>
    <row r="279" spans="1:26" x14ac:dyDescent="0.2">
      <c r="A279" s="16">
        <f>'Stock Price'!A279</f>
        <v>44869</v>
      </c>
      <c r="B279" s="17">
        <f>'Stock Price'!E279</f>
        <v>99.2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-6.8107092531704994E-2</v>
      </c>
      <c r="P279" s="19">
        <f ca="1">IF('Stock Price'!$I$11="OK",C279/INDEX(C$5:C$1258,'Stock Price'!$I$9)-1,"")</f>
        <v>-0.42934964631153449</v>
      </c>
      <c r="Q279" s="19">
        <f ca="1">IF('Stock Price'!$I$11="OK",D279/INDEX(D$5:D$1258,'Stock Price'!$I$9)-1,"")</f>
        <v>-0.34342411386341865</v>
      </c>
      <c r="R279" s="19">
        <f ca="1">IF('Stock Price'!$I$11="OK",E279/INDEX(E$5:E$1258,'Stock Price'!$I$9)-1,"")</f>
        <v>-0.33528107999194035</v>
      </c>
      <c r="S279" s="19">
        <f ca="1">IF('Stock Price'!$I$11="OK",F279/INDEX(F$5:F$1258,'Stock Price'!$I$9)-1,"")</f>
        <v>-0.20213799805636545</v>
      </c>
      <c r="T279" s="19">
        <f ca="1">IF('Stock Price'!$I$11="OK",G279/INDEX(G$5:G$1258,'Stock Price'!$I$9)-1,"")</f>
        <v>-9.558366162139742E-2</v>
      </c>
      <c r="U279" s="19">
        <f ca="1">IF('Stock Price'!$I$11="OK",H279/INDEX(H$5:H$1258,'Stock Price'!$I$9)-1,"")</f>
        <v>0.41789473684210532</v>
      </c>
      <c r="V279" s="19">
        <f ca="1">IF('Stock Price'!$I$11="OK",I279/INDEX(I$5:I$1258,'Stock Price'!$I$9)-1,"")</f>
        <v>0.87529785544082594</v>
      </c>
      <c r="W279" s="19">
        <f ca="1">IF('Stock Price'!$I$11="OK",J279/INDEX(J$5:J$1258,'Stock Price'!$I$9)-1,"")</f>
        <v>-0.66917508978488649</v>
      </c>
      <c r="X279" s="19">
        <f ca="1">IF('Stock Price'!$I$11="OK",K279/INDEX(K$5:K$1258,'Stock Price'!$I$9)-1,"")</f>
        <v>0.47362514029180702</v>
      </c>
      <c r="Y279" s="19">
        <f ca="1">IF('Stock Price'!$I$11="OK",L279/INDEX(L$5:L$1258,'Stock Price'!$I$9)-1,"")</f>
        <v>-0.17299252471666271</v>
      </c>
      <c r="Z279" s="19">
        <f ca="1">IF('Stock Price'!$I$11="OK",M279/INDEX(M$5:M$1258,'Stock Price'!$I$9)-1,"")</f>
        <v>-0.36644716758972573</v>
      </c>
    </row>
    <row r="280" spans="1:26" x14ac:dyDescent="0.2">
      <c r="A280" s="16">
        <f>'Stock Price'!A280</f>
        <v>44872</v>
      </c>
      <c r="B280" s="17">
        <f>'Stock Price'!E280</f>
        <v>100.07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-5.9934241427900492E-2</v>
      </c>
      <c r="P280" s="19">
        <f ca="1">IF('Stock Price'!$I$11="OK",C280/INDEX(C$5:C$1258,'Stock Price'!$I$9)-1,"")</f>
        <v>-0.4287209470189115</v>
      </c>
      <c r="Q280" s="19">
        <f ca="1">IF('Stock Price'!$I$11="OK",D280/INDEX(D$5:D$1258,'Stock Price'!$I$9)-1,"")</f>
        <v>-0.34189133707403863</v>
      </c>
      <c r="R280" s="19">
        <f ca="1">IF('Stock Price'!$I$11="OK",E280/INDEX(E$5:E$1258,'Stock Price'!$I$9)-1,"")</f>
        <v>-0.35643763852508559</v>
      </c>
      <c r="S280" s="19">
        <f ca="1">IF('Stock Price'!$I$11="OK",F280/INDEX(F$5:F$1258,'Stock Price'!$I$9)-1,"")</f>
        <v>-0.20641399416909634</v>
      </c>
      <c r="T280" s="19">
        <f ca="1">IF('Stock Price'!$I$11="OK",G280/INDEX(G$5:G$1258,'Stock Price'!$I$9)-1,"")</f>
        <v>-9.9108438731080106E-2</v>
      </c>
      <c r="U280" s="19">
        <f ca="1">IF('Stock Price'!$I$11="OK",H280/INDEX(H$5:H$1258,'Stock Price'!$I$9)-1,"")</f>
        <v>0.42842105263157904</v>
      </c>
      <c r="V280" s="19">
        <f ca="1">IF('Stock Price'!$I$11="OK",I280/INDEX(I$5:I$1258,'Stock Price'!$I$9)-1,"")</f>
        <v>0.8701350277998412</v>
      </c>
      <c r="W280" s="19">
        <f ca="1">IF('Stock Price'!$I$11="OK",J280/INDEX(J$5:J$1258,'Stock Price'!$I$9)-1,"")</f>
        <v>-0.66208486060202154</v>
      </c>
      <c r="X280" s="19">
        <f ca="1">IF('Stock Price'!$I$11="OK",K280/INDEX(K$5:K$1258,'Stock Price'!$I$9)-1,"")</f>
        <v>0.48129442573887005</v>
      </c>
      <c r="Y280" s="19">
        <f ca="1">IF('Stock Price'!$I$11="OK",L280/INDEX(L$5:L$1258,'Stock Price'!$I$9)-1,"")</f>
        <v>-0.16575837955148298</v>
      </c>
      <c r="Z280" s="19">
        <f ca="1">IF('Stock Price'!$I$11="OK",M280/INDEX(M$5:M$1258,'Stock Price'!$I$9)-1,"")</f>
        <v>-0.35414940473594703</v>
      </c>
    </row>
    <row r="281" spans="1:26" x14ac:dyDescent="0.2">
      <c r="A281" s="16">
        <f>'Stock Price'!A281</f>
        <v>44873</v>
      </c>
      <c r="B281" s="17">
        <f>'Stock Price'!E281</f>
        <v>101.5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-4.6500704556129646E-2</v>
      </c>
      <c r="P281" s="19">
        <f ca="1">IF('Stock Price'!$I$11="OK",C281/INDEX(C$5:C$1258,'Stock Price'!$I$9)-1,"")</f>
        <v>-0.42858163707232566</v>
      </c>
      <c r="Q281" s="19">
        <f ca="1">IF('Stock Price'!$I$11="OK",D281/INDEX(D$5:D$1258,'Stock Price'!$I$9)-1,"")</f>
        <v>-0.33630765019843989</v>
      </c>
      <c r="R281" s="19">
        <f ca="1">IF('Stock Price'!$I$11="OK",E281/INDEX(E$5:E$1258,'Stock Price'!$I$9)-1,"")</f>
        <v>-0.35079588958291363</v>
      </c>
      <c r="S281" s="19">
        <f ca="1">IF('Stock Price'!$I$11="OK",F281/INDEX(F$5:F$1258,'Stock Price'!$I$9)-1,"")</f>
        <v>-0.20621963070942662</v>
      </c>
      <c r="T281" s="19">
        <f ca="1">IF('Stock Price'!$I$11="OK",G281/INDEX(G$5:G$1258,'Stock Price'!$I$9)-1,"")</f>
        <v>-9.9315778561061552E-2</v>
      </c>
      <c r="U281" s="19">
        <f ca="1">IF('Stock Price'!$I$11="OK",H281/INDEX(H$5:H$1258,'Stock Price'!$I$9)-1,"")</f>
        <v>0.36052631578947381</v>
      </c>
      <c r="V281" s="19">
        <f ca="1">IF('Stock Price'!$I$11="OK",I281/INDEX(I$5:I$1258,'Stock Price'!$I$9)-1,"")</f>
        <v>0.88046068308181114</v>
      </c>
      <c r="W281" s="19">
        <f ca="1">IF('Stock Price'!$I$11="OK",J281/INDEX(J$5:J$1258,'Stock Price'!$I$9)-1,"")</f>
        <v>-0.6606131289570143</v>
      </c>
      <c r="X281" s="19">
        <f ca="1">IF('Stock Price'!$I$11="OK",K281/INDEX(K$5:K$1258,'Stock Price'!$I$9)-1,"")</f>
        <v>0.4960718294051627</v>
      </c>
      <c r="Y281" s="19">
        <f ca="1">IF('Stock Price'!$I$11="OK",L281/INDEX(L$5:L$1258,'Stock Price'!$I$9)-1,"")</f>
        <v>-0.16161080299011332</v>
      </c>
      <c r="Z281" s="19">
        <f ca="1">IF('Stock Price'!$I$11="OK",M281/INDEX(M$5:M$1258,'Stock Price'!$I$9)-1,"")</f>
        <v>-0.35227421394618641</v>
      </c>
    </row>
    <row r="282" spans="1:26" x14ac:dyDescent="0.2">
      <c r="A282" s="16">
        <f>'Stock Price'!A282</f>
        <v>44874</v>
      </c>
      <c r="B282" s="17">
        <f>'Stock Price'!E282</f>
        <v>101.59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-4.5655237200563636E-2</v>
      </c>
      <c r="P282" s="19">
        <f ca="1">IF('Stock Price'!$I$11="OK",C282/INDEX(C$5:C$1258,'Stock Price'!$I$9)-1,"")</f>
        <v>-0.42062075934748078</v>
      </c>
      <c r="Q282" s="19">
        <f ca="1">IF('Stock Price'!$I$11="OK",D282/INDEX(D$5:D$1258,'Stock Price'!$I$9)-1,"")</f>
        <v>-0.34035856028465861</v>
      </c>
      <c r="R282" s="19">
        <f ca="1">IF('Stock Price'!$I$11="OK",E282/INDEX(E$5:E$1258,'Stock Price'!$I$9)-1,"")</f>
        <v>-0.34676606890993356</v>
      </c>
      <c r="S282" s="19">
        <f ca="1">IF('Stock Price'!$I$11="OK",F282/INDEX(F$5:F$1258,'Stock Price'!$I$9)-1,"")</f>
        <v>-0.1961127308066084</v>
      </c>
      <c r="T282" s="19">
        <f ca="1">IF('Stock Price'!$I$11="OK",G282/INDEX(G$5:G$1258,'Stock Price'!$I$9)-1,"")</f>
        <v>-0.1013891768608749</v>
      </c>
      <c r="U282" s="19">
        <f ca="1">IF('Stock Price'!$I$11="OK",H282/INDEX(H$5:H$1258,'Stock Price'!$I$9)-1,"")</f>
        <v>0.32263157894736838</v>
      </c>
      <c r="V282" s="19">
        <f ca="1">IF('Stock Price'!$I$11="OK",I282/INDEX(I$5:I$1258,'Stock Price'!$I$9)-1,"")</f>
        <v>0.85544082605242244</v>
      </c>
      <c r="W282" s="19">
        <f ca="1">IF('Stock Price'!$I$11="OK",J282/INDEX(J$5:J$1258,'Stock Price'!$I$9)-1,"")</f>
        <v>-0.66375097189825616</v>
      </c>
      <c r="X282" s="19">
        <f ca="1">IF('Stock Price'!$I$11="OK",K282/INDEX(K$5:K$1258,'Stock Price'!$I$9)-1,"")</f>
        <v>0.49233071455293675</v>
      </c>
      <c r="Y282" s="19">
        <f ca="1">IF('Stock Price'!$I$11="OK",L282/INDEX(L$5:L$1258,'Stock Price'!$I$9)-1,"")</f>
        <v>-0.1683144441765132</v>
      </c>
      <c r="Z282" s="19">
        <f ca="1">IF('Stock Price'!$I$11="OK",M282/INDEX(M$5:M$1258,'Stock Price'!$I$9)-1,"")</f>
        <v>-0.35624264096637737</v>
      </c>
    </row>
    <row r="283" spans="1:26" x14ac:dyDescent="0.2">
      <c r="A283" s="16">
        <f>'Stock Price'!A283</f>
        <v>44875</v>
      </c>
      <c r="B283" s="17">
        <f>'Stock Price'!E283</f>
        <v>101.89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-4.2837012682010345E-2</v>
      </c>
      <c r="P283" s="19">
        <f ca="1">IF('Stock Price'!$I$11="OK",C283/INDEX(C$5:C$1258,'Stock Price'!$I$9)-1,"")</f>
        <v>-0.40553775083008514</v>
      </c>
      <c r="Q283" s="19">
        <f ca="1">IF('Stock Price'!$I$11="OK",D283/INDEX(D$5:D$1258,'Stock Price'!$I$9)-1,"")</f>
        <v>-0.30324346517038459</v>
      </c>
      <c r="R283" s="19">
        <f ca="1">IF('Stock Price'!$I$11="OK",E283/INDEX(E$5:E$1258,'Stock Price'!$I$9)-1,"")</f>
        <v>-0.32560951037678831</v>
      </c>
      <c r="S283" s="19">
        <f ca="1">IF('Stock Price'!$I$11="OK",F283/INDEX(F$5:F$1258,'Stock Price'!$I$9)-1,"")</f>
        <v>-0.17337220602526726</v>
      </c>
      <c r="T283" s="19">
        <f ca="1">IF('Stock Price'!$I$11="OK",G283/INDEX(G$5:G$1258,'Stock Price'!$I$9)-1,"")</f>
        <v>-8.1277213352684896E-2</v>
      </c>
      <c r="U283" s="19">
        <f ca="1">IF('Stock Price'!$I$11="OK",H283/INDEX(H$5:H$1258,'Stock Price'!$I$9)-1,"")</f>
        <v>0.35289473684210515</v>
      </c>
      <c r="V283" s="19">
        <f ca="1">IF('Stock Price'!$I$11="OK",I283/INDEX(I$5:I$1258,'Stock Price'!$I$9)-1,"")</f>
        <v>0.88165210484511536</v>
      </c>
      <c r="W283" s="19">
        <f ca="1">IF('Stock Price'!$I$11="OK",J283/INDEX(J$5:J$1258,'Stock Price'!$I$9)-1,"")</f>
        <v>-0.65870635714021253</v>
      </c>
      <c r="X283" s="19">
        <f ca="1">IF('Stock Price'!$I$11="OK",K283/INDEX(K$5:K$1258,'Stock Price'!$I$9)-1,"")</f>
        <v>0.48484848484848464</v>
      </c>
      <c r="Y283" s="19">
        <f ca="1">IF('Stock Price'!$I$11="OK",L283/INDEX(L$5:L$1258,'Stock Price'!$I$9)-1,"")</f>
        <v>-0.15857246202073783</v>
      </c>
      <c r="Z283" s="19">
        <f ca="1">IF('Stock Price'!$I$11="OK",M283/INDEX(M$5:M$1258,'Stock Price'!$I$9)-1,"")</f>
        <v>-0.34708473245824434</v>
      </c>
    </row>
    <row r="284" spans="1:26" x14ac:dyDescent="0.2">
      <c r="A284" s="16">
        <f>'Stock Price'!A284</f>
        <v>44876</v>
      </c>
      <c r="B284" s="17">
        <f>'Stock Price'!E284</f>
        <v>97.96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-7.9755753875058844E-2</v>
      </c>
      <c r="P284" s="19">
        <f ca="1">IF('Stock Price'!$I$11="OK",C284/INDEX(C$5:C$1258,'Stock Price'!$I$9)-1,"")</f>
        <v>-0.41328858091525911</v>
      </c>
      <c r="Q284" s="19">
        <f ca="1">IF('Stock Price'!$I$11="OK",D284/INDEX(D$5:D$1258,'Stock Price'!$I$9)-1,"")</f>
        <v>-0.32201998084029015</v>
      </c>
      <c r="R284" s="19">
        <f ca="1">IF('Stock Price'!$I$11="OK",E284/INDEX(E$5:E$1258,'Stock Price'!$I$9)-1,"")</f>
        <v>-0.36369131573644975</v>
      </c>
      <c r="S284" s="19">
        <f ca="1">IF('Stock Price'!$I$11="OK",F284/INDEX(F$5:F$1258,'Stock Price'!$I$9)-1,"")</f>
        <v>-0.15937803692905739</v>
      </c>
      <c r="T284" s="19">
        <f ca="1">IF('Stock Price'!$I$11="OK",G284/INDEX(G$5:G$1258,'Stock Price'!$I$9)-1,"")</f>
        <v>-0.11258552767986729</v>
      </c>
      <c r="U284" s="19">
        <f ca="1">IF('Stock Price'!$I$11="OK",H284/INDEX(H$5:H$1258,'Stock Price'!$I$9)-1,"")</f>
        <v>0.32078947368421051</v>
      </c>
      <c r="V284" s="19">
        <f ca="1">IF('Stock Price'!$I$11="OK",I284/INDEX(I$5:I$1258,'Stock Price'!$I$9)-1,"")</f>
        <v>0.89038919777601278</v>
      </c>
      <c r="W284" s="19">
        <f ca="1">IF('Stock Price'!$I$11="OK",J284/INDEX(J$5:J$1258,'Stock Price'!$I$9)-1,"")</f>
        <v>-0.67390499463141906</v>
      </c>
      <c r="X284" s="19">
        <f ca="1">IF('Stock Price'!$I$11="OK",K284/INDEX(K$5:K$1258,'Stock Price'!$I$9)-1,"")</f>
        <v>0.42087542087542062</v>
      </c>
      <c r="Y284" s="19">
        <f ca="1">IF('Stock Price'!$I$11="OK",L284/INDEX(L$5:L$1258,'Stock Price'!$I$9)-1,"")</f>
        <v>-0.18374728719556299</v>
      </c>
      <c r="Z284" s="19">
        <f ca="1">IF('Stock Price'!$I$11="OK",M284/INDEX(M$5:M$1258,'Stock Price'!$I$9)-1,"")</f>
        <v>-0.34516593258034978</v>
      </c>
    </row>
    <row r="285" spans="1:26" x14ac:dyDescent="0.2">
      <c r="A285" s="16">
        <f>'Stock Price'!A285</f>
        <v>44879</v>
      </c>
      <c r="B285" s="17">
        <f>'Stock Price'!E285</f>
        <v>100.35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-5.7303898543917375E-2</v>
      </c>
      <c r="P285" s="19">
        <f ca="1">IF('Stock Price'!$I$11="OK",C285/INDEX(C$5:C$1258,'Stock Price'!$I$9)-1,"")</f>
        <v>-0.41726938068427888</v>
      </c>
      <c r="Q285" s="19">
        <f ca="1">IF('Stock Price'!$I$11="OK",D285/INDEX(D$5:D$1258,'Stock Price'!$I$9)-1,"")</f>
        <v>-0.30784179553852475</v>
      </c>
      <c r="R285" s="19">
        <f ca="1">IF('Stock Price'!$I$11="OK",E285/INDEX(E$5:E$1258,'Stock Price'!$I$9)-1,"")</f>
        <v>-0.34434817650614558</v>
      </c>
      <c r="S285" s="19">
        <f ca="1">IF('Stock Price'!$I$11="OK",F285/INDEX(F$5:F$1258,'Stock Price'!$I$9)-1,"")</f>
        <v>-0.19786200194363457</v>
      </c>
      <c r="T285" s="19">
        <f ca="1">IF('Stock Price'!$I$11="OK",G285/INDEX(G$5:G$1258,'Stock Price'!$I$9)-1,"")</f>
        <v>-0.10408459465063236</v>
      </c>
      <c r="U285" s="19">
        <f ca="1">IF('Stock Price'!$I$11="OK",H285/INDEX(H$5:H$1258,'Stock Price'!$I$9)-1,"")</f>
        <v>0.3505263157894738</v>
      </c>
      <c r="V285" s="19">
        <f ca="1">IF('Stock Price'!$I$11="OK",I285/INDEX(I$5:I$1258,'Stock Price'!$I$9)-1,"")</f>
        <v>0.95552025416997632</v>
      </c>
      <c r="W285" s="19">
        <f ca="1">IF('Stock Price'!$I$11="OK",J285/INDEX(J$5:J$1258,'Stock Price'!$I$9)-1,"")</f>
        <v>-0.67042467325706245</v>
      </c>
      <c r="X285" s="19">
        <f ca="1">IF('Stock Price'!$I$11="OK",K285/INDEX(K$5:K$1258,'Stock Price'!$I$9)-1,"")</f>
        <v>0.42891881780770658</v>
      </c>
      <c r="Y285" s="19">
        <f ca="1">IF('Stock Price'!$I$11="OK",L285/INDEX(L$5:L$1258,'Stock Price'!$I$9)-1,"")</f>
        <v>-0.17091873643597777</v>
      </c>
      <c r="Z285" s="19">
        <f ca="1">IF('Stock Price'!$I$11="OK",M285/INDEX(M$5:M$1258,'Stock Price'!$I$9)-1,"")</f>
        <v>-0.33827569665518287</v>
      </c>
    </row>
    <row r="286" spans="1:26" x14ac:dyDescent="0.2">
      <c r="A286" s="16">
        <f>'Stock Price'!A286</f>
        <v>44880</v>
      </c>
      <c r="B286" s="17">
        <f>'Stock Price'!E286</f>
        <v>99.6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-6.4349459840300716E-2</v>
      </c>
      <c r="P286" s="19">
        <f ca="1">IF('Stock Price'!$I$11="OK",C286/INDEX(C$5:C$1258,'Stock Price'!$I$9)-1,"")</f>
        <v>-0.41461527356720085</v>
      </c>
      <c r="Q286" s="19">
        <f ca="1">IF('Stock Price'!$I$11="OK",D286/INDEX(D$5:D$1258,'Stock Price'!$I$9)-1,"")</f>
        <v>-0.31057889694813201</v>
      </c>
      <c r="R286" s="19">
        <f ca="1">IF('Stock Price'!$I$11="OK",E286/INDEX(E$5:E$1258,'Stock Price'!$I$9)-1,"")</f>
        <v>-0.34938545234737062</v>
      </c>
      <c r="S286" s="19">
        <f ca="1">IF('Stock Price'!$I$11="OK",F286/INDEX(F$5:F$1258,'Stock Price'!$I$9)-1,"")</f>
        <v>-0.1961127308066084</v>
      </c>
      <c r="T286" s="19">
        <f ca="1">IF('Stock Price'!$I$11="OK",G286/INDEX(G$5:G$1258,'Stock Price'!$I$9)-1,"")</f>
        <v>-9.7035040431266872E-2</v>
      </c>
      <c r="U286" s="19">
        <f ca="1">IF('Stock Price'!$I$11="OK",H286/INDEX(H$5:H$1258,'Stock Price'!$I$9)-1,"")</f>
        <v>0.40578947368421048</v>
      </c>
      <c r="V286" s="19">
        <f ca="1">IF('Stock Price'!$I$11="OK",I286/INDEX(I$5:I$1258,'Stock Price'!$I$9)-1,"")</f>
        <v>0.92891183478951556</v>
      </c>
      <c r="W286" s="19">
        <f ca="1">IF('Stock Price'!$I$11="OK",J286/INDEX(J$5:J$1258,'Stock Price'!$I$9)-1,"")</f>
        <v>-0.67608019549039211</v>
      </c>
      <c r="X286" s="19">
        <f ca="1">IF('Stock Price'!$I$11="OK",K286/INDEX(K$5:K$1258,'Stock Price'!$I$9)-1,"")</f>
        <v>0.42686120463898236</v>
      </c>
      <c r="Y286" s="19">
        <f ca="1">IF('Stock Price'!$I$11="OK",L286/INDEX(L$5:L$1258,'Stock Price'!$I$9)-1,"")</f>
        <v>-0.16860380998312041</v>
      </c>
      <c r="Z286" s="19">
        <f ca="1">IF('Stock Price'!$I$11="OK",M286/INDEX(M$5:M$1258,'Stock Price'!$I$9)-1,"")</f>
        <v>-0.33260651519776729</v>
      </c>
    </row>
    <row r="287" spans="1:26" x14ac:dyDescent="0.2">
      <c r="A287" s="16">
        <f>'Stock Price'!A287</f>
        <v>44881</v>
      </c>
      <c r="B287" s="17">
        <f>'Stock Price'!E287</f>
        <v>99.93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-6.1249412869891939E-2</v>
      </c>
      <c r="P287" s="19">
        <f ca="1">IF('Stock Price'!$I$11="OK",C287/INDEX(C$5:C$1258,'Stock Price'!$I$9)-1,"")</f>
        <v>-0.41657066551176558</v>
      </c>
      <c r="Q287" s="19">
        <f ca="1">IF('Stock Price'!$I$11="OK",D287/INDEX(D$5:D$1258,'Stock Price'!$I$9)-1,"")</f>
        <v>-0.30915560421513621</v>
      </c>
      <c r="R287" s="19">
        <f ca="1">IF('Stock Price'!$I$11="OK",E287/INDEX(E$5:E$1258,'Stock Price'!$I$9)-1,"")</f>
        <v>-0.33689300826113244</v>
      </c>
      <c r="S287" s="19">
        <f ca="1">IF('Stock Price'!$I$11="OK",F287/INDEX(F$5:F$1258,'Stock Price'!$I$9)-1,"")</f>
        <v>-0.2031098153547134</v>
      </c>
      <c r="T287" s="19">
        <f ca="1">IF('Stock Price'!$I$11="OK",G287/INDEX(G$5:G$1258,'Stock Price'!$I$9)-1,"")</f>
        <v>-9.0607505701845281E-2</v>
      </c>
      <c r="U287" s="19">
        <f ca="1">IF('Stock Price'!$I$11="OK",H287/INDEX(H$5:H$1258,'Stock Price'!$I$9)-1,"")</f>
        <v>0.38473684210526304</v>
      </c>
      <c r="V287" s="19">
        <f ca="1">IF('Stock Price'!$I$11="OK",I287/INDEX(I$5:I$1258,'Stock Price'!$I$9)-1,"")</f>
        <v>0.90826052422557568</v>
      </c>
      <c r="W287" s="19">
        <f ca="1">IF('Stock Price'!$I$11="OK",J287/INDEX(J$5:J$1258,'Stock Price'!$I$9)-1,"")</f>
        <v>-0.67332185567773695</v>
      </c>
      <c r="X287" s="19">
        <f ca="1">IF('Stock Price'!$I$11="OK",K287/INDEX(K$5:K$1258,'Stock Price'!$I$9)-1,"")</f>
        <v>0.42442947998503566</v>
      </c>
      <c r="Y287" s="19">
        <f ca="1">IF('Stock Price'!$I$11="OK",L287/INDEX(L$5:L$1258,'Stock Price'!$I$9)-1,"")</f>
        <v>-0.1634434530986254</v>
      </c>
      <c r="Z287" s="19">
        <f ca="1">IF('Stock Price'!$I$11="OK",M287/INDEX(M$5:M$1258,'Stock Price'!$I$9)-1,"")</f>
        <v>-0.33770877850944137</v>
      </c>
    </row>
    <row r="288" spans="1:26" x14ac:dyDescent="0.2">
      <c r="A288" s="16">
        <f>'Stock Price'!A288</f>
        <v>44882</v>
      </c>
      <c r="B288" s="17">
        <f>'Stock Price'!E288</f>
        <v>102.31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-3.889149835603567E-2</v>
      </c>
      <c r="P288" s="19">
        <f ca="1">IF('Stock Price'!$I$11="OK",C288/INDEX(C$5:C$1258,'Stock Price'!$I$9)-1,"")</f>
        <v>-0.41719936480438857</v>
      </c>
      <c r="Q288" s="19">
        <f ca="1">IF('Stock Price'!$I$11="OK",D288/INDEX(D$5:D$1258,'Stock Price'!$I$9)-1,"")</f>
        <v>-0.3077328589024223</v>
      </c>
      <c r="R288" s="19">
        <f ca="1">IF('Stock Price'!$I$11="OK",E288/INDEX(E$5:E$1258,'Stock Price'!$I$9)-1,"")</f>
        <v>-0.34334072133790039</v>
      </c>
      <c r="S288" s="19">
        <f ca="1">IF('Stock Price'!$I$11="OK",F288/INDEX(F$5:F$1258,'Stock Price'!$I$9)-1,"")</f>
        <v>-0.21904761904761905</v>
      </c>
      <c r="T288" s="19">
        <f ca="1">IF('Stock Price'!$I$11="OK",G288/INDEX(G$5:G$1258,'Stock Price'!$I$9)-1,"")</f>
        <v>-9.3717603151565299E-2</v>
      </c>
      <c r="U288" s="19">
        <f ca="1">IF('Stock Price'!$I$11="OK",H288/INDEX(H$5:H$1258,'Stock Price'!$I$9)-1,"")</f>
        <v>0.38236842105263169</v>
      </c>
      <c r="V288" s="19">
        <f ca="1">IF('Stock Price'!$I$11="OK",I288/INDEX(I$5:I$1258,'Stock Price'!$I$9)-1,"")</f>
        <v>0.91938046068308177</v>
      </c>
      <c r="W288" s="19">
        <f ca="1">IF('Stock Price'!$I$11="OK",J288/INDEX(J$5:J$1258,'Stock Price'!$I$9)-1,"")</f>
        <v>-0.66606501536524854</v>
      </c>
      <c r="X288" s="19">
        <f ca="1">IF('Stock Price'!$I$11="OK",K288/INDEX(K$5:K$1258,'Stock Price'!$I$9)-1,"")</f>
        <v>0.44332210998877652</v>
      </c>
      <c r="Y288" s="19">
        <f ca="1">IF('Stock Price'!$I$11="OK",L288/INDEX(L$5:L$1258,'Stock Price'!$I$9)-1,"")</f>
        <v>-0.15669158427779106</v>
      </c>
      <c r="Z288" s="19">
        <f ca="1">IF('Stock Price'!$I$11="OK",M288/INDEX(M$5:M$1258,'Stock Price'!$I$9)-1,"")</f>
        <v>-0.33644411495355631</v>
      </c>
    </row>
    <row r="289" spans="1:26" x14ac:dyDescent="0.2">
      <c r="A289" s="16">
        <f>'Stock Price'!A289</f>
        <v>44883</v>
      </c>
      <c r="B289" s="17">
        <f>'Stock Price'!E289</f>
        <v>104.23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-2.0854861437294536E-2</v>
      </c>
      <c r="P289" s="19">
        <f ca="1">IF('Stock Price'!$I$11="OK",C289/INDEX(C$5:C$1258,'Stock Price'!$I$9)-1,"")</f>
        <v>-0.40155767287426014</v>
      </c>
      <c r="Q289" s="19">
        <f ca="1">IF('Stock Price'!$I$11="OK",D289/INDEX(D$5:D$1258,'Stock Price'!$I$9)-1,"")</f>
        <v>-0.29984945942247165</v>
      </c>
      <c r="R289" s="19">
        <f ca="1">IF('Stock Price'!$I$11="OK",E289/INDEX(E$5:E$1258,'Stock Price'!$I$9)-1,"")</f>
        <v>-0.33729599032843038</v>
      </c>
      <c r="S289" s="19">
        <f ca="1">IF('Stock Price'!$I$11="OK",F289/INDEX(F$5:F$1258,'Stock Price'!$I$9)-1,"")</f>
        <v>-0.21963070942662788</v>
      </c>
      <c r="T289" s="19">
        <f ca="1">IF('Stock Price'!$I$11="OK",G289/INDEX(G$5:G$1258,'Stock Price'!$I$9)-1,"")</f>
        <v>-7.7130416753058206E-2</v>
      </c>
      <c r="U289" s="19">
        <f ca="1">IF('Stock Price'!$I$11="OK",H289/INDEX(H$5:H$1258,'Stock Price'!$I$9)-1,"")</f>
        <v>0.41552631578947374</v>
      </c>
      <c r="V289" s="19">
        <f ca="1">IF('Stock Price'!$I$11="OK",I289/INDEX(I$5:I$1258,'Stock Price'!$I$9)-1,"")</f>
        <v>0.91540905480540102</v>
      </c>
      <c r="W289" s="19">
        <f ca="1">IF('Stock Price'!$I$11="OK",J289/INDEX(J$5:J$1258,'Stock Price'!$I$9)-1,"")</f>
        <v>-0.66523195971713123</v>
      </c>
      <c r="X289" s="19">
        <f ca="1">IF('Stock Price'!$I$11="OK",K289/INDEX(K$5:K$1258,'Stock Price'!$I$9)-1,"")</f>
        <v>0.44874672652450442</v>
      </c>
      <c r="Y289" s="19">
        <f ca="1">IF('Stock Price'!$I$11="OK",L289/INDEX(L$5:L$1258,'Stock Price'!$I$9)-1,"")</f>
        <v>-0.15022908126356405</v>
      </c>
      <c r="Z289" s="19">
        <f ca="1">IF('Stock Price'!$I$11="OK",M289/INDEX(M$5:M$1258,'Stock Price'!$I$9)-1,"")</f>
        <v>-0.3241463520997776</v>
      </c>
    </row>
    <row r="290" spans="1:26" x14ac:dyDescent="0.2">
      <c r="A290" s="16">
        <f>'Stock Price'!A290</f>
        <v>44886</v>
      </c>
      <c r="B290" s="17">
        <f>'Stock Price'!E290</f>
        <v>105.61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-7.89102865194935E-3</v>
      </c>
      <c r="P290" s="19">
        <f ca="1">IF('Stock Price'!$I$11="OK",C290/INDEX(C$5:C$1258,'Stock Price'!$I$9)-1,"")</f>
        <v>-0.39394615273567202</v>
      </c>
      <c r="Q290" s="19">
        <f ca="1">IF('Stock Price'!$I$11="OK",D290/INDEX(D$5:D$1258,'Stock Price'!$I$9)-1,"")</f>
        <v>-0.28966798959901474</v>
      </c>
      <c r="R290" s="19">
        <f ca="1">IF('Stock Price'!$I$11="OK",E290/INDEX(E$5:E$1258,'Stock Price'!$I$9)-1,"")</f>
        <v>-0.32621398347773534</v>
      </c>
      <c r="S290" s="19">
        <f ca="1">IF('Stock Price'!$I$11="OK",F290/INDEX(F$5:F$1258,'Stock Price'!$I$9)-1,"")</f>
        <v>-0.22429543245869787</v>
      </c>
      <c r="T290" s="19">
        <f ca="1">IF('Stock Price'!$I$11="OK",G290/INDEX(G$5:G$1258,'Stock Price'!$I$9)-1,"")</f>
        <v>-7.2361600663487402E-2</v>
      </c>
      <c r="U290" s="19">
        <f ca="1">IF('Stock Price'!$I$11="OK",H290/INDEX(H$5:H$1258,'Stock Price'!$I$9)-1,"")</f>
        <v>0.43157894736842106</v>
      </c>
      <c r="V290" s="19">
        <f ca="1">IF('Stock Price'!$I$11="OK",I290/INDEX(I$5:I$1258,'Stock Price'!$I$9)-1,"")</f>
        <v>0.91342335186656087</v>
      </c>
      <c r="W290" s="19">
        <f ca="1">IF('Stock Price'!$I$11="OK",J290/INDEX(J$5:J$1258,'Stock Price'!$I$9)-1,"")</f>
        <v>-0.66569476841052977</v>
      </c>
      <c r="X290" s="19">
        <f ca="1">IF('Stock Price'!$I$11="OK",K290/INDEX(K$5:K$1258,'Stock Price'!$I$9)-1,"")</f>
        <v>0.47699214365881026</v>
      </c>
      <c r="Y290" s="19">
        <f ca="1">IF('Stock Price'!$I$11="OK",L290/INDEX(L$5:L$1258,'Stock Price'!$I$9)-1,"")</f>
        <v>-0.15133831685555821</v>
      </c>
      <c r="Z290" s="19">
        <f ca="1">IF('Stock Price'!$I$11="OK",M290/INDEX(M$5:M$1258,'Stock Price'!$I$9)-1,"")</f>
        <v>-0.31485761632724252</v>
      </c>
    </row>
    <row r="291" spans="1:26" x14ac:dyDescent="0.2">
      <c r="A291" s="16">
        <f>'Stock Price'!A291</f>
        <v>44887</v>
      </c>
      <c r="B291" s="17">
        <f>'Stock Price'!E291</f>
        <v>106.9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4.2273367778300486E-3</v>
      </c>
      <c r="P291" s="19">
        <f ca="1">IF('Stock Price'!$I$11="OK",C291/INDEX(C$5:C$1258,'Stock Price'!$I$9)-1,"")</f>
        <v>-0.38759130936913522</v>
      </c>
      <c r="Q291" s="19">
        <f ca="1">IF('Stock Price'!$I$11="OK",D291/INDEX(D$5:D$1258,'Stock Price'!$I$9)-1,"")</f>
        <v>-0.2876693581497195</v>
      </c>
      <c r="R291" s="19">
        <f ca="1">IF('Stock Price'!$I$11="OK",E291/INDEX(E$5:E$1258,'Stock Price'!$I$9)-1,"")</f>
        <v>-0.3179528510981261</v>
      </c>
      <c r="S291" s="19">
        <f ca="1">IF('Stock Price'!$I$11="OK",F291/INDEX(F$5:F$1258,'Stock Price'!$I$9)-1,"")</f>
        <v>-0.22526724975704571</v>
      </c>
      <c r="T291" s="19">
        <f ca="1">IF('Stock Price'!$I$11="OK",G291/INDEX(G$5:G$1258,'Stock Price'!$I$9)-1,"")</f>
        <v>-6.5934065934065922E-2</v>
      </c>
      <c r="U291" s="19">
        <f ca="1">IF('Stock Price'!$I$11="OK",H291/INDEX(H$5:H$1258,'Stock Price'!$I$9)-1,"")</f>
        <v>0.43710526315789466</v>
      </c>
      <c r="V291" s="19">
        <f ca="1">IF('Stock Price'!$I$11="OK",I291/INDEX(I$5:I$1258,'Stock Price'!$I$9)-1,"")</f>
        <v>0.94916600476568691</v>
      </c>
      <c r="W291" s="19">
        <f ca="1">IF('Stock Price'!$I$11="OK",J291/INDEX(J$5:J$1258,'Stock Price'!$I$9)-1,"")</f>
        <v>-0.66596319745270094</v>
      </c>
      <c r="X291" s="19">
        <f ca="1">IF('Stock Price'!$I$11="OK",K291/INDEX(K$5:K$1258,'Stock Price'!$I$9)-1,"")</f>
        <v>0.4751215862326974</v>
      </c>
      <c r="Y291" s="19">
        <f ca="1">IF('Stock Price'!$I$11="OK",L291/INDEX(L$5:L$1258,'Stock Price'!$I$9)-1,"")</f>
        <v>-0.14723896792862312</v>
      </c>
      <c r="Z291" s="19">
        <f ca="1">IF('Stock Price'!$I$11="OK",M291/INDEX(M$5:M$1258,'Stock Price'!$I$9)-1,"")</f>
        <v>-0.30317038070733948</v>
      </c>
    </row>
    <row r="292" spans="1:26" x14ac:dyDescent="0.2">
      <c r="A292" s="16">
        <f>'Stock Price'!A292</f>
        <v>44888</v>
      </c>
      <c r="B292" s="17">
        <f>'Stock Price'!E292</f>
        <v>106.82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3.4758102395489043E-3</v>
      </c>
      <c r="P292" s="19">
        <f ca="1">IF('Stock Price'!$I$11="OK",C292/INDEX(C$5:C$1258,'Stock Price'!$I$9)-1,"")</f>
        <v>-0.39045474231268951</v>
      </c>
      <c r="Q292" s="19">
        <f ca="1">IF('Stock Price'!$I$11="OK",D292/INDEX(D$5:D$1258,'Stock Price'!$I$9)-1,"")</f>
        <v>-0.28528807992336114</v>
      </c>
      <c r="R292" s="19">
        <f ca="1">IF('Stock Price'!$I$11="OK",E292/INDEX(E$5:E$1258,'Stock Price'!$I$9)-1,"")</f>
        <v>-0.32117670763651029</v>
      </c>
      <c r="S292" s="19">
        <f ca="1">IF('Stock Price'!$I$11="OK",F292/INDEX(F$5:F$1258,'Stock Price'!$I$9)-1,"")</f>
        <v>-0.2104956268221575</v>
      </c>
      <c r="T292" s="19">
        <f ca="1">IF('Stock Price'!$I$11="OK",G292/INDEX(G$5:G$1258,'Stock Price'!$I$9)-1,"")</f>
        <v>-6.6141405764047256E-2</v>
      </c>
      <c r="U292" s="19">
        <f ca="1">IF('Stock Price'!$I$11="OK",H292/INDEX(H$5:H$1258,'Stock Price'!$I$9)-1,"")</f>
        <v>0.43394736842105264</v>
      </c>
      <c r="V292" s="19">
        <f ca="1">IF('Stock Price'!$I$11="OK",I292/INDEX(I$5:I$1258,'Stock Price'!$I$9)-1,"")</f>
        <v>0.94003177124702142</v>
      </c>
      <c r="W292" s="19">
        <f ca="1">IF('Stock Price'!$I$11="OK",J292/INDEX(J$5:J$1258,'Stock Price'!$I$9)-1,"")</f>
        <v>-0.66518567884779145</v>
      </c>
      <c r="X292" s="19">
        <f ca="1">IF('Stock Price'!$I$11="OK",K292/INDEX(K$5:K$1258,'Stock Price'!$I$9)-1,"")</f>
        <v>0.48035914702581373</v>
      </c>
      <c r="Y292" s="19">
        <f ca="1">IF('Stock Price'!$I$11="OK",L292/INDEX(L$5:L$1258,'Stock Price'!$I$9)-1,"")</f>
        <v>-0.14632264287436703</v>
      </c>
      <c r="Z292" s="19">
        <f ca="1">IF('Stock Price'!$I$11="OK",M292/INDEX(M$5:M$1258,'Stock Price'!$I$9)-1,"")</f>
        <v>-0.30491474423269815</v>
      </c>
    </row>
    <row r="293" spans="1:26" x14ac:dyDescent="0.2">
      <c r="A293" s="16">
        <f>'Stock Price'!A293</f>
        <v>44890</v>
      </c>
      <c r="B293" s="17">
        <f>'Stock Price'!E293</f>
        <v>107.5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9.863785814936632E-3</v>
      </c>
      <c r="P293" s="19">
        <f ca="1">IF('Stock Price'!$I$11="OK",C293/INDEX(C$5:C$1258,'Stock Price'!$I$9)-1,"")</f>
        <v>-0.38752129348924491</v>
      </c>
      <c r="Q293" s="19">
        <f ca="1">IF('Stock Price'!$I$11="OK",D293/INDEX(D$5:D$1258,'Stock Price'!$I$9)-1,"")</f>
        <v>-0.27056247433967429</v>
      </c>
      <c r="R293" s="19">
        <f ca="1">IF('Stock Price'!$I$11="OK",E293/INDEX(E$5:E$1258,'Stock Price'!$I$9)-1,"")</f>
        <v>-0.31513197662704007</v>
      </c>
      <c r="S293" s="19">
        <f ca="1">IF('Stock Price'!$I$11="OK",F293/INDEX(F$5:F$1258,'Stock Price'!$I$9)-1,"")</f>
        <v>-0.20194363459669584</v>
      </c>
      <c r="T293" s="19">
        <f ca="1">IF('Stock Price'!$I$11="OK",G293/INDEX(G$5:G$1258,'Stock Price'!$I$9)-1,"")</f>
        <v>-5.8884511714700327E-2</v>
      </c>
      <c r="U293" s="19">
        <f ca="1">IF('Stock Price'!$I$11="OK",H293/INDEX(H$5:H$1258,'Stock Price'!$I$9)-1,"")</f>
        <v>0.45921052631578951</v>
      </c>
      <c r="V293" s="19">
        <f ca="1">IF('Stock Price'!$I$11="OK",I293/INDEX(I$5:I$1258,'Stock Price'!$I$9)-1,"")</f>
        <v>0.9543288324066721</v>
      </c>
      <c r="W293" s="19">
        <f ca="1">IF('Stock Price'!$I$11="OK",J293/INDEX(J$5:J$1258,'Stock Price'!$I$9)-1,"")</f>
        <v>-0.66191824947239808</v>
      </c>
      <c r="X293" s="19">
        <f ca="1">IF('Stock Price'!$I$11="OK",K293/INDEX(K$5:K$1258,'Stock Price'!$I$9)-1,"")</f>
        <v>0.48222970445192659</v>
      </c>
      <c r="Y293" s="19">
        <f ca="1">IF('Stock Price'!$I$11="OK",L293/INDEX(L$5:L$1258,'Stock Price'!$I$9)-1,"")</f>
        <v>-0.14521340728237275</v>
      </c>
      <c r="Z293" s="19">
        <f ca="1">IF('Stock Price'!$I$11="OK",M293/INDEX(M$5:M$1258,'Stock Price'!$I$9)-1,"")</f>
        <v>-0.30391173520561687</v>
      </c>
    </row>
    <row r="294" spans="1:26" x14ac:dyDescent="0.2">
      <c r="A294" s="16">
        <f>'Stock Price'!A294</f>
        <v>44893</v>
      </c>
      <c r="B294" s="17">
        <f>'Stock Price'!E294</f>
        <v>108.45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1.8788163457022167E-2</v>
      </c>
      <c r="P294" s="19">
        <f ca="1">IF('Stock Price'!$I$11="OK",C294/INDEX(C$5:C$1258,'Stock Price'!$I$9)-1,"")</f>
        <v>-0.38773134112891583</v>
      </c>
      <c r="Q294" s="19">
        <f ca="1">IF('Stock Price'!$I$11="OK",D294/INDEX(D$5:D$1258,'Stock Price'!$I$9)-1,"")</f>
        <v>-0.26700424250718491</v>
      </c>
      <c r="R294" s="19">
        <f ca="1">IF('Stock Price'!$I$11="OK",E294/INDEX(E$5:E$1258,'Stock Price'!$I$9)-1,"")</f>
        <v>-0.31976627040096728</v>
      </c>
      <c r="S294" s="19">
        <f ca="1">IF('Stock Price'!$I$11="OK",F294/INDEX(F$5:F$1258,'Stock Price'!$I$9)-1,"")</f>
        <v>-0.20136054421768701</v>
      </c>
      <c r="T294" s="19">
        <f ca="1">IF('Stock Price'!$I$11="OK",G294/INDEX(G$5:G$1258,'Stock Price'!$I$9)-1,"")</f>
        <v>-5.577441426498031E-2</v>
      </c>
      <c r="U294" s="19">
        <f ca="1">IF('Stock Price'!$I$11="OK",H294/INDEX(H$5:H$1258,'Stock Price'!$I$9)-1,"")</f>
        <v>0.46710526315789469</v>
      </c>
      <c r="V294" s="19">
        <f ca="1">IF('Stock Price'!$I$11="OK",I294/INDEX(I$5:I$1258,'Stock Price'!$I$9)-1,"")</f>
        <v>0.96862589356632256</v>
      </c>
      <c r="W294" s="19">
        <f ca="1">IF('Stock Price'!$I$11="OK",J294/INDEX(J$5:J$1258,'Stock Price'!$I$9)-1,"")</f>
        <v>-0.66143692843126356</v>
      </c>
      <c r="X294" s="19">
        <f ca="1">IF('Stock Price'!$I$11="OK",K294/INDEX(K$5:K$1258,'Stock Price'!$I$9)-1,"")</f>
        <v>0.48035914702581373</v>
      </c>
      <c r="Y294" s="19">
        <f ca="1">IF('Stock Price'!$I$11="OK",L294/INDEX(L$5:L$1258,'Stock Price'!$I$9)-1,"")</f>
        <v>-0.14477935857246194</v>
      </c>
      <c r="Z294" s="19">
        <f ca="1">IF('Stock Price'!$I$11="OK",M294/INDEX(M$5:M$1258,'Stock Price'!$I$9)-1,"")</f>
        <v>-0.30910121669355894</v>
      </c>
    </row>
    <row r="295" spans="1:26" x14ac:dyDescent="0.2">
      <c r="A295" s="16">
        <f>'Stock Price'!A295</f>
        <v>44894</v>
      </c>
      <c r="B295" s="17">
        <f>'Stock Price'!E295</f>
        <v>108.84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2.2451855331141468E-2</v>
      </c>
      <c r="P295" s="19">
        <f ca="1">IF('Stock Price'!$I$11="OK",C295/INDEX(C$5:C$1258,'Stock Price'!$I$9)-1,"")</f>
        <v>-0.38996535296665213</v>
      </c>
      <c r="Q295" s="19">
        <f ca="1">IF('Stock Price'!$I$11="OK",D295/INDEX(D$5:D$1258,'Stock Price'!$I$9)-1,"")</f>
        <v>-0.28118242780895031</v>
      </c>
      <c r="R295" s="19">
        <f ca="1">IF('Stock Price'!$I$11="OK",E295/INDEX(E$5:E$1258,'Stock Price'!$I$9)-1,"")</f>
        <v>-0.30767680838202704</v>
      </c>
      <c r="S295" s="19">
        <f ca="1">IF('Stock Price'!$I$11="OK",F295/INDEX(F$5:F$1258,'Stock Price'!$I$9)-1,"")</f>
        <v>-0.20971817298347917</v>
      </c>
      <c r="T295" s="19">
        <f ca="1">IF('Stock Price'!$I$11="OK",G295/INDEX(G$5:G$1258,'Stock Price'!$I$9)-1,"")</f>
        <v>-4.893219987559605E-2</v>
      </c>
      <c r="U295" s="19">
        <f ca="1">IF('Stock Price'!$I$11="OK",H295/INDEX(H$5:H$1258,'Stock Price'!$I$9)-1,"")</f>
        <v>0.47263157894736851</v>
      </c>
      <c r="V295" s="19">
        <f ca="1">IF('Stock Price'!$I$11="OK",I295/INDEX(I$5:I$1258,'Stock Price'!$I$9)-1,"")</f>
        <v>0.96544876886417796</v>
      </c>
      <c r="W295" s="19">
        <f ca="1">IF('Stock Price'!$I$11="OK",J295/INDEX(J$5:J$1258,'Stock Price'!$I$9)-1,"")</f>
        <v>-0.66312155207523416</v>
      </c>
      <c r="X295" s="19">
        <f ca="1">IF('Stock Price'!$I$11="OK",K295/INDEX(K$5:K$1258,'Stock Price'!$I$9)-1,"")</f>
        <v>0.47830153385708951</v>
      </c>
      <c r="Y295" s="19">
        <f ca="1">IF('Stock Price'!$I$11="OK",L295/INDEX(L$5:L$1258,'Stock Price'!$I$9)-1,"")</f>
        <v>-0.15075958524234379</v>
      </c>
      <c r="Z295" s="19">
        <f ca="1">IF('Stock Price'!$I$11="OK",M295/INDEX(M$5:M$1258,'Stock Price'!$I$9)-1,"")</f>
        <v>-0.31010422572064023</v>
      </c>
    </row>
    <row r="296" spans="1:26" x14ac:dyDescent="0.2">
      <c r="A296" s="16">
        <f>'Stock Price'!A296</f>
        <v>44895</v>
      </c>
      <c r="B296" s="17">
        <f>'Stock Price'!E296</f>
        <v>110.12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3.4476279943635557E-2</v>
      </c>
      <c r="P296" s="19">
        <f ca="1">IF('Stock Price'!$I$11="OK",C296/INDEX(C$5:C$1258,'Stock Price'!$I$9)-1,"")</f>
        <v>-0.37460300274289016</v>
      </c>
      <c r="Q296" s="19">
        <f ca="1">IF('Stock Price'!$I$11="OK",D296/INDEX(D$5:D$1258,'Stock Price'!$I$9)-1,"")</f>
        <v>-0.27685780758177103</v>
      </c>
      <c r="R296" s="19">
        <f ca="1">IF('Stock Price'!$I$11="OK",E296/INDEX(E$5:E$1258,'Stock Price'!$I$9)-1,"")</f>
        <v>-0.30304251460809994</v>
      </c>
      <c r="S296" s="19">
        <f ca="1">IF('Stock Price'!$I$11="OK",F296/INDEX(F$5:F$1258,'Stock Price'!$I$9)-1,"")</f>
        <v>-0.20466472303206995</v>
      </c>
      <c r="T296" s="19">
        <f ca="1">IF('Stock Price'!$I$11="OK",G296/INDEX(G$5:G$1258,'Stock Price'!$I$9)-1,"")</f>
        <v>-5.9713871034625665E-2</v>
      </c>
      <c r="U296" s="19">
        <f ca="1">IF('Stock Price'!$I$11="OK",H296/INDEX(H$5:H$1258,'Stock Price'!$I$9)-1,"")</f>
        <v>0.45736842105263165</v>
      </c>
      <c r="V296" s="19">
        <f ca="1">IF('Stock Price'!$I$11="OK",I296/INDEX(I$5:I$1258,'Stock Price'!$I$9)-1,"")</f>
        <v>0.99086576648133451</v>
      </c>
      <c r="W296" s="19">
        <f ca="1">IF('Stock Price'!$I$11="OK",J296/INDEX(J$5:J$1258,'Stock Price'!$I$9)-1,"")</f>
        <v>-0.65652190010737166</v>
      </c>
      <c r="X296" s="19">
        <f ca="1">IF('Stock Price'!$I$11="OK",K296/INDEX(K$5:K$1258,'Stock Price'!$I$9)-1,"")</f>
        <v>0.50168350168350173</v>
      </c>
      <c r="Y296" s="19">
        <f ca="1">IF('Stock Price'!$I$11="OK",L296/INDEX(L$5:L$1258,'Stock Price'!$I$9)-1,"")</f>
        <v>-0.14154810706534837</v>
      </c>
      <c r="Z296" s="19">
        <f ca="1">IF('Stock Price'!$I$11="OK",M296/INDEX(M$5:M$1258,'Stock Price'!$I$9)-1,"")</f>
        <v>-0.29710871745671796</v>
      </c>
    </row>
    <row r="297" spans="1:26" x14ac:dyDescent="0.2">
      <c r="A297" s="16">
        <f>'Stock Price'!A297</f>
        <v>44896</v>
      </c>
      <c r="B297" s="17">
        <f>'Stock Price'!E297</f>
        <v>109.8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3.1470173790511868E-2</v>
      </c>
      <c r="P297" s="19">
        <f ca="1">IF('Stock Price'!$I$11="OK",C297/INDEX(C$5:C$1258,'Stock Price'!$I$9)-1,"")</f>
        <v>-0.37278764255810592</v>
      </c>
      <c r="Q297" s="19">
        <f ca="1">IF('Stock Price'!$I$11="OK",D297/INDEX(D$5:D$1258,'Stock Price'!$I$9)-1,"")</f>
        <v>-0.24319146024360205</v>
      </c>
      <c r="R297" s="19">
        <f ca="1">IF('Stock Price'!$I$11="OK",E297/INDEX(E$5:E$1258,'Stock Price'!$I$9)-1,"")</f>
        <v>-0.2941769091275438</v>
      </c>
      <c r="S297" s="19">
        <f ca="1">IF('Stock Price'!$I$11="OK",F297/INDEX(F$5:F$1258,'Stock Price'!$I$9)-1,"")</f>
        <v>-0.20038872691933918</v>
      </c>
      <c r="T297" s="19">
        <f ca="1">IF('Stock Price'!$I$11="OK",G297/INDEX(G$5:G$1258,'Stock Price'!$I$9)-1,"")</f>
        <v>-4.893219987559605E-2</v>
      </c>
      <c r="U297" s="19">
        <f ca="1">IF('Stock Price'!$I$11="OK",H297/INDEX(H$5:H$1258,'Stock Price'!$I$9)-1,"")</f>
        <v>0.44815789473684209</v>
      </c>
      <c r="V297" s="19">
        <f ca="1">IF('Stock Price'!$I$11="OK",I297/INDEX(I$5:I$1258,'Stock Price'!$I$9)-1,"")</f>
        <v>1.0285941223193009</v>
      </c>
      <c r="W297" s="19">
        <f ca="1">IF('Stock Price'!$I$11="OK",J297/INDEX(J$5:J$1258,'Stock Price'!$I$9)-1,"")</f>
        <v>-0.65721611314746942</v>
      </c>
      <c r="X297" s="19">
        <f ca="1">IF('Stock Price'!$I$11="OK",K297/INDEX(K$5:K$1258,'Stock Price'!$I$9)-1,"")</f>
        <v>0.51290684624017957</v>
      </c>
      <c r="Y297" s="19">
        <f ca="1">IF('Stock Price'!$I$11="OK",L297/INDEX(L$5:L$1258,'Stock Price'!$I$9)-1,"")</f>
        <v>-0.13797926211719314</v>
      </c>
      <c r="Z297" s="19">
        <f ca="1">IF('Stock Price'!$I$11="OK",M297/INDEX(M$5:M$1258,'Stock Price'!$I$9)-1,"")</f>
        <v>-0.29514630849068946</v>
      </c>
    </row>
    <row r="298" spans="1:26" x14ac:dyDescent="0.2">
      <c r="A298" s="16">
        <f>'Stock Price'!A298</f>
        <v>44897</v>
      </c>
      <c r="B298" s="17">
        <f>'Stock Price'!E298</f>
        <v>110.04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3.3724753405354635E-2</v>
      </c>
      <c r="P298" s="19">
        <f ca="1">IF('Stock Price'!$I$11="OK",C298/INDEX(C$5:C$1258,'Stock Price'!$I$9)-1,"")</f>
        <v>-0.37160025985275014</v>
      </c>
      <c r="Q298" s="19">
        <f ca="1">IF('Stock Price'!$I$11="OK",D298/INDEX(D$5:D$1258,'Stock Price'!$I$9)-1,"")</f>
        <v>-0.25003421376762014</v>
      </c>
      <c r="R298" s="19">
        <f ca="1">IF('Stock Price'!$I$11="OK",E298/INDEX(E$5:E$1258,'Stock Price'!$I$9)-1,"")</f>
        <v>-0.28772919605077574</v>
      </c>
      <c r="S298" s="19">
        <f ca="1">IF('Stock Price'!$I$11="OK",F298/INDEX(F$5:F$1258,'Stock Price'!$I$9)-1,"")</f>
        <v>-0.20155490767735673</v>
      </c>
      <c r="T298" s="19">
        <f ca="1">IF('Stock Price'!$I$11="OK",G298/INDEX(G$5:G$1258,'Stock Price'!$I$9)-1,"")</f>
        <v>-6.676342525399126E-2</v>
      </c>
      <c r="U298" s="19">
        <f ca="1">IF('Stock Price'!$I$11="OK",H298/INDEX(H$5:H$1258,'Stock Price'!$I$9)-1,"")</f>
        <v>0.4431578947368422</v>
      </c>
      <c r="V298" s="19">
        <f ca="1">IF('Stock Price'!$I$11="OK",I298/INDEX(I$5:I$1258,'Stock Price'!$I$9)-1,"")</f>
        <v>1.0218427323272437</v>
      </c>
      <c r="W298" s="19">
        <f ca="1">IF('Stock Price'!$I$11="OK",J298/INDEX(J$5:J$1258,'Stock Price'!$I$9)-1,"")</f>
        <v>-0.65311562812395874</v>
      </c>
      <c r="X298" s="19">
        <f ca="1">IF('Stock Price'!$I$11="OK",K298/INDEX(K$5:K$1258,'Stock Price'!$I$9)-1,"")</f>
        <v>0.51758323980546184</v>
      </c>
      <c r="Y298" s="19">
        <f ca="1">IF('Stock Price'!$I$11="OK",L298/INDEX(L$5:L$1258,'Stock Price'!$I$9)-1,"")</f>
        <v>-0.13730407523510968</v>
      </c>
      <c r="Z298" s="19">
        <f ca="1">IF('Stock Price'!$I$11="OK",M298/INDEX(M$5:M$1258,'Stock Price'!$I$9)-1,"")</f>
        <v>-0.28629366359949415</v>
      </c>
    </row>
    <row r="299" spans="1:26" x14ac:dyDescent="0.2">
      <c r="A299" s="16">
        <f>'Stock Price'!A299</f>
        <v>44900</v>
      </c>
      <c r="B299" s="17">
        <f>'Stock Price'!E299</f>
        <v>110.01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3.3442930953499372E-2</v>
      </c>
      <c r="P299" s="19">
        <f ca="1">IF('Stock Price'!$I$11="OK",C299/INDEX(C$5:C$1258,'Stock Price'!$I$9)-1,"")</f>
        <v>-0.36482676483326115</v>
      </c>
      <c r="Q299" s="19">
        <f ca="1">IF('Stock Price'!$I$11="OK",D299/INDEX(D$5:D$1258,'Stock Price'!$I$9)-1,"")</f>
        <v>-0.25140276447242371</v>
      </c>
      <c r="R299" s="19">
        <f ca="1">IF('Stock Price'!$I$11="OK",E299/INDEX(E$5:E$1258,'Stock Price'!$I$9)-1,"")</f>
        <v>-0.29155752569010684</v>
      </c>
      <c r="S299" s="19">
        <f ca="1">IF('Stock Price'!$I$11="OK",F299/INDEX(F$5:F$1258,'Stock Price'!$I$9)-1,"")</f>
        <v>-0.20660835762876584</v>
      </c>
      <c r="T299" s="19">
        <f ca="1">IF('Stock Price'!$I$11="OK",G299/INDEX(G$5:G$1258,'Stock Price'!$I$9)-1,"")</f>
        <v>-6.8422143893841936E-2</v>
      </c>
      <c r="U299" s="19">
        <f ca="1">IF('Stock Price'!$I$11="OK",H299/INDEX(H$5:H$1258,'Stock Price'!$I$9)-1,"")</f>
        <v>0.39710526315789485</v>
      </c>
      <c r="V299" s="19">
        <f ca="1">IF('Stock Price'!$I$11="OK",I299/INDEX(I$5:I$1258,'Stock Price'!$I$9)-1,"")</f>
        <v>1.0146942017474183</v>
      </c>
      <c r="W299" s="19">
        <f ca="1">IF('Stock Price'!$I$11="OK",J299/INDEX(J$5:J$1258,'Stock Price'!$I$9)-1,"")</f>
        <v>-0.65817875522973823</v>
      </c>
      <c r="X299" s="19">
        <f ca="1">IF('Stock Price'!$I$11="OK",K299/INDEX(K$5:K$1258,'Stock Price'!$I$9)-1,"")</f>
        <v>0.50953984287317633</v>
      </c>
      <c r="Y299" s="19">
        <f ca="1">IF('Stock Price'!$I$11="OK",L299/INDEX(L$5:L$1258,'Stock Price'!$I$9)-1,"")</f>
        <v>-0.13778635157945496</v>
      </c>
      <c r="Z299" s="19">
        <f ca="1">IF('Stock Price'!$I$11="OK",M299/INDEX(M$5:M$1258,'Stock Price'!$I$9)-1,"")</f>
        <v>-0.28507260913174304</v>
      </c>
    </row>
    <row r="300" spans="1:26" x14ac:dyDescent="0.2">
      <c r="A300" s="16">
        <f>'Stock Price'!A300</f>
        <v>44901</v>
      </c>
      <c r="B300" s="17">
        <f>'Stock Price'!E300</f>
        <v>108.93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2.3297322686707478E-2</v>
      </c>
      <c r="P300" s="19">
        <f ca="1">IF('Stock Price'!$I$11="OK",C300/INDEX(C$5:C$1258,'Stock Price'!$I$9)-1,"")</f>
        <v>-0.36636278331167893</v>
      </c>
      <c r="Q300" s="19">
        <f ca="1">IF('Stock Price'!$I$11="OK",D300/INDEX(D$5:D$1258,'Stock Price'!$I$9)-1,"")</f>
        <v>-0.25140276447242371</v>
      </c>
      <c r="R300" s="19">
        <f ca="1">IF('Stock Price'!$I$11="OK",E300/INDEX(E$5:E$1258,'Stock Price'!$I$9)-1,"")</f>
        <v>-0.23594600040298208</v>
      </c>
      <c r="S300" s="19">
        <f ca="1">IF('Stock Price'!$I$11="OK",F300/INDEX(F$5:F$1258,'Stock Price'!$I$9)-1,"")</f>
        <v>-0.21729834791059277</v>
      </c>
      <c r="T300" s="19">
        <f ca="1">IF('Stock Price'!$I$11="OK",G300/INDEX(G$5:G$1258,'Stock Price'!$I$9)-1,"")</f>
        <v>6.6348745594029257E-3</v>
      </c>
      <c r="U300" s="19">
        <f ca="1">IF('Stock Price'!$I$11="OK",H300/INDEX(H$5:H$1258,'Stock Price'!$I$9)-1,"")</f>
        <v>0.39184210526315799</v>
      </c>
      <c r="V300" s="19">
        <f ca="1">IF('Stock Price'!$I$11="OK",I300/INDEX(I$5:I$1258,'Stock Price'!$I$9)-1,"")</f>
        <v>0.9741858617950756</v>
      </c>
      <c r="W300" s="19">
        <f ca="1">IF('Stock Price'!$I$11="OK",J300/INDEX(J$5:J$1258,'Stock Price'!$I$9)-1,"")</f>
        <v>-0.65887296826983599</v>
      </c>
      <c r="X300" s="19">
        <f ca="1">IF('Stock Price'!$I$11="OK",K300/INDEX(K$5:K$1258,'Stock Price'!$I$9)-1,"")</f>
        <v>0.49494949494949503</v>
      </c>
      <c r="Y300" s="19">
        <f ca="1">IF('Stock Price'!$I$11="OK",L300/INDEX(L$5:L$1258,'Stock Price'!$I$9)-1,"")</f>
        <v>-0.15071135760790932</v>
      </c>
      <c r="Z300" s="19">
        <f ca="1">IF('Stock Price'!$I$11="OK",M300/INDEX(M$5:M$1258,'Stock Price'!$I$9)-1,"")</f>
        <v>-0.28603200907069037</v>
      </c>
    </row>
    <row r="301" spans="1:26" x14ac:dyDescent="0.2">
      <c r="A301" s="16">
        <f>'Stock Price'!A301</f>
        <v>44902</v>
      </c>
      <c r="B301" s="17">
        <f>'Stock Price'!E301</f>
        <v>110.09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3.4194457491780073E-2</v>
      </c>
      <c r="P301" s="19">
        <f ca="1">IF('Stock Price'!$I$11="OK",C301/INDEX(C$5:C$1258,'Stock Price'!$I$9)-1,"")</f>
        <v>-0.3594499783456041</v>
      </c>
      <c r="Q301" s="19">
        <f ca="1">IF('Stock Price'!$I$11="OK",D301/INDEX(D$5:D$1258,'Stock Price'!$I$9)-1,"")</f>
        <v>-0.25550841658683454</v>
      </c>
      <c r="R301" s="19">
        <f ca="1">IF('Stock Price'!$I$11="OK",E301/INDEX(E$5:E$1258,'Stock Price'!$I$9)-1,"")</f>
        <v>-0.25690106790247835</v>
      </c>
      <c r="S301" s="19">
        <f ca="1">IF('Stock Price'!$I$11="OK",F301/INDEX(F$5:F$1258,'Stock Price'!$I$9)-1,"")</f>
        <v>-0.22351797862001943</v>
      </c>
      <c r="T301" s="19">
        <f ca="1">IF('Stock Price'!$I$11="OK",G301/INDEX(G$5:G$1258,'Stock Price'!$I$9)-1,"")</f>
        <v>-6.0128550694588112E-3</v>
      </c>
      <c r="U301" s="19">
        <f ca="1">IF('Stock Price'!$I$11="OK",H301/INDEX(H$5:H$1258,'Stock Price'!$I$9)-1,"")</f>
        <v>0.38947368421052619</v>
      </c>
      <c r="V301" s="19">
        <f ca="1">IF('Stock Price'!$I$11="OK",I301/INDEX(I$5:I$1258,'Stock Price'!$I$9)-1,"")</f>
        <v>0.99523431294678333</v>
      </c>
      <c r="W301" s="19">
        <f ca="1">IF('Stock Price'!$I$11="OK",J301/INDEX(J$5:J$1258,'Stock Price'!$I$9)-1,"")</f>
        <v>-0.65569810063312217</v>
      </c>
      <c r="X301" s="19">
        <f ca="1">IF('Stock Price'!$I$11="OK",K301/INDEX(K$5:K$1258,'Stock Price'!$I$9)-1,"")</f>
        <v>0.49513655069210638</v>
      </c>
      <c r="Y301" s="19">
        <f ca="1">IF('Stock Price'!$I$11="OK",L301/INDEX(L$5:L$1258,'Stock Price'!$I$9)-1,"")</f>
        <v>-0.14555100072341454</v>
      </c>
      <c r="Z301" s="19">
        <f ca="1">IF('Stock Price'!$I$11="OK",M301/INDEX(M$5:M$1258,'Stock Price'!$I$9)-1,"")</f>
        <v>-0.2787056822641838</v>
      </c>
    </row>
    <row r="302" spans="1:26" x14ac:dyDescent="0.2">
      <c r="A302" s="16">
        <f>'Stock Price'!A302</f>
        <v>44903</v>
      </c>
      <c r="B302" s="17">
        <f>'Stock Price'!E302</f>
        <v>110.85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4.13339596054485E-2</v>
      </c>
      <c r="P302" s="19">
        <f ca="1">IF('Stock Price'!$I$11="OK",C302/INDEX(C$5:C$1258,'Stock Price'!$I$9)-1,"")</f>
        <v>-0.36049732929117939</v>
      </c>
      <c r="Q302" s="19">
        <f ca="1">IF('Stock Price'!$I$11="OK",D302/INDEX(D$5:D$1258,'Stock Price'!$I$9)-1,"")</f>
        <v>-0.23886684001642267</v>
      </c>
      <c r="R302" s="19">
        <f ca="1">IF('Stock Price'!$I$11="OK",E302/INDEX(E$5:E$1258,'Stock Price'!$I$9)-1,"")</f>
        <v>-0.26254281684465042</v>
      </c>
      <c r="S302" s="19">
        <f ca="1">IF('Stock Price'!$I$11="OK",F302/INDEX(F$5:F$1258,'Stock Price'!$I$9)-1,"")</f>
        <v>-0.21341107871720122</v>
      </c>
      <c r="T302" s="19">
        <f ca="1">IF('Stock Price'!$I$11="OK",G302/INDEX(G$5:G$1258,'Stock Price'!$I$9)-1,"")</f>
        <v>-2.7161517727555373E-2</v>
      </c>
      <c r="U302" s="19">
        <f ca="1">IF('Stock Price'!$I$11="OK",H302/INDEX(H$5:H$1258,'Stock Price'!$I$9)-1,"")</f>
        <v>0.38763157894736833</v>
      </c>
      <c r="V302" s="19">
        <f ca="1">IF('Stock Price'!$I$11="OK",I302/INDEX(I$5:I$1258,'Stock Price'!$I$9)-1,"")</f>
        <v>1.0563939634630661</v>
      </c>
      <c r="W302" s="19">
        <f ca="1">IF('Stock Price'!$I$11="OK",J302/INDEX(J$5:J$1258,'Stock Price'!$I$9)-1,"")</f>
        <v>-0.65586471176274563</v>
      </c>
      <c r="X302" s="19">
        <f ca="1">IF('Stock Price'!$I$11="OK",K302/INDEX(K$5:K$1258,'Stock Price'!$I$9)-1,"")</f>
        <v>0.49420127197904962</v>
      </c>
      <c r="Y302" s="19">
        <f ca="1">IF('Stock Price'!$I$11="OK",L302/INDEX(L$5:L$1258,'Stock Price'!$I$9)-1,"")</f>
        <v>-0.14540631782011093</v>
      </c>
      <c r="Z302" s="19">
        <f ca="1">IF('Stock Price'!$I$11="OK",M302/INDEX(M$5:M$1258,'Stock Price'!$I$9)-1,"")</f>
        <v>-0.27613274606427973</v>
      </c>
    </row>
    <row r="303" spans="1:26" x14ac:dyDescent="0.2">
      <c r="A303" s="16">
        <f>'Stock Price'!A303</f>
        <v>44904</v>
      </c>
      <c r="B303" s="17">
        <f>'Stock Price'!E303</f>
        <v>108.78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2.1888210427430721E-2</v>
      </c>
      <c r="P303" s="19">
        <f ca="1">IF('Stock Price'!$I$11="OK",C303/INDEX(C$5:C$1258,'Stock Price'!$I$9)-1,"")</f>
        <v>-0.36489678071315135</v>
      </c>
      <c r="Q303" s="19">
        <f ca="1">IF('Stock Price'!$I$11="OK",D303/INDEX(D$5:D$1258,'Stock Price'!$I$9)-1,"")</f>
        <v>-0.23662241686054475</v>
      </c>
      <c r="R303" s="19">
        <f ca="1">IF('Stock Price'!$I$11="OK",E303/INDEX(E$5:E$1258,'Stock Price'!$I$9)-1,"")</f>
        <v>-0.27523675196453767</v>
      </c>
      <c r="S303" s="19">
        <f ca="1">IF('Stock Price'!$I$11="OK",F303/INDEX(F$5:F$1258,'Stock Price'!$I$9)-1,"")</f>
        <v>-0.21263362487852289</v>
      </c>
      <c r="T303" s="19">
        <f ca="1">IF('Stock Price'!$I$11="OK",G303/INDEX(G$5:G$1258,'Stock Price'!$I$9)-1,"")</f>
        <v>-4.0845946506323894E-2</v>
      </c>
      <c r="U303" s="19">
        <f ca="1">IF('Stock Price'!$I$11="OK",H303/INDEX(H$5:H$1258,'Stock Price'!$I$9)-1,"")</f>
        <v>0.39157894736842103</v>
      </c>
      <c r="V303" s="19">
        <f ca="1">IF('Stock Price'!$I$11="OK",I303/INDEX(I$5:I$1258,'Stock Price'!$I$9)-1,"")</f>
        <v>1.0540111199364577</v>
      </c>
      <c r="W303" s="19">
        <f ca="1">IF('Stock Price'!$I$11="OK",J303/INDEX(J$5:J$1258,'Stock Price'!$I$9)-1,"")</f>
        <v>-0.66586137954015323</v>
      </c>
      <c r="X303" s="19">
        <f ca="1">IF('Stock Price'!$I$11="OK",K303/INDEX(K$5:K$1258,'Stock Price'!$I$9)-1,"")</f>
        <v>0.47456041900486334</v>
      </c>
      <c r="Y303" s="19">
        <f ca="1">IF('Stock Price'!$I$11="OK",L303/INDEX(L$5:L$1258,'Stock Price'!$I$9)-1,"")</f>
        <v>-0.15244755244755237</v>
      </c>
      <c r="Z303" s="19">
        <f ca="1">IF('Stock Price'!$I$11="OK",M303/INDEX(M$5:M$1258,'Stock Price'!$I$9)-1,"")</f>
        <v>-0.28891020888753216</v>
      </c>
    </row>
    <row r="304" spans="1:26" x14ac:dyDescent="0.2">
      <c r="A304" s="16">
        <f>'Stock Price'!A304</f>
        <v>44907</v>
      </c>
      <c r="B304" s="17">
        <f>'Stock Price'!E304</f>
        <v>108.97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2.3673085955847828E-2</v>
      </c>
      <c r="P304" s="19">
        <f ca="1">IF('Stock Price'!$I$11="OK",C304/INDEX(C$5:C$1258,'Stock Price'!$I$9)-1,"")</f>
        <v>-0.36538544824599395</v>
      </c>
      <c r="Q304" s="19">
        <f ca="1">IF('Stock Price'!$I$11="OK",D304/INDEX(D$5:D$1258,'Stock Price'!$I$9)-1,"")</f>
        <v>-0.24154865197755593</v>
      </c>
      <c r="R304" s="19">
        <f ca="1">IF('Stock Price'!$I$11="OK",E304/INDEX(E$5:E$1258,'Stock Price'!$I$9)-1,"")</f>
        <v>-0.28047551883941169</v>
      </c>
      <c r="S304" s="19">
        <f ca="1">IF('Stock Price'!$I$11="OK",F304/INDEX(F$5:F$1258,'Stock Price'!$I$9)-1,"")</f>
        <v>-0.213022351797862</v>
      </c>
      <c r="T304" s="19">
        <f ca="1">IF('Stock Price'!$I$11="OK",G304/INDEX(G$5:G$1258,'Stock Price'!$I$9)-1,"")</f>
        <v>-3.2552353307070292E-2</v>
      </c>
      <c r="U304" s="19">
        <f ca="1">IF('Stock Price'!$I$11="OK",H304/INDEX(H$5:H$1258,'Stock Price'!$I$9)-1,"")</f>
        <v>0.37684210526315787</v>
      </c>
      <c r="V304" s="19">
        <f ca="1">IF('Stock Price'!$I$11="OK",I304/INDEX(I$5:I$1258,'Stock Price'!$I$9)-1,"")</f>
        <v>1.0714853057982525</v>
      </c>
      <c r="W304" s="19">
        <f ca="1">IF('Stock Price'!$I$11="OK",J304/INDEX(J$5:J$1258,'Stock Price'!$I$9)-1,"")</f>
        <v>-0.66006701469880413</v>
      </c>
      <c r="X304" s="19">
        <f ca="1">IF('Stock Price'!$I$11="OK",K304/INDEX(K$5:K$1258,'Stock Price'!$I$9)-1,"")</f>
        <v>0.47568275346053124</v>
      </c>
      <c r="Y304" s="19">
        <f ca="1">IF('Stock Price'!$I$11="OK",L304/INDEX(L$5:L$1258,'Stock Price'!$I$9)-1,"")</f>
        <v>-0.14231974921630086</v>
      </c>
      <c r="Z304" s="19">
        <f ca="1">IF('Stock Price'!$I$11="OK",M304/INDEX(M$5:M$1258,'Stock Price'!$I$9)-1,"")</f>
        <v>-0.27905455496925557</v>
      </c>
    </row>
    <row r="305" spans="1:26" x14ac:dyDescent="0.2">
      <c r="A305" s="16">
        <f>'Stock Price'!A305</f>
        <v>44908</v>
      </c>
      <c r="B305" s="17">
        <f>'Stock Price'!E305</f>
        <v>110.91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4.1897604509159247E-2</v>
      </c>
      <c r="P305" s="19">
        <f ca="1">IF('Stock Price'!$I$11="OK",C305/INDEX(C$5:C$1258,'Stock Price'!$I$9)-1,"")</f>
        <v>-0.36308069871517246</v>
      </c>
      <c r="Q305" s="19">
        <f ca="1">IF('Stock Price'!$I$11="OK",D305/INDEX(D$5:D$1258,'Stock Price'!$I$9)-1,"")</f>
        <v>-0.23634870671958397</v>
      </c>
      <c r="R305" s="19">
        <f ca="1">IF('Stock Price'!$I$11="OK",E305/INDEX(E$5:E$1258,'Stock Price'!$I$9)-1,"")</f>
        <v>-0.27160991335885565</v>
      </c>
      <c r="S305" s="19">
        <f ca="1">IF('Stock Price'!$I$11="OK",F305/INDEX(F$5:F$1258,'Stock Price'!$I$9)-1,"")</f>
        <v>-0.19980563654033046</v>
      </c>
      <c r="T305" s="19">
        <f ca="1">IF('Stock Price'!$I$11="OK",G305/INDEX(G$5:G$1258,'Stock Price'!$I$9)-1,"")</f>
        <v>-2.4673439767779359E-2</v>
      </c>
      <c r="U305" s="19">
        <f ca="1">IF('Stock Price'!$I$11="OK",H305/INDEX(H$5:H$1258,'Stock Price'!$I$9)-1,"")</f>
        <v>0.38026315789473686</v>
      </c>
      <c r="V305" s="19">
        <f ca="1">IF('Stock Price'!$I$11="OK",I305/INDEX(I$5:I$1258,'Stock Price'!$I$9)-1,"")</f>
        <v>1.1076250992851469</v>
      </c>
      <c r="W305" s="19">
        <f ca="1">IF('Stock Price'!$I$11="OK",J305/INDEX(J$5:J$1258,'Stock Price'!$I$9)-1,"")</f>
        <v>-0.6680180680513903</v>
      </c>
      <c r="X305" s="19">
        <f ca="1">IF('Stock Price'!$I$11="OK",K305/INDEX(K$5:K$1258,'Stock Price'!$I$9)-1,"")</f>
        <v>0.44687616909839112</v>
      </c>
      <c r="Y305" s="19">
        <f ca="1">IF('Stock Price'!$I$11="OK",L305/INDEX(L$5:L$1258,'Stock Price'!$I$9)-1,"")</f>
        <v>-0.13571256329877013</v>
      </c>
      <c r="Z305" s="19">
        <f ca="1">IF('Stock Price'!$I$11="OK",M305/INDEX(M$5:M$1258,'Stock Price'!$I$9)-1,"")</f>
        <v>-0.28136583664035586</v>
      </c>
    </row>
    <row r="306" spans="1:26" x14ac:dyDescent="0.2">
      <c r="A306" s="16">
        <f>'Stock Price'!A306</f>
        <v>44909</v>
      </c>
      <c r="B306" s="17">
        <f>'Stock Price'!E306</f>
        <v>111.55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4.7909816815406181E-2</v>
      </c>
      <c r="P306" s="19">
        <f ca="1">IF('Stock Price'!$I$11="OK",C306/INDEX(C$5:C$1258,'Stock Price'!$I$9)-1,"")</f>
        <v>-0.35386314421827625</v>
      </c>
      <c r="Q306" s="19">
        <f ca="1">IF('Stock Price'!$I$11="OK",D306/INDEX(D$5:D$1258,'Stock Price'!$I$9)-1,"")</f>
        <v>-0.23492596140687028</v>
      </c>
      <c r="R306" s="19">
        <f ca="1">IF('Stock Price'!$I$11="OK",E306/INDEX(E$5:E$1258,'Stock Price'!$I$9)-1,"")</f>
        <v>-0.27624420713278264</v>
      </c>
      <c r="S306" s="19">
        <f ca="1">IF('Stock Price'!$I$11="OK",F306/INDEX(F$5:F$1258,'Stock Price'!$I$9)-1,"")</f>
        <v>-0.19883381924198262</v>
      </c>
      <c r="T306" s="19">
        <f ca="1">IF('Stock Price'!$I$11="OK",G306/INDEX(G$5:G$1258,'Stock Price'!$I$9)-1,"")</f>
        <v>-5.8055152394773657E-3</v>
      </c>
      <c r="U306" s="19">
        <f ca="1">IF('Stock Price'!$I$11="OK",H306/INDEX(H$5:H$1258,'Stock Price'!$I$9)-1,"")</f>
        <v>0.36973684210526314</v>
      </c>
      <c r="V306" s="19">
        <f ca="1">IF('Stock Price'!$I$11="OK",I306/INDEX(I$5:I$1258,'Stock Price'!$I$9)-1,"")</f>
        <v>1.1636219221604449</v>
      </c>
      <c r="W306" s="19">
        <f ca="1">IF('Stock Price'!$I$11="OK",J306/INDEX(J$5:J$1258,'Stock Price'!$I$9)-1,"")</f>
        <v>-0.66353807989929281</v>
      </c>
      <c r="X306" s="19">
        <f ca="1">IF('Stock Price'!$I$11="OK",K306/INDEX(K$5:K$1258,'Stock Price'!$I$9)-1,"")</f>
        <v>0.44294799850355404</v>
      </c>
      <c r="Y306" s="19">
        <f ca="1">IF('Stock Price'!$I$11="OK",L306/INDEX(L$5:L$1258,'Stock Price'!$I$9)-1,"")</f>
        <v>-0.13306004340487099</v>
      </c>
      <c r="Z306" s="19">
        <f ca="1">IF('Stock Price'!$I$11="OK",M306/INDEX(M$5:M$1258,'Stock Price'!$I$9)-1,"")</f>
        <v>-0.28106057302341803</v>
      </c>
    </row>
    <row r="307" spans="1:26" x14ac:dyDescent="0.2">
      <c r="A307" s="16">
        <f>'Stock Price'!A307</f>
        <v>44910</v>
      </c>
      <c r="B307" s="17">
        <f>'Stock Price'!E307</f>
        <v>109.63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2.9873179896664936E-2</v>
      </c>
      <c r="P307" s="19">
        <f ca="1">IF('Stock Price'!$I$11="OK",C307/INDEX(C$5:C$1258,'Stock Price'!$I$9)-1,"")</f>
        <v>-0.36531543236610364</v>
      </c>
      <c r="Q307" s="19">
        <f ca="1">IF('Stock Price'!$I$11="OK",D307/INDEX(D$5:D$1258,'Stock Price'!$I$9)-1,"")</f>
        <v>-0.24467004242507195</v>
      </c>
      <c r="R307" s="19">
        <f ca="1">IF('Stock Price'!$I$11="OK",E307/INDEX(E$5:E$1258,'Stock Price'!$I$9)-1,"")</f>
        <v>-0.28208744710860367</v>
      </c>
      <c r="S307" s="19">
        <f ca="1">IF('Stock Price'!$I$11="OK",F307/INDEX(F$5:F$1258,'Stock Price'!$I$9)-1,"")</f>
        <v>-0.21166180758017494</v>
      </c>
      <c r="T307" s="19">
        <f ca="1">IF('Stock Price'!$I$11="OK",G307/INDEX(G$5:G$1258,'Stock Price'!$I$9)-1,"")</f>
        <v>-2.2185361808003345E-2</v>
      </c>
      <c r="U307" s="19">
        <f ca="1">IF('Stock Price'!$I$11="OK",H307/INDEX(H$5:H$1258,'Stock Price'!$I$9)-1,"")</f>
        <v>0.32842105263157895</v>
      </c>
      <c r="V307" s="19">
        <f ca="1">IF('Stock Price'!$I$11="OK",I307/INDEX(I$5:I$1258,'Stock Price'!$I$9)-1,"")</f>
        <v>1.1290706910246229</v>
      </c>
      <c r="W307" s="19">
        <f ca="1">IF('Stock Price'!$I$11="OK",J307/INDEX(J$5:J$1258,'Stock Price'!$I$9)-1,"")</f>
        <v>-0.66676848457921434</v>
      </c>
      <c r="X307" s="19">
        <f ca="1">IF('Stock Price'!$I$11="OK",K307/INDEX(K$5:K$1258,'Stock Price'!$I$9)-1,"")</f>
        <v>0.4029180695847363</v>
      </c>
      <c r="Y307" s="19">
        <f ca="1">IF('Stock Price'!$I$11="OK",L307/INDEX(L$5:L$1258,'Stock Price'!$I$9)-1,"")</f>
        <v>-0.14400771642150945</v>
      </c>
      <c r="Z307" s="19">
        <f ca="1">IF('Stock Price'!$I$11="OK",M307/INDEX(M$5:M$1258,'Stock Price'!$I$9)-1,"")</f>
        <v>-0.28873577253499627</v>
      </c>
    </row>
    <row r="308" spans="1:26" x14ac:dyDescent="0.2">
      <c r="A308" s="16">
        <f>'Stock Price'!A308</f>
        <v>44911</v>
      </c>
      <c r="B308" s="17">
        <f>'Stock Price'!E308</f>
        <v>109.2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2.5833724753405285E-2</v>
      </c>
      <c r="P308" s="19">
        <f ca="1">IF('Stock Price'!$I$11="OK",C308/INDEX(C$5:C$1258,'Stock Price'!$I$9)-1,"")</f>
        <v>-0.36817886530965782</v>
      </c>
      <c r="Q308" s="19">
        <f ca="1">IF('Stock Price'!$I$11="OK",D308/INDEX(D$5:D$1258,'Stock Price'!$I$9)-1,"")</f>
        <v>-0.2604357465444096</v>
      </c>
      <c r="R308" s="19">
        <f ca="1">IF('Stock Price'!$I$11="OK",E308/INDEX(E$5:E$1258,'Stock Price'!$I$9)-1,"")</f>
        <v>-0.29578883739673578</v>
      </c>
      <c r="S308" s="19">
        <f ca="1">IF('Stock Price'!$I$11="OK",F308/INDEX(F$5:F$1258,'Stock Price'!$I$9)-1,"")</f>
        <v>-0.21593780369290572</v>
      </c>
      <c r="T308" s="19">
        <f ca="1">IF('Stock Price'!$I$11="OK",G308/INDEX(G$5:G$1258,'Stock Price'!$I$9)-1,"")</f>
        <v>-2.5917478747667477E-2</v>
      </c>
      <c r="U308" s="19">
        <f ca="1">IF('Stock Price'!$I$11="OK",H308/INDEX(H$5:H$1258,'Stock Price'!$I$9)-1,"")</f>
        <v>0.27789473684210542</v>
      </c>
      <c r="V308" s="19">
        <f ca="1">IF('Stock Price'!$I$11="OK",I308/INDEX(I$5:I$1258,'Stock Price'!$I$9)-1,"")</f>
        <v>1.0413026211278793</v>
      </c>
      <c r="W308" s="19">
        <f ca="1">IF('Stock Price'!$I$11="OK",J308/INDEX(J$5:J$1258,'Stock Price'!$I$9)-1,"")</f>
        <v>-0.66689807101336585</v>
      </c>
      <c r="X308" s="19">
        <f ca="1">IF('Stock Price'!$I$11="OK",K308/INDEX(K$5:K$1258,'Stock Price'!$I$9)-1,"")</f>
        <v>0.37467265245043002</v>
      </c>
      <c r="Y308" s="19">
        <f ca="1">IF('Stock Price'!$I$11="OK",L308/INDEX(L$5:L$1258,'Stock Price'!$I$9)-1,"")</f>
        <v>-0.15278514588859415</v>
      </c>
      <c r="Z308" s="19">
        <f ca="1">IF('Stock Price'!$I$11="OK",M308/INDEX(M$5:M$1258,'Stock Price'!$I$9)-1,"")</f>
        <v>-0.30016135362609575</v>
      </c>
    </row>
    <row r="309" spans="1:26" x14ac:dyDescent="0.2">
      <c r="A309" s="16">
        <f>'Stock Price'!A309</f>
        <v>44914</v>
      </c>
      <c r="B309" s="17">
        <f>'Stock Price'!E309</f>
        <v>109.44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2.8088304368248052E-2</v>
      </c>
      <c r="P309" s="19">
        <f ca="1">IF('Stock Price'!$I$11="OK",C309/INDEX(C$5:C$1258,'Stock Price'!$I$9)-1,"")</f>
        <v>-0.37020355132091809</v>
      </c>
      <c r="Q309" s="19">
        <f ca="1">IF('Stock Price'!$I$11="OK",D309/INDEX(D$5:D$1258,'Stock Price'!$I$9)-1,"")</f>
        <v>-0.25266183112084306</v>
      </c>
      <c r="R309" s="19">
        <f ca="1">IF('Stock Price'!$I$11="OK",E309/INDEX(E$5:E$1258,'Stock Price'!$I$9)-1,"")</f>
        <v>-0.29740076566592799</v>
      </c>
      <c r="S309" s="19">
        <f ca="1">IF('Stock Price'!$I$11="OK",F309/INDEX(F$5:F$1258,'Stock Price'!$I$9)-1,"")</f>
        <v>-0.21963070942662788</v>
      </c>
      <c r="T309" s="19">
        <f ca="1">IF('Stock Price'!$I$11="OK",G309/INDEX(G$5:G$1258,'Stock Price'!$I$9)-1,"")</f>
        <v>-2.5917478747667477E-2</v>
      </c>
      <c r="U309" s="19">
        <f ca="1">IF('Stock Price'!$I$11="OK",H309/INDEX(H$5:H$1258,'Stock Price'!$I$9)-1,"")</f>
        <v>0.28434210526315784</v>
      </c>
      <c r="V309" s="19">
        <f ca="1">IF('Stock Price'!$I$11="OK",I309/INDEX(I$5:I$1258,'Stock Price'!$I$9)-1,"")</f>
        <v>1.039714058776807</v>
      </c>
      <c r="W309" s="19">
        <f ca="1">IF('Stock Price'!$I$11="OK",J309/INDEX(J$5:J$1258,'Stock Price'!$I$9)-1,"")</f>
        <v>-0.66883261135177163</v>
      </c>
      <c r="X309" s="19">
        <f ca="1">IF('Stock Price'!$I$11="OK",K309/INDEX(K$5:K$1258,'Stock Price'!$I$9)-1,"")</f>
        <v>0.36849981294425738</v>
      </c>
      <c r="Y309" s="19">
        <f ca="1">IF('Stock Price'!$I$11="OK",L309/INDEX(L$5:L$1258,'Stock Price'!$I$9)-1,"")</f>
        <v>-0.15370147094285025</v>
      </c>
      <c r="Z309" s="19">
        <f ca="1">IF('Stock Price'!$I$11="OK",M309/INDEX(M$5:M$1258,'Stock Price'!$I$9)-1,"")</f>
        <v>-0.29575683572456501</v>
      </c>
    </row>
    <row r="310" spans="1:26" x14ac:dyDescent="0.2">
      <c r="A310" s="16">
        <f>'Stock Price'!A310</f>
        <v>44915</v>
      </c>
      <c r="B310" s="17">
        <f>'Stock Price'!E310</f>
        <v>109.71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3.0624706434945859E-2</v>
      </c>
      <c r="P310" s="19">
        <f ca="1">IF('Stock Price'!$I$11="OK",C310/INDEX(C$5:C$1258,'Stock Price'!$I$9)-1,"")</f>
        <v>-0.36894687454886665</v>
      </c>
      <c r="Q310" s="19">
        <f ca="1">IF('Stock Price'!$I$11="OK",D310/INDEX(D$5:D$1258,'Stock Price'!$I$9)-1,"")</f>
        <v>-0.26842808266046259</v>
      </c>
      <c r="R310" s="19">
        <f ca="1">IF('Stock Price'!$I$11="OK",E310/INDEX(E$5:E$1258,'Stock Price'!$I$9)-1,"")</f>
        <v>-0.29498287326213979</v>
      </c>
      <c r="S310" s="19">
        <f ca="1">IF('Stock Price'!$I$11="OK",F310/INDEX(F$5:F$1258,'Stock Price'!$I$9)-1,"")</f>
        <v>-0.22546161321671532</v>
      </c>
      <c r="T310" s="19">
        <f ca="1">IF('Stock Price'!$I$11="OK",G310/INDEX(G$5:G$1258,'Stock Price'!$I$9)-1,"")</f>
        <v>-2.2185361808003345E-2</v>
      </c>
      <c r="U310" s="19">
        <f ca="1">IF('Stock Price'!$I$11="OK",H310/INDEX(H$5:H$1258,'Stock Price'!$I$9)-1,"")</f>
        <v>0.29921052631578937</v>
      </c>
      <c r="V310" s="19">
        <f ca="1">IF('Stock Price'!$I$11="OK",I310/INDEX(I$5:I$1258,'Stock Price'!$I$9)-1,"")</f>
        <v>1.0381254964257347</v>
      </c>
      <c r="W310" s="19">
        <f ca="1">IF('Stock Price'!$I$11="OK",J310/INDEX(J$5:J$1258,'Stock Price'!$I$9)-1,"")</f>
        <v>-0.66711096301232919</v>
      </c>
      <c r="X310" s="19">
        <f ca="1">IF('Stock Price'!$I$11="OK",K310/INDEX(K$5:K$1258,'Stock Price'!$I$9)-1,"")</f>
        <v>0.35895997007108127</v>
      </c>
      <c r="Y310" s="19">
        <f ca="1">IF('Stock Price'!$I$11="OK",L310/INDEX(L$5:L$1258,'Stock Price'!$I$9)-1,"")</f>
        <v>-0.15278514588859415</v>
      </c>
      <c r="Z310" s="19">
        <f ca="1">IF('Stock Price'!$I$11="OK",M310/INDEX(M$5:M$1258,'Stock Price'!$I$9)-1,"")</f>
        <v>-0.29972526274475597</v>
      </c>
    </row>
    <row r="311" spans="1:26" x14ac:dyDescent="0.2">
      <c r="A311" s="16">
        <f>'Stock Price'!A311</f>
        <v>44916</v>
      </c>
      <c r="B311" s="17">
        <f>'Stock Price'!E311</f>
        <v>111.11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4.3776420854861442E-2</v>
      </c>
      <c r="P311" s="19">
        <f ca="1">IF('Stock Price'!$I$11="OK",C311/INDEX(C$5:C$1258,'Stock Price'!$I$9)-1,"")</f>
        <v>-0.36524541648621334</v>
      </c>
      <c r="Q311" s="19">
        <f ca="1">IF('Stock Price'!$I$11="OK",D311/INDEX(D$5:D$1258,'Stock Price'!$I$9)-1,"")</f>
        <v>-0.26289859039277408</v>
      </c>
      <c r="R311" s="19">
        <f ca="1">IF('Stock Price'!$I$11="OK",E311/INDEX(E$5:E$1258,'Stock Price'!$I$9)-1,"")</f>
        <v>-0.28873665121902081</v>
      </c>
      <c r="S311" s="19">
        <f ca="1">IF('Stock Price'!$I$11="OK",F311/INDEX(F$5:F$1258,'Stock Price'!$I$9)-1,"")</f>
        <v>-0.22390670553935865</v>
      </c>
      <c r="T311" s="19">
        <f ca="1">IF('Stock Price'!$I$11="OK",G311/INDEX(G$5:G$1258,'Stock Price'!$I$9)-1,"")</f>
        <v>8.2935931992556E-4</v>
      </c>
      <c r="U311" s="19">
        <f ca="1">IF('Stock Price'!$I$11="OK",H311/INDEX(H$5:H$1258,'Stock Price'!$I$9)-1,"")</f>
        <v>0.28973684210526307</v>
      </c>
      <c r="V311" s="19">
        <f ca="1">IF('Stock Price'!$I$11="OK",I311/INDEX(I$5:I$1258,'Stock Price'!$I$9)-1,"")</f>
        <v>1.0516282764098488</v>
      </c>
      <c r="W311" s="19">
        <f ca="1">IF('Stock Price'!$I$11="OK",J311/INDEX(J$5:J$1258,'Stock Price'!$I$9)-1,"")</f>
        <v>-0.65936354548483833</v>
      </c>
      <c r="X311" s="19">
        <f ca="1">IF('Stock Price'!$I$11="OK",K311/INDEX(K$5:K$1258,'Stock Price'!$I$9)-1,"")</f>
        <v>0.37167976056864949</v>
      </c>
      <c r="Y311" s="19">
        <f ca="1">IF('Stock Price'!$I$11="OK",L311/INDEX(L$5:L$1258,'Stock Price'!$I$9)-1,"")</f>
        <v>-0.14309139136725335</v>
      </c>
      <c r="Z311" s="19">
        <f ca="1">IF('Stock Price'!$I$11="OK",M311/INDEX(M$5:M$1258,'Stock Price'!$I$9)-1,"")</f>
        <v>-0.29261698137891934</v>
      </c>
    </row>
    <row r="312" spans="1:26" x14ac:dyDescent="0.2">
      <c r="A312" s="16">
        <f>'Stock Price'!A312</f>
        <v>44917</v>
      </c>
      <c r="B312" s="17">
        <f>'Stock Price'!E312</f>
        <v>111.24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4.4997651479567802E-2</v>
      </c>
      <c r="P312" s="19">
        <f ca="1">IF('Stock Price'!$I$11="OK",C312/INDEX(C$5:C$1258,'Stock Price'!$I$9)-1,"")</f>
        <v>-0.36524541648621334</v>
      </c>
      <c r="Q312" s="19">
        <f ca="1">IF('Stock Price'!$I$11="OK",D312/INDEX(D$5:D$1258,'Stock Price'!$I$9)-1,"")</f>
        <v>-0.26415820446147531</v>
      </c>
      <c r="R312" s="19">
        <f ca="1">IF('Stock Price'!$I$11="OK",E312/INDEX(E$5:E$1258,'Stock Price'!$I$9)-1,"")</f>
        <v>-0.28853516018537173</v>
      </c>
      <c r="S312" s="19">
        <f ca="1">IF('Stock Price'!$I$11="OK",F312/INDEX(F$5:F$1258,'Stock Price'!$I$9)-1,"")</f>
        <v>-0.23187560738581148</v>
      </c>
      <c r="T312" s="19">
        <f ca="1">IF('Stock Price'!$I$11="OK",G312/INDEX(G$5:G$1258,'Stock Price'!$I$9)-1,"")</f>
        <v>-8.2935931992533796E-4</v>
      </c>
      <c r="U312" s="19">
        <f ca="1">IF('Stock Price'!$I$11="OK",H312/INDEX(H$5:H$1258,'Stock Price'!$I$9)-1,"")</f>
        <v>0.27763157894736845</v>
      </c>
      <c r="V312" s="19">
        <f ca="1">IF('Stock Price'!$I$11="OK",I312/INDEX(I$5:I$1258,'Stock Price'!$I$9)-1,"")</f>
        <v>1.0508339952343131</v>
      </c>
      <c r="W312" s="19">
        <f ca="1">IF('Stock Price'!$I$11="OK",J312/INDEX(J$5:J$1258,'Stock Price'!$I$9)-1,"")</f>
        <v>-0.66186271242919026</v>
      </c>
      <c r="X312" s="19">
        <f ca="1">IF('Stock Price'!$I$11="OK",K312/INDEX(K$5:K$1258,'Stock Price'!$I$9)-1,"")</f>
        <v>0.38103254769921424</v>
      </c>
      <c r="Y312" s="19">
        <f ca="1">IF('Stock Price'!$I$11="OK",L312/INDEX(L$5:L$1258,'Stock Price'!$I$9)-1,"")</f>
        <v>-0.14622618760549788</v>
      </c>
      <c r="Z312" s="19">
        <f ca="1">IF('Stock Price'!$I$11="OK",M312/INDEX(M$5:M$1258,'Stock Price'!$I$9)-1,"")</f>
        <v>-0.28799441803671877</v>
      </c>
    </row>
    <row r="313" spans="1:26" x14ac:dyDescent="0.2">
      <c r="A313" s="16">
        <f>'Stock Price'!A313</f>
        <v>44918</v>
      </c>
      <c r="B313" s="17">
        <f>'Stock Price'!E313</f>
        <v>111.86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5.0821982151244782E-2</v>
      </c>
      <c r="P313" s="19">
        <f ca="1">IF('Stock Price'!$I$11="OK",C313/INDEX(C$5:C$1258,'Stock Price'!$I$9)-1,"")</f>
        <v>-0.36545546412588414</v>
      </c>
      <c r="Q313" s="19">
        <f ca="1">IF('Stock Price'!$I$11="OK",D313/INDEX(D$5:D$1258,'Stock Price'!$I$9)-1,"")</f>
        <v>-0.25331873545914874</v>
      </c>
      <c r="R313" s="19">
        <f ca="1">IF('Stock Price'!$I$11="OK",E313/INDEX(E$5:E$1258,'Stock Price'!$I$9)-1,"")</f>
        <v>-0.2903485794882128</v>
      </c>
      <c r="S313" s="19">
        <f ca="1">IF('Stock Price'!$I$11="OK",F313/INDEX(F$5:F$1258,'Stock Price'!$I$9)-1,"")</f>
        <v>-0.23440233236151609</v>
      </c>
      <c r="T313" s="19">
        <f ca="1">IF('Stock Price'!$I$11="OK",G313/INDEX(G$5:G$1258,'Stock Price'!$I$9)-1,"")</f>
        <v>6.0128550694589222E-3</v>
      </c>
      <c r="U313" s="19">
        <f ca="1">IF('Stock Price'!$I$11="OK",H313/INDEX(H$5:H$1258,'Stock Price'!$I$9)-1,"")</f>
        <v>0.27947368421052632</v>
      </c>
      <c r="V313" s="19">
        <f ca="1">IF('Stock Price'!$I$11="OK",I313/INDEX(I$5:I$1258,'Stock Price'!$I$9)-1,"")</f>
        <v>1.0583796664019061</v>
      </c>
      <c r="W313" s="19">
        <f ca="1">IF('Stock Price'!$I$11="OK",J313/INDEX(J$5:J$1258,'Stock Price'!$I$9)-1,"")</f>
        <v>-0.65946536339738604</v>
      </c>
      <c r="X313" s="19">
        <f ca="1">IF('Stock Price'!$I$11="OK",K313/INDEX(K$5:K$1258,'Stock Price'!$I$9)-1,"")</f>
        <v>0.3634493078937524</v>
      </c>
      <c r="Y313" s="19">
        <f ca="1">IF('Stock Price'!$I$11="OK",L313/INDEX(L$5:L$1258,'Stock Price'!$I$9)-1,"")</f>
        <v>-0.14405594405594413</v>
      </c>
      <c r="Z313" s="19">
        <f ca="1">IF('Stock Price'!$I$11="OK",M313/INDEX(M$5:M$1258,'Stock Price'!$I$9)-1,"")</f>
        <v>-0.28873577253499627</v>
      </c>
    </row>
    <row r="314" spans="1:26" x14ac:dyDescent="0.2">
      <c r="A314" s="16">
        <f>'Stock Price'!A314</f>
        <v>44922</v>
      </c>
      <c r="B314" s="17">
        <f>'Stock Price'!E314</f>
        <v>112.12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5.3264443400657502E-2</v>
      </c>
      <c r="P314" s="19">
        <f ca="1">IF('Stock Price'!$I$11="OK",C314/INDEX(C$5:C$1258,'Stock Price'!$I$9)-1,"")</f>
        <v>-0.36363938212790525</v>
      </c>
      <c r="Q314" s="19">
        <f ca="1">IF('Stock Price'!$I$11="OK",D314/INDEX(D$5:D$1258,'Stock Price'!$I$9)-1,"")</f>
        <v>-0.25189544272615305</v>
      </c>
      <c r="R314" s="19">
        <f ca="1">IF('Stock Price'!$I$11="OK",E314/INDEX(E$5:E$1258,'Stock Price'!$I$9)-1,"")</f>
        <v>-0.2933709449929478</v>
      </c>
      <c r="S314" s="19">
        <f ca="1">IF('Stock Price'!$I$11="OK",F314/INDEX(F$5:F$1258,'Stock Price'!$I$9)-1,"")</f>
        <v>-0.23440233236151609</v>
      </c>
      <c r="T314" s="19">
        <f ca="1">IF('Stock Price'!$I$11="OK",G314/INDEX(G$5:G$1258,'Stock Price'!$I$9)-1,"")</f>
        <v>-2.2807381297946794E-3</v>
      </c>
      <c r="U314" s="19">
        <f ca="1">IF('Stock Price'!$I$11="OK",H314/INDEX(H$5:H$1258,'Stock Price'!$I$9)-1,"")</f>
        <v>0.27592105263157896</v>
      </c>
      <c r="V314" s="19">
        <f ca="1">IF('Stock Price'!$I$11="OK",I314/INDEX(I$5:I$1258,'Stock Price'!$I$9)-1,"")</f>
        <v>1.0305798252581413</v>
      </c>
      <c r="W314" s="19">
        <f ca="1">IF('Stock Price'!$I$11="OK",J314/INDEX(J$5:J$1258,'Stock Price'!$I$9)-1,"")</f>
        <v>-0.66226072790551294</v>
      </c>
      <c r="X314" s="19">
        <f ca="1">IF('Stock Price'!$I$11="OK",K314/INDEX(K$5:K$1258,'Stock Price'!$I$9)-1,"")</f>
        <v>0.35821174710063586</v>
      </c>
      <c r="Y314" s="19">
        <f ca="1">IF('Stock Price'!$I$11="OK",L314/INDEX(L$5:L$1258,'Stock Price'!$I$9)-1,"")</f>
        <v>-0.14429708222811666</v>
      </c>
      <c r="Z314" s="19">
        <f ca="1">IF('Stock Price'!$I$11="OK",M314/INDEX(M$5:M$1258,'Stock Price'!$I$9)-1,"")</f>
        <v>-0.28921547250446988</v>
      </c>
    </row>
    <row r="315" spans="1:26" x14ac:dyDescent="0.2">
      <c r="A315" s="16">
        <f>'Stock Price'!A315</f>
        <v>44923</v>
      </c>
      <c r="B315" s="17">
        <f>'Stock Price'!E315</f>
        <v>111.08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4.3494598403005957E-2</v>
      </c>
      <c r="P315" s="19">
        <f ca="1">IF('Stock Price'!$I$11="OK",C315/INDEX(C$5:C$1258,'Stock Price'!$I$9)-1,"")</f>
        <v>-0.36566478995236029</v>
      </c>
      <c r="Q315" s="19">
        <f ca="1">IF('Stock Price'!$I$11="OK",D315/INDEX(D$5:D$1258,'Stock Price'!$I$9)-1,"")</f>
        <v>-0.25550841658683454</v>
      </c>
      <c r="R315" s="19">
        <f ca="1">IF('Stock Price'!$I$11="OK",E315/INDEX(E$5:E$1258,'Stock Price'!$I$9)-1,"")</f>
        <v>-0.29921418496876895</v>
      </c>
      <c r="S315" s="19">
        <f ca="1">IF('Stock Price'!$I$11="OK",F315/INDEX(F$5:F$1258,'Stock Price'!$I$9)-1,"")</f>
        <v>-0.23867832847424686</v>
      </c>
      <c r="T315" s="19">
        <f ca="1">IF('Stock Price'!$I$11="OK",G315/INDEX(G$5:G$1258,'Stock Price'!$I$9)-1,"")</f>
        <v>-8.9156126891976051E-3</v>
      </c>
      <c r="U315" s="19">
        <f ca="1">IF('Stock Price'!$I$11="OK",H315/INDEX(H$5:H$1258,'Stock Price'!$I$9)-1,"")</f>
        <v>0.28065789473684211</v>
      </c>
      <c r="V315" s="19">
        <f ca="1">IF('Stock Price'!$I$11="OK",I315/INDEX(I$5:I$1258,'Stock Price'!$I$9)-1,"")</f>
        <v>1.0174741858617948</v>
      </c>
      <c r="W315" s="19">
        <f ca="1">IF('Stock Price'!$I$11="OK",J315/INDEX(J$5:J$1258,'Stock Price'!$I$9)-1,"")</f>
        <v>-0.66194601799400199</v>
      </c>
      <c r="X315" s="19">
        <f ca="1">IF('Stock Price'!$I$11="OK",K315/INDEX(K$5:K$1258,'Stock Price'!$I$9)-1,"")</f>
        <v>0.34661429105873531</v>
      </c>
      <c r="Y315" s="19">
        <f ca="1">IF('Stock Price'!$I$11="OK",L315/INDEX(L$5:L$1258,'Stock Price'!$I$9)-1,"")</f>
        <v>-0.14801061007957561</v>
      </c>
      <c r="Z315" s="19">
        <f ca="1">IF('Stock Price'!$I$11="OK",M315/INDEX(M$5:M$1258,'Stock Price'!$I$9)-1,"")</f>
        <v>-0.29252976320265145</v>
      </c>
    </row>
    <row r="316" spans="1:26" x14ac:dyDescent="0.2">
      <c r="A316" s="16">
        <f>'Stock Price'!A316</f>
        <v>44924</v>
      </c>
      <c r="B316" s="17">
        <f>'Stock Price'!E316</f>
        <v>110.82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4.1052137153593238E-2</v>
      </c>
      <c r="P316" s="19">
        <f ca="1">IF('Stock Price'!$I$11="OK",C316/INDEX(C$5:C$1258,'Stock Price'!$I$9)-1,"")</f>
        <v>-0.36035801934459355</v>
      </c>
      <c r="Q316" s="19">
        <f ca="1">IF('Stock Price'!$I$11="OK",D316/INDEX(D$5:D$1258,'Stock Price'!$I$9)-1,"")</f>
        <v>-0.26038100451621726</v>
      </c>
      <c r="R316" s="19">
        <f ca="1">IF('Stock Price'!$I$11="OK",E316/INDEX(E$5:E$1258,'Stock Price'!$I$9)-1,"")</f>
        <v>-0.29216199879105376</v>
      </c>
      <c r="S316" s="19">
        <f ca="1">IF('Stock Price'!$I$11="OK",F316/INDEX(F$5:F$1258,'Stock Price'!$I$9)-1,"")</f>
        <v>-0.23051506316812442</v>
      </c>
      <c r="T316" s="19">
        <f ca="1">IF('Stock Price'!$I$11="OK",G316/INDEX(G$5:G$1258,'Stock Price'!$I$9)-1,"")</f>
        <v>6.6348745594029257E-3</v>
      </c>
      <c r="U316" s="19">
        <f ca="1">IF('Stock Price'!$I$11="OK",H316/INDEX(H$5:H$1258,'Stock Price'!$I$9)-1,"")</f>
        <v>0.29565789473684201</v>
      </c>
      <c r="V316" s="19">
        <f ca="1">IF('Stock Price'!$I$11="OK",I316/INDEX(I$5:I$1258,'Stock Price'!$I$9)-1,"")</f>
        <v>1.0385226370135028</v>
      </c>
      <c r="W316" s="19">
        <f ca="1">IF('Stock Price'!$I$11="OK",J316/INDEX(J$5:J$1258,'Stock Price'!$I$9)-1,"")</f>
        <v>-0.66027990669776737</v>
      </c>
      <c r="X316" s="19">
        <f ca="1">IF('Stock Price'!$I$11="OK",K316/INDEX(K$5:K$1258,'Stock Price'!$I$9)-1,"")</f>
        <v>0.34867190422745975</v>
      </c>
      <c r="Y316" s="19">
        <f ca="1">IF('Stock Price'!$I$11="OK",L316/INDEX(L$5:L$1258,'Stock Price'!$I$9)-1,"")</f>
        <v>-0.14367012298046777</v>
      </c>
      <c r="Z316" s="19">
        <f ca="1">IF('Stock Price'!$I$11="OK",M316/INDEX(M$5:M$1258,'Stock Price'!$I$9)-1,"")</f>
        <v>-0.2910906632942305</v>
      </c>
    </row>
    <row r="317" spans="1:26" x14ac:dyDescent="0.2">
      <c r="A317" s="16">
        <f>'Stock Price'!A317</f>
        <v>44925</v>
      </c>
      <c r="B317" s="17">
        <f>'Stock Price'!E317</f>
        <v>110.95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4.2273367778299598E-2</v>
      </c>
      <c r="P317" s="19">
        <f ca="1">IF('Stock Price'!$I$11="OK",C317/INDEX(C$5:C$1258,'Stock Price'!$I$9)-1,"")</f>
        <v>-0.36650281507145943</v>
      </c>
      <c r="Q317" s="19">
        <f ca="1">IF('Stock Price'!$I$11="OK",D317/INDEX(D$5:D$1258,'Stock Price'!$I$9)-1,"")</f>
        <v>-0.25430409196660742</v>
      </c>
      <c r="R317" s="19">
        <f ca="1">IF('Stock Price'!$I$11="OK",E317/INDEX(E$5:E$1258,'Stock Price'!$I$9)-1,"")</f>
        <v>-0.29196050775740479</v>
      </c>
      <c r="S317" s="19">
        <f ca="1">IF('Stock Price'!$I$11="OK",F317/INDEX(F$5:F$1258,'Stock Price'!$I$9)-1,"")</f>
        <v>-0.23906705539358608</v>
      </c>
      <c r="T317" s="19">
        <f ca="1">IF('Stock Price'!$I$11="OK",G317/INDEX(G$5:G$1258,'Stock Price'!$I$9)-1,"")</f>
        <v>4.1467965996269118E-3</v>
      </c>
      <c r="U317" s="19">
        <f ca="1">IF('Stock Price'!$I$11="OK",H317/INDEX(H$5:H$1258,'Stock Price'!$I$9)-1,"")</f>
        <v>0.27171052631578951</v>
      </c>
      <c r="V317" s="19">
        <f ca="1">IF('Stock Price'!$I$11="OK",I317/INDEX(I$5:I$1258,'Stock Price'!$I$9)-1,"")</f>
        <v>1.0349483717235901</v>
      </c>
      <c r="W317" s="19">
        <f ca="1">IF('Stock Price'!$I$11="OK",J317/INDEX(J$5:J$1258,'Stock Price'!$I$9)-1,"")</f>
        <v>-0.66137213521418792</v>
      </c>
      <c r="X317" s="19">
        <f ca="1">IF('Stock Price'!$I$11="OK",K317/INDEX(K$5:K$1258,'Stock Price'!$I$9)-1,"")</f>
        <v>0.34586606808829035</v>
      </c>
      <c r="Y317" s="19">
        <f ca="1">IF('Stock Price'!$I$11="OK",L317/INDEX(L$5:L$1258,'Stock Price'!$I$9)-1,"")</f>
        <v>-0.14805883771401007</v>
      </c>
      <c r="Z317" s="19">
        <f ca="1">IF('Stock Price'!$I$11="OK",M317/INDEX(M$5:M$1258,'Stock Price'!$I$9)-1,"")</f>
        <v>-0.29523352666695735</v>
      </c>
    </row>
    <row r="318" spans="1:26" x14ac:dyDescent="0.2">
      <c r="A318" s="16">
        <f>'Stock Price'!A318</f>
        <v>44929</v>
      </c>
      <c r="B318" s="17">
        <f>'Stock Price'!E318</f>
        <v>111.14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4.4058243306716705E-2</v>
      </c>
      <c r="P318" s="19">
        <f ca="1">IF('Stock Price'!$I$11="OK",C318/INDEX(C$5:C$1258,'Stock Price'!$I$9)-1,"")</f>
        <v>-0.35609787786920744</v>
      </c>
      <c r="Q318" s="19">
        <f ca="1">IF('Stock Price'!$I$11="OK",D318/INDEX(D$5:D$1258,'Stock Price'!$I$9)-1,"")</f>
        <v>-0.25309976734638029</v>
      </c>
      <c r="R318" s="19">
        <f ca="1">IF('Stock Price'!$I$11="OK",E318/INDEX(E$5:E$1258,'Stock Price'!$I$9)-1,"")</f>
        <v>-0.28893814225266978</v>
      </c>
      <c r="S318" s="19">
        <f ca="1">IF('Stock Price'!$I$11="OK",F318/INDEX(F$5:F$1258,'Stock Price'!$I$9)-1,"")</f>
        <v>-0.23673469387755097</v>
      </c>
      <c r="T318" s="19">
        <f ca="1">IF('Stock Price'!$I$11="OK",G318/INDEX(G$5:G$1258,'Stock Price'!$I$9)-1,"")</f>
        <v>1.59651669085632E-2</v>
      </c>
      <c r="U318" s="19">
        <f ca="1">IF('Stock Price'!$I$11="OK",H318/INDEX(H$5:H$1258,'Stock Price'!$I$9)-1,"")</f>
        <v>0.29539473684210527</v>
      </c>
      <c r="V318" s="19">
        <f ca="1">IF('Stock Price'!$I$11="OK",I318/INDEX(I$5:I$1258,'Stock Price'!$I$9)-1,"")</f>
        <v>1.0357426528991263</v>
      </c>
      <c r="W318" s="19">
        <f ca="1">IF('Stock Price'!$I$11="OK",J318/INDEX(J$5:J$1258,'Stock Price'!$I$9)-1,"")</f>
        <v>-0.66215890999296523</v>
      </c>
      <c r="X318" s="19">
        <f ca="1">IF('Stock Price'!$I$11="OK",K318/INDEX(K$5:K$1258,'Stock Price'!$I$9)-1,"")</f>
        <v>0.35166479610924073</v>
      </c>
      <c r="Y318" s="19">
        <f ca="1">IF('Stock Price'!$I$11="OK",L318/INDEX(L$5:L$1258,'Stock Price'!$I$9)-1,"")</f>
        <v>-0.14063178201109239</v>
      </c>
      <c r="Z318" s="19">
        <f ca="1">IF('Stock Price'!$I$11="OK",M318/INDEX(M$5:M$1258,'Stock Price'!$I$9)-1,"")</f>
        <v>-0.29187562688064195</v>
      </c>
    </row>
    <row r="319" spans="1:26" x14ac:dyDescent="0.2">
      <c r="A319" s="16">
        <f>'Stock Price'!A319</f>
        <v>44930</v>
      </c>
      <c r="B319" s="17">
        <f>'Stock Price'!E319</f>
        <v>112.08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5.2888680131517152E-2</v>
      </c>
      <c r="P319" s="19">
        <f ca="1">IF('Stock Price'!$I$11="OK",C319/INDEX(C$5:C$1258,'Stock Price'!$I$9)-1,"")</f>
        <v>-0.35868196910639516</v>
      </c>
      <c r="Q319" s="19">
        <f ca="1">IF('Stock Price'!$I$11="OK",D319/INDEX(D$5:D$1258,'Stock Price'!$I$9)-1,"")</f>
        <v>-0.24434159025591906</v>
      </c>
      <c r="R319" s="19">
        <f ca="1">IF('Stock Price'!$I$11="OK",E319/INDEX(E$5:E$1258,'Stock Price'!$I$9)-1,"")</f>
        <v>-0.2941769091275438</v>
      </c>
      <c r="S319" s="19">
        <f ca="1">IF('Stock Price'!$I$11="OK",F319/INDEX(F$5:F$1258,'Stock Price'!$I$9)-1,"")</f>
        <v>-0.22468415937803699</v>
      </c>
      <c r="T319" s="19">
        <f ca="1">IF('Stock Price'!$I$11="OK",G319/INDEX(G$5:G$1258,'Stock Price'!$I$9)-1,"")</f>
        <v>1.0574331329048503E-2</v>
      </c>
      <c r="U319" s="19">
        <f ca="1">IF('Stock Price'!$I$11="OK",H319/INDEX(H$5:H$1258,'Stock Price'!$I$9)-1,"")</f>
        <v>0.30328947368421044</v>
      </c>
      <c r="V319" s="19">
        <f ca="1">IF('Stock Price'!$I$11="OK",I319/INDEX(I$5:I$1258,'Stock Price'!$I$9)-1,"")</f>
        <v>0.99086576648133451</v>
      </c>
      <c r="W319" s="19">
        <f ca="1">IF('Stock Price'!$I$11="OK",J319/INDEX(J$5:J$1258,'Stock Price'!$I$9)-1,"")</f>
        <v>-0.66390832685401158</v>
      </c>
      <c r="X319" s="19">
        <f ca="1">IF('Stock Price'!$I$11="OK",K319/INDEX(K$5:K$1258,'Stock Price'!$I$9)-1,"")</f>
        <v>0.35839880284324743</v>
      </c>
      <c r="Y319" s="19">
        <f ca="1">IF('Stock Price'!$I$11="OK",L319/INDEX(L$5:L$1258,'Stock Price'!$I$9)-1,"")</f>
        <v>-0.13127562093079337</v>
      </c>
      <c r="Z319" s="19">
        <f ca="1">IF('Stock Price'!$I$11="OK",M319/INDEX(M$5:M$1258,'Stock Price'!$I$9)-1,"")</f>
        <v>-0.28616283633509221</v>
      </c>
    </row>
    <row r="320" spans="1:26" x14ac:dyDescent="0.2">
      <c r="A320" s="16">
        <f>'Stock Price'!A320</f>
        <v>44931</v>
      </c>
      <c r="B320" s="17">
        <f>'Stock Price'!E320</f>
        <v>113.64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6.7543447627994357E-2</v>
      </c>
      <c r="P320" s="19">
        <f ca="1">IF('Stock Price'!$I$11="OK",C320/INDEX(C$5:C$1258,'Stock Price'!$I$9)-1,"")</f>
        <v>-0.36594413165872663</v>
      </c>
      <c r="Q320" s="19">
        <f ca="1">IF('Stock Price'!$I$11="OK",D320/INDEX(D$5:D$1258,'Stock Price'!$I$9)-1,"")</f>
        <v>-0.22835637060353087</v>
      </c>
      <c r="R320" s="19">
        <f ca="1">IF('Stock Price'!$I$11="OK",E320/INDEX(E$5:E$1258,'Stock Price'!$I$9)-1,"")</f>
        <v>-0.30525891597823906</v>
      </c>
      <c r="S320" s="19">
        <f ca="1">IF('Stock Price'!$I$11="OK",F320/INDEX(F$5:F$1258,'Stock Price'!$I$9)-1,"")</f>
        <v>-0.24314868804664735</v>
      </c>
      <c r="T320" s="19">
        <f ca="1">IF('Stock Price'!$I$11="OK",G320/INDEX(G$5:G$1258,'Stock Price'!$I$9)-1,"")</f>
        <v>-9.9523118391042775E-3</v>
      </c>
      <c r="U320" s="19">
        <f ca="1">IF('Stock Price'!$I$11="OK",H320/INDEX(H$5:H$1258,'Stock Price'!$I$9)-1,"")</f>
        <v>0.30960526315789472</v>
      </c>
      <c r="V320" s="19">
        <f ca="1">IF('Stock Price'!$I$11="OK",I320/INDEX(I$5:I$1258,'Stock Price'!$I$9)-1,"")</f>
        <v>0.97220015885623501</v>
      </c>
      <c r="W320" s="19">
        <f ca="1">IF('Stock Price'!$I$11="OK",J320/INDEX(J$5:J$1258,'Stock Price'!$I$9)-1,"")</f>
        <v>-0.66777740753082293</v>
      </c>
      <c r="X320" s="19">
        <f ca="1">IF('Stock Price'!$I$11="OK",K320/INDEX(K$5:K$1258,'Stock Price'!$I$9)-1,"")</f>
        <v>0.34530490086045651</v>
      </c>
      <c r="Y320" s="19">
        <f ca="1">IF('Stock Price'!$I$11="OK",L320/INDEX(L$5:L$1258,'Stock Price'!$I$9)-1,"")</f>
        <v>-0.13768989631058592</v>
      </c>
      <c r="Z320" s="19">
        <f ca="1">IF('Stock Price'!$I$11="OK",M320/INDEX(M$5:M$1258,'Stock Price'!$I$9)-1,"")</f>
        <v>-0.28703501809777154</v>
      </c>
    </row>
    <row r="321" spans="1:26" x14ac:dyDescent="0.2">
      <c r="A321" s="16">
        <f>'Stock Price'!A321</f>
        <v>44932</v>
      </c>
      <c r="B321" s="17">
        <f>'Stock Price'!E321</f>
        <v>114.84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7.8816345702207524E-2</v>
      </c>
      <c r="P321" s="19">
        <f ca="1">IF('Stock Price'!$I$11="OK",C321/INDEX(C$5:C$1258,'Stock Price'!$I$9)-1,"")</f>
        <v>-0.35553919445647453</v>
      </c>
      <c r="Q321" s="19">
        <f ca="1">IF('Stock Price'!$I$11="OK",D321/INDEX(D$5:D$1258,'Stock Price'!$I$9)-1,"")</f>
        <v>-0.23218831257698103</v>
      </c>
      <c r="R321" s="19">
        <f ca="1">IF('Stock Price'!$I$11="OK",E321/INDEX(E$5:E$1258,'Stock Price'!$I$9)-1,"")</f>
        <v>-0.2963933104976828</v>
      </c>
      <c r="S321" s="19">
        <f ca="1">IF('Stock Price'!$I$11="OK",F321/INDEX(F$5:F$1258,'Stock Price'!$I$9)-1,"")</f>
        <v>-0.23070942662779403</v>
      </c>
      <c r="T321" s="19">
        <f ca="1">IF('Stock Price'!$I$11="OK",G321/INDEX(G$5:G$1258,'Stock Price'!$I$9)-1,"")</f>
        <v>-1.8660584698320104E-3</v>
      </c>
      <c r="U321" s="19">
        <f ca="1">IF('Stock Price'!$I$11="OK",H321/INDEX(H$5:H$1258,'Stock Price'!$I$9)-1,"")</f>
        <v>0.33026315789473681</v>
      </c>
      <c r="V321" s="19">
        <f ca="1">IF('Stock Price'!$I$11="OK",I321/INDEX(I$5:I$1258,'Stock Price'!$I$9)-1,"")</f>
        <v>1.0222398729150122</v>
      </c>
      <c r="W321" s="19">
        <f ca="1">IF('Stock Price'!$I$11="OK",J321/INDEX(J$5:J$1258,'Stock Price'!$I$9)-1,"")</f>
        <v>-0.66405642563589917</v>
      </c>
      <c r="X321" s="19">
        <f ca="1">IF('Stock Price'!$I$11="OK",K321/INDEX(K$5:K$1258,'Stock Price'!$I$9)-1,"")</f>
        <v>0.36550692106247662</v>
      </c>
      <c r="Y321" s="19">
        <f ca="1">IF('Stock Price'!$I$11="OK",L321/INDEX(L$5:L$1258,'Stock Price'!$I$9)-1,"")</f>
        <v>-0.13069688931757895</v>
      </c>
      <c r="Z321" s="19">
        <f ca="1">IF('Stock Price'!$I$11="OK",M321/INDEX(M$5:M$1258,'Stock Price'!$I$9)-1,"")</f>
        <v>-0.27369063712877761</v>
      </c>
    </row>
    <row r="322" spans="1:26" x14ac:dyDescent="0.2">
      <c r="A322" s="16">
        <f>'Stock Price'!A322</f>
        <v>44935</v>
      </c>
      <c r="B322" s="17">
        <f>'Stock Price'!E322</f>
        <v>110.38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3.6918741193048277E-2</v>
      </c>
      <c r="P322" s="19">
        <f ca="1">IF('Stock Price'!$I$11="OK",C322/INDEX(C$5:C$1258,'Stock Price'!$I$9)-1,"")</f>
        <v>-0.37187960155911648</v>
      </c>
      <c r="Q322" s="19">
        <f ca="1">IF('Stock Price'!$I$11="OK",D322/INDEX(D$5:D$1258,'Stock Price'!$I$9)-1,"")</f>
        <v>-0.23224305460517314</v>
      </c>
      <c r="R322" s="19">
        <f ca="1">IF('Stock Price'!$I$11="OK",E322/INDEX(E$5:E$1258,'Stock Price'!$I$9)-1,"")</f>
        <v>-0.30425146080999399</v>
      </c>
      <c r="S322" s="19">
        <f ca="1">IF('Stock Price'!$I$11="OK",F322/INDEX(F$5:F$1258,'Stock Price'!$I$9)-1,"")</f>
        <v>-0.23459669582118559</v>
      </c>
      <c r="T322" s="19">
        <f ca="1">IF('Stock Price'!$I$11="OK",G322/INDEX(G$5:G$1258,'Stock Price'!$I$9)-1,"")</f>
        <v>5.8055152394775877E-3</v>
      </c>
      <c r="U322" s="19">
        <f ca="1">IF('Stock Price'!$I$11="OK",H322/INDEX(H$5:H$1258,'Stock Price'!$I$9)-1,"")</f>
        <v>0.36473684210526325</v>
      </c>
      <c r="V322" s="19">
        <f ca="1">IF('Stock Price'!$I$11="OK",I322/INDEX(I$5:I$1258,'Stock Price'!$I$9)-1,"")</f>
        <v>0.92176330420969022</v>
      </c>
      <c r="W322" s="19">
        <f ca="1">IF('Stock Price'!$I$11="OK",J322/INDEX(J$5:J$1258,'Stock Price'!$I$9)-1,"")</f>
        <v>-0.67619126957680775</v>
      </c>
      <c r="X322" s="19">
        <f ca="1">IF('Stock Price'!$I$11="OK",K322/INDEX(K$5:K$1258,'Stock Price'!$I$9)-1,"")</f>
        <v>0.32828282828282829</v>
      </c>
      <c r="Y322" s="19">
        <f ca="1">IF('Stock Price'!$I$11="OK",L322/INDEX(L$5:L$1258,'Stock Price'!$I$9)-1,"")</f>
        <v>-0.15321919459850486</v>
      </c>
      <c r="Z322" s="19">
        <f ca="1">IF('Stock Price'!$I$11="OK",M322/INDEX(M$5:M$1258,'Stock Price'!$I$9)-1,"")</f>
        <v>-0.29501548122628762</v>
      </c>
    </row>
    <row r="323" spans="1:26" x14ac:dyDescent="0.2">
      <c r="A323" s="16">
        <f>'Stock Price'!A323</f>
        <v>44936</v>
      </c>
      <c r="B323" s="17">
        <f>'Stock Price'!E323</f>
        <v>110.81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4.095819633630815E-2</v>
      </c>
      <c r="P323" s="19">
        <f ca="1">IF('Stock Price'!$I$11="OK",C323/INDEX(C$5:C$1258,'Stock Price'!$I$9)-1,"")</f>
        <v>-0.36845820701602428</v>
      </c>
      <c r="Q323" s="19">
        <f ca="1">IF('Stock Price'!$I$11="OK",D323/INDEX(D$5:D$1258,'Stock Price'!$I$9)-1,"")</f>
        <v>-0.21193376214588755</v>
      </c>
      <c r="R323" s="19">
        <f ca="1">IF('Stock Price'!$I$11="OK",E323/INDEX(E$5:E$1258,'Stock Price'!$I$9)-1,"")</f>
        <v>-0.30002014910336494</v>
      </c>
      <c r="S323" s="19">
        <f ca="1">IF('Stock Price'!$I$11="OK",F323/INDEX(F$5:F$1258,'Stock Price'!$I$9)-1,"")</f>
        <v>-0.23109815354713314</v>
      </c>
      <c r="T323" s="19">
        <f ca="1">IF('Stock Price'!$I$11="OK",G323/INDEX(G$5:G$1258,'Stock Price'!$I$9)-1,"")</f>
        <v>1.2233049968899179E-2</v>
      </c>
      <c r="U323" s="19">
        <f ca="1">IF('Stock Price'!$I$11="OK",H323/INDEX(H$5:H$1258,'Stock Price'!$I$9)-1,"")</f>
        <v>0.41999999999999993</v>
      </c>
      <c r="V323" s="19">
        <f ca="1">IF('Stock Price'!$I$11="OK",I323/INDEX(I$5:I$1258,'Stock Price'!$I$9)-1,"")</f>
        <v>0.8911834789515487</v>
      </c>
      <c r="W323" s="19">
        <f ca="1">IF('Stock Price'!$I$11="OK",J323/INDEX(J$5:J$1258,'Stock Price'!$I$9)-1,"")</f>
        <v>-0.67348846680736041</v>
      </c>
      <c r="X323" s="19">
        <f ca="1">IF('Stock Price'!$I$11="OK",K323/INDEX(K$5:K$1258,'Stock Price'!$I$9)-1,"")</f>
        <v>0.34025439580995154</v>
      </c>
      <c r="Y323" s="19">
        <f ca="1">IF('Stock Price'!$I$11="OK",L323/INDEX(L$5:L$1258,'Stock Price'!$I$9)-1,"")</f>
        <v>-0.15524475524475523</v>
      </c>
      <c r="Z323" s="19">
        <f ca="1">IF('Stock Price'!$I$11="OK",M323/INDEX(M$5:M$1258,'Stock Price'!$I$9)-1,"")</f>
        <v>-0.30382451702934898</v>
      </c>
    </row>
    <row r="324" spans="1:26" x14ac:dyDescent="0.2">
      <c r="A324" s="16">
        <f>'Stock Price'!A324</f>
        <v>44937</v>
      </c>
      <c r="B324" s="17">
        <f>'Stock Price'!E324</f>
        <v>111.07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4.340065758572087E-2</v>
      </c>
      <c r="P324" s="19">
        <f ca="1">IF('Stock Price'!$I$11="OK",C324/INDEX(C$5:C$1258,'Stock Price'!$I$9)-1,"")</f>
        <v>-0.36824815937635336</v>
      </c>
      <c r="Q324" s="19">
        <f ca="1">IF('Stock Price'!$I$11="OK",D324/INDEX(D$5:D$1258,'Stock Price'!$I$9)-1,"")</f>
        <v>-0.22841166005200486</v>
      </c>
      <c r="R324" s="19">
        <f ca="1">IF('Stock Price'!$I$11="OK",E324/INDEX(E$5:E$1258,'Stock Price'!$I$9)-1,"")</f>
        <v>-0.30143058633890796</v>
      </c>
      <c r="S324" s="19">
        <f ca="1">IF('Stock Price'!$I$11="OK",F324/INDEX(F$5:F$1258,'Stock Price'!$I$9)-1,"")</f>
        <v>-0.24159378036929058</v>
      </c>
      <c r="T324" s="19">
        <f ca="1">IF('Stock Price'!$I$11="OK",G324/INDEX(G$5:G$1258,'Stock Price'!$I$9)-1,"")</f>
        <v>1.0574331329048503E-2</v>
      </c>
      <c r="U324" s="19">
        <f ca="1">IF('Stock Price'!$I$11="OK",H324/INDEX(H$5:H$1258,'Stock Price'!$I$9)-1,"")</f>
        <v>0.47131578947368413</v>
      </c>
      <c r="V324" s="19">
        <f ca="1">IF('Stock Price'!$I$11="OK",I324/INDEX(I$5:I$1258,'Stock Price'!$I$9)-1,"")</f>
        <v>0.88443208895949188</v>
      </c>
      <c r="W324" s="19">
        <f ca="1">IF('Stock Price'!$I$11="OK",J324/INDEX(J$5:J$1258,'Stock Price'!$I$9)-1,"")</f>
        <v>-0.66639823762449546</v>
      </c>
      <c r="X324" s="19">
        <f ca="1">IF('Stock Price'!$I$11="OK",K324/INDEX(K$5:K$1258,'Stock Price'!$I$9)-1,"")</f>
        <v>0.34567901234567899</v>
      </c>
      <c r="Y324" s="19">
        <f ca="1">IF('Stock Price'!$I$11="OK",L324/INDEX(L$5:L$1258,'Stock Price'!$I$9)-1,"")</f>
        <v>-0.15659512900892214</v>
      </c>
      <c r="Z324" s="19">
        <f ca="1">IF('Stock Price'!$I$11="OK",M324/INDEX(M$5:M$1258,'Stock Price'!$I$9)-1,"")</f>
        <v>-0.31459596179843885</v>
      </c>
    </row>
    <row r="325" spans="1:26" x14ac:dyDescent="0.2">
      <c r="A325" s="16">
        <f>'Stock Price'!A325</f>
        <v>44938</v>
      </c>
      <c r="B325" s="17">
        <f>'Stock Price'!E325</f>
        <v>111.77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4.997651479567855E-2</v>
      </c>
      <c r="P325" s="19">
        <f ca="1">IF('Stock Price'!$I$11="OK",C325/INDEX(C$5:C$1258,'Stock Price'!$I$9)-1,"")</f>
        <v>-0.36762018189692502</v>
      </c>
      <c r="Q325" s="19">
        <f ca="1">IF('Stock Price'!$I$11="OK",D325/INDEX(D$5:D$1258,'Stock Price'!$I$9)-1,"")</f>
        <v>-0.24094703708772414</v>
      </c>
      <c r="R325" s="19">
        <f ca="1">IF('Stock Price'!$I$11="OK",E325/INDEX(E$5:E$1258,'Stock Price'!$I$9)-1,"")</f>
        <v>-0.29175901672375582</v>
      </c>
      <c r="S325" s="19">
        <f ca="1">IF('Stock Price'!$I$11="OK",F325/INDEX(F$5:F$1258,'Stock Price'!$I$9)-1,"")</f>
        <v>-0.24528668610301274</v>
      </c>
      <c r="T325" s="19">
        <f ca="1">IF('Stock Price'!$I$11="OK",G325/INDEX(G$5:G$1258,'Stock Price'!$I$9)-1,"")</f>
        <v>2.3222060957910129E-2</v>
      </c>
      <c r="U325" s="19">
        <f ca="1">IF('Stock Price'!$I$11="OK",H325/INDEX(H$5:H$1258,'Stock Price'!$I$9)-1,"")</f>
        <v>0.48368421052631594</v>
      </c>
      <c r="V325" s="19">
        <f ca="1">IF('Stock Price'!$I$11="OK",I325/INDEX(I$5:I$1258,'Stock Price'!$I$9)-1,"")</f>
        <v>0.89475774424146159</v>
      </c>
      <c r="W325" s="19">
        <f ca="1">IF('Stock Price'!$I$11="OK",J325/INDEX(J$5:J$1258,'Stock Price'!$I$9)-1,"")</f>
        <v>-0.6675922840534636</v>
      </c>
      <c r="X325" s="19">
        <f ca="1">IF('Stock Price'!$I$11="OK",K325/INDEX(K$5:K$1258,'Stock Price'!$I$9)-1,"")</f>
        <v>0.33931911709689477</v>
      </c>
      <c r="Y325" s="19">
        <f ca="1">IF('Stock Price'!$I$11="OK",L325/INDEX(L$5:L$1258,'Stock Price'!$I$9)-1,"")</f>
        <v>-0.16083916083916083</v>
      </c>
      <c r="Z325" s="19">
        <f ca="1">IF('Stock Price'!$I$11="OK",M325/INDEX(M$5:M$1258,'Stock Price'!$I$9)-1,"")</f>
        <v>-0.33618246042475253</v>
      </c>
    </row>
    <row r="326" spans="1:26" x14ac:dyDescent="0.2">
      <c r="A326" s="16">
        <f>'Stock Price'!A326</f>
        <v>44939</v>
      </c>
      <c r="B326" s="17">
        <f>'Stock Price'!E326</f>
        <v>112.25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5.4485674025364084E-2</v>
      </c>
      <c r="P326" s="19">
        <f ca="1">IF('Stock Price'!$I$11="OK",C326/INDEX(C$5:C$1258,'Stock Price'!$I$9)-1,"")</f>
        <v>-0.36412877147394251</v>
      </c>
      <c r="Q326" s="19">
        <f ca="1">IF('Stock Price'!$I$11="OK",D326/INDEX(D$5:D$1258,'Stock Price'!$I$9)-1,"")</f>
        <v>-0.21499931572464759</v>
      </c>
      <c r="R326" s="19">
        <f ca="1">IF('Stock Price'!$I$11="OK",E326/INDEX(E$5:E$1258,'Stock Price'!$I$9)-1,"")</f>
        <v>-0.28712472294982871</v>
      </c>
      <c r="S326" s="19">
        <f ca="1">IF('Stock Price'!$I$11="OK",F326/INDEX(F$5:F$1258,'Stock Price'!$I$9)-1,"")</f>
        <v>-0.23362487852283775</v>
      </c>
      <c r="T326" s="19">
        <f ca="1">IF('Stock Price'!$I$11="OK",G326/INDEX(G$5:G$1258,'Stock Price'!$I$9)-1,"")</f>
        <v>2.1563342318059453E-2</v>
      </c>
      <c r="U326" s="19">
        <f ca="1">IF('Stock Price'!$I$11="OK",H326/INDEX(H$5:H$1258,'Stock Price'!$I$9)-1,"")</f>
        <v>0.51078947368421046</v>
      </c>
      <c r="V326" s="19">
        <f ca="1">IF('Stock Price'!$I$11="OK",I326/INDEX(I$5:I$1258,'Stock Price'!$I$9)-1,"")</f>
        <v>0.90031771247021464</v>
      </c>
      <c r="W326" s="19">
        <f ca="1">IF('Stock Price'!$I$11="OK",J326/INDEX(J$5:J$1258,'Stock Price'!$I$9)-1,"")</f>
        <v>-0.66527824058647111</v>
      </c>
      <c r="X326" s="19">
        <f ca="1">IF('Stock Price'!$I$11="OK",K326/INDEX(K$5:K$1258,'Stock Price'!$I$9)-1,"")</f>
        <v>0.356341189674523</v>
      </c>
      <c r="Y326" s="19">
        <f ca="1">IF('Stock Price'!$I$11="OK",L326/INDEX(L$5:L$1258,'Stock Price'!$I$9)-1,"")</f>
        <v>-0.16358813600192901</v>
      </c>
      <c r="Z326" s="19">
        <f ca="1">IF('Stock Price'!$I$11="OK",M326/INDEX(M$5:M$1258,'Stock Price'!$I$9)-1,"")</f>
        <v>-0.33016440626226506</v>
      </c>
    </row>
    <row r="327" spans="1:26" x14ac:dyDescent="0.2">
      <c r="A327" s="16">
        <f>'Stock Price'!A327</f>
        <v>44943</v>
      </c>
      <c r="B327" s="17">
        <f>'Stock Price'!E327</f>
        <v>110.45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3.7576326914044111E-2</v>
      </c>
      <c r="P327" s="19">
        <f ca="1">IF('Stock Price'!$I$11="OK",C327/INDEX(C$5:C$1258,'Stock Price'!$I$9)-1,"")</f>
        <v>-0.35491121697704631</v>
      </c>
      <c r="Q327" s="19">
        <f ca="1">IF('Stock Price'!$I$11="OK",D327/INDEX(D$5:D$1258,'Stock Price'!$I$9)-1,"")</f>
        <v>-0.21376762009032435</v>
      </c>
      <c r="R327" s="19">
        <f ca="1">IF('Stock Price'!$I$11="OK",E327/INDEX(E$5:E$1258,'Stock Price'!$I$9)-1,"")</f>
        <v>-0.28349788434414669</v>
      </c>
      <c r="S327" s="19">
        <f ca="1">IF('Stock Price'!$I$11="OK",F327/INDEX(F$5:F$1258,'Stock Price'!$I$9)-1,"")</f>
        <v>-0.22429543245869787</v>
      </c>
      <c r="T327" s="19">
        <f ca="1">IF('Stock Price'!$I$11="OK",G327/INDEX(G$5:G$1258,'Stock Price'!$I$9)-1,"")</f>
        <v>3.3174372797014406E-2</v>
      </c>
      <c r="U327" s="19">
        <f ca="1">IF('Stock Price'!$I$11="OK",H327/INDEX(H$5:H$1258,'Stock Price'!$I$9)-1,"")</f>
        <v>0.50026315789473674</v>
      </c>
      <c r="V327" s="19">
        <f ca="1">IF('Stock Price'!$I$11="OK",I327/INDEX(I$5:I$1258,'Stock Price'!$I$9)-1,"")</f>
        <v>0.83002382843526612</v>
      </c>
      <c r="W327" s="19">
        <f ca="1">IF('Stock Price'!$I$11="OK",J327/INDEX(J$5:J$1258,'Stock Price'!$I$9)-1,"")</f>
        <v>-0.66886963604724348</v>
      </c>
      <c r="X327" s="19">
        <f ca="1">IF('Stock Price'!$I$11="OK",K327/INDEX(K$5:K$1258,'Stock Price'!$I$9)-1,"")</f>
        <v>0.35260007482229705</v>
      </c>
      <c r="Y327" s="19">
        <f ca="1">IF('Stock Price'!$I$11="OK",L327/INDEX(L$5:L$1258,'Stock Price'!$I$9)-1,"")</f>
        <v>-0.1687484928864238</v>
      </c>
      <c r="Z327" s="19">
        <f ca="1">IF('Stock Price'!$I$11="OK",M327/INDEX(M$5:M$1258,'Stock Price'!$I$9)-1,"")</f>
        <v>-0.33352230604858046</v>
      </c>
    </row>
    <row r="328" spans="1:26" x14ac:dyDescent="0.2">
      <c r="A328" s="16">
        <f>'Stock Price'!A328</f>
        <v>44944</v>
      </c>
      <c r="B328" s="17">
        <f>'Stock Price'!E328</f>
        <v>108.79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2.1982151244715809E-2</v>
      </c>
      <c r="P328" s="19">
        <f ca="1">IF('Stock Price'!$I$11="OK",C328/INDEX(C$5:C$1258,'Stock Price'!$I$9)-1,"")</f>
        <v>-0.35644723545546408</v>
      </c>
      <c r="Q328" s="19">
        <f ca="1">IF('Stock Price'!$I$11="OK",D328/INDEX(D$5:D$1258,'Stock Price'!$I$9)-1,"")</f>
        <v>-0.22704310934720129</v>
      </c>
      <c r="R328" s="19">
        <f ca="1">IF('Stock Price'!$I$11="OK",E328/INDEX(E$5:E$1258,'Stock Price'!$I$9)-1,"")</f>
        <v>-0.29095305258915982</v>
      </c>
      <c r="S328" s="19">
        <f ca="1">IF('Stock Price'!$I$11="OK",F328/INDEX(F$5:F$1258,'Stock Price'!$I$9)-1,"")</f>
        <v>-0.22779397473275032</v>
      </c>
      <c r="T328" s="19">
        <f ca="1">IF('Stock Price'!$I$11="OK",G328/INDEX(G$5:G$1258,'Stock Price'!$I$9)-1,"")</f>
        <v>1.9282604188264552E-2</v>
      </c>
      <c r="U328" s="19">
        <f ca="1">IF('Stock Price'!$I$11="OK",H328/INDEX(H$5:H$1258,'Stock Price'!$I$9)-1,"")</f>
        <v>0.4810526315789474</v>
      </c>
      <c r="V328" s="19">
        <f ca="1">IF('Stock Price'!$I$11="OK",I328/INDEX(I$5:I$1258,'Stock Price'!$I$9)-1,"")</f>
        <v>0.78713264495631452</v>
      </c>
      <c r="W328" s="19">
        <f ca="1">IF('Stock Price'!$I$11="OK",J328/INDEX(J$5:J$1258,'Stock Price'!$I$9)-1,"")</f>
        <v>-0.67417342367359034</v>
      </c>
      <c r="X328" s="19">
        <f ca="1">IF('Stock Price'!$I$11="OK",K328/INDEX(K$5:K$1258,'Stock Price'!$I$9)-1,"")</f>
        <v>0.34942012719790494</v>
      </c>
      <c r="Y328" s="19">
        <f ca="1">IF('Stock Price'!$I$11="OK",L328/INDEX(L$5:L$1258,'Stock Price'!$I$9)-1,"")</f>
        <v>-0.18128767783940203</v>
      </c>
      <c r="Z328" s="19">
        <f ca="1">IF('Stock Price'!$I$11="OK",M328/INDEX(M$5:M$1258,'Stock Price'!$I$9)-1,"")</f>
        <v>-0.34935240504121068</v>
      </c>
    </row>
    <row r="329" spans="1:26" x14ac:dyDescent="0.2">
      <c r="A329" s="16">
        <f>'Stock Price'!A329</f>
        <v>44945</v>
      </c>
      <c r="B329" s="17">
        <f>'Stock Price'!E329</f>
        <v>109.9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3.2409581963363188E-2</v>
      </c>
      <c r="P329" s="19">
        <f ca="1">IF('Stock Price'!$I$11="OK",C329/INDEX(C$5:C$1258,'Stock Price'!$I$9)-1,"")</f>
        <v>-0.35595856792262159</v>
      </c>
      <c r="Q329" s="19">
        <f ca="1">IF('Stock Price'!$I$11="OK",D329/INDEX(D$5:D$1258,'Stock Price'!$I$9)-1,"")</f>
        <v>-0.23355741070206659</v>
      </c>
      <c r="R329" s="19">
        <f ca="1">IF('Stock Price'!$I$11="OK",E329/INDEX(E$5:E$1258,'Stock Price'!$I$9)-1,"")</f>
        <v>-0.28249042917590172</v>
      </c>
      <c r="S329" s="19">
        <f ca="1">IF('Stock Price'!$I$11="OK",F329/INDEX(F$5:F$1258,'Stock Price'!$I$9)-1,"")</f>
        <v>-0.21807580174927121</v>
      </c>
      <c r="T329" s="19">
        <f ca="1">IF('Stock Price'!$I$11="OK",G329/INDEX(G$5:G$1258,'Stock Price'!$I$9)-1,"")</f>
        <v>2.5088119427742139E-2</v>
      </c>
      <c r="U329" s="19">
        <f ca="1">IF('Stock Price'!$I$11="OK",H329/INDEX(H$5:H$1258,'Stock Price'!$I$9)-1,"")</f>
        <v>0.46631578947368424</v>
      </c>
      <c r="V329" s="19">
        <f ca="1">IF('Stock Price'!$I$11="OK",I329/INDEX(I$5:I$1258,'Stock Price'!$I$9)-1,"")</f>
        <v>0.78554408260524222</v>
      </c>
      <c r="W329" s="19">
        <f ca="1">IF('Stock Price'!$I$11="OK",J329/INDEX(J$5:J$1258,'Stock Price'!$I$9)-1,"")</f>
        <v>-0.67503424784331145</v>
      </c>
      <c r="X329" s="19">
        <f ca="1">IF('Stock Price'!$I$11="OK",K329/INDEX(K$5:K$1258,'Stock Price'!$I$9)-1,"")</f>
        <v>0.37953610175832386</v>
      </c>
      <c r="Y329" s="19">
        <f ca="1">IF('Stock Price'!$I$11="OK",L329/INDEX(L$5:L$1258,'Stock Price'!$I$9)-1,"")</f>
        <v>-0.18239691343139619</v>
      </c>
      <c r="Z329" s="19">
        <f ca="1">IF('Stock Price'!$I$11="OK",M329/INDEX(M$5:M$1258,'Stock Price'!$I$9)-1,"")</f>
        <v>-0.35148925035977496</v>
      </c>
    </row>
    <row r="330" spans="1:26" x14ac:dyDescent="0.2">
      <c r="A330" s="16">
        <f>'Stock Price'!A330</f>
        <v>44946</v>
      </c>
      <c r="B330" s="17">
        <f>'Stock Price'!E330</f>
        <v>109.94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3.2785345232503538E-2</v>
      </c>
      <c r="P330" s="19">
        <f ca="1">IF('Stock Price'!$I$11="OK",C330/INDEX(C$5:C$1258,'Stock Price'!$I$9)-1,"")</f>
        <v>-0.35707593474808719</v>
      </c>
      <c r="Q330" s="19">
        <f ca="1">IF('Stock Price'!$I$11="OK",D330/INDEX(D$5:D$1258,'Stock Price'!$I$9)-1,"")</f>
        <v>-0.25299028328999584</v>
      </c>
      <c r="R330" s="19">
        <f ca="1">IF('Stock Price'!$I$11="OK",E330/INDEX(E$5:E$1258,'Stock Price'!$I$9)-1,"")</f>
        <v>-0.28712472294982871</v>
      </c>
      <c r="S330" s="19">
        <f ca="1">IF('Stock Price'!$I$11="OK",F330/INDEX(F$5:F$1258,'Stock Price'!$I$9)-1,"")</f>
        <v>-0.22176870748299327</v>
      </c>
      <c r="T330" s="19">
        <f ca="1">IF('Stock Price'!$I$11="OK",G330/INDEX(G$5:G$1258,'Stock Price'!$I$9)-1,"")</f>
        <v>1.7623885548413876E-2</v>
      </c>
      <c r="U330" s="19">
        <f ca="1">IF('Stock Price'!$I$11="OK",H330/INDEX(H$5:H$1258,'Stock Price'!$I$9)-1,"")</f>
        <v>0.48394736842105268</v>
      </c>
      <c r="V330" s="19">
        <f ca="1">IF('Stock Price'!$I$11="OK",I330/INDEX(I$5:I$1258,'Stock Price'!$I$9)-1,"")</f>
        <v>0.79150119142176334</v>
      </c>
      <c r="W330" s="19">
        <f ca="1">IF('Stock Price'!$I$11="OK",J330/INDEX(J$5:J$1258,'Stock Price'!$I$9)-1,"")</f>
        <v>-0.67967159095116436</v>
      </c>
      <c r="X330" s="19">
        <f ca="1">IF('Stock Price'!$I$11="OK",K330/INDEX(K$5:K$1258,'Stock Price'!$I$9)-1,"")</f>
        <v>0.38701833146277598</v>
      </c>
      <c r="Y330" s="19">
        <f ca="1">IF('Stock Price'!$I$11="OK",L330/INDEX(L$5:L$1258,'Stock Price'!$I$9)-1,"")</f>
        <v>-0.18620689655172407</v>
      </c>
      <c r="Z330" s="19">
        <f ca="1">IF('Stock Price'!$I$11="OK",M330/INDEX(M$5:M$1258,'Stock Price'!$I$9)-1,"")</f>
        <v>-0.34765165060398584</v>
      </c>
    </row>
    <row r="331" spans="1:26" x14ac:dyDescent="0.2">
      <c r="A331" s="16">
        <f>'Stock Price'!A331</f>
        <v>44949</v>
      </c>
      <c r="B331" s="17">
        <f>'Stock Price'!E331</f>
        <v>109.88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3.2221700328792791E-2</v>
      </c>
      <c r="P331" s="19">
        <f ca="1">IF('Stock Price'!$I$11="OK",C331/INDEX(C$5:C$1258,'Stock Price'!$I$9)-1,"")</f>
        <v>-0.35609787786920744</v>
      </c>
      <c r="Q331" s="19">
        <f ca="1">IF('Stock Price'!$I$11="OK",D331/INDEX(D$5:D$1258,'Stock Price'!$I$9)-1,"")</f>
        <v>-0.26820856712741203</v>
      </c>
      <c r="R331" s="19">
        <f ca="1">IF('Stock Price'!$I$11="OK",E331/INDEX(E$5:E$1258,'Stock Price'!$I$9)-1,"")</f>
        <v>-0.28752770501712677</v>
      </c>
      <c r="S331" s="19">
        <f ca="1">IF('Stock Price'!$I$11="OK",F331/INDEX(F$5:F$1258,'Stock Price'!$I$9)-1,"")</f>
        <v>-0.21904761904761905</v>
      </c>
      <c r="T331" s="19">
        <f ca="1">IF('Stock Price'!$I$11="OK",G331/INDEX(G$5:G$1258,'Stock Price'!$I$9)-1,"")</f>
        <v>8.2935931992536016E-3</v>
      </c>
      <c r="U331" s="19">
        <f ca="1">IF('Stock Price'!$I$11="OK",H331/INDEX(H$5:H$1258,'Stock Price'!$I$9)-1,"")</f>
        <v>0.47263157894736851</v>
      </c>
      <c r="V331" s="19">
        <f ca="1">IF('Stock Price'!$I$11="OK",I331/INDEX(I$5:I$1258,'Stock Price'!$I$9)-1,"")</f>
        <v>0.78633836378077837</v>
      </c>
      <c r="W331" s="19">
        <f ca="1">IF('Stock Price'!$I$11="OK",J331/INDEX(J$5:J$1258,'Stock Price'!$I$9)-1,"")</f>
        <v>-0.68324447406420075</v>
      </c>
      <c r="X331" s="19">
        <f ca="1">IF('Stock Price'!$I$11="OK",K331/INDEX(K$5:K$1258,'Stock Price'!$I$9)-1,"")</f>
        <v>0.37037037037037046</v>
      </c>
      <c r="Y331" s="19">
        <f ca="1">IF('Stock Price'!$I$11="OK",L331/INDEX(L$5:L$1258,'Stock Price'!$I$9)-1,"")</f>
        <v>-0.1882806848324089</v>
      </c>
      <c r="Z331" s="19">
        <f ca="1">IF('Stock Price'!$I$11="OK",M331/INDEX(M$5:M$1258,'Stock Price'!$I$9)-1,"")</f>
        <v>-0.35218699576991841</v>
      </c>
    </row>
    <row r="332" spans="1:26" x14ac:dyDescent="0.2">
      <c r="A332" s="16">
        <f>'Stock Price'!A332</f>
        <v>44950</v>
      </c>
      <c r="B332" s="17">
        <f>'Stock Price'!E332</f>
        <v>108.52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1.9445749178017779E-2</v>
      </c>
      <c r="P332" s="19">
        <f ca="1">IF('Stock Price'!$I$11="OK",C332/INDEX(C$5:C$1258,'Stock Price'!$I$9)-1,"")</f>
        <v>-0.35742457052114907</v>
      </c>
      <c r="Q332" s="19">
        <f ca="1">IF('Stock Price'!$I$11="OK",D332/INDEX(D$5:D$1258,'Stock Price'!$I$9)-1,"")</f>
        <v>-0.29109073491172854</v>
      </c>
      <c r="R332" s="19">
        <f ca="1">IF('Stock Price'!$I$11="OK",E332/INDEX(E$5:E$1258,'Stock Price'!$I$9)-1,"")</f>
        <v>-0.30082611323796093</v>
      </c>
      <c r="S332" s="19">
        <f ca="1">IF('Stock Price'!$I$11="OK",F332/INDEX(F$5:F$1258,'Stock Price'!$I$9)-1,"")</f>
        <v>-0.22351797862001943</v>
      </c>
      <c r="T332" s="19">
        <f ca="1">IF('Stock Price'!$I$11="OK",G332/INDEX(G$5:G$1258,'Stock Price'!$I$9)-1,"")</f>
        <v>6.2201948994402567E-3</v>
      </c>
      <c r="U332" s="19">
        <f ca="1">IF('Stock Price'!$I$11="OK",H332/INDEX(H$5:H$1258,'Stock Price'!$I$9)-1,"")</f>
        <v>0.46105263157894738</v>
      </c>
      <c r="V332" s="19">
        <f ca="1">IF('Stock Price'!$I$11="OK",I332/INDEX(I$5:I$1258,'Stock Price'!$I$9)-1,"")</f>
        <v>0.77561556791104058</v>
      </c>
      <c r="W332" s="19">
        <f ca="1">IF('Stock Price'!$I$11="OK",J332/INDEX(J$5:J$1258,'Stock Price'!$I$9)-1,"")</f>
        <v>-0.67937539338738939</v>
      </c>
      <c r="X332" s="19">
        <f ca="1">IF('Stock Price'!$I$11="OK",K332/INDEX(K$5:K$1258,'Stock Price'!$I$9)-1,"")</f>
        <v>0.35316124205013089</v>
      </c>
      <c r="Y332" s="19">
        <f ca="1">IF('Stock Price'!$I$11="OK",L332/INDEX(L$5:L$1258,'Stock Price'!$I$9)-1,"")</f>
        <v>-0.1882806848324089</v>
      </c>
      <c r="Z332" s="19">
        <f ca="1">IF('Stock Price'!$I$11="OK",M332/INDEX(M$5:M$1258,'Stock Price'!$I$9)-1,"")</f>
        <v>-0.35593737734943964</v>
      </c>
    </row>
    <row r="333" spans="1:26" x14ac:dyDescent="0.2">
      <c r="A333" s="16">
        <f>'Stock Price'!A333</f>
        <v>44951</v>
      </c>
      <c r="B333" s="17">
        <f>'Stock Price'!E333</f>
        <v>108.59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2.0103334899013614E-2</v>
      </c>
      <c r="P333" s="19">
        <f ca="1">IF('Stock Price'!$I$11="OK",C333/INDEX(C$5:C$1258,'Stock Price'!$I$9)-1,"")</f>
        <v>-0.35190847408690618</v>
      </c>
      <c r="Q333" s="19">
        <f ca="1">IF('Stock Price'!$I$11="OK",D333/INDEX(D$5:D$1258,'Stock Price'!$I$9)-1,"")</f>
        <v>-0.2789380046530725</v>
      </c>
      <c r="R333" s="19">
        <f ca="1">IF('Stock Price'!$I$11="OK",E333/INDEX(E$5:E$1258,'Stock Price'!$I$9)-1,"")</f>
        <v>-0.29135603465645776</v>
      </c>
      <c r="S333" s="19">
        <f ca="1">IF('Stock Price'!$I$11="OK",F333/INDEX(F$5:F$1258,'Stock Price'!$I$9)-1,"")</f>
        <v>-0.22157434402332377</v>
      </c>
      <c r="T333" s="19">
        <f ca="1">IF('Stock Price'!$I$11="OK",G333/INDEX(G$5:G$1258,'Stock Price'!$I$9)-1,"")</f>
        <v>1.368442877876852E-2</v>
      </c>
      <c r="U333" s="19">
        <f ca="1">IF('Stock Price'!$I$11="OK",H333/INDEX(H$5:H$1258,'Stock Price'!$I$9)-1,"")</f>
        <v>0.45999999999999996</v>
      </c>
      <c r="V333" s="19">
        <f ca="1">IF('Stock Price'!$I$11="OK",I333/INDEX(I$5:I$1258,'Stock Price'!$I$9)-1,"")</f>
        <v>0.78991262907069104</v>
      </c>
      <c r="W333" s="19">
        <f ca="1">IF('Stock Price'!$I$11="OK",J333/INDEX(J$5:J$1258,'Stock Price'!$I$9)-1,"")</f>
        <v>-0.6762838313154873</v>
      </c>
      <c r="X333" s="19">
        <f ca="1">IF('Stock Price'!$I$11="OK",K333/INDEX(K$5:K$1258,'Stock Price'!$I$9)-1,"")</f>
        <v>0.36868686868686873</v>
      </c>
      <c r="Y333" s="19">
        <f ca="1">IF('Stock Price'!$I$11="OK",L333/INDEX(L$5:L$1258,'Stock Price'!$I$9)-1,"")</f>
        <v>-0.18249336870026522</v>
      </c>
      <c r="Z333" s="19">
        <f ca="1">IF('Stock Price'!$I$11="OK",M333/INDEX(M$5:M$1258,'Stock Price'!$I$9)-1,"")</f>
        <v>-0.35550128646809998</v>
      </c>
    </row>
    <row r="334" spans="1:26" x14ac:dyDescent="0.2">
      <c r="A334" s="16">
        <f>'Stock Price'!A334</f>
        <v>44952</v>
      </c>
      <c r="B334" s="17">
        <f>'Stock Price'!E334</f>
        <v>106.87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3.945514325974564E-3</v>
      </c>
      <c r="P334" s="19">
        <f ca="1">IF('Stock Price'!$I$11="OK",C334/INDEX(C$5:C$1258,'Stock Price'!$I$9)-1,"")</f>
        <v>-0.37264761079832542</v>
      </c>
      <c r="Q334" s="19">
        <f ca="1">IF('Stock Price'!$I$11="OK",D334/INDEX(D$5:D$1258,'Stock Price'!$I$9)-1,"")</f>
        <v>-0.28479540166963191</v>
      </c>
      <c r="R334" s="19">
        <f ca="1">IF('Stock Price'!$I$11="OK",E334/INDEX(E$5:E$1258,'Stock Price'!$I$9)-1,"")</f>
        <v>-0.28793068708442471</v>
      </c>
      <c r="S334" s="19">
        <f ca="1">IF('Stock Price'!$I$11="OK",F334/INDEX(F$5:F$1258,'Stock Price'!$I$9)-1,"")</f>
        <v>-0.23459669582118559</v>
      </c>
      <c r="T334" s="19">
        <f ca="1">IF('Stock Price'!$I$11="OK",G334/INDEX(G$5:G$1258,'Stock Price'!$I$9)-1,"")</f>
        <v>1.2025710138917844E-2</v>
      </c>
      <c r="U334" s="19">
        <f ca="1">IF('Stock Price'!$I$11="OK",H334/INDEX(H$5:H$1258,'Stock Price'!$I$9)-1,"")</f>
        <v>0.47473684210526312</v>
      </c>
      <c r="V334" s="19">
        <f ca="1">IF('Stock Price'!$I$11="OK",I334/INDEX(I$5:I$1258,'Stock Price'!$I$9)-1,"")</f>
        <v>0.75734710087370938</v>
      </c>
      <c r="W334" s="19">
        <f ca="1">IF('Stock Price'!$I$11="OK",J334/INDEX(J$5:J$1258,'Stock Price'!$I$9)-1,"")</f>
        <v>-0.67787589322077824</v>
      </c>
      <c r="X334" s="19">
        <f ca="1">IF('Stock Price'!$I$11="OK",K334/INDEX(K$5:K$1258,'Stock Price'!$I$9)-1,"")</f>
        <v>0.36531986531986527</v>
      </c>
      <c r="Y334" s="19">
        <f ca="1">IF('Stock Price'!$I$11="OK",L334/INDEX(L$5:L$1258,'Stock Price'!$I$9)-1,"")</f>
        <v>-0.18548348203520626</v>
      </c>
      <c r="Z334" s="19">
        <f ca="1">IF('Stock Price'!$I$11="OK",M334/INDEX(M$5:M$1258,'Stock Price'!$I$9)-1,"")</f>
        <v>-0.3572020409053247</v>
      </c>
    </row>
    <row r="335" spans="1:26" x14ac:dyDescent="0.2">
      <c r="A335" s="16">
        <f>'Stock Price'!A335</f>
        <v>44953</v>
      </c>
      <c r="B335" s="17">
        <f>'Stock Price'!E335</f>
        <v>105.38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-1.0051667449506918E-2</v>
      </c>
      <c r="P335" s="19">
        <f ca="1">IF('Stock Price'!$I$11="OK",C335/INDEX(C$5:C$1258,'Stock Price'!$I$9)-1,"")</f>
        <v>-0.37509167027573265</v>
      </c>
      <c r="Q335" s="19">
        <f ca="1">IF('Stock Price'!$I$11="OK",D335/INDEX(D$5:D$1258,'Stock Price'!$I$9)-1,"")</f>
        <v>-0.28933953742986185</v>
      </c>
      <c r="R335" s="19">
        <f ca="1">IF('Stock Price'!$I$11="OK",E335/INDEX(E$5:E$1258,'Stock Price'!$I$9)-1,"")</f>
        <v>-0.28873665121902081</v>
      </c>
      <c r="S335" s="19">
        <f ca="1">IF('Stock Price'!$I$11="OK",F335/INDEX(F$5:F$1258,'Stock Price'!$I$9)-1,"")</f>
        <v>-0.23634596695821186</v>
      </c>
      <c r="T335" s="19">
        <f ca="1">IF('Stock Price'!$I$11="OK",G335/INDEX(G$5:G$1258,'Stock Price'!$I$9)-1,"")</f>
        <v>5.3908355795149188E-3</v>
      </c>
      <c r="U335" s="19">
        <f ca="1">IF('Stock Price'!$I$11="OK",H335/INDEX(H$5:H$1258,'Stock Price'!$I$9)-1,"")</f>
        <v>0.4810526315789474</v>
      </c>
      <c r="V335" s="19">
        <f ca="1">IF('Stock Price'!$I$11="OK",I335/INDEX(I$5:I$1258,'Stock Price'!$I$9)-1,"")</f>
        <v>0.73907863383637817</v>
      </c>
      <c r="W335" s="19">
        <f ca="1">IF('Stock Price'!$I$11="OK",J335/INDEX(J$5:J$1258,'Stock Price'!$I$9)-1,"")</f>
        <v>-0.68334629197674845</v>
      </c>
      <c r="X335" s="19">
        <f ca="1">IF('Stock Price'!$I$11="OK",K335/INDEX(K$5:K$1258,'Stock Price'!$I$9)-1,"")</f>
        <v>0.35521885521885532</v>
      </c>
      <c r="Y335" s="19">
        <f ca="1">IF('Stock Price'!$I$11="OK",L335/INDEX(L$5:L$1258,'Stock Price'!$I$9)-1,"")</f>
        <v>-0.18866650590788525</v>
      </c>
      <c r="Z335" s="19">
        <f ca="1">IF('Stock Price'!$I$11="OK",M335/INDEX(M$5:M$1258,'Stock Price'!$I$9)-1,"")</f>
        <v>-0.36208625877632894</v>
      </c>
    </row>
    <row r="336" spans="1:26" x14ac:dyDescent="0.2">
      <c r="A336" s="16">
        <f>'Stock Price'!A336</f>
        <v>44956</v>
      </c>
      <c r="B336" s="17">
        <f>'Stock Price'!E336</f>
        <v>106.09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-3.3818694222639278E-3</v>
      </c>
      <c r="P336" s="19">
        <f ca="1">IF('Stock Price'!$I$11="OK",C336/INDEX(C$5:C$1258,'Stock Price'!$I$9)-1,"")</f>
        <v>-0.37404431933015736</v>
      </c>
      <c r="Q336" s="19">
        <f ca="1">IF('Stock Price'!$I$11="OK",D336/INDEX(D$5:D$1258,'Stock Price'!$I$9)-1,"")</f>
        <v>-0.29185712330641844</v>
      </c>
      <c r="R336" s="19">
        <f ca="1">IF('Stock Price'!$I$11="OK",E336/INDEX(E$5:E$1258,'Stock Price'!$I$9)-1,"")</f>
        <v>-0.29236348982470284</v>
      </c>
      <c r="S336" s="19">
        <f ca="1">IF('Stock Price'!$I$11="OK",F336/INDEX(F$5:F$1258,'Stock Price'!$I$9)-1,"")</f>
        <v>-0.24373177842565608</v>
      </c>
      <c r="T336" s="19">
        <f ca="1">IF('Stock Price'!$I$11="OK",G336/INDEX(G$5:G$1258,'Stock Price'!$I$9)-1,"")</f>
        <v>7.0495542193655947E-3</v>
      </c>
      <c r="U336" s="19">
        <f ca="1">IF('Stock Price'!$I$11="OK",H336/INDEX(H$5:H$1258,'Stock Price'!$I$9)-1,"")</f>
        <v>0.49736842105263146</v>
      </c>
      <c r="V336" s="19">
        <f ca="1">IF('Stock Price'!$I$11="OK",I336/INDEX(I$5:I$1258,'Stock Price'!$I$9)-1,"")</f>
        <v>0.72954725972994439</v>
      </c>
      <c r="W336" s="19">
        <f ca="1">IF('Stock Price'!$I$11="OK",J336/INDEX(J$5:J$1258,'Stock Price'!$I$9)-1,"")</f>
        <v>-0.68482727979562363</v>
      </c>
      <c r="X336" s="19">
        <f ca="1">IF('Stock Price'!$I$11="OK",K336/INDEX(K$5:K$1258,'Stock Price'!$I$9)-1,"")</f>
        <v>0.34736251402918072</v>
      </c>
      <c r="Y336" s="19">
        <f ca="1">IF('Stock Price'!$I$11="OK",L336/INDEX(L$5:L$1258,'Stock Price'!$I$9)-1,"")</f>
        <v>-0.21871232216059799</v>
      </c>
      <c r="Z336" s="19">
        <f ca="1">IF('Stock Price'!$I$11="OK",M336/INDEX(M$5:M$1258,'Stock Price'!$I$9)-1,"")</f>
        <v>-0.36483363132876889</v>
      </c>
    </row>
    <row r="337" spans="1:26" x14ac:dyDescent="0.2">
      <c r="A337" s="16">
        <f>'Stock Price'!A337</f>
        <v>44957</v>
      </c>
      <c r="B337" s="17">
        <f>'Stock Price'!E337</f>
        <v>107.41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9.0183184593706223E-3</v>
      </c>
      <c r="P337" s="19">
        <f ca="1">IF('Stock Price'!$I$11="OK",C337/INDEX(C$5:C$1258,'Stock Price'!$I$9)-1,"")</f>
        <v>-0.36720080843077807</v>
      </c>
      <c r="Q337" s="19">
        <f ca="1">IF('Stock Price'!$I$11="OK",D337/INDEX(D$5:D$1258,'Stock Price'!$I$9)-1,"")</f>
        <v>-0.2993020391405502</v>
      </c>
      <c r="R337" s="19">
        <f ca="1">IF('Stock Price'!$I$11="OK",E337/INDEX(E$5:E$1258,'Stock Price'!$I$9)-1,"")</f>
        <v>-0.28954261535361681</v>
      </c>
      <c r="S337" s="19">
        <f ca="1">IF('Stock Price'!$I$11="OK",F337/INDEX(F$5:F$1258,'Stock Price'!$I$9)-1,"")</f>
        <v>-0.23906705539358608</v>
      </c>
      <c r="T337" s="19">
        <f ca="1">IF('Stock Price'!$I$11="OK",G337/INDEX(G$5:G$1258,'Stock Price'!$I$9)-1,"")</f>
        <v>1.8867924528301883E-2</v>
      </c>
      <c r="U337" s="19">
        <f ca="1">IF('Stock Price'!$I$11="OK",H337/INDEX(H$5:H$1258,'Stock Price'!$I$9)-1,"")</f>
        <v>0.5</v>
      </c>
      <c r="V337" s="19">
        <f ca="1">IF('Stock Price'!$I$11="OK",I337/INDEX(I$5:I$1258,'Stock Price'!$I$9)-1,"")</f>
        <v>0.75377283558379649</v>
      </c>
      <c r="W337" s="19">
        <f ca="1">IF('Stock Price'!$I$11="OK",J337/INDEX(J$5:J$1258,'Stock Price'!$I$9)-1,"")</f>
        <v>-0.68144877633381462</v>
      </c>
      <c r="X337" s="19">
        <f ca="1">IF('Stock Price'!$I$11="OK",K337/INDEX(K$5:K$1258,'Stock Price'!$I$9)-1,"")</f>
        <v>0.35895997007108127</v>
      </c>
      <c r="Y337" s="19">
        <f ca="1">IF('Stock Price'!$I$11="OK",L337/INDEX(L$5:L$1258,'Stock Price'!$I$9)-1,"")</f>
        <v>-0.21186399807089462</v>
      </c>
      <c r="Z337" s="19">
        <f ca="1">IF('Stock Price'!$I$11="OK",M337/INDEX(M$5:M$1258,'Stock Price'!$I$9)-1,"")</f>
        <v>-0.35567572282063586</v>
      </c>
    </row>
    <row r="338" spans="1:26" x14ac:dyDescent="0.2">
      <c r="A338" s="16">
        <f>'Stock Price'!A338</f>
        <v>44958</v>
      </c>
      <c r="B338" s="17">
        <f>'Stock Price'!E338</f>
        <v>106.98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4.9788633161109708E-3</v>
      </c>
      <c r="P338" s="19">
        <f ca="1">IF('Stock Price'!$I$11="OK",C338/INDEX(C$5:C$1258,'Stock Price'!$I$9)-1,"")</f>
        <v>-0.38389057311967656</v>
      </c>
      <c r="Q338" s="19">
        <f ca="1">IF('Stock Price'!$I$11="OK",D338/INDEX(D$5:D$1258,'Stock Price'!$I$9)-1,"")</f>
        <v>-0.3003968797043931</v>
      </c>
      <c r="R338" s="19">
        <f ca="1">IF('Stock Price'!$I$11="OK",E338/INDEX(E$5:E$1258,'Stock Price'!$I$9)-1,"")</f>
        <v>-0.28490832157968971</v>
      </c>
      <c r="S338" s="19">
        <f ca="1">IF('Stock Price'!$I$11="OK",F338/INDEX(F$5:F$1258,'Stock Price'!$I$9)-1,"")</f>
        <v>-0.25519922254616134</v>
      </c>
      <c r="T338" s="19">
        <f ca="1">IF('Stock Price'!$I$11="OK",G338/INDEX(G$5:G$1258,'Stock Price'!$I$9)-1,"")</f>
        <v>1.0781671159029615E-2</v>
      </c>
      <c r="U338" s="19">
        <f ca="1">IF('Stock Price'!$I$11="OK",H338/INDEX(H$5:H$1258,'Stock Price'!$I$9)-1,"")</f>
        <v>0.48684210526315796</v>
      </c>
      <c r="V338" s="19">
        <f ca="1">IF('Stock Price'!$I$11="OK",I338/INDEX(I$5:I$1258,'Stock Price'!$I$9)-1,"")</f>
        <v>0.74622716441620329</v>
      </c>
      <c r="W338" s="19">
        <f ca="1">IF('Stock Price'!$I$11="OK",J338/INDEX(J$5:J$1258,'Stock Price'!$I$9)-1,"")</f>
        <v>-0.68291125180495382</v>
      </c>
      <c r="X338" s="19">
        <f ca="1">IF('Stock Price'!$I$11="OK",K338/INDEX(K$5:K$1258,'Stock Price'!$I$9)-1,"")</f>
        <v>0.33239805462027694</v>
      </c>
      <c r="Y338" s="19">
        <f ca="1">IF('Stock Price'!$I$11="OK",L338/INDEX(L$5:L$1258,'Stock Price'!$I$9)-1,"")</f>
        <v>-0.204629852905715</v>
      </c>
      <c r="Z338" s="19">
        <f ca="1">IF('Stock Price'!$I$11="OK",M338/INDEX(M$5:M$1258,'Stock Price'!$I$9)-1,"")</f>
        <v>-0.36069076795604205</v>
      </c>
    </row>
    <row r="339" spans="1:26" x14ac:dyDescent="0.2">
      <c r="A339" s="16">
        <f>'Stock Price'!A339</f>
        <v>44959</v>
      </c>
      <c r="B339" s="17">
        <f>'Stock Price'!E339</f>
        <v>103.46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-2.8088304368248052E-2</v>
      </c>
      <c r="P339" s="19">
        <f ca="1">IF('Stock Price'!$I$11="OK",C339/INDEX(C$5:C$1258,'Stock Price'!$I$9)-1,"")</f>
        <v>-0.39876425581059627</v>
      </c>
      <c r="Q339" s="19">
        <f ca="1">IF('Stock Price'!$I$11="OK",D339/INDEX(D$5:D$1258,'Stock Price'!$I$9)-1,"")</f>
        <v>-0.30433830573422749</v>
      </c>
      <c r="R339" s="19">
        <f ca="1">IF('Stock Price'!$I$11="OK",E339/INDEX(E$5:E$1258,'Stock Price'!$I$9)-1,"")</f>
        <v>-0.29216199879105376</v>
      </c>
      <c r="S339" s="19">
        <f ca="1">IF('Stock Price'!$I$11="OK",F339/INDEX(F$5:F$1258,'Stock Price'!$I$9)-1,"")</f>
        <v>-0.26802721088435388</v>
      </c>
      <c r="T339" s="19">
        <f ca="1">IF('Stock Price'!$I$11="OK",G339/INDEX(G$5:G$1258,'Stock Price'!$I$9)-1,"")</f>
        <v>-2.0526643168152447E-2</v>
      </c>
      <c r="U339" s="19">
        <f ca="1">IF('Stock Price'!$I$11="OK",H339/INDEX(H$5:H$1258,'Stock Price'!$I$9)-1,"")</f>
        <v>0.49473684210526314</v>
      </c>
      <c r="V339" s="19">
        <f ca="1">IF('Stock Price'!$I$11="OK",I339/INDEX(I$5:I$1258,'Stock Price'!$I$9)-1,"")</f>
        <v>0.76092136616362205</v>
      </c>
      <c r="W339" s="19">
        <f ca="1">IF('Stock Price'!$I$11="OK",J339/INDEX(J$5:J$1258,'Stock Price'!$I$9)-1,"")</f>
        <v>-0.69389833018623426</v>
      </c>
      <c r="X339" s="19">
        <f ca="1">IF('Stock Price'!$I$11="OK",K339/INDEX(K$5:K$1258,'Stock Price'!$I$9)-1,"")</f>
        <v>0.36120463898241661</v>
      </c>
      <c r="Y339" s="19">
        <f ca="1">IF('Stock Price'!$I$11="OK",L339/INDEX(L$5:L$1258,'Stock Price'!$I$9)-1,"")</f>
        <v>-0.20163973957077408</v>
      </c>
      <c r="Z339" s="19">
        <f ca="1">IF('Stock Price'!$I$11="OK",M339/INDEX(M$5:M$1258,'Stock Price'!$I$9)-1,"")</f>
        <v>-0.36836596746762029</v>
      </c>
    </row>
    <row r="340" spans="1:26" x14ac:dyDescent="0.2">
      <c r="A340" s="16">
        <f>'Stock Price'!A340</f>
        <v>44960</v>
      </c>
      <c r="B340" s="17">
        <f>'Stock Price'!E340</f>
        <v>102.94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-3.2973226867073824E-2</v>
      </c>
      <c r="P340" s="19">
        <f ca="1">IF('Stock Price'!$I$11="OK",C340/INDEX(C$5:C$1258,'Stock Price'!$I$9)-1,"")</f>
        <v>-0.40050960011549008</v>
      </c>
      <c r="Q340" s="19">
        <f ca="1">IF('Stock Price'!$I$11="OK",D340/INDEX(D$5:D$1258,'Stock Price'!$I$9)-1,"")</f>
        <v>-0.2971123580128644</v>
      </c>
      <c r="R340" s="19">
        <f ca="1">IF('Stock Price'!$I$11="OK",E340/INDEX(E$5:E$1258,'Stock Price'!$I$9)-1,"")</f>
        <v>-0.29820672980052398</v>
      </c>
      <c r="S340" s="19">
        <f ca="1">IF('Stock Price'!$I$11="OK",F340/INDEX(F$5:F$1258,'Stock Price'!$I$9)-1,"")</f>
        <v>-0.25928085519922262</v>
      </c>
      <c r="T340" s="19">
        <f ca="1">IF('Stock Price'!$I$11="OK",G340/INDEX(G$5:G$1258,'Stock Price'!$I$9)-1,"")</f>
        <v>-4.5822102425875921E-2</v>
      </c>
      <c r="U340" s="19">
        <f ca="1">IF('Stock Price'!$I$11="OK",H340/INDEX(H$5:H$1258,'Stock Price'!$I$9)-1,"")</f>
        <v>0.49157894736842112</v>
      </c>
      <c r="V340" s="19">
        <f ca="1">IF('Stock Price'!$I$11="OK",I340/INDEX(I$5:I$1258,'Stock Price'!$I$9)-1,"")</f>
        <v>0.74980142970611618</v>
      </c>
      <c r="W340" s="19">
        <f ca="1">IF('Stock Price'!$I$11="OK",J340/INDEX(J$5:J$1258,'Stock Price'!$I$9)-1,"")</f>
        <v>-0.68614165648487546</v>
      </c>
      <c r="X340" s="19">
        <f ca="1">IF('Stock Price'!$I$11="OK",K340/INDEX(K$5:K$1258,'Stock Price'!$I$9)-1,"")</f>
        <v>0.39263000374111479</v>
      </c>
      <c r="Y340" s="19">
        <f ca="1">IF('Stock Price'!$I$11="OK",L340/INDEX(L$5:L$1258,'Stock Price'!$I$9)-1,"")</f>
        <v>-0.2061249095731853</v>
      </c>
      <c r="Z340" s="19">
        <f ca="1">IF('Stock Price'!$I$11="OK",M340/INDEX(M$5:M$1258,'Stock Price'!$I$9)-1,"")</f>
        <v>-0.36679604029479751</v>
      </c>
    </row>
    <row r="341" spans="1:26" x14ac:dyDescent="0.2">
      <c r="A341" s="16">
        <f>'Stock Price'!A341</f>
        <v>44963</v>
      </c>
      <c r="B341" s="17">
        <f>'Stock Price'!E341</f>
        <v>104.03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-2.2733677782996731E-2</v>
      </c>
      <c r="P341" s="19">
        <f ca="1">IF('Stock Price'!$I$11="OK",C341/INDEX(C$5:C$1258,'Stock Price'!$I$9)-1,"")</f>
        <v>-0.40316370723256822</v>
      </c>
      <c r="Q341" s="19">
        <f ca="1">IF('Stock Price'!$I$11="OK",D341/INDEX(D$5:D$1258,'Stock Price'!$I$9)-1,"")</f>
        <v>-0.31068838100451623</v>
      </c>
      <c r="R341" s="19">
        <f ca="1">IF('Stock Price'!$I$11="OK",E341/INDEX(E$5:E$1258,'Stock Price'!$I$9)-1,"")</f>
        <v>-0.28793068708442471</v>
      </c>
      <c r="S341" s="19">
        <f ca="1">IF('Stock Price'!$I$11="OK",F341/INDEX(F$5:F$1258,'Stock Price'!$I$9)-1,"")</f>
        <v>-0.25461613216715262</v>
      </c>
      <c r="T341" s="19">
        <f ca="1">IF('Stock Price'!$I$11="OK",G341/INDEX(G$5:G$1258,'Stock Price'!$I$9)-1,"")</f>
        <v>-4.9139539705577384E-2</v>
      </c>
      <c r="U341" s="19">
        <f ca="1">IF('Stock Price'!$I$11="OK",H341/INDEX(H$5:H$1258,'Stock Price'!$I$9)-1,"")</f>
        <v>0.53131578947368419</v>
      </c>
      <c r="V341" s="19">
        <f ca="1">IF('Stock Price'!$I$11="OK",I341/INDEX(I$5:I$1258,'Stock Price'!$I$9)-1,"")</f>
        <v>0.73788721207307373</v>
      </c>
      <c r="W341" s="19">
        <f ca="1">IF('Stock Price'!$I$11="OK",J341/INDEX(J$5:J$1258,'Stock Price'!$I$9)-1,"")</f>
        <v>-0.68745603317412707</v>
      </c>
      <c r="X341" s="19">
        <f ca="1">IF('Stock Price'!$I$11="OK",K341/INDEX(K$5:K$1258,'Stock Price'!$I$9)-1,"")</f>
        <v>0.39412644968200516</v>
      </c>
      <c r="Y341" s="19">
        <f ca="1">IF('Stock Price'!$I$11="OK",L341/INDEX(L$5:L$1258,'Stock Price'!$I$9)-1,"")</f>
        <v>-0.21215336387750172</v>
      </c>
      <c r="Z341" s="19">
        <f ca="1">IF('Stock Price'!$I$11="OK",M341/INDEX(M$5:M$1258,'Stock Price'!$I$9)-1,"")</f>
        <v>-0.36758100388120885</v>
      </c>
    </row>
    <row r="342" spans="1:26" x14ac:dyDescent="0.2">
      <c r="A342" s="16">
        <f>'Stock Price'!A342</f>
        <v>44964</v>
      </c>
      <c r="B342" s="17">
        <f>'Stock Price'!E342</f>
        <v>105.68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-7.2334429309535153E-3</v>
      </c>
      <c r="P342" s="19">
        <f ca="1">IF('Stock Price'!$I$11="OK",C342/INDEX(C$5:C$1258,'Stock Price'!$I$9)-1,"")</f>
        <v>-0.39708820557239788</v>
      </c>
      <c r="Q342" s="19">
        <f ca="1">IF('Stock Price'!$I$11="OK",D342/INDEX(D$5:D$1258,'Stock Price'!$I$9)-1,"")</f>
        <v>-0.29547009716710015</v>
      </c>
      <c r="R342" s="19">
        <f ca="1">IF('Stock Price'!$I$11="OK",E342/INDEX(E$5:E$1258,'Stock Price'!$I$9)-1,"")</f>
        <v>-0.27120693129155748</v>
      </c>
      <c r="S342" s="19">
        <f ca="1">IF('Stock Price'!$I$11="OK",F342/INDEX(F$5:F$1258,'Stock Price'!$I$9)-1,"")</f>
        <v>-0.24606413994169107</v>
      </c>
      <c r="T342" s="19">
        <f ca="1">IF('Stock Price'!$I$11="OK",G342/INDEX(G$5:G$1258,'Stock Price'!$I$9)-1,"")</f>
        <v>-2.6124818577648701E-2</v>
      </c>
      <c r="U342" s="19">
        <f ca="1">IF('Stock Price'!$I$11="OK",H342/INDEX(H$5:H$1258,'Stock Price'!$I$9)-1,"")</f>
        <v>0.5513157894736842</v>
      </c>
      <c r="V342" s="19">
        <f ca="1">IF('Stock Price'!$I$11="OK",I342/INDEX(I$5:I$1258,'Stock Price'!$I$9)-1,"")</f>
        <v>0.73113582208101691</v>
      </c>
      <c r="W342" s="19">
        <f ca="1">IF('Stock Price'!$I$11="OK",J342/INDEX(J$5:J$1258,'Stock Price'!$I$9)-1,"")</f>
        <v>-0.68558628605279726</v>
      </c>
      <c r="X342" s="19">
        <f ca="1">IF('Stock Price'!$I$11="OK",K342/INDEX(K$5:K$1258,'Stock Price'!$I$9)-1,"")</f>
        <v>0.39393939393939381</v>
      </c>
      <c r="Y342" s="19">
        <f ca="1">IF('Stock Price'!$I$11="OK",L342/INDEX(L$5:L$1258,'Stock Price'!$I$9)-1,"")</f>
        <v>-0.21196045333976365</v>
      </c>
      <c r="Z342" s="19">
        <f ca="1">IF('Stock Price'!$I$11="OK",M342/INDEX(M$5:M$1258,'Stock Price'!$I$9)-1,"")</f>
        <v>-0.36705769482360129</v>
      </c>
    </row>
    <row r="343" spans="1:26" x14ac:dyDescent="0.2">
      <c r="A343" s="16">
        <f>'Stock Price'!A343</f>
        <v>44965</v>
      </c>
      <c r="B343" s="17">
        <f>'Stock Price'!E343</f>
        <v>106.64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1.7848755284171069E-3</v>
      </c>
      <c r="P343" s="19">
        <f ca="1">IF('Stock Price'!$I$11="OK",C343/INDEX(C$5:C$1258,'Stock Price'!$I$9)-1,"")</f>
        <v>-0.39324743756315861</v>
      </c>
      <c r="Q343" s="19">
        <f ca="1">IF('Stock Price'!$I$11="OK",D343/INDEX(D$5:D$1258,'Stock Price'!$I$9)-1,"")</f>
        <v>-0.29924729711235809</v>
      </c>
      <c r="R343" s="19">
        <f ca="1">IF('Stock Price'!$I$11="OK",E343/INDEX(E$5:E$1258,'Stock Price'!$I$9)-1,"")</f>
        <v>-0.26818456578682248</v>
      </c>
      <c r="S343" s="19">
        <f ca="1">IF('Stock Price'!$I$11="OK",F343/INDEX(F$5:F$1258,'Stock Price'!$I$9)-1,"")</f>
        <v>-0.24450923226433441</v>
      </c>
      <c r="T343" s="19">
        <f ca="1">IF('Stock Price'!$I$11="OK",G343/INDEX(G$5:G$1258,'Stock Price'!$I$9)-1,"")</f>
        <v>-1.0781671159029615E-2</v>
      </c>
      <c r="U343" s="19">
        <f ca="1">IF('Stock Price'!$I$11="OK",H343/INDEX(H$5:H$1258,'Stock Price'!$I$9)-1,"")</f>
        <v>0.64447368421052631</v>
      </c>
      <c r="V343" s="19">
        <f ca="1">IF('Stock Price'!$I$11="OK",I343/INDEX(I$5:I$1258,'Stock Price'!$I$9)-1,"")</f>
        <v>0.74662430500397137</v>
      </c>
      <c r="W343" s="19">
        <f ca="1">IF('Stock Price'!$I$11="OK",J343/INDEX(J$5:J$1258,'Stock Price'!$I$9)-1,"")</f>
        <v>-0.6846143877966604</v>
      </c>
      <c r="X343" s="19">
        <f ca="1">IF('Stock Price'!$I$11="OK",K343/INDEX(K$5:K$1258,'Stock Price'!$I$9)-1,"")</f>
        <v>0.377665544332211</v>
      </c>
      <c r="Y343" s="19">
        <f ca="1">IF('Stock Price'!$I$11="OK",L343/INDEX(L$5:L$1258,'Stock Price'!$I$9)-1,"")</f>
        <v>-0.21094767301663842</v>
      </c>
      <c r="Z343" s="19">
        <f ca="1">IF('Stock Price'!$I$11="OK",M343/INDEX(M$5:M$1258,'Stock Price'!$I$9)-1,"")</f>
        <v>-0.36936897649470146</v>
      </c>
    </row>
    <row r="344" spans="1:26" x14ac:dyDescent="0.2">
      <c r="A344" s="16">
        <f>'Stock Price'!A344</f>
        <v>44966</v>
      </c>
      <c r="B344" s="17">
        <f>'Stock Price'!E344</f>
        <v>106.72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2.5364020666980291E-3</v>
      </c>
      <c r="P344" s="19">
        <f ca="1">IF('Stock Price'!$I$11="OK",C344/INDEX(C$5:C$1258,'Stock Price'!$I$9)-1,"")</f>
        <v>-0.39729753139887392</v>
      </c>
      <c r="Q344" s="19">
        <f ca="1">IF('Stock Price'!$I$11="OK",D344/INDEX(D$5:D$1258,'Stock Price'!$I$9)-1,"")</f>
        <v>-0.25413986588203097</v>
      </c>
      <c r="R344" s="19">
        <f ca="1">IF('Stock Price'!$I$11="OK",E344/INDEX(E$5:E$1258,'Stock Price'!$I$9)-1,"")</f>
        <v>-0.26596816441668347</v>
      </c>
      <c r="S344" s="19">
        <f ca="1">IF('Stock Price'!$I$11="OK",F344/INDEX(F$5:F$1258,'Stock Price'!$I$9)-1,"")</f>
        <v>-0.25422740524781351</v>
      </c>
      <c r="T344" s="19">
        <f ca="1">IF('Stock Price'!$I$11="OK",G344/INDEX(G$5:G$1258,'Stock Price'!$I$9)-1,"")</f>
        <v>-3.1100974497200173E-3</v>
      </c>
      <c r="U344" s="19">
        <f ca="1">IF('Stock Price'!$I$11="OK",H344/INDEX(H$5:H$1258,'Stock Price'!$I$9)-1,"")</f>
        <v>0.59026315789473682</v>
      </c>
      <c r="V344" s="19">
        <f ca="1">IF('Stock Price'!$I$11="OK",I344/INDEX(I$5:I$1258,'Stock Price'!$I$9)-1,"")</f>
        <v>0.72120730738681504</v>
      </c>
      <c r="W344" s="19">
        <f ca="1">IF('Stock Price'!$I$11="OK",J344/INDEX(J$5:J$1258,'Stock Price'!$I$9)-1,"")</f>
        <v>-0.68363323336665549</v>
      </c>
      <c r="X344" s="19">
        <f ca="1">IF('Stock Price'!$I$11="OK",K344/INDEX(K$5:K$1258,'Stock Price'!$I$9)-1,"")</f>
        <v>0.33726150392817056</v>
      </c>
      <c r="Y344" s="19">
        <f ca="1">IF('Stock Price'!$I$11="OK",L344/INDEX(L$5:L$1258,'Stock Price'!$I$9)-1,"")</f>
        <v>-0.22160598022666989</v>
      </c>
      <c r="Z344" s="19">
        <f ca="1">IF('Stock Price'!$I$11="OK",M344/INDEX(M$5:M$1258,'Stock Price'!$I$9)-1,"")</f>
        <v>-0.35153285944790902</v>
      </c>
    </row>
    <row r="345" spans="1:26" x14ac:dyDescent="0.2">
      <c r="A345" s="16">
        <f>'Stock Price'!A345</f>
        <v>44967</v>
      </c>
      <c r="B345" s="17">
        <f>'Stock Price'!E345</f>
        <v>108.57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1.9915453264443217E-2</v>
      </c>
      <c r="P345" s="19">
        <f ca="1">IF('Stock Price'!$I$11="OK",C345/INDEX(C$5:C$1258,'Stock Price'!$I$9)-1,"")</f>
        <v>-0.39611087050671279</v>
      </c>
      <c r="Q345" s="19">
        <f ca="1">IF('Stock Price'!$I$11="OK",D345/INDEX(D$5:D$1258,'Stock Price'!$I$9)-1,"")</f>
        <v>-0.2375530313398112</v>
      </c>
      <c r="R345" s="19">
        <f ca="1">IF('Stock Price'!$I$11="OK",E345/INDEX(E$5:E$1258,'Stock Price'!$I$9)-1,"")</f>
        <v>-0.27785613540197462</v>
      </c>
      <c r="S345" s="19">
        <f ca="1">IF('Stock Price'!$I$11="OK",F345/INDEX(F$5:F$1258,'Stock Price'!$I$9)-1,"")</f>
        <v>-0.25928085519922262</v>
      </c>
      <c r="T345" s="19">
        <f ca="1">IF('Stock Price'!$I$11="OK",G345/INDEX(G$5:G$1258,'Stock Price'!$I$9)-1,"")</f>
        <v>-1.4306448268712413E-2</v>
      </c>
      <c r="U345" s="19">
        <f ca="1">IF('Stock Price'!$I$11="OK",H345/INDEX(H$5:H$1258,'Stock Price'!$I$9)-1,"")</f>
        <v>0.5473684210526315</v>
      </c>
      <c r="V345" s="19">
        <f ca="1">IF('Stock Price'!$I$11="OK",I345/INDEX(I$5:I$1258,'Stock Price'!$I$9)-1,"")</f>
        <v>0.74265289912629084</v>
      </c>
      <c r="W345" s="19">
        <f ca="1">IF('Stock Price'!$I$11="OK",J345/INDEX(J$5:J$1258,'Stock Price'!$I$9)-1,"")</f>
        <v>-0.68055092746862156</v>
      </c>
      <c r="X345" s="19">
        <f ca="1">IF('Stock Price'!$I$11="OK",K345/INDEX(K$5:K$1258,'Stock Price'!$I$9)-1,"")</f>
        <v>0.35054246165357283</v>
      </c>
      <c r="Y345" s="19">
        <f ca="1">IF('Stock Price'!$I$11="OK",L345/INDEX(L$5:L$1258,'Stock Price'!$I$9)-1,"")</f>
        <v>-0.21798890764407997</v>
      </c>
      <c r="Z345" s="19">
        <f ca="1">IF('Stock Price'!$I$11="OK",M345/INDEX(M$5:M$1258,'Stock Price'!$I$9)-1,"")</f>
        <v>-0.33692381492302992</v>
      </c>
    </row>
    <row r="346" spans="1:26" x14ac:dyDescent="0.2">
      <c r="A346" s="16">
        <f>'Stock Price'!A346</f>
        <v>44970</v>
      </c>
      <c r="B346" s="17">
        <f>'Stock Price'!E346</f>
        <v>109.55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2.9121653358384236E-2</v>
      </c>
      <c r="P346" s="19">
        <f ca="1">IF('Stock Price'!$I$11="OK",C346/INDEX(C$5:C$1258,'Stock Price'!$I$9)-1,"")</f>
        <v>-0.38905803378085746</v>
      </c>
      <c r="Q346" s="19">
        <f ca="1">IF('Stock Price'!$I$11="OK",D346/INDEX(D$5:D$1258,'Stock Price'!$I$9)-1,"")</f>
        <v>-0.2375530313398112</v>
      </c>
      <c r="R346" s="19">
        <f ca="1">IF('Stock Price'!$I$11="OK",E346/INDEX(E$5:E$1258,'Stock Price'!$I$9)-1,"")</f>
        <v>-0.26999798508966366</v>
      </c>
      <c r="S346" s="19">
        <f ca="1">IF('Stock Price'!$I$11="OK",F346/INDEX(F$5:F$1258,'Stock Price'!$I$9)-1,"")</f>
        <v>-0.26239067055393583</v>
      </c>
      <c r="T346" s="19">
        <f ca="1">IF('Stock Price'!$I$11="OK",G346/INDEX(G$5:G$1258,'Stock Price'!$I$9)-1,"")</f>
        <v>-1.7209205888451096E-2</v>
      </c>
      <c r="U346" s="19">
        <f ca="1">IF('Stock Price'!$I$11="OK",H346/INDEX(H$5:H$1258,'Stock Price'!$I$9)-1,"")</f>
        <v>0.56710526315789456</v>
      </c>
      <c r="V346" s="19">
        <f ca="1">IF('Stock Price'!$I$11="OK",I346/INDEX(I$5:I$1258,'Stock Price'!$I$9)-1,"")</f>
        <v>0.74702144559173966</v>
      </c>
      <c r="W346" s="19">
        <f ca="1">IF('Stock Price'!$I$11="OK",J346/INDEX(J$5:J$1258,'Stock Price'!$I$9)-1,"")</f>
        <v>-0.67566366766633346</v>
      </c>
      <c r="X346" s="19">
        <f ca="1">IF('Stock Price'!$I$11="OK",K346/INDEX(K$5:K$1258,'Stock Price'!$I$9)-1,"")</f>
        <v>0.36868686868686873</v>
      </c>
      <c r="Y346" s="19">
        <f ca="1">IF('Stock Price'!$I$11="OK",L346/INDEX(L$5:L$1258,'Stock Price'!$I$9)-1,"")</f>
        <v>-0.21509524957800819</v>
      </c>
      <c r="Z346" s="19">
        <f ca="1">IF('Stock Price'!$I$11="OK",M346/INDEX(M$5:M$1258,'Stock Price'!$I$9)-1,"")</f>
        <v>-0.32959748811652356</v>
      </c>
    </row>
    <row r="347" spans="1:26" x14ac:dyDescent="0.2">
      <c r="A347" s="16">
        <f>'Stock Price'!A347</f>
        <v>44971</v>
      </c>
      <c r="B347" s="17">
        <f>'Stock Price'!E347</f>
        <v>108.74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2.1512447158290149E-2</v>
      </c>
      <c r="P347" s="19">
        <f ca="1">IF('Stock Price'!$I$11="OK",C347/INDEX(C$5:C$1258,'Stock Price'!$I$9)-1,"")</f>
        <v>-0.38863866031471062</v>
      </c>
      <c r="Q347" s="19">
        <f ca="1">IF('Stock Price'!$I$11="OK",D347/INDEX(D$5:D$1258,'Stock Price'!$I$9)-1,"")</f>
        <v>-0.24866566306281657</v>
      </c>
      <c r="R347" s="19">
        <f ca="1">IF('Stock Price'!$I$11="OK",E347/INDEX(E$5:E$1258,'Stock Price'!$I$9)-1,"")</f>
        <v>-0.27342333266169649</v>
      </c>
      <c r="S347" s="19">
        <f ca="1">IF('Stock Price'!$I$11="OK",F347/INDEX(F$5:F$1258,'Stock Price'!$I$9)-1,"")</f>
        <v>-0.26452866861030122</v>
      </c>
      <c r="T347" s="19">
        <f ca="1">IF('Stock Price'!$I$11="OK",G347/INDEX(G$5:G$1258,'Stock Price'!$I$9)-1,"")</f>
        <v>-1.3062409288824295E-2</v>
      </c>
      <c r="U347" s="19">
        <f ca="1">IF('Stock Price'!$I$11="OK",H347/INDEX(H$5:H$1258,'Stock Price'!$I$9)-1,"")</f>
        <v>0.5910526315789475</v>
      </c>
      <c r="V347" s="19">
        <f ca="1">IF('Stock Price'!$I$11="OK",I347/INDEX(I$5:I$1258,'Stock Price'!$I$9)-1,"")</f>
        <v>0.73629864972200165</v>
      </c>
      <c r="W347" s="19">
        <f ca="1">IF('Stock Price'!$I$11="OK",J347/INDEX(J$5:J$1258,'Stock Price'!$I$9)-1,"")</f>
        <v>-0.67829242104483689</v>
      </c>
      <c r="X347" s="19">
        <f ca="1">IF('Stock Price'!$I$11="OK",K347/INDEX(K$5:K$1258,'Stock Price'!$I$9)-1,"")</f>
        <v>0.35147774036662915</v>
      </c>
      <c r="Y347" s="19">
        <f ca="1">IF('Stock Price'!$I$11="OK",L347/INDEX(L$5:L$1258,'Stock Price'!$I$9)-1,"")</f>
        <v>-0.21851941162285993</v>
      </c>
      <c r="Z347" s="19">
        <f ca="1">IF('Stock Price'!$I$11="OK",M347/INDEX(M$5:M$1258,'Stock Price'!$I$9)-1,"")</f>
        <v>-0.33456892416379569</v>
      </c>
    </row>
    <row r="348" spans="1:26" x14ac:dyDescent="0.2">
      <c r="A348" s="16">
        <f>'Stock Price'!A348</f>
        <v>44972</v>
      </c>
      <c r="B348" s="17">
        <f>'Stock Price'!E348</f>
        <v>107.68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1.1554720526068651E-2</v>
      </c>
      <c r="P348" s="19">
        <f ca="1">IF('Stock Price'!$I$11="OK",C348/INDEX(C$5:C$1258,'Stock Price'!$I$9)-1,"")</f>
        <v>-0.39122275155189834</v>
      </c>
      <c r="Q348" s="19">
        <f ca="1">IF('Stock Price'!$I$11="OK",D348/INDEX(D$5:D$1258,'Stock Price'!$I$9)-1,"")</f>
        <v>-0.22934172711098955</v>
      </c>
      <c r="R348" s="19">
        <f ca="1">IF('Stock Price'!$I$11="OK",E348/INDEX(E$5:E$1258,'Stock Price'!$I$9)-1,"")</f>
        <v>-0.28329639331049772</v>
      </c>
      <c r="S348" s="19">
        <f ca="1">IF('Stock Price'!$I$11="OK",F348/INDEX(F$5:F$1258,'Stock Price'!$I$9)-1,"")</f>
        <v>-0.26899902818270172</v>
      </c>
      <c r="T348" s="19">
        <f ca="1">IF('Stock Price'!$I$11="OK",G348/INDEX(G$5:G$1258,'Stock Price'!$I$9)-1,"")</f>
        <v>-2.0319303338171224E-2</v>
      </c>
      <c r="U348" s="19">
        <f ca="1">IF('Stock Price'!$I$11="OK",H348/INDEX(H$5:H$1258,'Stock Price'!$I$9)-1,"")</f>
        <v>0.58263157894736839</v>
      </c>
      <c r="V348" s="19">
        <f ca="1">IF('Stock Price'!$I$11="OK",I348/INDEX(I$5:I$1258,'Stock Price'!$I$9)-1,"")</f>
        <v>0.7204130262112789</v>
      </c>
      <c r="W348" s="19">
        <f ca="1">IF('Stock Price'!$I$11="OK",J348/INDEX(J$5:J$1258,'Stock Price'!$I$9)-1,"")</f>
        <v>-0.68990891924913922</v>
      </c>
      <c r="X348" s="19">
        <f ca="1">IF('Stock Price'!$I$11="OK",K348/INDEX(K$5:K$1258,'Stock Price'!$I$9)-1,"")</f>
        <v>0.33688739244294785</v>
      </c>
      <c r="Y348" s="19">
        <f ca="1">IF('Stock Price'!$I$11="OK",L348/INDEX(L$5:L$1258,'Stock Price'!$I$9)-1,"")</f>
        <v>-0.23139619001687961</v>
      </c>
      <c r="Z348" s="19">
        <f ca="1">IF('Stock Price'!$I$11="OK",M348/INDEX(M$5:M$1258,'Stock Price'!$I$9)-1,"")</f>
        <v>-0.34124111464829265</v>
      </c>
    </row>
    <row r="349" spans="1:26" x14ac:dyDescent="0.2">
      <c r="A349" s="16">
        <f>'Stock Price'!A349</f>
        <v>44973</v>
      </c>
      <c r="B349" s="17">
        <f>'Stock Price'!E349</f>
        <v>106.51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5.6364490371074716E-4</v>
      </c>
      <c r="P349" s="19">
        <f ca="1">IF('Stock Price'!$I$11="OK",C349/INDEX(C$5:C$1258,'Stock Price'!$I$9)-1,"")</f>
        <v>-0.39974159087628114</v>
      </c>
      <c r="Q349" s="19">
        <f ca="1">IF('Stock Price'!$I$11="OK",D349/INDEX(D$5:D$1258,'Stock Price'!$I$9)-1,"")</f>
        <v>-0.24488846311755852</v>
      </c>
      <c r="R349" s="19">
        <f ca="1">IF('Stock Price'!$I$11="OK",E349/INDEX(E$5:E$1258,'Stock Price'!$I$9)-1,"")</f>
        <v>-0.29196050775740479</v>
      </c>
      <c r="S349" s="19">
        <f ca="1">IF('Stock Price'!$I$11="OK",F349/INDEX(F$5:F$1258,'Stock Price'!$I$9)-1,"")</f>
        <v>-0.27677356656948493</v>
      </c>
      <c r="T349" s="19">
        <f ca="1">IF('Stock Price'!$I$11="OK",G349/INDEX(G$5:G$1258,'Stock Price'!$I$9)-1,"")</f>
        <v>-2.9027576197387495E-2</v>
      </c>
      <c r="U349" s="19">
        <f ca="1">IF('Stock Price'!$I$11="OK",H349/INDEX(H$5:H$1258,'Stock Price'!$I$9)-1,"")</f>
        <v>0.56447368421052646</v>
      </c>
      <c r="V349" s="19">
        <f ca="1">IF('Stock Price'!$I$11="OK",I349/INDEX(I$5:I$1258,'Stock Price'!$I$9)-1,"")</f>
        <v>0.70571882446386036</v>
      </c>
      <c r="W349" s="19">
        <f ca="1">IF('Stock Price'!$I$11="OK",J349/INDEX(J$5:J$1258,'Stock Price'!$I$9)-1,"")</f>
        <v>-0.69818393868710427</v>
      </c>
      <c r="X349" s="19">
        <f ca="1">IF('Stock Price'!$I$11="OK",K349/INDEX(K$5:K$1258,'Stock Price'!$I$9)-1,"")</f>
        <v>0.32528993640104731</v>
      </c>
      <c r="Y349" s="19">
        <f ca="1">IF('Stock Price'!$I$11="OK",L349/INDEX(L$5:L$1258,'Stock Price'!$I$9)-1,"")</f>
        <v>-0.23684591270798161</v>
      </c>
      <c r="Z349" s="19">
        <f ca="1">IF('Stock Price'!$I$11="OK",M349/INDEX(M$5:M$1258,'Stock Price'!$I$9)-1,"")</f>
        <v>-0.34791330513278973</v>
      </c>
    </row>
    <row r="350" spans="1:26" x14ac:dyDescent="0.2">
      <c r="A350" s="16">
        <f>'Stock Price'!A350</f>
        <v>44974</v>
      </c>
      <c r="B350" s="17">
        <f>'Stock Price'!E350</f>
        <v>109.52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2.8839830906528752E-2</v>
      </c>
      <c r="P350" s="19">
        <f ca="1">IF('Stock Price'!$I$11="OK",C350/INDEX(C$5:C$1258,'Stock Price'!$I$9)-1,"")</f>
        <v>-0.39213007073769313</v>
      </c>
      <c r="Q350" s="19">
        <f ca="1">IF('Stock Price'!$I$11="OK",D350/INDEX(D$5:D$1258,'Stock Price'!$I$9)-1,"")</f>
        <v>-0.25331873545914874</v>
      </c>
      <c r="R350" s="19">
        <f ca="1">IF('Stock Price'!$I$11="OK",E350/INDEX(E$5:E$1258,'Stock Price'!$I$9)-1,"")</f>
        <v>-0.27705017126737863</v>
      </c>
      <c r="S350" s="19">
        <f ca="1">IF('Stock Price'!$I$11="OK",F350/INDEX(F$5:F$1258,'Stock Price'!$I$9)-1,"")</f>
        <v>-0.26375121477162289</v>
      </c>
      <c r="T350" s="19">
        <f ca="1">IF('Stock Price'!$I$11="OK",G350/INDEX(G$5:G$1258,'Stock Price'!$I$9)-1,"")</f>
        <v>-1.1611030478954953E-2</v>
      </c>
      <c r="U350" s="19">
        <f ca="1">IF('Stock Price'!$I$11="OK",H350/INDEX(H$5:H$1258,'Stock Price'!$I$9)-1,"")</f>
        <v>0.55578947368421039</v>
      </c>
      <c r="V350" s="19">
        <f ca="1">IF('Stock Price'!$I$11="OK",I350/INDEX(I$5:I$1258,'Stock Price'!$I$9)-1,"")</f>
        <v>0.71604447974583008</v>
      </c>
      <c r="W350" s="19">
        <f ca="1">IF('Stock Price'!$I$11="OK",J350/INDEX(J$5:J$1258,'Stock Price'!$I$9)-1,"")</f>
        <v>-0.69602725017586731</v>
      </c>
      <c r="X350" s="19">
        <f ca="1">IF('Stock Price'!$I$11="OK",K350/INDEX(K$5:K$1258,'Stock Price'!$I$9)-1,"")</f>
        <v>0.33015338570894115</v>
      </c>
      <c r="Y350" s="19">
        <f ca="1">IF('Stock Price'!$I$11="OK",L350/INDEX(L$5:L$1258,'Stock Price'!$I$9)-1,"")</f>
        <v>-0.22647697130455757</v>
      </c>
      <c r="Z350" s="19">
        <f ca="1">IF('Stock Price'!$I$11="OK",M350/INDEX(M$5:M$1258,'Stock Price'!$I$9)-1,"")</f>
        <v>-0.34015088744494348</v>
      </c>
    </row>
    <row r="351" spans="1:26" x14ac:dyDescent="0.2">
      <c r="A351" s="16">
        <f>'Stock Price'!A351</f>
        <v>44978</v>
      </c>
      <c r="B351" s="17">
        <f>'Stock Price'!E351</f>
        <v>109.07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2.4612494128698925E-2</v>
      </c>
      <c r="P351" s="19">
        <f ca="1">IF('Stock Price'!$I$11="OK",C351/INDEX(C$5:C$1258,'Stock Price'!$I$9)-1,"")</f>
        <v>-0.39415547856214805</v>
      </c>
      <c r="Q351" s="19">
        <f ca="1">IF('Stock Price'!$I$11="OK",D351/INDEX(D$5:D$1258,'Stock Price'!$I$9)-1,"")</f>
        <v>-0.23076501984398523</v>
      </c>
      <c r="R351" s="19">
        <f ca="1">IF('Stock Price'!$I$11="OK",E351/INDEX(E$5:E$1258,'Stock Price'!$I$9)-1,"")</f>
        <v>-0.27463227886359065</v>
      </c>
      <c r="S351" s="19">
        <f ca="1">IF('Stock Price'!$I$11="OK",F351/INDEX(F$5:F$1258,'Stock Price'!$I$9)-1,"")</f>
        <v>-0.26355685131195339</v>
      </c>
      <c r="T351" s="19">
        <f ca="1">IF('Stock Price'!$I$11="OK",G351/INDEX(G$5:G$1258,'Stock Price'!$I$9)-1,"")</f>
        <v>-1.3062409288824295E-2</v>
      </c>
      <c r="U351" s="19">
        <f ca="1">IF('Stock Price'!$I$11="OK",H351/INDEX(H$5:H$1258,'Stock Price'!$I$9)-1,"")</f>
        <v>0.55921052631578938</v>
      </c>
      <c r="V351" s="19">
        <f ca="1">IF('Stock Price'!$I$11="OK",I351/INDEX(I$5:I$1258,'Stock Price'!$I$9)-1,"")</f>
        <v>0.6957903097696585</v>
      </c>
      <c r="W351" s="19">
        <f ca="1">IF('Stock Price'!$I$11="OK",J351/INDEX(J$5:J$1258,'Stock Price'!$I$9)-1,"")</f>
        <v>-0.69685104965011657</v>
      </c>
      <c r="X351" s="19">
        <f ca="1">IF('Stock Price'!$I$11="OK",K351/INDEX(K$5:K$1258,'Stock Price'!$I$9)-1,"")</f>
        <v>0.33221099887766559</v>
      </c>
      <c r="Y351" s="19">
        <f ca="1">IF('Stock Price'!$I$11="OK",L351/INDEX(L$5:L$1258,'Stock Price'!$I$9)-1,"")</f>
        <v>-0.23800337593441034</v>
      </c>
      <c r="Z351" s="19">
        <f ca="1">IF('Stock Price'!$I$11="OK",M351/INDEX(M$5:M$1258,'Stock Price'!$I$9)-1,"")</f>
        <v>-0.33714186036369975</v>
      </c>
    </row>
    <row r="352" spans="1:26" x14ac:dyDescent="0.2">
      <c r="A352" s="16">
        <f>'Stock Price'!A352</f>
        <v>44979</v>
      </c>
      <c r="B352" s="17">
        <f>'Stock Price'!E352</f>
        <v>109.16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2.5457961484264935E-2</v>
      </c>
      <c r="P352" s="19">
        <f ca="1">IF('Stock Price'!$I$11="OK",C352/INDEX(C$5:C$1258,'Stock Price'!$I$9)-1,"")</f>
        <v>-0.39471416197488085</v>
      </c>
      <c r="Q352" s="19">
        <f ca="1">IF('Stock Price'!$I$11="OK",D352/INDEX(D$5:D$1258,'Stock Price'!$I$9)-1,"")</f>
        <v>-0.23339263719720826</v>
      </c>
      <c r="R352" s="19">
        <f ca="1">IF('Stock Price'!$I$11="OK",E352/INDEX(E$5:E$1258,'Stock Price'!$I$9)-1,"")</f>
        <v>-0.27987104573846466</v>
      </c>
      <c r="S352" s="19">
        <f ca="1">IF('Stock Price'!$I$11="OK",F352/INDEX(F$5:F$1258,'Stock Price'!$I$9)-1,"")</f>
        <v>-0.26277939747327506</v>
      </c>
      <c r="T352" s="19">
        <f ca="1">IF('Stock Price'!$I$11="OK",G352/INDEX(G$5:G$1258,'Stock Price'!$I$9)-1,"")</f>
        <v>-4.3541364296080243E-3</v>
      </c>
      <c r="U352" s="19">
        <f ca="1">IF('Stock Price'!$I$11="OK",H352/INDEX(H$5:H$1258,'Stock Price'!$I$9)-1,"")</f>
        <v>0.55421052631578949</v>
      </c>
      <c r="V352" s="19">
        <f ca="1">IF('Stock Price'!$I$11="OK",I352/INDEX(I$5:I$1258,'Stock Price'!$I$9)-1,"")</f>
        <v>0.68308181096108034</v>
      </c>
      <c r="W352" s="19">
        <f ca="1">IF('Stock Price'!$I$11="OK",J352/INDEX(J$5:J$1258,'Stock Price'!$I$9)-1,"")</f>
        <v>-0.69540708652671324</v>
      </c>
      <c r="X352" s="19">
        <f ca="1">IF('Stock Price'!$I$11="OK",K352/INDEX(K$5:K$1258,'Stock Price'!$I$9)-1,"")</f>
        <v>0.33389450056116732</v>
      </c>
      <c r="Y352" s="19">
        <f ca="1">IF('Stock Price'!$I$11="OK",L352/INDEX(L$5:L$1258,'Stock Price'!$I$9)-1,"")</f>
        <v>-0.23906438389197004</v>
      </c>
      <c r="Z352" s="19">
        <f ca="1">IF('Stock Price'!$I$11="OK",M352/INDEX(M$5:M$1258,'Stock Price'!$I$9)-1,"")</f>
        <v>-0.34294186908551749</v>
      </c>
    </row>
    <row r="353" spans="1:26" x14ac:dyDescent="0.2">
      <c r="A353" s="16">
        <f>'Stock Price'!A353</f>
        <v>44980</v>
      </c>
      <c r="B353" s="17">
        <f>'Stock Price'!E353</f>
        <v>110.59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3.8891498356035781E-2</v>
      </c>
      <c r="P353" s="19">
        <f ca="1">IF('Stock Price'!$I$11="OK",C353/INDEX(C$5:C$1258,'Stock Price'!$I$9)-1,"")</f>
        <v>-0.39569149704056583</v>
      </c>
      <c r="Q353" s="19">
        <f ca="1">IF('Stock Price'!$I$11="OK",D353/INDEX(D$5:D$1258,'Stock Price'!$I$9)-1,"")</f>
        <v>-0.26240591213904474</v>
      </c>
      <c r="R353" s="19">
        <f ca="1">IF('Stock Price'!$I$11="OK",E353/INDEX(E$5:E$1258,'Stock Price'!$I$9)-1,"")</f>
        <v>-0.28954261535361681</v>
      </c>
      <c r="S353" s="19">
        <f ca="1">IF('Stock Price'!$I$11="OK",F353/INDEX(F$5:F$1258,'Stock Price'!$I$9)-1,"")</f>
        <v>-0.26763848396501466</v>
      </c>
      <c r="T353" s="19">
        <f ca="1">IF('Stock Price'!$I$11="OK",G353/INDEX(G$5:G$1258,'Stock Price'!$I$9)-1,"")</f>
        <v>1.658718639850898E-3</v>
      </c>
      <c r="U353" s="19">
        <f ca="1">IF('Stock Price'!$I$11="OK",H353/INDEX(H$5:H$1258,'Stock Price'!$I$9)-1,"")</f>
        <v>0.57657894736842086</v>
      </c>
      <c r="V353" s="19">
        <f ca="1">IF('Stock Price'!$I$11="OK",I353/INDEX(I$5:I$1258,'Stock Price'!$I$9)-1,"")</f>
        <v>0.67990468625893552</v>
      </c>
      <c r="W353" s="19">
        <f ca="1">IF('Stock Price'!$I$11="OK",J353/INDEX(J$5:J$1258,'Stock Price'!$I$9)-1,"")</f>
        <v>-0.69684179347624864</v>
      </c>
      <c r="X353" s="19">
        <f ca="1">IF('Stock Price'!$I$11="OK",K353/INDEX(K$5:K$1258,'Stock Price'!$I$9)-1,"")</f>
        <v>0.33557800224466905</v>
      </c>
      <c r="Y353" s="19">
        <f ca="1">IF('Stock Price'!$I$11="OK",L353/INDEX(L$5:L$1258,'Stock Price'!$I$9)-1,"")</f>
        <v>-0.23930552206414279</v>
      </c>
      <c r="Z353" s="19">
        <f ca="1">IF('Stock Price'!$I$11="OK",M353/INDEX(M$5:M$1258,'Stock Price'!$I$9)-1,"")</f>
        <v>-0.33683659674676203</v>
      </c>
    </row>
    <row r="354" spans="1:26" x14ac:dyDescent="0.2">
      <c r="A354" s="16">
        <f>'Stock Price'!A354</f>
        <v>44981</v>
      </c>
      <c r="B354" s="17">
        <f>'Stock Price'!E354</f>
        <v>109.89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3.2315641146077878E-2</v>
      </c>
      <c r="P354" s="19">
        <f ca="1">IF('Stock Price'!$I$11="OK",C354/INDEX(C$5:C$1258,'Stock Price'!$I$9)-1,"")</f>
        <v>-0.40211563447379817</v>
      </c>
      <c r="Q354" s="19">
        <f ca="1">IF('Stock Price'!$I$11="OK",D354/INDEX(D$5:D$1258,'Stock Price'!$I$9)-1,"")</f>
        <v>-0.26738743670452991</v>
      </c>
      <c r="R354" s="19">
        <f ca="1">IF('Stock Price'!$I$11="OK",E354/INDEX(E$5:E$1258,'Stock Price'!$I$9)-1,"")</f>
        <v>-0.303445496675398</v>
      </c>
      <c r="S354" s="19">
        <f ca="1">IF('Stock Price'!$I$11="OK",F354/INDEX(F$5:F$1258,'Stock Price'!$I$9)-1,"")</f>
        <v>-0.28454810495626826</v>
      </c>
      <c r="T354" s="19">
        <f ca="1">IF('Stock Price'!$I$11="OK",G354/INDEX(G$5:G$1258,'Stock Price'!$I$9)-1,"")</f>
        <v>-1.0989010989010839E-2</v>
      </c>
      <c r="U354" s="19">
        <f ca="1">IF('Stock Price'!$I$11="OK",H354/INDEX(H$5:H$1258,'Stock Price'!$I$9)-1,"")</f>
        <v>0.54263157894736835</v>
      </c>
      <c r="V354" s="19">
        <f ca="1">IF('Stock Price'!$I$11="OK",I354/INDEX(I$5:I$1258,'Stock Price'!$I$9)-1,"")</f>
        <v>0.65806195393169187</v>
      </c>
      <c r="W354" s="19">
        <f ca="1">IF('Stock Price'!$I$11="OK",J354/INDEX(J$5:J$1258,'Stock Price'!$I$9)-1,"")</f>
        <v>-0.70228442371061495</v>
      </c>
      <c r="X354" s="19">
        <f ca="1">IF('Stock Price'!$I$11="OK",K354/INDEX(K$5:K$1258,'Stock Price'!$I$9)-1,"")</f>
        <v>0.31275720164609067</v>
      </c>
      <c r="Y354" s="19">
        <f ca="1">IF('Stock Price'!$I$11="OK",L354/INDEX(L$5:L$1258,'Stock Price'!$I$9)-1,"")</f>
        <v>-0.24779358572462018</v>
      </c>
      <c r="Z354" s="19">
        <f ca="1">IF('Stock Price'!$I$11="OK",M354/INDEX(M$5:M$1258,'Stock Price'!$I$9)-1,"")</f>
        <v>-0.33404561510618813</v>
      </c>
    </row>
    <row r="355" spans="1:26" x14ac:dyDescent="0.2">
      <c r="A355" s="16">
        <f>'Stock Price'!A355</f>
        <v>44984</v>
      </c>
      <c r="B355" s="17">
        <f>'Stock Price'!E355</f>
        <v>109.36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2.7336777829967129E-2</v>
      </c>
      <c r="P355" s="19">
        <f ca="1">IF('Stock Price'!$I$11="OK",C355/INDEX(C$5:C$1258,'Stock Price'!$I$9)-1,"")</f>
        <v>-0.40260502381983543</v>
      </c>
      <c r="Q355" s="19">
        <f ca="1">IF('Stock Price'!$I$11="OK",D355/INDEX(D$5:D$1258,'Stock Price'!$I$9)-1,"")</f>
        <v>-0.25923087450390048</v>
      </c>
      <c r="R355" s="19">
        <f ca="1">IF('Stock Price'!$I$11="OK",E355/INDEX(E$5:E$1258,'Stock Price'!$I$9)-1,"")</f>
        <v>-0.29840822083417295</v>
      </c>
      <c r="S355" s="19">
        <f ca="1">IF('Stock Price'!$I$11="OK",F355/INDEX(F$5:F$1258,'Stock Price'!$I$9)-1,"")</f>
        <v>-0.28590864917395531</v>
      </c>
      <c r="T355" s="19">
        <f ca="1">IF('Stock Price'!$I$11="OK",G355/INDEX(G$5:G$1258,'Stock Price'!$I$9)-1,"")</f>
        <v>-7.8789135392908216E-3</v>
      </c>
      <c r="U355" s="19">
        <f ca="1">IF('Stock Price'!$I$11="OK",H355/INDEX(H$5:H$1258,'Stock Price'!$I$9)-1,"")</f>
        <v>0.54157894736842094</v>
      </c>
      <c r="V355" s="19">
        <f ca="1">IF('Stock Price'!$I$11="OK",I355/INDEX(I$5:I$1258,'Stock Price'!$I$9)-1,"")</f>
        <v>0.61953931691818909</v>
      </c>
      <c r="W355" s="19">
        <f ca="1">IF('Stock Price'!$I$11="OK",J355/INDEX(J$5:J$1258,'Stock Price'!$I$9)-1,"")</f>
        <v>-0.70693102299233579</v>
      </c>
      <c r="X355" s="19">
        <f ca="1">IF('Stock Price'!$I$11="OK",K355/INDEX(K$5:K$1258,'Stock Price'!$I$9)-1,"")</f>
        <v>0.30920314253647585</v>
      </c>
      <c r="Y355" s="19">
        <f ca="1">IF('Stock Price'!$I$11="OK",L355/INDEX(L$5:L$1258,'Stock Price'!$I$9)-1,"")</f>
        <v>-0.2494333252953943</v>
      </c>
      <c r="Z355" s="19">
        <f ca="1">IF('Stock Price'!$I$11="OK",M355/INDEX(M$5:M$1258,'Stock Price'!$I$9)-1,"")</f>
        <v>-0.32719898826915528</v>
      </c>
    </row>
    <row r="356" spans="1:26" x14ac:dyDescent="0.2">
      <c r="A356" s="16">
        <f>'Stock Price'!A356</f>
        <v>44985</v>
      </c>
      <c r="B356" s="17">
        <f>'Stock Price'!E356</f>
        <v>106.24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-1.972757162987393E-3</v>
      </c>
      <c r="P356" s="19">
        <f ca="1">IF('Stock Price'!$I$11="OK",C356/INDEX(C$5:C$1258,'Stock Price'!$I$9)-1,"")</f>
        <v>-0.41259058755594047</v>
      </c>
      <c r="Q356" s="19">
        <f ca="1">IF('Stock Price'!$I$11="OK",D356/INDEX(D$5:D$1258,'Stock Price'!$I$9)-1,"")</f>
        <v>-0.29262351170110856</v>
      </c>
      <c r="R356" s="19">
        <f ca="1">IF('Stock Price'!$I$11="OK",E356/INDEX(E$5:E$1258,'Stock Price'!$I$9)-1,"")</f>
        <v>-0.309490227684868</v>
      </c>
      <c r="S356" s="19">
        <f ca="1">IF('Stock Price'!$I$11="OK",F356/INDEX(F$5:F$1258,'Stock Price'!$I$9)-1,"")</f>
        <v>-0.29931972789115657</v>
      </c>
      <c r="T356" s="19">
        <f ca="1">IF('Stock Price'!$I$11="OK",G356/INDEX(G$5:G$1258,'Stock Price'!$I$9)-1,"")</f>
        <v>-2.8612896537424715E-2</v>
      </c>
      <c r="U356" s="19">
        <f ca="1">IF('Stock Price'!$I$11="OK",H356/INDEX(H$5:H$1258,'Stock Price'!$I$9)-1,"")</f>
        <v>0.48131578947368414</v>
      </c>
      <c r="V356" s="19">
        <f ca="1">IF('Stock Price'!$I$11="OK",I356/INDEX(I$5:I$1258,'Stock Price'!$I$9)-1,"")</f>
        <v>0.61119936457505952</v>
      </c>
      <c r="W356" s="19">
        <f ca="1">IF('Stock Price'!$I$11="OK",J356/INDEX(J$5:J$1258,'Stock Price'!$I$9)-1,"")</f>
        <v>-0.71192935688103964</v>
      </c>
      <c r="X356" s="19">
        <f ca="1">IF('Stock Price'!$I$11="OK",K356/INDEX(K$5:K$1258,'Stock Price'!$I$9)-1,"")</f>
        <v>0.28993640104751206</v>
      </c>
      <c r="Y356" s="19">
        <f ca="1">IF('Stock Price'!$I$11="OK",L356/INDEX(L$5:L$1258,'Stock Price'!$I$9)-1,"")</f>
        <v>-0.26086327465637815</v>
      </c>
      <c r="Z356" s="19">
        <f ca="1">IF('Stock Price'!$I$11="OK",M356/INDEX(M$5:M$1258,'Stock Price'!$I$9)-1,"")</f>
        <v>-0.32885613361824606</v>
      </c>
    </row>
    <row r="357" spans="1:26" x14ac:dyDescent="0.2">
      <c r="A357" s="16">
        <f>'Stock Price'!A357</f>
        <v>44986</v>
      </c>
      <c r="B357" s="17">
        <f>'Stock Price'!E357</f>
        <v>106.65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1.8788163457021945E-3</v>
      </c>
      <c r="P357" s="19">
        <f ca="1">IF('Stock Price'!$I$11="OK",C357/INDEX(C$5:C$1258,'Stock Price'!$I$9)-1,"")</f>
        <v>-0.41468528944709104</v>
      </c>
      <c r="Q357" s="19">
        <f ca="1">IF('Stock Price'!$I$11="OK",D357/INDEX(D$5:D$1258,'Stock Price'!$I$9)-1,"")</f>
        <v>-0.29601751744902161</v>
      </c>
      <c r="R357" s="19">
        <f ca="1">IF('Stock Price'!$I$11="OK",E357/INDEX(E$5:E$1258,'Stock Price'!$I$9)-1,"")</f>
        <v>-0.30969171871851708</v>
      </c>
      <c r="S357" s="19">
        <f ca="1">IF('Stock Price'!$I$11="OK",F357/INDEX(F$5:F$1258,'Stock Price'!$I$9)-1,"")</f>
        <v>-0.30106899902818274</v>
      </c>
      <c r="T357" s="19">
        <f ca="1">IF('Stock Price'!$I$11="OK",G357/INDEX(G$5:G$1258,'Stock Price'!$I$9)-1,"")</f>
        <v>-2.5088119427741917E-2</v>
      </c>
      <c r="U357" s="19">
        <f ca="1">IF('Stock Price'!$I$11="OK",H357/INDEX(H$5:H$1258,'Stock Price'!$I$9)-1,"")</f>
        <v>0.48263157894736852</v>
      </c>
      <c r="V357" s="19">
        <f ca="1">IF('Stock Price'!$I$11="OK",I357/INDEX(I$5:I$1258,'Stock Price'!$I$9)-1,"")</f>
        <v>0.59571088165210484</v>
      </c>
      <c r="W357" s="19">
        <f ca="1">IF('Stock Price'!$I$11="OK",J357/INDEX(J$5:J$1258,'Stock Price'!$I$9)-1,"")</f>
        <v>-0.7091987855899885</v>
      </c>
      <c r="X357" s="19">
        <f ca="1">IF('Stock Price'!$I$11="OK",K357/INDEX(K$5:K$1258,'Stock Price'!$I$9)-1,"")</f>
        <v>0.29741863075196395</v>
      </c>
      <c r="Y357" s="19">
        <f ca="1">IF('Stock Price'!$I$11="OK",L357/INDEX(L$5:L$1258,'Stock Price'!$I$9)-1,"")</f>
        <v>-0.26419098143236075</v>
      </c>
      <c r="Z357" s="19">
        <f ca="1">IF('Stock Price'!$I$11="OK",M357/INDEX(M$5:M$1258,'Stock Price'!$I$9)-1,"")</f>
        <v>-0.32288168854389254</v>
      </c>
    </row>
    <row r="358" spans="1:26" x14ac:dyDescent="0.2">
      <c r="A358" s="16">
        <f>'Stock Price'!A358</f>
        <v>44987</v>
      </c>
      <c r="B358" s="17">
        <f>'Stock Price'!E358</f>
        <v>107.01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5.2606857679662333E-3</v>
      </c>
      <c r="P358" s="19">
        <f ca="1">IF('Stock Price'!$I$11="OK",C358/INDEX(C$5:C$1258,'Stock Price'!$I$9)-1,"")</f>
        <v>-0.40560776670997545</v>
      </c>
      <c r="Q358" s="19">
        <f ca="1">IF('Stock Price'!$I$11="OK",D358/INDEX(D$5:D$1258,'Stock Price'!$I$9)-1,"")</f>
        <v>-0.27981387710414674</v>
      </c>
      <c r="R358" s="19">
        <f ca="1">IF('Stock Price'!$I$11="OK",E358/INDEX(E$5:E$1258,'Stock Price'!$I$9)-1,"")</f>
        <v>-0.30324400564174903</v>
      </c>
      <c r="S358" s="19">
        <f ca="1">IF('Stock Price'!$I$11="OK",F358/INDEX(F$5:F$1258,'Stock Price'!$I$9)-1,"")</f>
        <v>-0.29251700680272119</v>
      </c>
      <c r="T358" s="19">
        <f ca="1">IF('Stock Price'!$I$11="OK",G358/INDEX(G$5:G$1258,'Stock Price'!$I$9)-1,"")</f>
        <v>-1.2440389798880291E-2</v>
      </c>
      <c r="U358" s="19">
        <f ca="1">IF('Stock Price'!$I$11="OK",H358/INDEX(H$5:H$1258,'Stock Price'!$I$9)-1,"")</f>
        <v>0.49526315789473685</v>
      </c>
      <c r="V358" s="19">
        <f ca="1">IF('Stock Price'!$I$11="OK",I358/INDEX(I$5:I$1258,'Stock Price'!$I$9)-1,"")</f>
        <v>0.6131850675138999</v>
      </c>
      <c r="W358" s="19">
        <f ca="1">IF('Stock Price'!$I$11="OK",J358/INDEX(J$5:J$1258,'Stock Price'!$I$9)-1,"")</f>
        <v>-0.70838424228960717</v>
      </c>
      <c r="X358" s="19">
        <f ca="1">IF('Stock Price'!$I$11="OK",K358/INDEX(K$5:K$1258,'Stock Price'!$I$9)-1,"")</f>
        <v>0.29423868312757184</v>
      </c>
      <c r="Y358" s="19">
        <f ca="1">IF('Stock Price'!$I$11="OK",L358/INDEX(L$5:L$1258,'Stock Price'!$I$9)-1,"")</f>
        <v>-0.26476971304557517</v>
      </c>
      <c r="Z358" s="19">
        <f ca="1">IF('Stock Price'!$I$11="OK",M358/INDEX(M$5:M$1258,'Stock Price'!$I$9)-1,"")</f>
        <v>-0.32676289738781561</v>
      </c>
    </row>
    <row r="359" spans="1:26" x14ac:dyDescent="0.2">
      <c r="A359" s="16">
        <f>'Stock Price'!A359</f>
        <v>44988</v>
      </c>
      <c r="B359" s="17">
        <f>'Stock Price'!E359</f>
        <v>106.88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4.0394551432596515E-3</v>
      </c>
      <c r="P359" s="19">
        <f ca="1">IF('Stock Price'!$I$11="OK",C359/INDEX(C$5:C$1258,'Stock Price'!$I$9)-1,"")</f>
        <v>-0.408679803666811</v>
      </c>
      <c r="Q359" s="19">
        <f ca="1">IF('Stock Price'!$I$11="OK",D359/INDEX(D$5:D$1258,'Stock Price'!$I$9)-1,"")</f>
        <v>-0.28835363350212129</v>
      </c>
      <c r="R359" s="19">
        <f ca="1">IF('Stock Price'!$I$11="OK",E359/INDEX(E$5:E$1258,'Stock Price'!$I$9)-1,"")</f>
        <v>-0.30163207737255704</v>
      </c>
      <c r="S359" s="19">
        <f ca="1">IF('Stock Price'!$I$11="OK",F359/INDEX(F$5:F$1258,'Stock Price'!$I$9)-1,"")</f>
        <v>-0.2905733722060253</v>
      </c>
      <c r="T359" s="19">
        <f ca="1">IF('Stock Price'!$I$11="OK",G359/INDEX(G$5:G$1258,'Stock Price'!$I$9)-1,"")</f>
        <v>-9.744972009122943E-3</v>
      </c>
      <c r="U359" s="19">
        <f ca="1">IF('Stock Price'!$I$11="OK",H359/INDEX(H$5:H$1258,'Stock Price'!$I$9)-1,"")</f>
        <v>0.51578947368421058</v>
      </c>
      <c r="V359" s="19">
        <f ca="1">IF('Stock Price'!$I$11="OK",I359/INDEX(I$5:I$1258,'Stock Price'!$I$9)-1,"")</f>
        <v>0.63423351866560762</v>
      </c>
      <c r="W359" s="19">
        <f ca="1">IF('Stock Price'!$I$11="OK",J359/INDEX(J$5:J$1258,'Stock Price'!$I$9)-1,"")</f>
        <v>-0.70525565552223335</v>
      </c>
      <c r="X359" s="19">
        <f ca="1">IF('Stock Price'!$I$11="OK",K359/INDEX(K$5:K$1258,'Stock Price'!$I$9)-1,"")</f>
        <v>0.29629629629629628</v>
      </c>
      <c r="Y359" s="19">
        <f ca="1">IF('Stock Price'!$I$11="OK",L359/INDEX(L$5:L$1258,'Stock Price'!$I$9)-1,"")</f>
        <v>-0.25719797443935366</v>
      </c>
      <c r="Z359" s="19">
        <f ca="1">IF('Stock Price'!$I$11="OK",M359/INDEX(M$5:M$1258,'Stock Price'!$I$9)-1,"")</f>
        <v>-0.31943657058130914</v>
      </c>
    </row>
    <row r="360" spans="1:26" x14ac:dyDescent="0.2">
      <c r="A360" s="16">
        <f>'Stock Price'!A360</f>
        <v>44991</v>
      </c>
      <c r="B360" s="17">
        <f>'Stock Price'!E360</f>
        <v>111.1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4.3682480037576354E-2</v>
      </c>
      <c r="P360" s="19">
        <f ca="1">IF('Stock Price'!$I$11="OK",C360/INDEX(C$5:C$1258,'Stock Price'!$I$9)-1,"")</f>
        <v>-0.40700375342861261</v>
      </c>
      <c r="Q360" s="19">
        <f ca="1">IF('Stock Price'!$I$11="OK",D360/INDEX(D$5:D$1258,'Stock Price'!$I$9)-1,"")</f>
        <v>-0.2872587929382785</v>
      </c>
      <c r="R360" s="19">
        <f ca="1">IF('Stock Price'!$I$11="OK",E360/INDEX(E$5:E$1258,'Stock Price'!$I$9)-1,"")</f>
        <v>-0.30586338907918598</v>
      </c>
      <c r="S360" s="19">
        <f ca="1">IF('Stock Price'!$I$11="OK",F360/INDEX(F$5:F$1258,'Stock Price'!$I$9)-1,"")</f>
        <v>-0.29504373177842569</v>
      </c>
      <c r="T360" s="19">
        <f ca="1">IF('Stock Price'!$I$11="OK",G360/INDEX(G$5:G$1258,'Stock Price'!$I$9)-1,"")</f>
        <v>-1.0366991499066947E-2</v>
      </c>
      <c r="U360" s="19">
        <f ca="1">IF('Stock Price'!$I$11="OK",H360/INDEX(H$5:H$1258,'Stock Price'!$I$9)-1,"")</f>
        <v>0.51657894736842103</v>
      </c>
      <c r="V360" s="19">
        <f ca="1">IF('Stock Price'!$I$11="OK",I360/INDEX(I$5:I$1258,'Stock Price'!$I$9)-1,"")</f>
        <v>0.63264495631453532</v>
      </c>
      <c r="W360" s="19">
        <f ca="1">IF('Stock Price'!$I$11="OK",J360/INDEX(J$5:J$1258,'Stock Price'!$I$9)-1,"")</f>
        <v>-0.7047650783072309</v>
      </c>
      <c r="X360" s="19">
        <f ca="1">IF('Stock Price'!$I$11="OK",K360/INDEX(K$5:K$1258,'Stock Price'!$I$9)-1,"")</f>
        <v>0.28881406659184439</v>
      </c>
      <c r="Y360" s="19">
        <f ca="1">IF('Stock Price'!$I$11="OK",L360/INDEX(L$5:L$1258,'Stock Price'!$I$9)-1,"")</f>
        <v>-0.24977091873643598</v>
      </c>
      <c r="Z360" s="19">
        <f ca="1">IF('Stock Price'!$I$11="OK",M360/INDEX(M$5:M$1258,'Stock Price'!$I$9)-1,"")</f>
        <v>-0.3228380794557586</v>
      </c>
    </row>
    <row r="361" spans="1:26" x14ac:dyDescent="0.2">
      <c r="A361" s="16">
        <f>'Stock Price'!A361</f>
        <v>44992</v>
      </c>
      <c r="B361" s="17">
        <f>'Stock Price'!E361</f>
        <v>111.27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4.5279473931423064E-2</v>
      </c>
      <c r="P361" s="19">
        <f ca="1">IF('Stock Price'!$I$11="OK",C361/INDEX(C$5:C$1258,'Stock Price'!$I$9)-1,"")</f>
        <v>-0.41356792262162556</v>
      </c>
      <c r="Q361" s="19">
        <f ca="1">IF('Stock Price'!$I$11="OK",D361/INDEX(D$5:D$1258,'Stock Price'!$I$9)-1,"")</f>
        <v>-0.29437525660325714</v>
      </c>
      <c r="R361" s="19">
        <f ca="1">IF('Stock Price'!$I$11="OK",E361/INDEX(E$5:E$1258,'Stock Price'!$I$9)-1,"")</f>
        <v>-0.31432601249244407</v>
      </c>
      <c r="S361" s="19">
        <f ca="1">IF('Stock Price'!$I$11="OK",F361/INDEX(F$5:F$1258,'Stock Price'!$I$9)-1,"")</f>
        <v>-0.31253644314868811</v>
      </c>
      <c r="T361" s="19">
        <f ca="1">IF('Stock Price'!$I$11="OK",G361/INDEX(G$5:G$1258,'Stock Price'!$I$9)-1,"")</f>
        <v>-1.3891768608749633E-2</v>
      </c>
      <c r="U361" s="19">
        <f ca="1">IF('Stock Price'!$I$11="OK",H361/INDEX(H$5:H$1258,'Stock Price'!$I$9)-1,"")</f>
        <v>0.50657894736842102</v>
      </c>
      <c r="V361" s="19">
        <f ca="1">IF('Stock Price'!$I$11="OK",I361/INDEX(I$5:I$1258,'Stock Price'!$I$9)-1,"")</f>
        <v>0.60206513105639403</v>
      </c>
      <c r="W361" s="19">
        <f ca="1">IF('Stock Price'!$I$11="OK",J361/INDEX(J$5:J$1258,'Stock Price'!$I$9)-1,"")</f>
        <v>-0.71247547113924981</v>
      </c>
      <c r="X361" s="19">
        <f ca="1">IF('Stock Price'!$I$11="OK",K361/INDEX(K$5:K$1258,'Stock Price'!$I$9)-1,"")</f>
        <v>0.27197904975682752</v>
      </c>
      <c r="Y361" s="19">
        <f ca="1">IF('Stock Price'!$I$11="OK",L361/INDEX(L$5:L$1258,'Stock Price'!$I$9)-1,"")</f>
        <v>-0.25686038099831199</v>
      </c>
      <c r="Z361" s="19">
        <f ca="1">IF('Stock Price'!$I$11="OK",M361/INDEX(M$5:M$1258,'Stock Price'!$I$9)-1,"")</f>
        <v>-0.3330862151672408</v>
      </c>
    </row>
    <row r="362" spans="1:26" x14ac:dyDescent="0.2">
      <c r="A362" s="16">
        <f>'Stock Price'!A362</f>
        <v>44993</v>
      </c>
      <c r="B362" s="17">
        <f>'Stock Price'!E362</f>
        <v>108.28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1.7191169563175235E-2</v>
      </c>
      <c r="P362" s="19">
        <f ca="1">IF('Stock Price'!$I$11="OK",C362/INDEX(C$5:C$1258,'Stock Price'!$I$9)-1,"")</f>
        <v>-0.4183860256965497</v>
      </c>
      <c r="Q362" s="19">
        <f ca="1">IF('Stock Price'!$I$11="OK",D362/INDEX(D$5:D$1258,'Stock Price'!$I$9)-1,"")</f>
        <v>-0.30132749418365956</v>
      </c>
      <c r="R362" s="19">
        <f ca="1">IF('Stock Price'!$I$11="OK",E362/INDEX(E$5:E$1258,'Stock Price'!$I$9)-1,"")</f>
        <v>-0.32319161797300022</v>
      </c>
      <c r="S362" s="19">
        <f ca="1">IF('Stock Price'!$I$11="OK",F362/INDEX(F$5:F$1258,'Stock Price'!$I$9)-1,"")</f>
        <v>-0.31992225461613222</v>
      </c>
      <c r="T362" s="19">
        <f ca="1">IF('Stock Price'!$I$11="OK",G362/INDEX(G$5:G$1258,'Stock Price'!$I$9)-1,"")</f>
        <v>-2.0733982998133893E-2</v>
      </c>
      <c r="U362" s="19">
        <f ca="1">IF('Stock Price'!$I$11="OK",H362/INDEX(H$5:H$1258,'Stock Price'!$I$9)-1,"")</f>
        <v>0.53868421052631565</v>
      </c>
      <c r="V362" s="19">
        <f ca="1">IF('Stock Price'!$I$11="OK",I362/INDEX(I$5:I$1258,'Stock Price'!$I$9)-1,"")</f>
        <v>0.59332803812549639</v>
      </c>
      <c r="W362" s="19">
        <f ca="1">IF('Stock Price'!$I$11="OK",J362/INDEX(J$5:J$1258,'Stock Price'!$I$9)-1,"")</f>
        <v>-0.71070754193046759</v>
      </c>
      <c r="X362" s="19">
        <f ca="1">IF('Stock Price'!$I$11="OK",K362/INDEX(K$5:K$1258,'Stock Price'!$I$9)-1,"")</f>
        <v>0.25869809203142546</v>
      </c>
      <c r="Y362" s="19">
        <f ca="1">IF('Stock Price'!$I$11="OK",L362/INDEX(L$5:L$1258,'Stock Price'!$I$9)-1,"")</f>
        <v>-0.26231010368941399</v>
      </c>
      <c r="Z362" s="19">
        <f ca="1">IF('Stock Price'!$I$11="OK",M362/INDEX(M$5:M$1258,'Stock Price'!$I$9)-1,"")</f>
        <v>-0.3476080415158519</v>
      </c>
    </row>
    <row r="363" spans="1:26" x14ac:dyDescent="0.2">
      <c r="A363" s="16">
        <f>'Stock Price'!A363</f>
        <v>44994</v>
      </c>
      <c r="B363" s="17">
        <f>'Stock Price'!E363</f>
        <v>107.6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1.0803193987787507E-2</v>
      </c>
      <c r="P363" s="19">
        <f ca="1">IF('Stock Price'!$I$11="OK",C363/INDEX(C$5:C$1258,'Stock Price'!$I$9)-1,"")</f>
        <v>-0.44115057023242377</v>
      </c>
      <c r="Q363" s="19">
        <f ca="1">IF('Stock Price'!$I$11="OK",D363/INDEX(D$5:D$1258,'Stock Price'!$I$9)-1,"")</f>
        <v>-0.30286081839332146</v>
      </c>
      <c r="R363" s="19">
        <f ca="1">IF('Stock Price'!$I$11="OK",E363/INDEX(E$5:E$1258,'Stock Price'!$I$9)-1,"")</f>
        <v>-0.32500503727584129</v>
      </c>
      <c r="S363" s="19">
        <f ca="1">IF('Stock Price'!$I$11="OK",F363/INDEX(F$5:F$1258,'Stock Price'!$I$9)-1,"")</f>
        <v>-0.317201166180758</v>
      </c>
      <c r="T363" s="19">
        <f ca="1">IF('Stock Price'!$I$11="OK",G363/INDEX(G$5:G$1258,'Stock Price'!$I$9)-1,"")</f>
        <v>-2.4466099937798025E-2</v>
      </c>
      <c r="U363" s="19">
        <f ca="1">IF('Stock Price'!$I$11="OK",H363/INDEX(H$5:H$1258,'Stock Price'!$I$9)-1,"")</f>
        <v>0.526842105263158</v>
      </c>
      <c r="V363" s="19">
        <f ca="1">IF('Stock Price'!$I$11="OK",I363/INDEX(I$5:I$1258,'Stock Price'!$I$9)-1,"")</f>
        <v>0.56711675933280392</v>
      </c>
      <c r="W363" s="19">
        <f ca="1">IF('Stock Price'!$I$11="OK",J363/INDEX(J$5:J$1258,'Stock Price'!$I$9)-1,"")</f>
        <v>-0.70671813099337255</v>
      </c>
      <c r="X363" s="19">
        <f ca="1">IF('Stock Price'!$I$11="OK",K363/INDEX(K$5:K$1258,'Stock Price'!$I$9)-1,"")</f>
        <v>0.24410774410774416</v>
      </c>
      <c r="Y363" s="19">
        <f ca="1">IF('Stock Price'!$I$11="OK",L363/INDEX(L$5:L$1258,'Stock Price'!$I$9)-1,"")</f>
        <v>-0.27060525681215331</v>
      </c>
      <c r="Z363" s="19">
        <f ca="1">IF('Stock Price'!$I$11="OK",M363/INDEX(M$5:M$1258,'Stock Price'!$I$9)-1,"")</f>
        <v>-0.35742008634599454</v>
      </c>
    </row>
    <row r="364" spans="1:26" x14ac:dyDescent="0.2">
      <c r="A364" s="16">
        <f>'Stock Price'!A364</f>
        <v>44995</v>
      </c>
      <c r="B364" s="17">
        <f>'Stock Price'!E364</f>
        <v>107.69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1.1648661343353739E-2</v>
      </c>
      <c r="P364" s="19">
        <f ca="1">IF('Stock Price'!$I$11="OK",C364/INDEX(C$5:C$1258,'Stock Price'!$I$9)-1,"")</f>
        <v>-0.43668182474375627</v>
      </c>
      <c r="Q364" s="19">
        <f ca="1">IF('Stock Price'!$I$11="OK",D364/INDEX(D$5:D$1258,'Stock Price'!$I$9)-1,"")</f>
        <v>-0.28922950595319563</v>
      </c>
      <c r="R364" s="19">
        <f ca="1">IF('Stock Price'!$I$11="OK",E364/INDEX(E$5:E$1258,'Stock Price'!$I$9)-1,"")</f>
        <v>-0.32500503727584129</v>
      </c>
      <c r="S364" s="19">
        <f ca="1">IF('Stock Price'!$I$11="OK",F364/INDEX(F$5:F$1258,'Stock Price'!$I$9)-1,"")</f>
        <v>-0.30515063168124401</v>
      </c>
      <c r="T364" s="19">
        <f ca="1">IF('Stock Price'!$I$11="OK",G364/INDEX(G$5:G$1258,'Stock Price'!$I$9)-1,"")</f>
        <v>-1.969728384822711E-2</v>
      </c>
      <c r="U364" s="19">
        <f ca="1">IF('Stock Price'!$I$11="OK",H364/INDEX(H$5:H$1258,'Stock Price'!$I$9)-1,"")</f>
        <v>0.51842105263157912</v>
      </c>
      <c r="V364" s="19">
        <f ca="1">IF('Stock Price'!$I$11="OK",I364/INDEX(I$5:I$1258,'Stock Price'!$I$9)-1,"")</f>
        <v>0.5643367752184274</v>
      </c>
      <c r="W364" s="19">
        <f ca="1">IF('Stock Price'!$I$11="OK",J364/INDEX(J$5:J$1258,'Stock Price'!$I$9)-1,"")</f>
        <v>-0.70841201081121108</v>
      </c>
      <c r="X364" s="19">
        <f ca="1">IF('Stock Price'!$I$11="OK",K364/INDEX(K$5:K$1258,'Stock Price'!$I$9)-1,"")</f>
        <v>0.22914328469884016</v>
      </c>
      <c r="Y364" s="19">
        <f ca="1">IF('Stock Price'!$I$11="OK",L364/INDEX(L$5:L$1258,'Stock Price'!$I$9)-1,"")</f>
        <v>-0.26882083433807558</v>
      </c>
      <c r="Z364" s="19">
        <f ca="1">IF('Stock Price'!$I$11="OK",M364/INDEX(M$5:M$1258,'Stock Price'!$I$9)-1,"")</f>
        <v>-0.34712834154637828</v>
      </c>
    </row>
    <row r="365" spans="1:26" x14ac:dyDescent="0.2">
      <c r="A365" s="16">
        <f>'Stock Price'!A365</f>
        <v>44998</v>
      </c>
      <c r="B365" s="17">
        <f>'Stock Price'!E365</f>
        <v>105.73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-6.7637388445279667E-3</v>
      </c>
      <c r="P365" s="19">
        <f ca="1">IF('Stock Price'!$I$11="OK",C365/INDEX(C$5:C$1258,'Stock Price'!$I$9)-1,"")</f>
        <v>-0.43011765555074344</v>
      </c>
      <c r="Q365" s="19">
        <f ca="1">IF('Stock Price'!$I$11="OK",D365/INDEX(D$5:D$1258,'Stock Price'!$I$9)-1,"")</f>
        <v>-0.29245928561653212</v>
      </c>
      <c r="R365" s="19">
        <f ca="1">IF('Stock Price'!$I$11="OK",E365/INDEX(E$5:E$1258,'Stock Price'!$I$9)-1,"")</f>
        <v>-0.32460205520854324</v>
      </c>
      <c r="S365" s="19">
        <f ca="1">IF('Stock Price'!$I$11="OK",F365/INDEX(F$5:F$1258,'Stock Price'!$I$9)-1,"")</f>
        <v>-0.29348882410106902</v>
      </c>
      <c r="T365" s="19">
        <f ca="1">IF('Stock Price'!$I$11="OK",G365/INDEX(G$5:G$1258,'Stock Price'!$I$9)-1,"")</f>
        <v>-2.4880779597760694E-2</v>
      </c>
      <c r="U365" s="19">
        <f ca="1">IF('Stock Price'!$I$11="OK",H365/INDEX(H$5:H$1258,'Stock Price'!$I$9)-1,"")</f>
        <v>0.47526315789473683</v>
      </c>
      <c r="V365" s="19">
        <f ca="1">IF('Stock Price'!$I$11="OK",I365/INDEX(I$5:I$1258,'Stock Price'!$I$9)-1,"")</f>
        <v>0.58300238284352668</v>
      </c>
      <c r="W365" s="19">
        <f ca="1">IF('Stock Price'!$I$11="OK",J365/INDEX(J$5:J$1258,'Stock Price'!$I$9)-1,"")</f>
        <v>-0.69964641415824347</v>
      </c>
      <c r="X365" s="19">
        <f ca="1">IF('Stock Price'!$I$11="OK",K365/INDEX(K$5:K$1258,'Stock Price'!$I$9)-1,"")</f>
        <v>0.23456790123456783</v>
      </c>
      <c r="Y365" s="19">
        <f ca="1">IF('Stock Price'!$I$11="OK",L365/INDEX(L$5:L$1258,'Stock Price'!$I$9)-1,"")</f>
        <v>-0.26182782734506871</v>
      </c>
      <c r="Z365" s="19">
        <f ca="1">IF('Stock Price'!$I$11="OK",M365/INDEX(M$5:M$1258,'Stock Price'!$I$9)-1,"")</f>
        <v>-0.3373599058043697</v>
      </c>
    </row>
    <row r="366" spans="1:26" x14ac:dyDescent="0.2">
      <c r="A366" s="16">
        <f>'Stock Price'!A366</f>
        <v>44999</v>
      </c>
      <c r="B366" s="17">
        <f>'Stock Price'!E366</f>
        <v>106.97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4.8849224988256612E-3</v>
      </c>
      <c r="P366" s="19">
        <f ca="1">IF('Stock Price'!$I$11="OK",C366/INDEX(C$5:C$1258,'Stock Price'!$I$9)-1,"")</f>
        <v>-0.42676627688754143</v>
      </c>
      <c r="Q366" s="19">
        <f ca="1">IF('Stock Price'!$I$11="OK",D366/INDEX(D$5:D$1258,'Stock Price'!$I$9)-1,"")</f>
        <v>-0.28156562200629531</v>
      </c>
      <c r="R366" s="19">
        <f ca="1">IF('Stock Price'!$I$11="OK",E366/INDEX(E$5:E$1258,'Stock Price'!$I$9)-1,"")</f>
        <v>-0.32057223453556327</v>
      </c>
      <c r="S366" s="19">
        <f ca="1">IF('Stock Price'!$I$11="OK",F366/INDEX(F$5:F$1258,'Stock Price'!$I$9)-1,"")</f>
        <v>-0.29310009718172991</v>
      </c>
      <c r="T366" s="19">
        <f ca="1">IF('Stock Price'!$I$11="OK",G366/INDEX(G$5:G$1258,'Stock Price'!$I$9)-1,"")</f>
        <v>-7.6715737093094871E-3</v>
      </c>
      <c r="U366" s="19">
        <f ca="1">IF('Stock Price'!$I$11="OK",H366/INDEX(H$5:H$1258,'Stock Price'!$I$9)-1,"")</f>
        <v>0.50578947368421057</v>
      </c>
      <c r="V366" s="19">
        <f ca="1">IF('Stock Price'!$I$11="OK",I366/INDEX(I$5:I$1258,'Stock Price'!$I$9)-1,"")</f>
        <v>0.58459094519459875</v>
      </c>
      <c r="W366" s="19">
        <f ca="1">IF('Stock Price'!$I$11="OK",J366/INDEX(J$5:J$1258,'Stock Price'!$I$9)-1,"")</f>
        <v>-0.69725832130030729</v>
      </c>
      <c r="X366" s="19">
        <f ca="1">IF('Stock Price'!$I$11="OK",K366/INDEX(K$5:K$1258,'Stock Price'!$I$9)-1,"")</f>
        <v>0.24335952113729897</v>
      </c>
      <c r="Y366" s="19">
        <f ca="1">IF('Stock Price'!$I$11="OK",L366/INDEX(L$5:L$1258,'Stock Price'!$I$9)-1,"")</f>
        <v>-0.25768025078369905</v>
      </c>
      <c r="Z366" s="19">
        <f ca="1">IF('Stock Price'!$I$11="OK",M366/INDEX(M$5:M$1258,'Stock Price'!$I$9)-1,"")</f>
        <v>-0.32907417905891589</v>
      </c>
    </row>
    <row r="367" spans="1:26" x14ac:dyDescent="0.2">
      <c r="A367" s="16">
        <f>'Stock Price'!A367</f>
        <v>45000</v>
      </c>
      <c r="B367" s="17">
        <f>'Stock Price'!E367</f>
        <v>107.63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1.1085016439642992E-2</v>
      </c>
      <c r="P367" s="19">
        <f ca="1">IF('Stock Price'!$I$11="OK",C367/INDEX(C$5:C$1258,'Stock Price'!$I$9)-1,"")</f>
        <v>-0.42669626100765123</v>
      </c>
      <c r="Q367" s="19">
        <f ca="1">IF('Stock Price'!$I$11="OK",D367/INDEX(D$5:D$1258,'Stock Price'!$I$9)-1,"")</f>
        <v>-0.30017791159162455</v>
      </c>
      <c r="R367" s="19">
        <f ca="1">IF('Stock Price'!$I$11="OK",E367/INDEX(E$5:E$1258,'Stock Price'!$I$9)-1,"")</f>
        <v>-0.3233931090066493</v>
      </c>
      <c r="S367" s="19">
        <f ca="1">IF('Stock Price'!$I$11="OK",F367/INDEX(F$5:F$1258,'Stock Price'!$I$9)-1,"")</f>
        <v>-0.30106899902818274</v>
      </c>
      <c r="T367" s="19">
        <f ca="1">IF('Stock Price'!$I$11="OK",G367/INDEX(G$5:G$1258,'Stock Price'!$I$9)-1,"")</f>
        <v>-1.3684428778768298E-2</v>
      </c>
      <c r="U367" s="19">
        <f ca="1">IF('Stock Price'!$I$11="OK",H367/INDEX(H$5:H$1258,'Stock Price'!$I$9)-1,"")</f>
        <v>0.46710526315789469</v>
      </c>
      <c r="V367" s="19">
        <f ca="1">IF('Stock Price'!$I$11="OK",I367/INDEX(I$5:I$1258,'Stock Price'!$I$9)-1,"")</f>
        <v>0.59968228752978558</v>
      </c>
      <c r="W367" s="19">
        <f ca="1">IF('Stock Price'!$I$11="OK",J367/INDEX(J$5:J$1258,'Stock Price'!$I$9)-1,"")</f>
        <v>-0.69503683957199447</v>
      </c>
      <c r="X367" s="19">
        <f ca="1">IF('Stock Price'!$I$11="OK",K367/INDEX(K$5:K$1258,'Stock Price'!$I$9)-1,"")</f>
        <v>0.26225215114104006</v>
      </c>
      <c r="Y367" s="19">
        <f ca="1">IF('Stock Price'!$I$11="OK",L367/INDEX(L$5:L$1258,'Stock Price'!$I$9)-1,"")</f>
        <v>-0.25560646250301422</v>
      </c>
      <c r="Z367" s="19">
        <f ca="1">IF('Stock Price'!$I$11="OK",M367/INDEX(M$5:M$1258,'Stock Price'!$I$9)-1,"")</f>
        <v>-0.32815838820810261</v>
      </c>
    </row>
    <row r="368" spans="1:26" x14ac:dyDescent="0.2">
      <c r="A368" s="16">
        <f>'Stock Price'!A368</f>
        <v>45001</v>
      </c>
      <c r="B368" s="17">
        <f>'Stock Price'!E368</f>
        <v>107.34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8.3607327383747876E-3</v>
      </c>
      <c r="P368" s="19">
        <f ca="1">IF('Stock Price'!$I$11="OK",C368/INDEX(C$5:C$1258,'Stock Price'!$I$9)-1,"")</f>
        <v>-0.42194745199942252</v>
      </c>
      <c r="Q368" s="19">
        <f ca="1">IF('Stock Price'!$I$11="OK",D368/INDEX(D$5:D$1258,'Stock Price'!$I$9)-1,"")</f>
        <v>-0.28802518133296839</v>
      </c>
      <c r="R368" s="19">
        <f ca="1">IF('Stock Price'!$I$11="OK",E368/INDEX(E$5:E$1258,'Stock Price'!$I$9)-1,"")</f>
        <v>-0.31855732419907312</v>
      </c>
      <c r="S368" s="19">
        <f ca="1">IF('Stock Price'!$I$11="OK",F368/INDEX(F$5:F$1258,'Stock Price'!$I$9)-1,"")</f>
        <v>-0.31933916423712339</v>
      </c>
      <c r="T368" s="19">
        <f ca="1">IF('Stock Price'!$I$11="OK",G368/INDEX(G$5:G$1258,'Stock Price'!$I$9)-1,"")</f>
        <v>-2.2807381297946794E-3</v>
      </c>
      <c r="U368" s="19">
        <f ca="1">IF('Stock Price'!$I$11="OK",H368/INDEX(H$5:H$1258,'Stock Price'!$I$9)-1,"")</f>
        <v>0.4676315789473684</v>
      </c>
      <c r="V368" s="19">
        <f ca="1">IF('Stock Price'!$I$11="OK",I368/INDEX(I$5:I$1258,'Stock Price'!$I$9)-1,"")</f>
        <v>0.60325655281969803</v>
      </c>
      <c r="W368" s="19">
        <f ca="1">IF('Stock Price'!$I$11="OK",J368/INDEX(J$5:J$1258,'Stock Price'!$I$9)-1,"")</f>
        <v>-0.69498130252878676</v>
      </c>
      <c r="X368" s="19">
        <f ca="1">IF('Stock Price'!$I$11="OK",K368/INDEX(K$5:K$1258,'Stock Price'!$I$9)-1,"")</f>
        <v>0.25514403292181065</v>
      </c>
      <c r="Y368" s="19">
        <f ca="1">IF('Stock Price'!$I$11="OK",L368/INDEX(L$5:L$1258,'Stock Price'!$I$9)-1,"")</f>
        <v>-0.2571497468049192</v>
      </c>
      <c r="Z368" s="19">
        <f ca="1">IF('Stock Price'!$I$11="OK",M368/INDEX(M$5:M$1258,'Stock Price'!$I$9)-1,"")</f>
        <v>-0.3227508612794906</v>
      </c>
    </row>
    <row r="369" spans="1:26" x14ac:dyDescent="0.2">
      <c r="A369" s="16">
        <f>'Stock Price'!A369</f>
        <v>45002</v>
      </c>
      <c r="B369" s="17">
        <f>'Stock Price'!E369</f>
        <v>104.1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-2.2076092062001007E-2</v>
      </c>
      <c r="P369" s="19">
        <f ca="1">IF('Stock Price'!$I$11="OK",C369/INDEX(C$5:C$1258,'Stock Price'!$I$9)-1,"")</f>
        <v>-0.42606756171502802</v>
      </c>
      <c r="Q369" s="19">
        <f ca="1">IF('Stock Price'!$I$11="OK",D369/INDEX(D$5:D$1258,'Stock Price'!$I$9)-1,"")</f>
        <v>-0.28531545093745725</v>
      </c>
      <c r="R369" s="19">
        <f ca="1">IF('Stock Price'!$I$11="OK",E369/INDEX(E$5:E$1258,'Stock Price'!$I$9)-1,"")</f>
        <v>-0.31352004835784808</v>
      </c>
      <c r="S369" s="19">
        <f ca="1">IF('Stock Price'!$I$11="OK",F369/INDEX(F$5:F$1258,'Stock Price'!$I$9)-1,"")</f>
        <v>-0.31836734693877555</v>
      </c>
      <c r="T369" s="19">
        <f ca="1">IF('Stock Price'!$I$11="OK",G369/INDEX(G$5:G$1258,'Stock Price'!$I$9)-1,"")</f>
        <v>-1.0159651669085501E-2</v>
      </c>
      <c r="U369" s="19">
        <f ca="1">IF('Stock Price'!$I$11="OK",H369/INDEX(H$5:H$1258,'Stock Price'!$I$9)-1,"")</f>
        <v>0.46868421052631581</v>
      </c>
      <c r="V369" s="19">
        <f ca="1">IF('Stock Price'!$I$11="OK",I369/INDEX(I$5:I$1258,'Stock Price'!$I$9)-1,"")</f>
        <v>0.59253375694996047</v>
      </c>
      <c r="W369" s="19">
        <f ca="1">IF('Stock Price'!$I$11="OK",J369/INDEX(J$5:J$1258,'Stock Price'!$I$9)-1,"")</f>
        <v>-0.69530526861416564</v>
      </c>
      <c r="X369" s="19">
        <f ca="1">IF('Stock Price'!$I$11="OK",K369/INDEX(K$5:K$1258,'Stock Price'!$I$9)-1,"")</f>
        <v>0.24448185559296665</v>
      </c>
      <c r="Y369" s="19">
        <f ca="1">IF('Stock Price'!$I$11="OK",L369/INDEX(L$5:L$1258,'Stock Price'!$I$9)-1,"")</f>
        <v>-0.26510730648661684</v>
      </c>
      <c r="Z369" s="19">
        <f ca="1">IF('Stock Price'!$I$11="OK",M369/INDEX(M$5:M$1258,'Stock Price'!$I$9)-1,"")</f>
        <v>-0.32746064279795906</v>
      </c>
    </row>
    <row r="370" spans="1:26" x14ac:dyDescent="0.2">
      <c r="A370" s="16">
        <f>'Stock Price'!A370</f>
        <v>45005</v>
      </c>
      <c r="B370" s="17">
        <f>'Stock Price'!E370</f>
        <v>105.85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-5.6364490371066944E-3</v>
      </c>
      <c r="P370" s="19">
        <f ca="1">IF('Stock Price'!$I$11="OK",C370/INDEX(C$5:C$1258,'Stock Price'!$I$9)-1,"")</f>
        <v>-0.41740869063086472</v>
      </c>
      <c r="Q370" s="19">
        <f ca="1">IF('Stock Price'!$I$11="OK",D370/INDEX(D$5:D$1258,'Stock Price'!$I$9)-1,"")</f>
        <v>-0.27127412070617218</v>
      </c>
      <c r="R370" s="19">
        <f ca="1">IF('Stock Price'!$I$11="OK",E370/INDEX(E$5:E$1258,'Stock Price'!$I$9)-1,"")</f>
        <v>-0.29619181946403395</v>
      </c>
      <c r="S370" s="19">
        <f ca="1">IF('Stock Price'!$I$11="OK",F370/INDEX(F$5:F$1258,'Stock Price'!$I$9)-1,"")</f>
        <v>-0.3170068027210885</v>
      </c>
      <c r="T370" s="19">
        <f ca="1">IF('Stock Price'!$I$11="OK",G370/INDEX(G$5:G$1258,'Stock Price'!$I$9)-1,"")</f>
        <v>-4.7688160895706933E-3</v>
      </c>
      <c r="U370" s="19">
        <f ca="1">IF('Stock Price'!$I$11="OK",H370/INDEX(H$5:H$1258,'Stock Price'!$I$9)-1,"")</f>
        <v>0.47447368421052638</v>
      </c>
      <c r="V370" s="19">
        <f ca="1">IF('Stock Price'!$I$11="OK",I370/INDEX(I$5:I$1258,'Stock Price'!$I$9)-1,"")</f>
        <v>0.62073073868149331</v>
      </c>
      <c r="W370" s="19">
        <f ca="1">IF('Stock Price'!$I$11="OK",J370/INDEX(J$5:J$1258,'Stock Price'!$I$9)-1,"")</f>
        <v>-0.69121403976452289</v>
      </c>
      <c r="X370" s="19">
        <f ca="1">IF('Stock Price'!$I$11="OK",K370/INDEX(K$5:K$1258,'Stock Price'!$I$9)-1,"")</f>
        <v>0.2577628133183687</v>
      </c>
      <c r="Y370" s="19">
        <f ca="1">IF('Stock Price'!$I$11="OK",L370/INDEX(L$5:L$1258,'Stock Price'!$I$9)-1,"")</f>
        <v>-0.25782493368700266</v>
      </c>
      <c r="Z370" s="19">
        <f ca="1">IF('Stock Price'!$I$11="OK",M370/INDEX(M$5:M$1258,'Stock Price'!$I$9)-1,"")</f>
        <v>-0.31917491605250536</v>
      </c>
    </row>
    <row r="371" spans="1:26" x14ac:dyDescent="0.2">
      <c r="A371" s="16">
        <f>'Stock Price'!A371</f>
        <v>45006</v>
      </c>
      <c r="B371" s="17">
        <f>'Stock Price'!E371</f>
        <v>105.54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-8.5486143729449626E-3</v>
      </c>
      <c r="P371" s="19">
        <f ca="1">IF('Stock Price'!$I$11="OK",C371/INDEX(C$5:C$1258,'Stock Price'!$I$9)-1,"")</f>
        <v>-0.41573264039266633</v>
      </c>
      <c r="Q371" s="19">
        <f ca="1">IF('Stock Price'!$I$11="OK",D371/INDEX(D$5:D$1258,'Stock Price'!$I$9)-1,"")</f>
        <v>-0.26240591213904474</v>
      </c>
      <c r="R371" s="19">
        <f ca="1">IF('Stock Price'!$I$11="OK",E371/INDEX(E$5:E$1258,'Stock Price'!$I$9)-1,"")</f>
        <v>-0.29377392706024597</v>
      </c>
      <c r="S371" s="19">
        <f ca="1">IF('Stock Price'!$I$11="OK",F371/INDEX(F$5:F$1258,'Stock Price'!$I$9)-1,"")</f>
        <v>-0.30767735665694862</v>
      </c>
      <c r="T371" s="19">
        <f ca="1">IF('Stock Price'!$I$11="OK",G371/INDEX(G$5:G$1258,'Stock Price'!$I$9)-1,"")</f>
        <v>6.8422143893842602E-3</v>
      </c>
      <c r="U371" s="19">
        <f ca="1">IF('Stock Price'!$I$11="OK",H371/INDEX(H$5:H$1258,'Stock Price'!$I$9)-1,"")</f>
        <v>0.50473684210526315</v>
      </c>
      <c r="V371" s="19">
        <f ca="1">IF('Stock Price'!$I$11="OK",I371/INDEX(I$5:I$1258,'Stock Price'!$I$9)-1,"")</f>
        <v>0.61477362986497219</v>
      </c>
      <c r="W371" s="19">
        <f ca="1">IF('Stock Price'!$I$11="OK",J371/INDEX(J$5:J$1258,'Stock Price'!$I$9)-1,"")</f>
        <v>-0.69354659557925136</v>
      </c>
      <c r="X371" s="19">
        <f ca="1">IF('Stock Price'!$I$11="OK",K371/INDEX(K$5:K$1258,'Stock Price'!$I$9)-1,"")</f>
        <v>0.26281331836887389</v>
      </c>
      <c r="Y371" s="19">
        <f ca="1">IF('Stock Price'!$I$11="OK",L371/INDEX(L$5:L$1258,'Stock Price'!$I$9)-1,"")</f>
        <v>-0.25782493368700266</v>
      </c>
      <c r="Z371" s="19">
        <f ca="1">IF('Stock Price'!$I$11="OK",M371/INDEX(M$5:M$1258,'Stock Price'!$I$9)-1,"")</f>
        <v>-0.31634032532379741</v>
      </c>
    </row>
    <row r="372" spans="1:26" x14ac:dyDescent="0.2">
      <c r="A372" s="16">
        <f>'Stock Price'!A372</f>
        <v>45007</v>
      </c>
      <c r="B372" s="17">
        <f>'Stock Price'!E372</f>
        <v>104.4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-1.9257867543447604E-2</v>
      </c>
      <c r="P372" s="19">
        <f ca="1">IF('Stock Price'!$I$11="OK",C372/INDEX(C$5:C$1258,'Stock Price'!$I$9)-1,"")</f>
        <v>-0.42767359607333622</v>
      </c>
      <c r="Q372" s="19">
        <f ca="1">IF('Stock Price'!$I$11="OK",D372/INDEX(D$5:D$1258,'Stock Price'!$I$9)-1,"")</f>
        <v>-0.2579170658272889</v>
      </c>
      <c r="R372" s="19">
        <f ca="1">IF('Stock Price'!$I$11="OK",E372/INDEX(E$5:E$1258,'Stock Price'!$I$9)-1,"")</f>
        <v>-0.29679629256498097</v>
      </c>
      <c r="S372" s="19">
        <f ca="1">IF('Stock Price'!$I$11="OK",F372/INDEX(F$5:F$1258,'Stock Price'!$I$9)-1,"")</f>
        <v>-0.31370262390670556</v>
      </c>
      <c r="T372" s="19">
        <f ca="1">IF('Stock Price'!$I$11="OK",G372/INDEX(G$5:G$1258,'Stock Price'!$I$9)-1,"")</f>
        <v>1.1611030478954953E-2</v>
      </c>
      <c r="U372" s="19">
        <f ca="1">IF('Stock Price'!$I$11="OK",H372/INDEX(H$5:H$1258,'Stock Price'!$I$9)-1,"")</f>
        <v>0.49026315789473696</v>
      </c>
      <c r="V372" s="19">
        <f ca="1">IF('Stock Price'!$I$11="OK",I372/INDEX(I$5:I$1258,'Stock Price'!$I$9)-1,"")</f>
        <v>0.58895949166004757</v>
      </c>
      <c r="W372" s="19">
        <f ca="1">IF('Stock Price'!$I$11="OK",J372/INDEX(J$5:J$1258,'Stock Price'!$I$9)-1,"")</f>
        <v>-0.69364841349179895</v>
      </c>
      <c r="X372" s="19">
        <f ca="1">IF('Stock Price'!$I$11="OK",K372/INDEX(K$5:K$1258,'Stock Price'!$I$9)-1,"")</f>
        <v>0.2577628133183687</v>
      </c>
      <c r="Y372" s="19">
        <f ca="1">IF('Stock Price'!$I$11="OK",L372/INDEX(L$5:L$1258,'Stock Price'!$I$9)-1,"")</f>
        <v>-0.2715215818664094</v>
      </c>
      <c r="Z372" s="19">
        <f ca="1">IF('Stock Price'!$I$11="OK",M372/INDEX(M$5:M$1258,'Stock Price'!$I$9)-1,"")</f>
        <v>-0.32985914264532734</v>
      </c>
    </row>
    <row r="373" spans="1:26" x14ac:dyDescent="0.2">
      <c r="A373" s="16">
        <f>'Stock Price'!A373</f>
        <v>45008</v>
      </c>
      <c r="B373" s="17">
        <f>'Stock Price'!E373</f>
        <v>104.23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-2.0854861437294536E-2</v>
      </c>
      <c r="P373" s="19">
        <f ca="1">IF('Stock Price'!$I$11="OK",C373/INDEX(C$5:C$1258,'Stock Price'!$I$9)-1,"")</f>
        <v>-0.42383282806409706</v>
      </c>
      <c r="Q373" s="19">
        <f ca="1">IF('Stock Price'!$I$11="OK",D373/INDEX(D$5:D$1258,'Stock Price'!$I$9)-1,"")</f>
        <v>-0.26766114684549069</v>
      </c>
      <c r="R373" s="19">
        <f ca="1">IF('Stock Price'!$I$11="OK",E373/INDEX(E$5:E$1258,'Stock Price'!$I$9)-1,"")</f>
        <v>-0.2903485794882128</v>
      </c>
      <c r="S373" s="19">
        <f ca="1">IF('Stock Price'!$I$11="OK",F373/INDEX(F$5:F$1258,'Stock Price'!$I$9)-1,"")</f>
        <v>-0.31933916423712339</v>
      </c>
      <c r="T373" s="19">
        <f ca="1">IF('Stock Price'!$I$11="OK",G373/INDEX(G$5:G$1258,'Stock Price'!$I$9)-1,"")</f>
        <v>7.2568940493468848E-2</v>
      </c>
      <c r="U373" s="19">
        <f ca="1">IF('Stock Price'!$I$11="OK",H373/INDEX(H$5:H$1258,'Stock Price'!$I$9)-1,"")</f>
        <v>0.47210526315789458</v>
      </c>
      <c r="V373" s="19">
        <f ca="1">IF('Stock Price'!$I$11="OK",I373/INDEX(I$5:I$1258,'Stock Price'!$I$9)-1,"")</f>
        <v>0.59571088165210484</v>
      </c>
      <c r="W373" s="19">
        <f ca="1">IF('Stock Price'!$I$11="OK",J373/INDEX(J$5:J$1258,'Stock Price'!$I$9)-1,"")</f>
        <v>-0.69210263245584802</v>
      </c>
      <c r="X373" s="19">
        <f ca="1">IF('Stock Price'!$I$11="OK",K373/INDEX(K$5:K$1258,'Stock Price'!$I$9)-1,"")</f>
        <v>0.25289936401047508</v>
      </c>
      <c r="Y373" s="19">
        <f ca="1">IF('Stock Price'!$I$11="OK",L373/INDEX(L$5:L$1258,'Stock Price'!$I$9)-1,"")</f>
        <v>-0.27113576079093316</v>
      </c>
      <c r="Z373" s="19">
        <f ca="1">IF('Stock Price'!$I$11="OK",M373/INDEX(M$5:M$1258,'Stock Price'!$I$9)-1,"")</f>
        <v>-0.3227508612794906</v>
      </c>
    </row>
    <row r="374" spans="1:26" x14ac:dyDescent="0.2">
      <c r="A374" s="16">
        <f>'Stock Price'!A374</f>
        <v>45009</v>
      </c>
      <c r="B374" s="17">
        <f>'Stock Price'!E374</f>
        <v>104.8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-1.5500234852043215E-2</v>
      </c>
      <c r="P374" s="19">
        <f ca="1">IF('Stock Price'!$I$11="OK",C374/INDEX(C$5:C$1258,'Stock Price'!$I$9)-1,"")</f>
        <v>-0.41629132380539913</v>
      </c>
      <c r="Q374" s="19">
        <f ca="1">IF('Stock Price'!$I$11="OK",D374/INDEX(D$5:D$1258,'Stock Price'!$I$9)-1,"")</f>
        <v>-0.25167647461338449</v>
      </c>
      <c r="R374" s="19">
        <f ca="1">IF('Stock Price'!$I$11="OK",E374/INDEX(E$5:E$1258,'Stock Price'!$I$9)-1,"")</f>
        <v>-0.30727382631472899</v>
      </c>
      <c r="S374" s="19">
        <f ca="1">IF('Stock Price'!$I$11="OK",F374/INDEX(F$5:F$1258,'Stock Price'!$I$9)-1,"")</f>
        <v>-0.31253644314868811</v>
      </c>
      <c r="T374" s="19">
        <f ca="1">IF('Stock Price'!$I$11="OK",G374/INDEX(G$5:G$1258,'Stock Price'!$I$9)-1,"")</f>
        <v>9.0814845531826727E-2</v>
      </c>
      <c r="U374" s="19">
        <f ca="1">IF('Stock Price'!$I$11="OK",H374/INDEX(H$5:H$1258,'Stock Price'!$I$9)-1,"")</f>
        <v>0.46184210526315783</v>
      </c>
      <c r="V374" s="19">
        <f ca="1">IF('Stock Price'!$I$11="OK",I374/INDEX(I$5:I$1258,'Stock Price'!$I$9)-1,"")</f>
        <v>0.6040508339952344</v>
      </c>
      <c r="W374" s="19">
        <f ca="1">IF('Stock Price'!$I$11="OK",J374/INDEX(J$5:J$1258,'Stock Price'!$I$9)-1,"")</f>
        <v>-0.68887222777592649</v>
      </c>
      <c r="X374" s="19">
        <f ca="1">IF('Stock Price'!$I$11="OK",K374/INDEX(K$5:K$1258,'Stock Price'!$I$9)-1,"")</f>
        <v>0.265993265993266</v>
      </c>
      <c r="Y374" s="19">
        <f ca="1">IF('Stock Price'!$I$11="OK",L374/INDEX(L$5:L$1258,'Stock Price'!$I$9)-1,"")</f>
        <v>-0.26380516035688439</v>
      </c>
      <c r="Z374" s="19">
        <f ca="1">IF('Stock Price'!$I$11="OK",M374/INDEX(M$5:M$1258,'Stock Price'!$I$9)-1,"")</f>
        <v>-0.31088918930705156</v>
      </c>
    </row>
    <row r="375" spans="1:26" x14ac:dyDescent="0.2">
      <c r="A375" s="16">
        <f>'Stock Price'!A375</f>
        <v>45012</v>
      </c>
      <c r="B375" s="17">
        <f>'Stock Price'!E375</f>
        <v>106.93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4.5091592296853111E-3</v>
      </c>
      <c r="P375" s="19">
        <f ca="1">IF('Stock Price'!$I$11="OK",C375/INDEX(C$5:C$1258,'Stock Price'!$I$9)-1,"")</f>
        <v>-0.36957557384148976</v>
      </c>
      <c r="Q375" s="19">
        <f ca="1">IF('Stock Price'!$I$11="OK",D375/INDEX(D$5:D$1258,'Stock Price'!$I$9)-1,"")</f>
        <v>-0.24815929930203917</v>
      </c>
      <c r="R375" s="19">
        <f ca="1">IF('Stock Price'!$I$11="OK",E375/INDEX(E$5:E$1258,'Stock Price'!$I$9)-1,"")</f>
        <v>-0.29397541809389482</v>
      </c>
      <c r="S375" s="19">
        <f ca="1">IF('Stock Price'!$I$11="OK",F375/INDEX(F$5:F$1258,'Stock Price'!$I$9)-1,"")</f>
        <v>-0.31778425655976672</v>
      </c>
      <c r="T375" s="19">
        <f ca="1">IF('Stock Price'!$I$11="OK",G375/INDEX(G$5:G$1258,'Stock Price'!$I$9)-1,"")</f>
        <v>0.10346257516068835</v>
      </c>
      <c r="U375" s="19">
        <f ca="1">IF('Stock Price'!$I$11="OK",H375/INDEX(H$5:H$1258,'Stock Price'!$I$9)-1,"")</f>
        <v>0.47368421052631571</v>
      </c>
      <c r="V375" s="19">
        <f ca="1">IF('Stock Price'!$I$11="OK",I375/INDEX(I$5:I$1258,'Stock Price'!$I$9)-1,"")</f>
        <v>0.59729944400317714</v>
      </c>
      <c r="W375" s="19">
        <f ca="1">IF('Stock Price'!$I$11="OK",J375/INDEX(J$5:J$1258,'Stock Price'!$I$9)-1,"")</f>
        <v>-0.69028842237772592</v>
      </c>
      <c r="X375" s="19">
        <f ca="1">IF('Stock Price'!$I$11="OK",K375/INDEX(K$5:K$1258,'Stock Price'!$I$9)-1,"")</f>
        <v>0.27328843995510654</v>
      </c>
      <c r="Y375" s="19">
        <f ca="1">IF('Stock Price'!$I$11="OK",L375/INDEX(L$5:L$1258,'Stock Price'!$I$9)-1,"")</f>
        <v>-0.26067036411863986</v>
      </c>
      <c r="Z375" s="19">
        <f ca="1">IF('Stock Price'!$I$11="OK",M375/INDEX(M$5:M$1258,'Stock Price'!$I$9)-1,"")</f>
        <v>-0.31298242553748201</v>
      </c>
    </row>
    <row r="376" spans="1:26" x14ac:dyDescent="0.2">
      <c r="A376" s="16">
        <f>'Stock Price'!A376</f>
        <v>45013</v>
      </c>
      <c r="B376" s="17">
        <f>'Stock Price'!E376</f>
        <v>105.53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-8.6425551902301612E-3</v>
      </c>
      <c r="P376" s="19">
        <f ca="1">IF('Stock Price'!$I$11="OK",C376/INDEX(C$5:C$1258,'Stock Price'!$I$9)-1,"")</f>
        <v>-0.36489678071315135</v>
      </c>
      <c r="Q376" s="19">
        <f ca="1">IF('Stock Price'!$I$11="OK",D376/INDEX(D$5:D$1258,'Stock Price'!$I$9)-1,"")</f>
        <v>-0.2408375530313398</v>
      </c>
      <c r="R376" s="19">
        <f ca="1">IF('Stock Price'!$I$11="OK",E376/INDEX(E$5:E$1258,'Stock Price'!$I$9)-1,"")</f>
        <v>-0.29276647189200078</v>
      </c>
      <c r="S376" s="19">
        <f ca="1">IF('Stock Price'!$I$11="OK",F376/INDEX(F$5:F$1258,'Stock Price'!$I$9)-1,"")</f>
        <v>-0.3220602526724976</v>
      </c>
      <c r="T376" s="19">
        <f ca="1">IF('Stock Price'!$I$11="OK",G376/INDEX(G$5:G$1258,'Stock Price'!$I$9)-1,"")</f>
        <v>0.12357453866887824</v>
      </c>
      <c r="U376" s="19">
        <f ca="1">IF('Stock Price'!$I$11="OK",H376/INDEX(H$5:H$1258,'Stock Price'!$I$9)-1,"")</f>
        <v>0.49657894736842101</v>
      </c>
      <c r="V376" s="19">
        <f ca="1">IF('Stock Price'!$I$11="OK",I376/INDEX(I$5:I$1258,'Stock Price'!$I$9)-1,"")</f>
        <v>0.58816521048451165</v>
      </c>
      <c r="W376" s="19">
        <f ca="1">IF('Stock Price'!$I$11="OK",J376/INDEX(J$5:J$1258,'Stock Price'!$I$9)-1,"")</f>
        <v>-0.68746528934799511</v>
      </c>
      <c r="X376" s="19">
        <f ca="1">IF('Stock Price'!$I$11="OK",K376/INDEX(K$5:K$1258,'Stock Price'!$I$9)-1,"")</f>
        <v>0.27572016460905346</v>
      </c>
      <c r="Y376" s="19">
        <f ca="1">IF('Stock Price'!$I$11="OK",L376/INDEX(L$5:L$1258,'Stock Price'!$I$9)-1,"")</f>
        <v>-0.26780805401495056</v>
      </c>
      <c r="Z376" s="19">
        <f ca="1">IF('Stock Price'!$I$11="OK",M376/INDEX(M$5:M$1258,'Stock Price'!$I$9)-1,"")</f>
        <v>-0.30988618027997039</v>
      </c>
    </row>
    <row r="377" spans="1:26" x14ac:dyDescent="0.2">
      <c r="A377" s="16">
        <f>'Stock Price'!A377</f>
        <v>45014</v>
      </c>
      <c r="B377" s="17">
        <f>'Stock Price'!E377</f>
        <v>104.92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-1.4372945044621943E-2</v>
      </c>
      <c r="P377" s="19">
        <f ca="1">IF('Stock Price'!$I$11="OK",C377/INDEX(C$5:C$1258,'Stock Price'!$I$9)-1,"")</f>
        <v>-0.37020355132091809</v>
      </c>
      <c r="Q377" s="19">
        <f ca="1">IF('Stock Price'!$I$11="OK",D377/INDEX(D$5:D$1258,'Stock Price'!$I$9)-1,"")</f>
        <v>-0.25386615574107019</v>
      </c>
      <c r="R377" s="19">
        <f ca="1">IF('Stock Price'!$I$11="OK",E377/INDEX(E$5:E$1258,'Stock Price'!$I$9)-1,"")</f>
        <v>-0.29357243602659677</v>
      </c>
      <c r="S377" s="19">
        <f ca="1">IF('Stock Price'!$I$11="OK",F377/INDEX(F$5:F$1258,'Stock Price'!$I$9)-1,"")</f>
        <v>-0.31098153547133134</v>
      </c>
      <c r="T377" s="19">
        <f ca="1">IF('Stock Price'!$I$11="OK",G377/INDEX(G$5:G$1258,'Stock Price'!$I$9)-1,"")</f>
        <v>0.12896537424839316</v>
      </c>
      <c r="U377" s="19">
        <f ca="1">IF('Stock Price'!$I$11="OK",H377/INDEX(H$5:H$1258,'Stock Price'!$I$9)-1,"")</f>
        <v>0.50710526315789473</v>
      </c>
      <c r="V377" s="19">
        <f ca="1">IF('Stock Price'!$I$11="OK",I377/INDEX(I$5:I$1258,'Stock Price'!$I$9)-1,"")</f>
        <v>0.59849086576648136</v>
      </c>
      <c r="W377" s="19">
        <f ca="1">IF('Stock Price'!$I$11="OK",J377/INDEX(J$5:J$1258,'Stock Price'!$I$9)-1,"")</f>
        <v>-0.68911288829649375</v>
      </c>
      <c r="X377" s="19">
        <f ca="1">IF('Stock Price'!$I$11="OK",K377/INDEX(K$5:K$1258,'Stock Price'!$I$9)-1,"")</f>
        <v>0.27534605312383098</v>
      </c>
      <c r="Y377" s="19">
        <f ca="1">IF('Stock Price'!$I$11="OK",L377/INDEX(L$5:L$1258,'Stock Price'!$I$9)-1,"")</f>
        <v>-0.2606221364842054</v>
      </c>
      <c r="Z377" s="19">
        <f ca="1">IF('Stock Price'!$I$11="OK",M377/INDEX(M$5:M$1258,'Stock Price'!$I$9)-1,"")</f>
        <v>-0.31097640748331956</v>
      </c>
    </row>
    <row r="378" spans="1:26" x14ac:dyDescent="0.2">
      <c r="A378" s="16">
        <f>'Stock Price'!A378</f>
        <v>45015</v>
      </c>
      <c r="B378" s="17">
        <f>'Stock Price'!E378</f>
        <v>105.92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-4.9788633161108597E-3</v>
      </c>
      <c r="P378" s="19">
        <f ca="1">IF('Stock Price'!$I$11="OK",C378/INDEX(C$5:C$1258,'Stock Price'!$I$9)-1,"")</f>
        <v>-0.36049732929117939</v>
      </c>
      <c r="Q378" s="19">
        <f ca="1">IF('Stock Price'!$I$11="OK",D378/INDEX(D$5:D$1258,'Stock Price'!$I$9)-1,"")</f>
        <v>-0.23744354728342687</v>
      </c>
      <c r="R378" s="19">
        <f ca="1">IF('Stock Price'!$I$11="OK",E378/INDEX(E$5:E$1258,'Stock Price'!$I$9)-1,"")</f>
        <v>-0.28934112431996772</v>
      </c>
      <c r="S378" s="19">
        <f ca="1">IF('Stock Price'!$I$11="OK",F378/INDEX(F$5:F$1258,'Stock Price'!$I$9)-1,"")</f>
        <v>-0.30417881438289607</v>
      </c>
      <c r="T378" s="19">
        <f ca="1">IF('Stock Price'!$I$11="OK",G378/INDEX(G$5:G$1258,'Stock Price'!$I$9)-1,"")</f>
        <v>0.11901306240928888</v>
      </c>
      <c r="U378" s="19">
        <f ca="1">IF('Stock Price'!$I$11="OK",H378/INDEX(H$5:H$1258,'Stock Price'!$I$9)-1,"")</f>
        <v>0.52052631578947373</v>
      </c>
      <c r="V378" s="19">
        <f ca="1">IF('Stock Price'!$I$11="OK",I378/INDEX(I$5:I$1258,'Stock Price'!$I$9)-1,"")</f>
        <v>0.60365369340746633</v>
      </c>
      <c r="W378" s="19">
        <f ca="1">IF('Stock Price'!$I$11="OK",J378/INDEX(J$5:J$1258,'Stock Price'!$I$9)-1,"")</f>
        <v>-0.68465141249213224</v>
      </c>
      <c r="X378" s="19">
        <f ca="1">IF('Stock Price'!$I$11="OK",K378/INDEX(K$5:K$1258,'Stock Price'!$I$9)-1,"")</f>
        <v>0.27572016460905346</v>
      </c>
      <c r="Y378" s="19">
        <f ca="1">IF('Stock Price'!$I$11="OK",L378/INDEX(L$5:L$1258,'Stock Price'!$I$9)-1,"")</f>
        <v>-0.26004340487099098</v>
      </c>
      <c r="Z378" s="19">
        <f ca="1">IF('Stock Price'!$I$11="OK",M378/INDEX(M$5:M$1258,'Stock Price'!$I$9)-1,"")</f>
        <v>-0.31132528018839134</v>
      </c>
    </row>
    <row r="379" spans="1:26" x14ac:dyDescent="0.2">
      <c r="A379" s="16">
        <f>'Stock Price'!A379</f>
        <v>45016</v>
      </c>
      <c r="B379" s="17">
        <f>'Stock Price'!E379</f>
        <v>106.39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-5.6364490371063614E-4</v>
      </c>
      <c r="P379" s="19">
        <f ca="1">IF('Stock Price'!$I$11="OK",C379/INDEX(C$5:C$1258,'Stock Price'!$I$9)-1,"")</f>
        <v>-0.35756460228092968</v>
      </c>
      <c r="Q379" s="19">
        <f ca="1">IF('Stock Price'!$I$11="OK",D379/INDEX(D$5:D$1258,'Stock Price'!$I$9)-1,"")</f>
        <v>-0.23273573285890248</v>
      </c>
      <c r="R379" s="19">
        <f ca="1">IF('Stock Price'!$I$11="OK",E379/INDEX(E$5:E$1258,'Stock Price'!$I$9)-1,"")</f>
        <v>-0.28309490227684875</v>
      </c>
      <c r="S379" s="19">
        <f ca="1">IF('Stock Price'!$I$11="OK",F379/INDEX(F$5:F$1258,'Stock Price'!$I$9)-1,"")</f>
        <v>-0.30301263362487862</v>
      </c>
      <c r="T379" s="19">
        <f ca="1">IF('Stock Price'!$I$11="OK",G379/INDEX(G$5:G$1258,'Stock Price'!$I$9)-1,"")</f>
        <v>0.12834335475844916</v>
      </c>
      <c r="U379" s="19">
        <f ca="1">IF('Stock Price'!$I$11="OK",H379/INDEX(H$5:H$1258,'Stock Price'!$I$9)-1,"")</f>
        <v>0.54526315789473689</v>
      </c>
      <c r="V379" s="19">
        <f ca="1">IF('Stock Price'!$I$11="OK",I379/INDEX(I$5:I$1258,'Stock Price'!$I$9)-1,"")</f>
        <v>0.62033359809372501</v>
      </c>
      <c r="W379" s="19">
        <f ca="1">IF('Stock Price'!$I$11="OK",J379/INDEX(J$5:J$1258,'Stock Price'!$I$9)-1,"")</f>
        <v>-0.6821244770261764</v>
      </c>
      <c r="X379" s="19">
        <f ca="1">IF('Stock Price'!$I$11="OK",K379/INDEX(K$5:K$1258,'Stock Price'!$I$9)-1,"")</f>
        <v>0.29648335203890763</v>
      </c>
      <c r="Y379" s="19">
        <f ca="1">IF('Stock Price'!$I$11="OK",L379/INDEX(L$5:L$1258,'Stock Price'!$I$9)-1,"")</f>
        <v>-0.25247166626476969</v>
      </c>
      <c r="Z379" s="19">
        <f ca="1">IF('Stock Price'!$I$11="OK",M379/INDEX(M$5:M$1258,'Stock Price'!$I$9)-1,"")</f>
        <v>-0.30500196240896604</v>
      </c>
    </row>
    <row r="380" spans="1:26" x14ac:dyDescent="0.2">
      <c r="A380" s="16">
        <f>'Stock Price'!A380</f>
        <v>45019</v>
      </c>
      <c r="B380" s="17">
        <f>'Stock Price'!E380</f>
        <v>108.87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2.2733677782996731E-2</v>
      </c>
      <c r="P380" s="19">
        <f ca="1">IF('Stock Price'!$I$11="OK",C380/INDEX(C$5:C$1258,'Stock Price'!$I$9)-1,"")</f>
        <v>-0.35393316009816655</v>
      </c>
      <c r="Q380" s="19">
        <f ca="1">IF('Stock Price'!$I$11="OK",D380/INDEX(D$5:D$1258,'Stock Price'!$I$9)-1,"")</f>
        <v>-0.24729711235801288</v>
      </c>
      <c r="R380" s="19">
        <f ca="1">IF('Stock Price'!$I$11="OK",E380/INDEX(E$5:E$1258,'Stock Price'!$I$9)-1,"")</f>
        <v>-0.27563973403183561</v>
      </c>
      <c r="S380" s="19">
        <f ca="1">IF('Stock Price'!$I$11="OK",F380/INDEX(F$5:F$1258,'Stock Price'!$I$9)-1,"")</f>
        <v>-0.30379008746355685</v>
      </c>
      <c r="T380" s="19">
        <f ca="1">IF('Stock Price'!$I$11="OK",G380/INDEX(G$5:G$1258,'Stock Price'!$I$9)-1,"")</f>
        <v>0.12336719883889713</v>
      </c>
      <c r="U380" s="19">
        <f ca="1">IF('Stock Price'!$I$11="OK",H380/INDEX(H$5:H$1258,'Stock Price'!$I$9)-1,"")</f>
        <v>0.55473684210526319</v>
      </c>
      <c r="V380" s="19">
        <f ca="1">IF('Stock Price'!$I$11="OK",I380/INDEX(I$5:I$1258,'Stock Price'!$I$9)-1,"")</f>
        <v>0.64217633042096911</v>
      </c>
      <c r="W380" s="19">
        <f ca="1">IF('Stock Price'!$I$11="OK",J380/INDEX(J$5:J$1258,'Stock Price'!$I$9)-1,"")</f>
        <v>-0.6753489577548224</v>
      </c>
      <c r="X380" s="19">
        <f ca="1">IF('Stock Price'!$I$11="OK",K380/INDEX(K$5:K$1258,'Stock Price'!$I$9)-1,"")</f>
        <v>0.30359147025813682</v>
      </c>
      <c r="Y380" s="19">
        <f ca="1">IF('Stock Price'!$I$11="OK",L380/INDEX(L$5:L$1258,'Stock Price'!$I$9)-1,"")</f>
        <v>-0.24354955389438149</v>
      </c>
      <c r="Z380" s="19">
        <f ca="1">IF('Stock Price'!$I$11="OK",M380/INDEX(M$5:M$1258,'Stock Price'!$I$9)-1,"")</f>
        <v>-0.30042300815489953</v>
      </c>
    </row>
    <row r="381" spans="1:26" x14ac:dyDescent="0.2">
      <c r="A381" s="16">
        <f>'Stock Price'!A381</f>
        <v>45020</v>
      </c>
      <c r="B381" s="17">
        <f>'Stock Price'!E381</f>
        <v>108.83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2.2357914513856159E-2</v>
      </c>
      <c r="P381" s="19">
        <f ca="1">IF('Stock Price'!$I$11="OK",C381/INDEX(C$5:C$1258,'Stock Price'!$I$9)-1,"")</f>
        <v>-0.34722968095856788</v>
      </c>
      <c r="Q381" s="19">
        <f ca="1">IF('Stock Price'!$I$11="OK",D381/INDEX(D$5:D$1258,'Stock Price'!$I$9)-1,"")</f>
        <v>-0.22567401122211594</v>
      </c>
      <c r="R381" s="19">
        <f ca="1">IF('Stock Price'!$I$11="OK",E381/INDEX(E$5:E$1258,'Stock Price'!$I$9)-1,"")</f>
        <v>-0.26355027201289549</v>
      </c>
      <c r="S381" s="19">
        <f ca="1">IF('Stock Price'!$I$11="OK",F381/INDEX(F$5:F$1258,'Stock Price'!$I$9)-1,"")</f>
        <v>-0.29815354713313902</v>
      </c>
      <c r="T381" s="19">
        <f ca="1">IF('Stock Price'!$I$11="OK",G381/INDEX(G$5:G$1258,'Stock Price'!$I$9)-1,"")</f>
        <v>0.12398921832884113</v>
      </c>
      <c r="U381" s="19">
        <f ca="1">IF('Stock Price'!$I$11="OK",H381/INDEX(H$5:H$1258,'Stock Price'!$I$9)-1,"")</f>
        <v>0.54789473684210521</v>
      </c>
      <c r="V381" s="19">
        <f ca="1">IF('Stock Price'!$I$11="OK",I381/INDEX(I$5:I$1258,'Stock Price'!$I$9)-1,"")</f>
        <v>0.62430500397140576</v>
      </c>
      <c r="W381" s="19">
        <f ca="1">IF('Stock Price'!$I$11="OK",J381/INDEX(J$5:J$1258,'Stock Price'!$I$9)-1,"")</f>
        <v>-0.67175756229405015</v>
      </c>
      <c r="X381" s="19">
        <f ca="1">IF('Stock Price'!$I$11="OK",K381/INDEX(K$5:K$1258,'Stock Price'!$I$9)-1,"")</f>
        <v>0.28900112233445552</v>
      </c>
      <c r="Y381" s="19">
        <f ca="1">IF('Stock Price'!$I$11="OK",L381/INDEX(L$5:L$1258,'Stock Price'!$I$9)-1,"")</f>
        <v>-0.2356402218471183</v>
      </c>
      <c r="Z381" s="19">
        <f ca="1">IF('Stock Price'!$I$11="OK",M381/INDEX(M$5:M$1258,'Stock Price'!$I$9)-1,"")</f>
        <v>-0.30321398979547343</v>
      </c>
    </row>
    <row r="382" spans="1:26" x14ac:dyDescent="0.2">
      <c r="A382" s="16">
        <f>'Stock Price'!A382</f>
        <v>45021</v>
      </c>
      <c r="B382" s="17">
        <f>'Stock Price'!E382</f>
        <v>111.91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5.129168623767022E-2</v>
      </c>
      <c r="P382" s="19">
        <f ca="1">IF('Stock Price'!$I$11="OK",C382/INDEX(C$5:C$1258,'Stock Price'!$I$9)-1,"")</f>
        <v>-0.33612675039699724</v>
      </c>
      <c r="Q382" s="19">
        <f ca="1">IF('Stock Price'!$I$11="OK",D382/INDEX(D$5:D$1258,'Stock Price'!$I$9)-1,"")</f>
        <v>-0.21801067469549762</v>
      </c>
      <c r="R382" s="19">
        <f ca="1">IF('Stock Price'!$I$11="OK",E382/INDEX(E$5:E$1258,'Stock Price'!$I$9)-1,"")</f>
        <v>-0.24541607898448514</v>
      </c>
      <c r="S382" s="19">
        <f ca="1">IF('Stock Price'!$I$11="OK",F382/INDEX(F$5:F$1258,'Stock Price'!$I$9)-1,"")</f>
        <v>-0.27774538386783298</v>
      </c>
      <c r="T382" s="19">
        <f ca="1">IF('Stock Price'!$I$11="OK",G382/INDEX(G$5:G$1258,'Stock Price'!$I$9)-1,"")</f>
        <v>0.13705162761766543</v>
      </c>
      <c r="U382" s="19">
        <f ca="1">IF('Stock Price'!$I$11="OK",H382/INDEX(H$5:H$1258,'Stock Price'!$I$9)-1,"")</f>
        <v>0.56631578947368433</v>
      </c>
      <c r="V382" s="19">
        <f ca="1">IF('Stock Price'!$I$11="OK",I382/INDEX(I$5:I$1258,'Stock Price'!$I$9)-1,"")</f>
        <v>0.65011914217633038</v>
      </c>
      <c r="W382" s="19">
        <f ca="1">IF('Stock Price'!$I$11="OK",J382/INDEX(J$5:J$1258,'Stock Price'!$I$9)-1,"")</f>
        <v>-0.66470435780665693</v>
      </c>
      <c r="X382" s="19">
        <f ca="1">IF('Stock Price'!$I$11="OK",K382/INDEX(K$5:K$1258,'Stock Price'!$I$9)-1,"")</f>
        <v>0.30602319491208374</v>
      </c>
      <c r="Y382" s="19">
        <f ca="1">IF('Stock Price'!$I$11="OK",L382/INDEX(L$5:L$1258,'Stock Price'!$I$9)-1,"")</f>
        <v>-0.2013021461297323</v>
      </c>
      <c r="Z382" s="19">
        <f ca="1">IF('Stock Price'!$I$11="OK",M382/INDEX(M$5:M$1258,'Stock Price'!$I$9)-1,"")</f>
        <v>-0.29876586280580864</v>
      </c>
    </row>
    <row r="383" spans="1:26" x14ac:dyDescent="0.2">
      <c r="A383" s="16">
        <f>'Stock Price'!A383</f>
        <v>45022</v>
      </c>
      <c r="B383" s="17">
        <f>'Stock Price'!E383</f>
        <v>112.33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5.5237200563644784E-2</v>
      </c>
      <c r="P383" s="19">
        <f ca="1">IF('Stock Price'!$I$11="OK",C383/INDEX(C$5:C$1258,'Stock Price'!$I$9)-1,"")</f>
        <v>-0.32781723689909048</v>
      </c>
      <c r="Q383" s="19">
        <f ca="1">IF('Stock Price'!$I$11="OK",D383/INDEX(D$5:D$1258,'Stock Price'!$I$9)-1,"")</f>
        <v>-0.21801067469549762</v>
      </c>
      <c r="R383" s="19">
        <f ca="1">IF('Stock Price'!$I$11="OK",E383/INDEX(E$5:E$1258,'Stock Price'!$I$9)-1,"")</f>
        <v>-0.23433407213379009</v>
      </c>
      <c r="S383" s="19">
        <f ca="1">IF('Stock Price'!$I$11="OK",F383/INDEX(F$5:F$1258,'Stock Price'!$I$9)-1,"")</f>
        <v>-0.25850340136054428</v>
      </c>
      <c r="T383" s="19">
        <f ca="1">IF('Stock Price'!$I$11="OK",G383/INDEX(G$5:G$1258,'Stock Price'!$I$9)-1,"")</f>
        <v>0.15965166908563133</v>
      </c>
      <c r="U383" s="19">
        <f ca="1">IF('Stock Price'!$I$11="OK",H383/INDEX(H$5:H$1258,'Stock Price'!$I$9)-1,"")</f>
        <v>0.59368421052631581</v>
      </c>
      <c r="V383" s="19">
        <f ca="1">IF('Stock Price'!$I$11="OK",I383/INDEX(I$5:I$1258,'Stock Price'!$I$9)-1,"")</f>
        <v>0.64813343923749001</v>
      </c>
      <c r="W383" s="19">
        <f ca="1">IF('Stock Price'!$I$11="OK",J383/INDEX(J$5:J$1258,'Stock Price'!$I$9)-1,"")</f>
        <v>-0.65910437261653521</v>
      </c>
      <c r="X383" s="19">
        <f ca="1">IF('Stock Price'!$I$11="OK",K383/INDEX(K$5:K$1258,'Stock Price'!$I$9)-1,"")</f>
        <v>0.32323232323232309</v>
      </c>
      <c r="Y383" s="19">
        <f ca="1">IF('Stock Price'!$I$11="OK",L383/INDEX(L$5:L$1258,'Stock Price'!$I$9)-1,"")</f>
        <v>-0.20352061731372073</v>
      </c>
      <c r="Z383" s="19">
        <f ca="1">IF('Stock Price'!$I$11="OK",M383/INDEX(M$5:M$1258,'Stock Price'!$I$9)-1,"")</f>
        <v>-0.29549518119576113</v>
      </c>
    </row>
    <row r="384" spans="1:26" x14ac:dyDescent="0.2">
      <c r="A384" s="16">
        <f>'Stock Price'!A384</f>
        <v>45026</v>
      </c>
      <c r="B384" s="17">
        <f>'Stock Price'!E384</f>
        <v>112.61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5.78675434476279E-2</v>
      </c>
      <c r="P384" s="19">
        <f ca="1">IF('Stock Price'!$I$11="OK",C384/INDEX(C$5:C$1258,'Stock Price'!$I$9)-1,"")</f>
        <v>-0.33172729897502529</v>
      </c>
      <c r="Q384" s="19">
        <f ca="1">IF('Stock Price'!$I$11="OK",D384/INDEX(D$5:D$1258,'Stock Price'!$I$9)-1,"")</f>
        <v>-0.20755439989051605</v>
      </c>
      <c r="R384" s="19">
        <f ca="1">IF('Stock Price'!$I$11="OK",E384/INDEX(E$5:E$1258,'Stock Price'!$I$9)-1,"")</f>
        <v>-0.23695345557122716</v>
      </c>
      <c r="S384" s="19">
        <f ca="1">IF('Stock Price'!$I$11="OK",F384/INDEX(F$5:F$1258,'Stock Price'!$I$9)-1,"")</f>
        <v>-0.26044703595724017</v>
      </c>
      <c r="T384" s="19">
        <f ca="1">IF('Stock Price'!$I$11="OK",G384/INDEX(G$5:G$1258,'Stock Price'!$I$9)-1,"")</f>
        <v>0.14016172506738567</v>
      </c>
      <c r="U384" s="19">
        <f ca="1">IF('Stock Price'!$I$11="OK",H384/INDEX(H$5:H$1258,'Stock Price'!$I$9)-1,"")</f>
        <v>0.59368421052631581</v>
      </c>
      <c r="V384" s="19">
        <f ca="1">IF('Stock Price'!$I$11="OK",I384/INDEX(I$5:I$1258,'Stock Price'!$I$9)-1,"")</f>
        <v>0.6572676727561555</v>
      </c>
      <c r="W384" s="19">
        <f ca="1">IF('Stock Price'!$I$11="OK",J384/INDEX(J$5:J$1258,'Stock Price'!$I$9)-1,"")</f>
        <v>-0.66029841904550324</v>
      </c>
      <c r="X384" s="19">
        <f ca="1">IF('Stock Price'!$I$11="OK",K384/INDEX(K$5:K$1258,'Stock Price'!$I$9)-1,"")</f>
        <v>0.31462775907220353</v>
      </c>
      <c r="Y384" s="19">
        <f ca="1">IF('Stock Price'!$I$11="OK",L384/INDEX(L$5:L$1258,'Stock Price'!$I$9)-1,"")</f>
        <v>-0.2075235109717869</v>
      </c>
      <c r="Z384" s="19">
        <f ca="1">IF('Stock Price'!$I$11="OK",M384/INDEX(M$5:M$1258,'Stock Price'!$I$9)-1,"")</f>
        <v>-0.2966726265753783</v>
      </c>
    </row>
    <row r="385" spans="1:26" x14ac:dyDescent="0.2">
      <c r="A385" s="16">
        <f>'Stock Price'!A385</f>
        <v>45027</v>
      </c>
      <c r="B385" s="17">
        <f>'Stock Price'!E385</f>
        <v>112.49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5.6740253640206628E-2</v>
      </c>
      <c r="P385" s="19">
        <f ca="1">IF('Stock Price'!$I$11="OK",C385/INDEX(C$5:C$1258,'Stock Price'!$I$9)-1,"")</f>
        <v>-0.33102930561570665</v>
      </c>
      <c r="Q385" s="19">
        <f ca="1">IF('Stock Price'!$I$11="OK",D385/INDEX(D$5:D$1258,'Stock Price'!$I$9)-1,"")</f>
        <v>-0.21855754755713708</v>
      </c>
      <c r="R385" s="19">
        <f ca="1">IF('Stock Price'!$I$11="OK",E385/INDEX(E$5:E$1258,'Stock Price'!$I$9)-1,"")</f>
        <v>-0.24743098932097518</v>
      </c>
      <c r="S385" s="19">
        <f ca="1">IF('Stock Price'!$I$11="OK",F385/INDEX(F$5:F$1258,'Stock Price'!$I$9)-1,"")</f>
        <v>-0.26316812439261428</v>
      </c>
      <c r="T385" s="19">
        <f ca="1">IF('Stock Price'!$I$11="OK",G385/INDEX(G$5:G$1258,'Stock Price'!$I$9)-1,"")</f>
        <v>0.14493054115695636</v>
      </c>
      <c r="U385" s="19">
        <f ca="1">IF('Stock Price'!$I$11="OK",H385/INDEX(H$5:H$1258,'Stock Price'!$I$9)-1,"")</f>
        <v>0.58736842105263154</v>
      </c>
      <c r="V385" s="19">
        <f ca="1">IF('Stock Price'!$I$11="OK",I385/INDEX(I$5:I$1258,'Stock Price'!$I$9)-1,"")</f>
        <v>0.65965051628276417</v>
      </c>
      <c r="W385" s="19">
        <f ca="1">IF('Stock Price'!$I$11="OK",J385/INDEX(J$5:J$1258,'Stock Price'!$I$9)-1,"")</f>
        <v>-0.66303824651042242</v>
      </c>
      <c r="X385" s="19">
        <f ca="1">IF('Stock Price'!$I$11="OK",K385/INDEX(K$5:K$1258,'Stock Price'!$I$9)-1,"")</f>
        <v>0.30995136550692104</v>
      </c>
      <c r="Y385" s="19">
        <f ca="1">IF('Stock Price'!$I$11="OK",L385/INDEX(L$5:L$1258,'Stock Price'!$I$9)-1,"")</f>
        <v>-0.20776464914395942</v>
      </c>
      <c r="Z385" s="19">
        <f ca="1">IF('Stock Price'!$I$11="OK",M385/INDEX(M$5:M$1258,'Stock Price'!$I$9)-1,"")</f>
        <v>-0.29623653569403863</v>
      </c>
    </row>
    <row r="386" spans="1:26" x14ac:dyDescent="0.2">
      <c r="A386" s="16">
        <f>'Stock Price'!A386</f>
        <v>45028</v>
      </c>
      <c r="B386" s="17">
        <f>'Stock Price'!E386</f>
        <v>113.75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6.8576796618130542E-2</v>
      </c>
      <c r="P386" s="19">
        <f ca="1">IF('Stock Price'!$I$11="OK",C386/INDEX(C$5:C$1258,'Stock Price'!$I$9)-1,"")</f>
        <v>-0.32635051248736824</v>
      </c>
      <c r="Q386" s="19">
        <f ca="1">IF('Stock Price'!$I$11="OK",D386/INDEX(D$5:D$1258,'Stock Price'!$I$9)-1,"")</f>
        <v>-0.19392363487067199</v>
      </c>
      <c r="R386" s="19">
        <f ca="1">IF('Stock Price'!$I$11="OK",E386/INDEX(E$5:E$1258,'Stock Price'!$I$9)-1,"")</f>
        <v>-0.24017731210961113</v>
      </c>
      <c r="S386" s="19">
        <f ca="1">IF('Stock Price'!$I$11="OK",F386/INDEX(F$5:F$1258,'Stock Price'!$I$9)-1,"")</f>
        <v>-0.2518950437317784</v>
      </c>
      <c r="T386" s="19">
        <f ca="1">IF('Stock Price'!$I$11="OK",G386/INDEX(G$5:G$1258,'Stock Price'!$I$9)-1,"")</f>
        <v>0.15695625129587398</v>
      </c>
      <c r="U386" s="19">
        <f ca="1">IF('Stock Price'!$I$11="OK",H386/INDEX(H$5:H$1258,'Stock Price'!$I$9)-1,"")</f>
        <v>0.58131578947368423</v>
      </c>
      <c r="V386" s="19">
        <f ca="1">IF('Stock Price'!$I$11="OK",I386/INDEX(I$5:I$1258,'Stock Price'!$I$9)-1,"")</f>
        <v>0.64297061159650504</v>
      </c>
      <c r="W386" s="19">
        <f ca="1">IF('Stock Price'!$I$11="OK",J386/INDEX(J$5:J$1258,'Stock Price'!$I$9)-1,"")</f>
        <v>-0.65840090340256952</v>
      </c>
      <c r="X386" s="19">
        <f ca="1">IF('Stock Price'!$I$11="OK",K386/INDEX(K$5:K$1258,'Stock Price'!$I$9)-1,"")</f>
        <v>0.31331836887392428</v>
      </c>
      <c r="Y386" s="19">
        <f ca="1">IF('Stock Price'!$I$11="OK",L386/INDEX(L$5:L$1258,'Stock Price'!$I$9)-1,"")</f>
        <v>-0.20945261634916812</v>
      </c>
      <c r="Z386" s="19">
        <f ca="1">IF('Stock Price'!$I$11="OK",M386/INDEX(M$5:M$1258,'Stock Price'!$I$9)-1,"")</f>
        <v>-0.29196284505690984</v>
      </c>
    </row>
    <row r="387" spans="1:26" x14ac:dyDescent="0.2">
      <c r="A387" s="16">
        <f>'Stock Price'!A387</f>
        <v>45029</v>
      </c>
      <c r="B387" s="17">
        <f>'Stock Price'!E387</f>
        <v>115.58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8.5767966181305777E-2</v>
      </c>
      <c r="P387" s="19">
        <f ca="1">IF('Stock Price'!$I$11="OK",C387/INDEX(C$5:C$1258,'Stock Price'!$I$9)-1,"")</f>
        <v>-0.31413021510033201</v>
      </c>
      <c r="Q387" s="19">
        <f ca="1">IF('Stock Price'!$I$11="OK",D387/INDEX(D$5:D$1258,'Stock Price'!$I$9)-1,"")</f>
        <v>-0.18078554810455727</v>
      </c>
      <c r="R387" s="19">
        <f ca="1">IF('Stock Price'!$I$11="OK",E387/INDEX(E$5:E$1258,'Stock Price'!$I$9)-1,"")</f>
        <v>-0.22788635905702204</v>
      </c>
      <c r="S387" s="19">
        <f ca="1">IF('Stock Price'!$I$11="OK",F387/INDEX(F$5:F$1258,'Stock Price'!$I$9)-1,"")</f>
        <v>-0.24178814382896019</v>
      </c>
      <c r="T387" s="19">
        <f ca="1">IF('Stock Price'!$I$11="OK",G387/INDEX(G$5:G$1258,'Stock Price'!$I$9)-1,"")</f>
        <v>0.16317644619531424</v>
      </c>
      <c r="U387" s="19">
        <f ca="1">IF('Stock Price'!$I$11="OK",H387/INDEX(H$5:H$1258,'Stock Price'!$I$9)-1,"")</f>
        <v>0.60657894736842088</v>
      </c>
      <c r="V387" s="19">
        <f ca="1">IF('Stock Price'!$I$11="OK",I387/INDEX(I$5:I$1258,'Stock Price'!$I$9)-1,"")</f>
        <v>0.64694201747418578</v>
      </c>
      <c r="W387" s="19">
        <f ca="1">IF('Stock Price'!$I$11="OK",J387/INDEX(J$5:J$1258,'Stock Price'!$I$9)-1,"")</f>
        <v>-0.6527546373431079</v>
      </c>
      <c r="X387" s="19">
        <f ca="1">IF('Stock Price'!$I$11="OK",K387/INDEX(K$5:K$1258,'Stock Price'!$I$9)-1,"")</f>
        <v>0.32229704451926677</v>
      </c>
      <c r="Y387" s="19">
        <f ca="1">IF('Stock Price'!$I$11="OK",L387/INDEX(L$5:L$1258,'Stock Price'!$I$9)-1,"")</f>
        <v>-0.19889076440800568</v>
      </c>
      <c r="Z387" s="19">
        <f ca="1">IF('Stock Price'!$I$11="OK",M387/INDEX(M$5:M$1258,'Stock Price'!$I$9)-1,"")</f>
        <v>-0.290523745148489</v>
      </c>
    </row>
    <row r="388" spans="1:26" x14ac:dyDescent="0.2">
      <c r="A388" s="16">
        <f>'Stock Price'!A388</f>
        <v>45030</v>
      </c>
      <c r="B388" s="17">
        <f>'Stock Price'!E388</f>
        <v>115.31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8.3231564114607748E-2</v>
      </c>
      <c r="P388" s="19">
        <f ca="1">IF('Stock Price'!$I$11="OK",C388/INDEX(C$5:C$1258,'Stock Price'!$I$9)-1,"")</f>
        <v>-0.31650425869784893</v>
      </c>
      <c r="Q388" s="19">
        <f ca="1">IF('Stock Price'!$I$11="OK",D388/INDEX(D$5:D$1258,'Stock Price'!$I$9)-1,"")</f>
        <v>-0.20032845216915285</v>
      </c>
      <c r="R388" s="19">
        <f ca="1">IF('Stock Price'!$I$11="OK",E388/INDEX(E$5:E$1258,'Stock Price'!$I$9)-1,"")</f>
        <v>-0.23896836590771708</v>
      </c>
      <c r="S388" s="19">
        <f ca="1">IF('Stock Price'!$I$11="OK",F388/INDEX(F$5:F$1258,'Stock Price'!$I$9)-1,"")</f>
        <v>-0.24723032069970852</v>
      </c>
      <c r="T388" s="19">
        <f ca="1">IF('Stock Price'!$I$11="OK",G388/INDEX(G$5:G$1258,'Stock Price'!$I$9)-1,"")</f>
        <v>0.16421314534522091</v>
      </c>
      <c r="U388" s="19">
        <f ca="1">IF('Stock Price'!$I$11="OK",H388/INDEX(H$5:H$1258,'Stock Price'!$I$9)-1,"")</f>
        <v>0.61473684210526325</v>
      </c>
      <c r="V388" s="19">
        <f ca="1">IF('Stock Price'!$I$11="OK",I388/INDEX(I$5:I$1258,'Stock Price'!$I$9)-1,"")</f>
        <v>0.63582208101667992</v>
      </c>
      <c r="W388" s="19">
        <f ca="1">IF('Stock Price'!$I$11="OK",J388/INDEX(J$5:J$1258,'Stock Price'!$I$9)-1,"")</f>
        <v>-0.65314339664556254</v>
      </c>
      <c r="X388" s="19">
        <f ca="1">IF('Stock Price'!$I$11="OK",K388/INDEX(K$5:K$1258,'Stock Price'!$I$9)-1,"")</f>
        <v>0.31780770669659564</v>
      </c>
      <c r="Y388" s="19">
        <f ca="1">IF('Stock Price'!$I$11="OK",L388/INDEX(L$5:L$1258,'Stock Price'!$I$9)-1,"")</f>
        <v>-0.20019291053773813</v>
      </c>
      <c r="Z388" s="19">
        <f ca="1">IF('Stock Price'!$I$11="OK",M388/INDEX(M$5:M$1258,'Stock Price'!$I$9)-1,"")</f>
        <v>-0.29532074484322535</v>
      </c>
    </row>
    <row r="389" spans="1:26" x14ac:dyDescent="0.2">
      <c r="A389" s="16">
        <f>'Stock Price'!A389</f>
        <v>45033</v>
      </c>
      <c r="B389" s="17">
        <f>'Stock Price'!E389</f>
        <v>115.01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8.0413339596054456E-2</v>
      </c>
      <c r="P389" s="19">
        <f ca="1">IF('Stock Price'!$I$11="OK",C389/INDEX(C$5:C$1258,'Stock Price'!$I$9)-1,"")</f>
        <v>-0.31587628121842071</v>
      </c>
      <c r="Q389" s="19">
        <f ca="1">IF('Stock Price'!$I$11="OK",D389/INDEX(D$5:D$1258,'Stock Price'!$I$9)-1,"")</f>
        <v>-0.1964965101957028</v>
      </c>
      <c r="R389" s="19">
        <f ca="1">IF('Stock Price'!$I$11="OK",E389/INDEX(E$5:E$1258,'Stock Price'!$I$9)-1,"")</f>
        <v>-0.24662502518637919</v>
      </c>
      <c r="S389" s="19">
        <f ca="1">IF('Stock Price'!$I$11="OK",F389/INDEX(F$5:F$1258,'Stock Price'!$I$9)-1,"")</f>
        <v>-0.24956268221574351</v>
      </c>
      <c r="T389" s="19">
        <f ca="1">IF('Stock Price'!$I$11="OK",G389/INDEX(G$5:G$1258,'Stock Price'!$I$9)-1,"")</f>
        <v>0.15902964959568733</v>
      </c>
      <c r="U389" s="19">
        <f ca="1">IF('Stock Price'!$I$11="OK",H389/INDEX(H$5:H$1258,'Stock Price'!$I$9)-1,"")</f>
        <v>0.61894736842105269</v>
      </c>
      <c r="V389" s="19">
        <f ca="1">IF('Stock Price'!$I$11="OK",I389/INDEX(I$5:I$1258,'Stock Price'!$I$9)-1,"")</f>
        <v>0.63542494042891184</v>
      </c>
      <c r="W389" s="19">
        <f ca="1">IF('Stock Price'!$I$11="OK",J389/INDEX(J$5:J$1258,'Stock Price'!$I$9)-1,"")</f>
        <v>-0.65534636602613938</v>
      </c>
      <c r="X389" s="19">
        <f ca="1">IF('Stock Price'!$I$11="OK",K389/INDEX(K$5:K$1258,'Stock Price'!$I$9)-1,"")</f>
        <v>0.32061354283576482</v>
      </c>
      <c r="Y389" s="19">
        <f ca="1">IF('Stock Price'!$I$11="OK",L389/INDEX(L$5:L$1258,'Stock Price'!$I$9)-1,"")</f>
        <v>-0.2010127803231252</v>
      </c>
      <c r="Z389" s="19">
        <f ca="1">IF('Stock Price'!$I$11="OK",M389/INDEX(M$5:M$1258,'Stock Price'!$I$9)-1,"")</f>
        <v>-0.29710871745671796</v>
      </c>
    </row>
    <row r="390" spans="1:26" x14ac:dyDescent="0.2">
      <c r="A390" s="16">
        <f>'Stock Price'!A390</f>
        <v>45034</v>
      </c>
      <c r="B390" s="17">
        <f>'Stock Price'!E390</f>
        <v>114.83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7.8722404884922437E-2</v>
      </c>
      <c r="P390" s="19">
        <f ca="1">IF('Stock Price'!$I$11="OK",C390/INDEX(C$5:C$1258,'Stock Price'!$I$9)-1,"")</f>
        <v>-0.3204150425869785</v>
      </c>
      <c r="Q390" s="19">
        <f ca="1">IF('Stock Price'!$I$11="OK",D390/INDEX(D$5:D$1258,'Stock Price'!$I$9)-1,"")</f>
        <v>-0.18500068427535243</v>
      </c>
      <c r="R390" s="19">
        <f ca="1">IF('Stock Price'!$I$11="OK",E390/INDEX(E$5:E$1258,'Stock Price'!$I$9)-1,"")</f>
        <v>-0.25891597823896839</v>
      </c>
      <c r="S390" s="19">
        <f ca="1">IF('Stock Price'!$I$11="OK",F390/INDEX(F$5:F$1258,'Stock Price'!$I$9)-1,"")</f>
        <v>-0.25092322643343057</v>
      </c>
      <c r="T390" s="19">
        <f ca="1">IF('Stock Price'!$I$11="OK",G390/INDEX(G$5:G$1258,'Stock Price'!$I$9)-1,"")</f>
        <v>0.14451586149699369</v>
      </c>
      <c r="U390" s="19">
        <f ca="1">IF('Stock Price'!$I$11="OK",H390/INDEX(H$5:H$1258,'Stock Price'!$I$9)-1,"")</f>
        <v>0.61578947368421044</v>
      </c>
      <c r="V390" s="19">
        <f ca="1">IF('Stock Price'!$I$11="OK",I390/INDEX(I$5:I$1258,'Stock Price'!$I$9)-1,"")</f>
        <v>0.61040508339952337</v>
      </c>
      <c r="W390" s="19">
        <f ca="1">IF('Stock Price'!$I$11="OK",J390/INDEX(J$5:J$1258,'Stock Price'!$I$9)-1,"")</f>
        <v>-0.65760487244992405</v>
      </c>
      <c r="X390" s="19">
        <f ca="1">IF('Stock Price'!$I$11="OK",K390/INDEX(K$5:K$1258,'Stock Price'!$I$9)-1,"")</f>
        <v>0.31369248035914699</v>
      </c>
      <c r="Y390" s="19">
        <f ca="1">IF('Stock Price'!$I$11="OK",L390/INDEX(L$5:L$1258,'Stock Price'!$I$9)-1,"")</f>
        <v>-0.22348685796961665</v>
      </c>
      <c r="Z390" s="19">
        <f ca="1">IF('Stock Price'!$I$11="OK",M390/INDEX(M$5:M$1258,'Stock Price'!$I$9)-1,"")</f>
        <v>-0.30404256247001871</v>
      </c>
    </row>
    <row r="391" spans="1:26" x14ac:dyDescent="0.2">
      <c r="A391" s="16">
        <f>'Stock Price'!A391</f>
        <v>45035</v>
      </c>
      <c r="B391" s="17">
        <f>'Stock Price'!E391</f>
        <v>114.13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7.2146547674964756E-2</v>
      </c>
      <c r="P391" s="19">
        <f ca="1">IF('Stock Price'!$I$11="OK",C391/INDEX(C$5:C$1258,'Stock Price'!$I$9)-1,"")</f>
        <v>-0.31552692363216395</v>
      </c>
      <c r="Q391" s="19">
        <f ca="1">IF('Stock Price'!$I$11="OK",D391/INDEX(D$5:D$1258,'Stock Price'!$I$9)-1,"")</f>
        <v>-0.1910223073764884</v>
      </c>
      <c r="R391" s="19">
        <f ca="1">IF('Stock Price'!$I$11="OK",E391/INDEX(E$5:E$1258,'Stock Price'!$I$9)-1,"")</f>
        <v>-0.25589361273423339</v>
      </c>
      <c r="S391" s="19">
        <f ca="1">IF('Stock Price'!$I$11="OK",F391/INDEX(F$5:F$1258,'Stock Price'!$I$9)-1,"")</f>
        <v>-0.25306122448979596</v>
      </c>
      <c r="T391" s="19">
        <f ca="1">IF('Stock Price'!$I$11="OK",G391/INDEX(G$5:G$1258,'Stock Price'!$I$9)-1,"")</f>
        <v>0.15529753265602331</v>
      </c>
      <c r="U391" s="19">
        <f ca="1">IF('Stock Price'!$I$11="OK",H391/INDEX(H$5:H$1258,'Stock Price'!$I$9)-1,"")</f>
        <v>0.61289473684210516</v>
      </c>
      <c r="V391" s="19">
        <f ca="1">IF('Stock Price'!$I$11="OK",I391/INDEX(I$5:I$1258,'Stock Price'!$I$9)-1,"")</f>
        <v>0.59809372517871329</v>
      </c>
      <c r="W391" s="19">
        <f ca="1">IF('Stock Price'!$I$11="OK",J391/INDEX(J$5:J$1258,'Stock Price'!$I$9)-1,"")</f>
        <v>-0.65708652671331769</v>
      </c>
      <c r="X391" s="19">
        <f ca="1">IF('Stock Price'!$I$11="OK",K391/INDEX(K$5:K$1258,'Stock Price'!$I$9)-1,"")</f>
        <v>0.30677141788252893</v>
      </c>
      <c r="Y391" s="19">
        <f ca="1">IF('Stock Price'!$I$11="OK",L391/INDEX(L$5:L$1258,'Stock Price'!$I$9)-1,"")</f>
        <v>-0.21615625753556789</v>
      </c>
      <c r="Z391" s="19">
        <f ca="1">IF('Stock Price'!$I$11="OK",M391/INDEX(M$5:M$1258,'Stock Price'!$I$9)-1,"")</f>
        <v>-0.29697789019231602</v>
      </c>
    </row>
    <row r="392" spans="1:26" x14ac:dyDescent="0.2">
      <c r="A392" s="16">
        <f>'Stock Price'!A392</f>
        <v>45036</v>
      </c>
      <c r="B392" s="17">
        <f>'Stock Price'!E392</f>
        <v>114.17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7.2522310944105106E-2</v>
      </c>
      <c r="P392" s="19">
        <f ca="1">IF('Stock Price'!$I$11="OK",C392/INDEX(C$5:C$1258,'Stock Price'!$I$9)-1,"")</f>
        <v>-0.31147682979644864</v>
      </c>
      <c r="Q392" s="19">
        <f ca="1">IF('Stock Price'!$I$11="OK",D392/INDEX(D$5:D$1258,'Stock Price'!$I$9)-1,"")</f>
        <v>-0.19195346927603663</v>
      </c>
      <c r="R392" s="19">
        <f ca="1">IF('Stock Price'!$I$11="OK",E392/INDEX(E$5:E$1258,'Stock Price'!$I$9)-1,"")</f>
        <v>-0.26536369131573645</v>
      </c>
      <c r="S392" s="19">
        <f ca="1">IF('Stock Price'!$I$11="OK",F392/INDEX(F$5:F$1258,'Stock Price'!$I$9)-1,"")</f>
        <v>-0.24295432458697763</v>
      </c>
      <c r="T392" s="19">
        <f ca="1">IF('Stock Price'!$I$11="OK",G392/INDEX(G$5:G$1258,'Stock Price'!$I$9)-1,"")</f>
        <v>0.15011403690648972</v>
      </c>
      <c r="U392" s="19">
        <f ca="1">IF('Stock Price'!$I$11="OK",H392/INDEX(H$5:H$1258,'Stock Price'!$I$9)-1,"")</f>
        <v>0.60499999999999998</v>
      </c>
      <c r="V392" s="19">
        <f ca="1">IF('Stock Price'!$I$11="OK",I392/INDEX(I$5:I$1258,'Stock Price'!$I$9)-1,"")</f>
        <v>0.5826052422557586</v>
      </c>
      <c r="W392" s="19">
        <f ca="1">IF('Stock Price'!$I$11="OK",J392/INDEX(J$5:J$1258,'Stock Price'!$I$9)-1,"")</f>
        <v>-0.65306934725461874</v>
      </c>
      <c r="X392" s="19">
        <f ca="1">IF('Stock Price'!$I$11="OK",K392/INDEX(K$5:K$1258,'Stock Price'!$I$9)-1,"")</f>
        <v>0.30059857837635606</v>
      </c>
      <c r="Y392" s="19">
        <f ca="1">IF('Stock Price'!$I$11="OK",L392/INDEX(L$5:L$1258,'Stock Price'!$I$9)-1,"")</f>
        <v>-0.21109235591994202</v>
      </c>
      <c r="Z392" s="19">
        <f ca="1">IF('Stock Price'!$I$11="OK",M392/INDEX(M$5:M$1258,'Stock Price'!$I$9)-1,"")</f>
        <v>-0.29466660852121573</v>
      </c>
    </row>
    <row r="393" spans="1:26" x14ac:dyDescent="0.2">
      <c r="A393" s="16">
        <f>'Stock Price'!A393</f>
        <v>45037</v>
      </c>
      <c r="B393" s="17">
        <f>'Stock Price'!E393</f>
        <v>115.37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8.3795209018318495E-2</v>
      </c>
      <c r="P393" s="19">
        <f ca="1">IF('Stock Price'!$I$11="OK",C393/INDEX(C$5:C$1258,'Stock Price'!$I$9)-1,"")</f>
        <v>-0.29960588999566906</v>
      </c>
      <c r="Q393" s="19">
        <f ca="1">IF('Stock Price'!$I$11="OK",D393/INDEX(D$5:D$1258,'Stock Price'!$I$9)-1,"")</f>
        <v>-0.16934446421239913</v>
      </c>
      <c r="R393" s="19">
        <f ca="1">IF('Stock Price'!$I$11="OK",E393/INDEX(E$5:E$1258,'Stock Price'!$I$9)-1,"")</f>
        <v>-0.26032641547451141</v>
      </c>
      <c r="S393" s="19">
        <f ca="1">IF('Stock Price'!$I$11="OK",F393/INDEX(F$5:F$1258,'Stock Price'!$I$9)-1,"")</f>
        <v>-0.23284742468415942</v>
      </c>
      <c r="T393" s="19">
        <f ca="1">IF('Stock Price'!$I$11="OK",G393/INDEX(G$5:G$1258,'Stock Price'!$I$9)-1,"")</f>
        <v>0.17561683599419453</v>
      </c>
      <c r="U393" s="19">
        <f ca="1">IF('Stock Price'!$I$11="OK",H393/INDEX(H$5:H$1258,'Stock Price'!$I$9)-1,"")</f>
        <v>0.59710526315789458</v>
      </c>
      <c r="V393" s="19">
        <f ca="1">IF('Stock Price'!$I$11="OK",I393/INDEX(I$5:I$1258,'Stock Price'!$I$9)-1,"")</f>
        <v>0.59690230341540906</v>
      </c>
      <c r="W393" s="19">
        <f ca="1">IF('Stock Price'!$I$11="OK",J393/INDEX(J$5:J$1258,'Stock Price'!$I$9)-1,"")</f>
        <v>-0.64341515791032622</v>
      </c>
      <c r="X393" s="19">
        <f ca="1">IF('Stock Price'!$I$11="OK",K393/INDEX(K$5:K$1258,'Stock Price'!$I$9)-1,"")</f>
        <v>0.3185559296670406</v>
      </c>
      <c r="Y393" s="19">
        <f ca="1">IF('Stock Price'!$I$11="OK",L393/INDEX(L$5:L$1258,'Stock Price'!$I$9)-1,"")</f>
        <v>-0.2153846153846154</v>
      </c>
      <c r="Z393" s="19">
        <f ca="1">IF('Stock Price'!$I$11="OK",M393/INDEX(M$5:M$1258,'Stock Price'!$I$9)-1,"")</f>
        <v>-0.29174479961624</v>
      </c>
    </row>
    <row r="394" spans="1:26" x14ac:dyDescent="0.2">
      <c r="A394" s="16">
        <f>'Stock Price'!A394</f>
        <v>45040</v>
      </c>
      <c r="B394" s="17">
        <f>'Stock Price'!E394</f>
        <v>115.94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8.9149835603569594E-2</v>
      </c>
      <c r="P394" s="19">
        <f ca="1">IF('Stock Price'!$I$11="OK",C394/INDEX(C$5:C$1258,'Stock Price'!$I$9)-1,"")</f>
        <v>-0.29758048217121413</v>
      </c>
      <c r="Q394" s="19">
        <f ca="1">IF('Stock Price'!$I$11="OK",D394/INDEX(D$5:D$1258,'Stock Price'!$I$9)-1,"")</f>
        <v>-0.16189954837826748</v>
      </c>
      <c r="R394" s="19">
        <f ca="1">IF('Stock Price'!$I$11="OK",E394/INDEX(E$5:E$1258,'Stock Price'!$I$9)-1,"")</f>
        <v>-0.26153536167640545</v>
      </c>
      <c r="S394" s="19">
        <f ca="1">IF('Stock Price'!$I$11="OK",F394/INDEX(F$5:F$1258,'Stock Price'!$I$9)-1,"")</f>
        <v>-0.22934888241010698</v>
      </c>
      <c r="T394" s="19">
        <f ca="1">IF('Stock Price'!$I$11="OK",G394/INDEX(G$5:G$1258,'Stock Price'!$I$9)-1,"")</f>
        <v>0.17375077752436252</v>
      </c>
      <c r="U394" s="19">
        <f ca="1">IF('Stock Price'!$I$11="OK",H394/INDEX(H$5:H$1258,'Stock Price'!$I$9)-1,"")</f>
        <v>0.59026315789473682</v>
      </c>
      <c r="V394" s="19">
        <f ca="1">IF('Stock Price'!$I$11="OK",I394/INDEX(I$5:I$1258,'Stock Price'!$I$9)-1,"")</f>
        <v>0.58498808578236683</v>
      </c>
      <c r="W394" s="19">
        <f ca="1">IF('Stock Price'!$I$11="OK",J394/INDEX(J$5:J$1258,'Stock Price'!$I$9)-1,"")</f>
        <v>-0.64516457477137246</v>
      </c>
      <c r="X394" s="19">
        <f ca="1">IF('Stock Price'!$I$11="OK",K394/INDEX(K$5:K$1258,'Stock Price'!$I$9)-1,"")</f>
        <v>0.31949120838009737</v>
      </c>
      <c r="Y394" s="19">
        <f ca="1">IF('Stock Price'!$I$11="OK",L394/INDEX(L$5:L$1258,'Stock Price'!$I$9)-1,"")</f>
        <v>-0.21061007957559674</v>
      </c>
      <c r="Z394" s="19">
        <f ca="1">IF('Stock Price'!$I$11="OK",M394/INDEX(M$5:M$1258,'Stock Price'!$I$9)-1,"")</f>
        <v>-0.28446208189786748</v>
      </c>
    </row>
    <row r="395" spans="1:26" x14ac:dyDescent="0.2">
      <c r="A395" s="16">
        <f>'Stock Price'!A395</f>
        <v>45041</v>
      </c>
      <c r="B395" s="17">
        <f>'Stock Price'!E395</f>
        <v>116.53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9.4692343823391312E-2</v>
      </c>
      <c r="P395" s="19">
        <f ca="1">IF('Stock Price'!$I$11="OK",C395/INDEX(C$5:C$1258,'Stock Price'!$I$9)-1,"")</f>
        <v>-0.27348924498339822</v>
      </c>
      <c r="Q395" s="19">
        <f ca="1">IF('Stock Price'!$I$11="OK",D395/INDEX(D$5:D$1258,'Stock Price'!$I$9)-1,"")</f>
        <v>-0.17339537429861784</v>
      </c>
      <c r="R395" s="19">
        <f ca="1">IF('Stock Price'!$I$11="OK",E395/INDEX(E$5:E$1258,'Stock Price'!$I$9)-1,"")</f>
        <v>-0.25629659480153144</v>
      </c>
      <c r="S395" s="19">
        <f ca="1">IF('Stock Price'!$I$11="OK",F395/INDEX(F$5:F$1258,'Stock Price'!$I$9)-1,"")</f>
        <v>-0.22546161321671532</v>
      </c>
      <c r="T395" s="19">
        <f ca="1">IF('Stock Price'!$I$11="OK",G395/INDEX(G$5:G$1258,'Stock Price'!$I$9)-1,"")</f>
        <v>0.18556914783329881</v>
      </c>
      <c r="U395" s="19">
        <f ca="1">IF('Stock Price'!$I$11="OK",H395/INDEX(H$5:H$1258,'Stock Price'!$I$9)-1,"")</f>
        <v>0.59026315789473682</v>
      </c>
      <c r="V395" s="19">
        <f ca="1">IF('Stock Price'!$I$11="OK",I395/INDEX(I$5:I$1258,'Stock Price'!$I$9)-1,"")</f>
        <v>0.56195393169181895</v>
      </c>
      <c r="W395" s="19">
        <f ca="1">IF('Stock Price'!$I$11="OK",J395/INDEX(J$5:J$1258,'Stock Price'!$I$9)-1,"")</f>
        <v>-0.64378540486504499</v>
      </c>
      <c r="X395" s="19">
        <f ca="1">IF('Stock Price'!$I$11="OK",K395/INDEX(K$5:K$1258,'Stock Price'!$I$9)-1,"")</f>
        <v>0.31387953610175812</v>
      </c>
      <c r="Y395" s="19">
        <f ca="1">IF('Stock Price'!$I$11="OK",L395/INDEX(L$5:L$1258,'Stock Price'!$I$9)-1,"")</f>
        <v>-0.20337593441041713</v>
      </c>
      <c r="Z395" s="19">
        <f ca="1">IF('Stock Price'!$I$11="OK",M395/INDEX(M$5:M$1258,'Stock Price'!$I$9)-1,"")</f>
        <v>-0.28088613667088225</v>
      </c>
    </row>
    <row r="396" spans="1:26" x14ac:dyDescent="0.2">
      <c r="A396" s="16">
        <f>'Stock Price'!A396</f>
        <v>45042</v>
      </c>
      <c r="B396" s="17">
        <f>'Stock Price'!E396</f>
        <v>113.43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6.5570690465007075E-2</v>
      </c>
      <c r="P396" s="19">
        <f ca="1">IF('Stock Price'!$I$11="OK",C396/INDEX(C$5:C$1258,'Stock Price'!$I$9)-1,"")</f>
        <v>-0.28396347625234575</v>
      </c>
      <c r="Q396" s="19">
        <f ca="1">IF('Stock Price'!$I$11="OK",D396/INDEX(D$5:D$1258,'Stock Price'!$I$9)-1,"")</f>
        <v>-0.19447105515259344</v>
      </c>
      <c r="R396" s="19">
        <f ca="1">IF('Stock Price'!$I$11="OK",E396/INDEX(E$5:E$1258,'Stock Price'!$I$9)-1,"")</f>
        <v>-0.27604271609913367</v>
      </c>
      <c r="S396" s="19">
        <f ca="1">IF('Stock Price'!$I$11="OK",F396/INDEX(F$5:F$1258,'Stock Price'!$I$9)-1,"")</f>
        <v>-0.24820213799805646</v>
      </c>
      <c r="T396" s="19">
        <f ca="1">IF('Stock Price'!$I$11="OK",G396/INDEX(G$5:G$1258,'Stock Price'!$I$9)-1,"")</f>
        <v>0.16566452415509025</v>
      </c>
      <c r="U396" s="19">
        <f ca="1">IF('Stock Price'!$I$11="OK",H396/INDEX(H$5:H$1258,'Stock Price'!$I$9)-1,"")</f>
        <v>0.58184210526315794</v>
      </c>
      <c r="V396" s="19">
        <f ca="1">IF('Stock Price'!$I$11="OK",I396/INDEX(I$5:I$1258,'Stock Price'!$I$9)-1,"")</f>
        <v>0.53415409054805418</v>
      </c>
      <c r="W396" s="19">
        <f ca="1">IF('Stock Price'!$I$11="OK",J396/INDEX(J$5:J$1258,'Stock Price'!$I$9)-1,"")</f>
        <v>-0.65171794586989518</v>
      </c>
      <c r="X396" s="19">
        <f ca="1">IF('Stock Price'!$I$11="OK",K396/INDEX(K$5:K$1258,'Stock Price'!$I$9)-1,"")</f>
        <v>0.27235316124205</v>
      </c>
      <c r="Y396" s="19">
        <f ca="1">IF('Stock Price'!$I$11="OK",L396/INDEX(L$5:L$1258,'Stock Price'!$I$9)-1,"")</f>
        <v>-0.21572220882565707</v>
      </c>
      <c r="Z396" s="19">
        <f ca="1">IF('Stock Price'!$I$11="OK",M396/INDEX(M$5:M$1258,'Stock Price'!$I$9)-1,"")</f>
        <v>-0.29440495399241196</v>
      </c>
    </row>
    <row r="397" spans="1:26" x14ac:dyDescent="0.2">
      <c r="A397" s="16">
        <f>'Stock Price'!A397</f>
        <v>45043</v>
      </c>
      <c r="B397" s="17">
        <f>'Stock Price'!E397</f>
        <v>115.16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8.1822451855330991E-2</v>
      </c>
      <c r="P397" s="19">
        <f ca="1">IF('Stock Price'!$I$11="OK",C397/INDEX(C$5:C$1258,'Stock Price'!$I$9)-1,"")</f>
        <v>-0.28319546701313691</v>
      </c>
      <c r="Q397" s="19">
        <f ca="1">IF('Stock Price'!$I$11="OK",D397/INDEX(D$5:D$1258,'Stock Price'!$I$9)-1,"")</f>
        <v>-0.20076638839469008</v>
      </c>
      <c r="R397" s="19">
        <f ca="1">IF('Stock Price'!$I$11="OK",E397/INDEX(E$5:E$1258,'Stock Price'!$I$9)-1,"")</f>
        <v>-0.27443078782994168</v>
      </c>
      <c r="S397" s="19">
        <f ca="1">IF('Stock Price'!$I$11="OK",F397/INDEX(F$5:F$1258,'Stock Price'!$I$9)-1,"")</f>
        <v>-0.24859086491739568</v>
      </c>
      <c r="T397" s="19">
        <f ca="1">IF('Stock Price'!$I$11="OK",G397/INDEX(G$5:G$1258,'Stock Price'!$I$9)-1,"")</f>
        <v>0.16296910636533291</v>
      </c>
      <c r="U397" s="19">
        <f ca="1">IF('Stock Price'!$I$11="OK",H397/INDEX(H$5:H$1258,'Stock Price'!$I$9)-1,"")</f>
        <v>0.57157894736842096</v>
      </c>
      <c r="V397" s="19">
        <f ca="1">IF('Stock Price'!$I$11="OK",I397/INDEX(I$5:I$1258,'Stock Price'!$I$9)-1,"")</f>
        <v>0.53852263701350278</v>
      </c>
      <c r="W397" s="19">
        <f ca="1">IF('Stock Price'!$I$11="OK",J397/INDEX(J$5:J$1258,'Stock Price'!$I$9)-1,"")</f>
        <v>-0.63868525306379342</v>
      </c>
      <c r="X397" s="19">
        <f ca="1">IF('Stock Price'!$I$11="OK",K397/INDEX(K$5:K$1258,'Stock Price'!$I$9)-1,"")</f>
        <v>0.26468387579498698</v>
      </c>
      <c r="Y397" s="19">
        <f ca="1">IF('Stock Price'!$I$11="OK",L397/INDEX(L$5:L$1258,'Stock Price'!$I$9)-1,"")</f>
        <v>-0.21388955871714488</v>
      </c>
      <c r="Z397" s="19">
        <f ca="1">IF('Stock Price'!$I$11="OK",M397/INDEX(M$5:M$1258,'Stock Price'!$I$9)-1,"")</f>
        <v>-0.35079150494963152</v>
      </c>
    </row>
    <row r="398" spans="1:26" x14ac:dyDescent="0.2">
      <c r="A398" s="16">
        <f>'Stock Price'!A398</f>
        <v>45044</v>
      </c>
      <c r="B398" s="17">
        <f>'Stock Price'!E398</f>
        <v>115.47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8.4734617191169592E-2</v>
      </c>
      <c r="P398" s="19">
        <f ca="1">IF('Stock Price'!$I$11="OK",C398/INDEX(C$5:C$1258,'Stock Price'!$I$9)-1,"")</f>
        <v>-0.28375415042586971</v>
      </c>
      <c r="Q398" s="19">
        <f ca="1">IF('Stock Price'!$I$11="OK",D398/INDEX(D$5:D$1258,'Stock Price'!$I$9)-1,"")</f>
        <v>-0.19775557684412204</v>
      </c>
      <c r="R398" s="19">
        <f ca="1">IF('Stock Price'!$I$11="OK",E398/INDEX(E$5:E$1258,'Stock Price'!$I$9)-1,"")</f>
        <v>-0.27402780576264363</v>
      </c>
      <c r="S398" s="19">
        <f ca="1">IF('Stock Price'!$I$11="OK",F398/INDEX(F$5:F$1258,'Stock Price'!$I$9)-1,"")</f>
        <v>-0.23770651117589903</v>
      </c>
      <c r="T398" s="19">
        <f ca="1">IF('Stock Price'!$I$11="OK",G398/INDEX(G$5:G$1258,'Stock Price'!$I$9)-1,"")</f>
        <v>0.11237818784988596</v>
      </c>
      <c r="U398" s="19">
        <f ca="1">IF('Stock Price'!$I$11="OK",H398/INDEX(H$5:H$1258,'Stock Price'!$I$9)-1,"")</f>
        <v>0.57263157894736838</v>
      </c>
      <c r="V398" s="19">
        <f ca="1">IF('Stock Price'!$I$11="OK",I398/INDEX(I$5:I$1258,'Stock Price'!$I$9)-1,"")</f>
        <v>0.5444797458300239</v>
      </c>
      <c r="W398" s="19">
        <f ca="1">IF('Stock Price'!$I$11="OK",J398/INDEX(J$5:J$1258,'Stock Price'!$I$9)-1,"")</f>
        <v>-0.63358510126254208</v>
      </c>
      <c r="X398" s="19">
        <f ca="1">IF('Stock Price'!$I$11="OK",K398/INDEX(K$5:K$1258,'Stock Price'!$I$9)-1,"")</f>
        <v>0.24897119341563778</v>
      </c>
      <c r="Y398" s="19">
        <f ca="1">IF('Stock Price'!$I$11="OK",L398/INDEX(L$5:L$1258,'Stock Price'!$I$9)-1,"")</f>
        <v>-0.21051362430672782</v>
      </c>
      <c r="Z398" s="19">
        <f ca="1">IF('Stock Price'!$I$11="OK",M398/INDEX(M$5:M$1258,'Stock Price'!$I$9)-1,"")</f>
        <v>-0.34097946011948888</v>
      </c>
    </row>
    <row r="399" spans="1:26" x14ac:dyDescent="0.2">
      <c r="A399" s="16">
        <f>'Stock Price'!A399</f>
        <v>45047</v>
      </c>
      <c r="B399" s="17">
        <f>'Stock Price'!E399</f>
        <v>116.34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9.2907468294974205E-2</v>
      </c>
      <c r="P399" s="19">
        <f ca="1">IF('Stock Price'!$I$11="OK",C399/INDEX(C$5:C$1258,'Stock Price'!$I$9)-1,"")</f>
        <v>-0.28396347625234575</v>
      </c>
      <c r="Q399" s="19">
        <f ca="1">IF('Stock Price'!$I$11="OK",D399/INDEX(D$5:D$1258,'Stock Price'!$I$9)-1,"")</f>
        <v>-0.19906938552073361</v>
      </c>
      <c r="R399" s="19">
        <f ca="1">IF('Stock Price'!$I$11="OK",E399/INDEX(E$5:E$1258,'Stock Price'!$I$9)-1,"")</f>
        <v>-0.27060245819061046</v>
      </c>
      <c r="S399" s="19">
        <f ca="1">IF('Stock Price'!$I$11="OK",F399/INDEX(F$5:F$1258,'Stock Price'!$I$9)-1,"")</f>
        <v>-0.23712342079689019</v>
      </c>
      <c r="T399" s="19">
        <f ca="1">IF('Stock Price'!$I$11="OK",G399/INDEX(G$5:G$1258,'Stock Price'!$I$9)-1,"")</f>
        <v>0.10802405142027793</v>
      </c>
      <c r="U399" s="19">
        <f ca="1">IF('Stock Price'!$I$11="OK",H399/INDEX(H$5:H$1258,'Stock Price'!$I$9)-1,"")</f>
        <v>0.57263157894736838</v>
      </c>
      <c r="V399" s="19">
        <f ca="1">IF('Stock Price'!$I$11="OK",I399/INDEX(I$5:I$1258,'Stock Price'!$I$9)-1,"")</f>
        <v>0.55718824463860206</v>
      </c>
      <c r="W399" s="19">
        <f ca="1">IF('Stock Price'!$I$11="OK",J399/INDEX(J$5:J$1258,'Stock Price'!$I$9)-1,"")</f>
        <v>-0.62437520826391202</v>
      </c>
      <c r="X399" s="19">
        <f ca="1">IF('Stock Price'!$I$11="OK",K399/INDEX(K$5:K$1258,'Stock Price'!$I$9)-1,"")</f>
        <v>0.27946127946127963</v>
      </c>
      <c r="Y399" s="19">
        <f ca="1">IF('Stock Price'!$I$11="OK",L399/INDEX(L$5:L$1258,'Stock Price'!$I$9)-1,"")</f>
        <v>-0.2109959006510731</v>
      </c>
      <c r="Z399" s="19">
        <f ca="1">IF('Stock Price'!$I$11="OK",M399/INDEX(M$5:M$1258,'Stock Price'!$I$9)-1,"")</f>
        <v>-0.32968470629279134</v>
      </c>
    </row>
    <row r="400" spans="1:26" x14ac:dyDescent="0.2">
      <c r="A400" s="16">
        <f>'Stock Price'!A400</f>
        <v>45048</v>
      </c>
      <c r="B400" s="17">
        <f>'Stock Price'!E400</f>
        <v>117.89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0.10746829497416632</v>
      </c>
      <c r="P400" s="19">
        <f ca="1">IF('Stock Price'!$I$11="OK",C400/INDEX(C$5:C$1258,'Stock Price'!$I$9)-1,"")</f>
        <v>-0.27698065540638073</v>
      </c>
      <c r="Q400" s="19">
        <f ca="1">IF('Stock Price'!$I$11="OK",D400/INDEX(D$5:D$1258,'Stock Price'!$I$9)-1,"")</f>
        <v>-0.19994525797180784</v>
      </c>
      <c r="R400" s="19">
        <f ca="1">IF('Stock Price'!$I$11="OK",E400/INDEX(E$5:E$1258,'Stock Price'!$I$9)-1,"")</f>
        <v>-0.26758009268587546</v>
      </c>
      <c r="S400" s="19">
        <f ca="1">IF('Stock Price'!$I$11="OK",F400/INDEX(F$5:F$1258,'Stock Price'!$I$9)-1,"")</f>
        <v>-0.23323615160349853</v>
      </c>
      <c r="T400" s="19">
        <f ca="1">IF('Stock Price'!$I$11="OK",G400/INDEX(G$5:G$1258,'Stock Price'!$I$9)-1,"")</f>
        <v>0.10615799295044592</v>
      </c>
      <c r="U400" s="19">
        <f ca="1">IF('Stock Price'!$I$11="OK",H400/INDEX(H$5:H$1258,'Stock Price'!$I$9)-1,"")</f>
        <v>0.50526315789473686</v>
      </c>
      <c r="V400" s="19">
        <f ca="1">IF('Stock Price'!$I$11="OK",I400/INDEX(I$5:I$1258,'Stock Price'!$I$9)-1,"")</f>
        <v>0.55123113582208116</v>
      </c>
      <c r="W400" s="19">
        <f ca="1">IF('Stock Price'!$I$11="OK",J400/INDEX(J$5:J$1258,'Stock Price'!$I$9)-1,"")</f>
        <v>-0.62586545225665513</v>
      </c>
      <c r="X400" s="19">
        <f ca="1">IF('Stock Price'!$I$11="OK",K400/INDEX(K$5:K$1258,'Stock Price'!$I$9)-1,"")</f>
        <v>0.27384960718294038</v>
      </c>
      <c r="Y400" s="19">
        <f ca="1">IF('Stock Price'!$I$11="OK",L400/INDEX(L$5:L$1258,'Stock Price'!$I$9)-1,"")</f>
        <v>-0.20409934892693515</v>
      </c>
      <c r="Z400" s="19">
        <f ca="1">IF('Stock Price'!$I$11="OK",M400/INDEX(M$5:M$1258,'Stock Price'!$I$9)-1,"")</f>
        <v>-0.33879900571279054</v>
      </c>
    </row>
    <row r="401" spans="1:26" x14ac:dyDescent="0.2">
      <c r="A401" s="16">
        <f>'Stock Price'!A401</f>
        <v>45049</v>
      </c>
      <c r="B401" s="17">
        <f>'Stock Price'!E401</f>
        <v>118.22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0.11056834194457488</v>
      </c>
      <c r="P401" s="19">
        <f ca="1">IF('Stock Price'!$I$11="OK",C401/INDEX(C$5:C$1258,'Stock Price'!$I$9)-1,"")</f>
        <v>-0.27062653385303881</v>
      </c>
      <c r="Q401" s="19">
        <f ca="1">IF('Stock Price'!$I$11="OK",D401/INDEX(D$5:D$1258,'Stock Price'!$I$9)-1,"")</f>
        <v>-0.17175311345285338</v>
      </c>
      <c r="R401" s="19">
        <f ca="1">IF('Stock Price'!$I$11="OK",E401/INDEX(E$5:E$1258,'Stock Price'!$I$9)-1,"")</f>
        <v>-0.25770703203707435</v>
      </c>
      <c r="S401" s="19">
        <f ca="1">IF('Stock Price'!$I$11="OK",F401/INDEX(F$5:F$1258,'Stock Price'!$I$9)-1,"")</f>
        <v>-0.23148688046647237</v>
      </c>
      <c r="T401" s="19">
        <f ca="1">IF('Stock Price'!$I$11="OK",G401/INDEX(G$5:G$1258,'Stock Price'!$I$9)-1,"")</f>
        <v>0.12419655815882247</v>
      </c>
      <c r="U401" s="19">
        <f ca="1">IF('Stock Price'!$I$11="OK",H401/INDEX(H$5:H$1258,'Stock Price'!$I$9)-1,"")</f>
        <v>0.50526315789473686</v>
      </c>
      <c r="V401" s="19">
        <f ca="1">IF('Stock Price'!$I$11="OK",I401/INDEX(I$5:I$1258,'Stock Price'!$I$9)-1,"")</f>
        <v>0.52700555996822884</v>
      </c>
      <c r="W401" s="19">
        <f ca="1">IF('Stock Price'!$I$11="OK",J401/INDEX(J$5:J$1258,'Stock Price'!$I$9)-1,"")</f>
        <v>-0.60088303898700435</v>
      </c>
      <c r="X401" s="19">
        <f ca="1">IF('Stock Price'!$I$11="OK",K401/INDEX(K$5:K$1258,'Stock Price'!$I$9)-1,"")</f>
        <v>0.24653946876169108</v>
      </c>
      <c r="Y401" s="19">
        <f ca="1">IF('Stock Price'!$I$11="OK",L401/INDEX(L$5:L$1258,'Stock Price'!$I$9)-1,"")</f>
        <v>-0.21451651796479376</v>
      </c>
      <c r="Z401" s="19">
        <f ca="1">IF('Stock Price'!$I$11="OK",M401/INDEX(M$5:M$1258,'Stock Price'!$I$9)-1,"")</f>
        <v>-0.34913435960054073</v>
      </c>
    </row>
    <row r="402" spans="1:26" x14ac:dyDescent="0.2">
      <c r="A402" s="16">
        <f>'Stock Price'!A402</f>
        <v>45050</v>
      </c>
      <c r="B402" s="17">
        <f>'Stock Price'!E402</f>
        <v>117.37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0.10258337247534044</v>
      </c>
      <c r="P402" s="19">
        <f ca="1">IF('Stock Price'!$I$11="OK",C402/INDEX(C$5:C$1258,'Stock Price'!$I$9)-1,"")</f>
        <v>-0.26943915114768291</v>
      </c>
      <c r="Q402" s="19">
        <f ca="1">IF('Stock Price'!$I$11="OK",D402/INDEX(D$5:D$1258,'Stock Price'!$I$9)-1,"")</f>
        <v>-0.17613247570822499</v>
      </c>
      <c r="R402" s="19">
        <f ca="1">IF('Stock Price'!$I$11="OK",E402/INDEX(E$5:E$1258,'Stock Price'!$I$9)-1,"")</f>
        <v>-0.26032641547451141</v>
      </c>
      <c r="S402" s="19">
        <f ca="1">IF('Stock Price'!$I$11="OK",F402/INDEX(F$5:F$1258,'Stock Price'!$I$9)-1,"")</f>
        <v>-0.22954324586977648</v>
      </c>
      <c r="T402" s="19">
        <f ca="1">IF('Stock Price'!$I$11="OK",G402/INDEX(G$5:G$1258,'Stock Price'!$I$9)-1,"")</f>
        <v>0.13477088948787053</v>
      </c>
      <c r="U402" s="19">
        <f ca="1">IF('Stock Price'!$I$11="OK",H402/INDEX(H$5:H$1258,'Stock Price'!$I$9)-1,"")</f>
        <v>0.52894736842105261</v>
      </c>
      <c r="V402" s="19">
        <f ca="1">IF('Stock Price'!$I$11="OK",I402/INDEX(I$5:I$1258,'Stock Price'!$I$9)-1,"")</f>
        <v>0.5182684670373312</v>
      </c>
      <c r="W402" s="19">
        <f ca="1">IF('Stock Price'!$I$11="OK",J402/INDEX(J$5:J$1258,'Stock Price'!$I$9)-1,"")</f>
        <v>-0.60342848680069605</v>
      </c>
      <c r="X402" s="19">
        <f ca="1">IF('Stock Price'!$I$11="OK",K402/INDEX(K$5:K$1258,'Stock Price'!$I$9)-1,"")</f>
        <v>0.2499064721286941</v>
      </c>
      <c r="Y402" s="19">
        <f ca="1">IF('Stock Price'!$I$11="OK",L402/INDEX(L$5:L$1258,'Stock Price'!$I$9)-1,"")</f>
        <v>-0.21808536291294911</v>
      </c>
      <c r="Z402" s="19">
        <f ca="1">IF('Stock Price'!$I$11="OK",M402/INDEX(M$5:M$1258,'Stock Price'!$I$9)-1,"")</f>
        <v>-0.35737647725786048</v>
      </c>
    </row>
    <row r="403" spans="1:26" x14ac:dyDescent="0.2">
      <c r="A403" s="16">
        <f>'Stock Price'!A403</f>
        <v>45051</v>
      </c>
      <c r="B403" s="17">
        <f>'Stock Price'!E403</f>
        <v>117.68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0.10549553781117904</v>
      </c>
      <c r="P403" s="19">
        <f ca="1">IF('Stock Price'!$I$11="OK",C403/INDEX(C$5:C$1258,'Stock Price'!$I$9)-1,"")</f>
        <v>-0.26874043597516961</v>
      </c>
      <c r="Q403" s="19">
        <f ca="1">IF('Stock Price'!$I$11="OK",D403/INDEX(D$5:D$1258,'Stock Price'!$I$9)-1,"")</f>
        <v>-0.1870808813466539</v>
      </c>
      <c r="R403" s="19">
        <f ca="1">IF('Stock Price'!$I$11="OK",E403/INDEX(E$5:E$1258,'Stock Price'!$I$9)-1,"")</f>
        <v>-0.25488615756598842</v>
      </c>
      <c r="S403" s="19">
        <f ca="1">IF('Stock Price'!$I$11="OK",F403/INDEX(F$5:F$1258,'Stock Price'!$I$9)-1,"")</f>
        <v>-0.22662779397473276</v>
      </c>
      <c r="T403" s="19">
        <f ca="1">IF('Stock Price'!$I$11="OK",G403/INDEX(G$5:G$1258,'Stock Price'!$I$9)-1,"")</f>
        <v>0.15633423180592998</v>
      </c>
      <c r="U403" s="19">
        <f ca="1">IF('Stock Price'!$I$11="OK",H403/INDEX(H$5:H$1258,'Stock Price'!$I$9)-1,"")</f>
        <v>0.54473684210526319</v>
      </c>
      <c r="V403" s="19">
        <f ca="1">IF('Stock Price'!$I$11="OK",I403/INDEX(I$5:I$1258,'Stock Price'!$I$9)-1,"")</f>
        <v>0.52859412231930114</v>
      </c>
      <c r="W403" s="19">
        <f ca="1">IF('Stock Price'!$I$11="OK",J403/INDEX(J$5:J$1258,'Stock Price'!$I$9)-1,"")</f>
        <v>-0.60401162575437817</v>
      </c>
      <c r="X403" s="19">
        <f ca="1">IF('Stock Price'!$I$11="OK",K403/INDEX(K$5:K$1258,'Stock Price'!$I$9)-1,"")</f>
        <v>0.27459783015338579</v>
      </c>
      <c r="Y403" s="19">
        <f ca="1">IF('Stock Price'!$I$11="OK",L403/INDEX(L$5:L$1258,'Stock Price'!$I$9)-1,"")</f>
        <v>-0.21543284301904986</v>
      </c>
      <c r="Z403" s="19">
        <f ca="1">IF('Stock Price'!$I$11="OK",M403/INDEX(M$5:M$1258,'Stock Price'!$I$9)-1,"")</f>
        <v>-0.35445466835288475</v>
      </c>
    </row>
    <row r="404" spans="1:26" x14ac:dyDescent="0.2">
      <c r="A404" s="16">
        <f>'Stock Price'!A404</f>
        <v>45054</v>
      </c>
      <c r="B404" s="17">
        <f>'Stock Price'!E404</f>
        <v>118.38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0.11207139502113672</v>
      </c>
      <c r="P404" s="19">
        <f ca="1">IF('Stock Price'!$I$11="OK",C404/INDEX(C$5:C$1258,'Stock Price'!$I$9)-1,"")</f>
        <v>-0.26741374332322787</v>
      </c>
      <c r="Q404" s="19">
        <f ca="1">IF('Stock Price'!$I$11="OK",D404/INDEX(D$5:D$1258,'Stock Price'!$I$9)-1,"")</f>
        <v>-0.19501792801423301</v>
      </c>
      <c r="R404" s="19">
        <f ca="1">IF('Stock Price'!$I$11="OK",E404/INDEX(E$5:E$1258,'Stock Price'!$I$9)-1,"")</f>
        <v>-0.25911746927261736</v>
      </c>
      <c r="S404" s="19">
        <f ca="1">IF('Stock Price'!$I$11="OK",F404/INDEX(F$5:F$1258,'Stock Price'!$I$9)-1,"")</f>
        <v>-0.22332361516034993</v>
      </c>
      <c r="T404" s="19">
        <f ca="1">IF('Stock Price'!$I$11="OK",G404/INDEX(G$5:G$1258,'Stock Price'!$I$9)-1,"")</f>
        <v>0.13891768608749744</v>
      </c>
      <c r="U404" s="19">
        <f ca="1">IF('Stock Price'!$I$11="OK",H404/INDEX(H$5:H$1258,'Stock Price'!$I$9)-1,"")</f>
        <v>0.53447368421052643</v>
      </c>
      <c r="V404" s="19">
        <f ca="1">IF('Stock Price'!$I$11="OK",I404/INDEX(I$5:I$1258,'Stock Price'!$I$9)-1,"")</f>
        <v>0.53574265289912648</v>
      </c>
      <c r="W404" s="19">
        <f ca="1">IF('Stock Price'!$I$11="OK",J404/INDEX(J$5:J$1258,'Stock Price'!$I$9)-1,"")</f>
        <v>-0.59946684438520492</v>
      </c>
      <c r="X404" s="19">
        <f ca="1">IF('Stock Price'!$I$11="OK",K404/INDEX(K$5:K$1258,'Stock Price'!$I$9)-1,"")</f>
        <v>0.27964833520389076</v>
      </c>
      <c r="Y404" s="19">
        <f ca="1">IF('Stock Price'!$I$11="OK",L404/INDEX(L$5:L$1258,'Stock Price'!$I$9)-1,"")</f>
        <v>-0.21721726549312748</v>
      </c>
      <c r="Z404" s="19">
        <f ca="1">IF('Stock Price'!$I$11="OK",M404/INDEX(M$5:M$1258,'Stock Price'!$I$9)-1,"")</f>
        <v>-0.35698399546465487</v>
      </c>
    </row>
    <row r="405" spans="1:26" x14ac:dyDescent="0.2">
      <c r="A405" s="16">
        <f>'Stock Price'!A405</f>
        <v>45055</v>
      </c>
      <c r="B405" s="17">
        <f>'Stock Price'!E405</f>
        <v>117.43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0.10314701737905119</v>
      </c>
      <c r="P405" s="19">
        <f ca="1">IF('Stock Price'!$I$11="OK",C405/INDEX(C$5:C$1258,'Stock Price'!$I$9)-1,"")</f>
        <v>-0.26888046773495022</v>
      </c>
      <c r="Q405" s="19">
        <f ca="1">IF('Stock Price'!$I$11="OK",D405/INDEX(D$5:D$1258,'Stock Price'!$I$9)-1,"")</f>
        <v>-0.18379690707540719</v>
      </c>
      <c r="R405" s="19">
        <f ca="1">IF('Stock Price'!$I$11="OK",E405/INDEX(E$5:E$1258,'Stock Price'!$I$9)-1,"")</f>
        <v>-0.26556518234938542</v>
      </c>
      <c r="S405" s="19">
        <f ca="1">IF('Stock Price'!$I$11="OK",F405/INDEX(F$5:F$1258,'Stock Price'!$I$9)-1,"")</f>
        <v>-0.22643343051506326</v>
      </c>
      <c r="T405" s="19">
        <f ca="1">IF('Stock Price'!$I$11="OK",G405/INDEX(G$5:G$1258,'Stock Price'!$I$9)-1,"")</f>
        <v>0.14264980302716168</v>
      </c>
      <c r="U405" s="19">
        <f ca="1">IF('Stock Price'!$I$11="OK",H405/INDEX(H$5:H$1258,'Stock Price'!$I$9)-1,"")</f>
        <v>0.53499999999999992</v>
      </c>
      <c r="V405" s="19">
        <f ca="1">IF('Stock Price'!$I$11="OK",I405/INDEX(I$5:I$1258,'Stock Price'!$I$9)-1,"")</f>
        <v>0.52819698173153284</v>
      </c>
      <c r="W405" s="19">
        <f ca="1">IF('Stock Price'!$I$11="OK",J405/INDEX(J$5:J$1258,'Stock Price'!$I$9)-1,"")</f>
        <v>-0.60348402384390387</v>
      </c>
      <c r="X405" s="19">
        <f ca="1">IF('Stock Price'!$I$11="OK",K405/INDEX(K$5:K$1258,'Stock Price'!$I$9)-1,"")</f>
        <v>0.27197904975682752</v>
      </c>
      <c r="Y405" s="19">
        <f ca="1">IF('Stock Price'!$I$11="OK",L405/INDEX(L$5:L$1258,'Stock Price'!$I$9)-1,"")</f>
        <v>-0.22329394743187836</v>
      </c>
      <c r="Z405" s="19">
        <f ca="1">IF('Stock Price'!$I$11="OK",M405/INDEX(M$5:M$1258,'Stock Price'!$I$9)-1,"")</f>
        <v>-0.35968775892896077</v>
      </c>
    </row>
    <row r="406" spans="1:26" x14ac:dyDescent="0.2">
      <c r="A406" s="16">
        <f>'Stock Price'!A406</f>
        <v>45056</v>
      </c>
      <c r="B406" s="17">
        <f>'Stock Price'!E406</f>
        <v>117.9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0.10756223579145141</v>
      </c>
      <c r="P406" s="19">
        <f ca="1">IF('Stock Price'!$I$11="OK",C406/INDEX(C$5:C$1258,'Stock Price'!$I$9)-1,"")</f>
        <v>-0.27635195611375774</v>
      </c>
      <c r="Q406" s="19">
        <f ca="1">IF('Stock Price'!$I$11="OK",D406/INDEX(D$5:D$1258,'Stock Price'!$I$9)-1,"")</f>
        <v>-0.17339537429861784</v>
      </c>
      <c r="R406" s="19">
        <f ca="1">IF('Stock Price'!$I$11="OK",E406/INDEX(E$5:E$1258,'Stock Price'!$I$9)-1,"")</f>
        <v>-0.26395325408019343</v>
      </c>
      <c r="S406" s="19">
        <f ca="1">IF('Stock Price'!$I$11="OK",F406/INDEX(F$5:F$1258,'Stock Price'!$I$9)-1,"")</f>
        <v>-0.23129251700680287</v>
      </c>
      <c r="T406" s="19">
        <f ca="1">IF('Stock Price'!$I$11="OK",G406/INDEX(G$5:G$1258,'Stock Price'!$I$9)-1,"")</f>
        <v>0.13145345220816917</v>
      </c>
      <c r="U406" s="19">
        <f ca="1">IF('Stock Price'!$I$11="OK",H406/INDEX(H$5:H$1258,'Stock Price'!$I$9)-1,"")</f>
        <v>0.5339473684210525</v>
      </c>
      <c r="V406" s="19">
        <f ca="1">IF('Stock Price'!$I$11="OK",I406/INDEX(I$5:I$1258,'Stock Price'!$I$9)-1,"")</f>
        <v>0.5210484511517075</v>
      </c>
      <c r="W406" s="19">
        <f ca="1">IF('Stock Price'!$I$11="OK",J406/INDEX(J$5:J$1258,'Stock Price'!$I$9)-1,"")</f>
        <v>-0.59650486874745456</v>
      </c>
      <c r="X406" s="19">
        <f ca="1">IF('Stock Price'!$I$11="OK",K406/INDEX(K$5:K$1258,'Stock Price'!$I$9)-1,"")</f>
        <v>0.28114478114478092</v>
      </c>
      <c r="Y406" s="19">
        <f ca="1">IF('Stock Price'!$I$11="OK",L406/INDEX(L$5:L$1258,'Stock Price'!$I$9)-1,"")</f>
        <v>-0.22040028936580658</v>
      </c>
      <c r="Z406" s="19">
        <f ca="1">IF('Stock Price'!$I$11="OK",M406/INDEX(M$5:M$1258,'Stock Price'!$I$9)-1,"")</f>
        <v>-0.36147573154245349</v>
      </c>
    </row>
    <row r="407" spans="1:26" x14ac:dyDescent="0.2">
      <c r="A407" s="16">
        <f>'Stock Price'!A407</f>
        <v>45057</v>
      </c>
      <c r="B407" s="17">
        <f>'Stock Price'!E407</f>
        <v>117.55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0.10427430718647246</v>
      </c>
      <c r="P407" s="19">
        <f ca="1">IF('Stock Price'!$I$11="OK",C407/INDEX(C$5:C$1258,'Stock Price'!$I$9)-1,"")</f>
        <v>-0.27781868052547998</v>
      </c>
      <c r="Q407" s="19">
        <f ca="1">IF('Stock Price'!$I$11="OK",D407/INDEX(D$5:D$1258,'Stock Price'!$I$9)-1,"")</f>
        <v>-0.17536608731353509</v>
      </c>
      <c r="R407" s="19">
        <f ca="1">IF('Stock Price'!$I$11="OK",E407/INDEX(E$5:E$1258,'Stock Price'!$I$9)-1,"")</f>
        <v>-0.26899052992141848</v>
      </c>
      <c r="S407" s="19">
        <f ca="1">IF('Stock Price'!$I$11="OK",F407/INDEX(F$5:F$1258,'Stock Price'!$I$9)-1,"")</f>
        <v>-0.23109815354713314</v>
      </c>
      <c r="T407" s="19">
        <f ca="1">IF('Stock Price'!$I$11="OK",G407/INDEX(G$5:G$1258,'Stock Price'!$I$9)-1,"")</f>
        <v>0.12751399543852382</v>
      </c>
      <c r="U407" s="19">
        <f ca="1">IF('Stock Price'!$I$11="OK",H407/INDEX(H$5:H$1258,'Stock Price'!$I$9)-1,"")</f>
        <v>0.41947368421052622</v>
      </c>
      <c r="V407" s="19">
        <f ca="1">IF('Stock Price'!$I$11="OK",I407/INDEX(I$5:I$1258,'Stock Price'!$I$9)-1,"")</f>
        <v>0.49245432883240658</v>
      </c>
      <c r="W407" s="19">
        <f ca="1">IF('Stock Price'!$I$11="OK",J407/INDEX(J$5:J$1258,'Stock Price'!$I$9)-1,"")</f>
        <v>-0.59684734718056931</v>
      </c>
      <c r="X407" s="19">
        <f ca="1">IF('Stock Price'!$I$11="OK",K407/INDEX(K$5:K$1258,'Stock Price'!$I$9)-1,"")</f>
        <v>0.29218106995884763</v>
      </c>
      <c r="Y407" s="19">
        <f ca="1">IF('Stock Price'!$I$11="OK",L407/INDEX(L$5:L$1258,'Stock Price'!$I$9)-1,"")</f>
        <v>-0.22358331323848557</v>
      </c>
      <c r="Z407" s="19">
        <f ca="1">IF('Stock Price'!$I$11="OK",M407/INDEX(M$5:M$1258,'Stock Price'!$I$9)-1,"")</f>
        <v>-0.36073437704417599</v>
      </c>
    </row>
    <row r="408" spans="1:26" x14ac:dyDescent="0.2">
      <c r="A408" s="16">
        <f>'Stock Price'!A408</f>
        <v>45058</v>
      </c>
      <c r="B408" s="17">
        <f>'Stock Price'!E408</f>
        <v>117.14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0.10042273367778298</v>
      </c>
      <c r="P408" s="19">
        <f ca="1">IF('Stock Price'!$I$11="OK",C408/INDEX(C$5:C$1258,'Stock Price'!$I$9)-1,"")</f>
        <v>-0.27977407247004471</v>
      </c>
      <c r="Q408" s="19">
        <f ca="1">IF('Stock Price'!$I$11="OK",D408/INDEX(D$5:D$1258,'Stock Price'!$I$9)-1,"")</f>
        <v>-0.2018606815382511</v>
      </c>
      <c r="R408" s="19">
        <f ca="1">IF('Stock Price'!$I$11="OK",E408/INDEX(E$5:E$1258,'Stock Price'!$I$9)-1,"")</f>
        <v>-0.26395325408019343</v>
      </c>
      <c r="S408" s="19">
        <f ca="1">IF('Stock Price'!$I$11="OK",F408/INDEX(F$5:F$1258,'Stock Price'!$I$9)-1,"")</f>
        <v>-0.22585034013605454</v>
      </c>
      <c r="T408" s="19">
        <f ca="1">IF('Stock Price'!$I$11="OK",G408/INDEX(G$5:G$1258,'Stock Price'!$I$9)-1,"")</f>
        <v>0.12233049968899046</v>
      </c>
      <c r="U408" s="19">
        <f ca="1">IF('Stock Price'!$I$11="OK",H408/INDEX(H$5:H$1258,'Stock Price'!$I$9)-1,"")</f>
        <v>0.41394736842105262</v>
      </c>
      <c r="V408" s="19">
        <f ca="1">IF('Stock Price'!$I$11="OK",I408/INDEX(I$5:I$1258,'Stock Price'!$I$9)-1,"")</f>
        <v>0.48332009531374109</v>
      </c>
      <c r="W408" s="19">
        <f ca="1">IF('Stock Price'!$I$11="OK",J408/INDEX(J$5:J$1258,'Stock Price'!$I$9)-1,"")</f>
        <v>-0.59788403865378204</v>
      </c>
      <c r="X408" s="19">
        <f ca="1">IF('Stock Price'!$I$11="OK",K408/INDEX(K$5:K$1258,'Stock Price'!$I$9)-1,"")</f>
        <v>0.27310138421249541</v>
      </c>
      <c r="Y408" s="19">
        <f ca="1">IF('Stock Price'!$I$11="OK",L408/INDEX(L$5:L$1258,'Stock Price'!$I$9)-1,"")</f>
        <v>-0.22459609356161081</v>
      </c>
      <c r="Z408" s="19">
        <f ca="1">IF('Stock Price'!$I$11="OK",M408/INDEX(M$5:M$1258,'Stock Price'!$I$9)-1,"")</f>
        <v>-0.35829226810867387</v>
      </c>
    </row>
    <row r="409" spans="1:26" x14ac:dyDescent="0.2">
      <c r="A409" s="16">
        <f>'Stock Price'!A409</f>
        <v>45061</v>
      </c>
      <c r="B409" s="17">
        <f>'Stock Price'!E409</f>
        <v>116.37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9.3189290746829467E-2</v>
      </c>
      <c r="P409" s="19">
        <f ca="1">IF('Stock Price'!$I$11="OK",C409/INDEX(C$5:C$1258,'Stock Price'!$I$9)-1,"")</f>
        <v>-0.27991338241663055</v>
      </c>
      <c r="Q409" s="19">
        <f ca="1">IF('Stock Price'!$I$11="OK",D409/INDEX(D$5:D$1258,'Stock Price'!$I$9)-1,"")</f>
        <v>-0.18188093608868205</v>
      </c>
      <c r="R409" s="19">
        <f ca="1">IF('Stock Price'!$I$11="OK",E409/INDEX(E$5:E$1258,'Stock Price'!$I$9)-1,"")</f>
        <v>-0.25891597823896839</v>
      </c>
      <c r="S409" s="19">
        <f ca="1">IF('Stock Price'!$I$11="OK",F409/INDEX(F$5:F$1258,'Stock Price'!$I$9)-1,"")</f>
        <v>-0.22662779397473276</v>
      </c>
      <c r="T409" s="19">
        <f ca="1">IF('Stock Price'!$I$11="OK",G409/INDEX(G$5:G$1258,'Stock Price'!$I$9)-1,"")</f>
        <v>0.13083143271822517</v>
      </c>
      <c r="U409" s="19">
        <f ca="1">IF('Stock Price'!$I$11="OK",H409/INDEX(H$5:H$1258,'Stock Price'!$I$9)-1,"")</f>
        <v>0.40263157894736845</v>
      </c>
      <c r="V409" s="19">
        <f ca="1">IF('Stock Price'!$I$11="OK",I409/INDEX(I$5:I$1258,'Stock Price'!$I$9)-1,"")</f>
        <v>0.47577442414614768</v>
      </c>
      <c r="W409" s="19">
        <f ca="1">IF('Stock Price'!$I$11="OK",J409/INDEX(J$5:J$1258,'Stock Price'!$I$9)-1,"")</f>
        <v>-0.59780998926283835</v>
      </c>
      <c r="X409" s="19">
        <f ca="1">IF('Stock Price'!$I$11="OK",K409/INDEX(K$5:K$1258,'Stock Price'!$I$9)-1,"")</f>
        <v>0.27515899738121963</v>
      </c>
      <c r="Y409" s="19">
        <f ca="1">IF('Stock Price'!$I$11="OK",L409/INDEX(L$5:L$1258,'Stock Price'!$I$9)-1,"")</f>
        <v>-0.23052809259705809</v>
      </c>
      <c r="Z409" s="19">
        <f ca="1">IF('Stock Price'!$I$11="OK",M409/INDEX(M$5:M$1258,'Stock Price'!$I$9)-1,"")</f>
        <v>-0.36073437704417599</v>
      </c>
    </row>
    <row r="410" spans="1:26" x14ac:dyDescent="0.2">
      <c r="A410" s="16">
        <f>'Stock Price'!A410</f>
        <v>45062</v>
      </c>
      <c r="B410" s="17">
        <f>'Stock Price'!E410</f>
        <v>116.08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9.0465007045561263E-2</v>
      </c>
      <c r="P410" s="19">
        <f ca="1">IF('Stock Price'!$I$11="OK",C410/INDEX(C$5:C$1258,'Stock Price'!$I$9)-1,"")</f>
        <v>-0.28207810018767143</v>
      </c>
      <c r="Q410" s="19">
        <f ca="1">IF('Stock Price'!$I$11="OK",D410/INDEX(D$5:D$1258,'Stock Price'!$I$9)-1,"")</f>
        <v>-0.17230053373477494</v>
      </c>
      <c r="R410" s="19">
        <f ca="1">IF('Stock Price'!$I$11="OK",E410/INDEX(E$5:E$1258,'Stock Price'!$I$9)-1,"")</f>
        <v>-0.26516220028208748</v>
      </c>
      <c r="S410" s="19">
        <f ca="1">IF('Stock Price'!$I$11="OK",F410/INDEX(F$5:F$1258,'Stock Price'!$I$9)-1,"")</f>
        <v>-0.23595724003887264</v>
      </c>
      <c r="T410" s="19">
        <f ca="1">IF('Stock Price'!$I$11="OK",G410/INDEX(G$5:G$1258,'Stock Price'!$I$9)-1,"")</f>
        <v>0.13103877254820651</v>
      </c>
      <c r="U410" s="19">
        <f ca="1">IF('Stock Price'!$I$11="OK",H410/INDEX(H$5:H$1258,'Stock Price'!$I$9)-1,"")</f>
        <v>0.41184210526315779</v>
      </c>
      <c r="V410" s="19">
        <f ca="1">IF('Stock Price'!$I$11="OK",I410/INDEX(I$5:I$1258,'Stock Price'!$I$9)-1,"")</f>
        <v>0.46981731532962656</v>
      </c>
      <c r="W410" s="19">
        <f ca="1">IF('Stock Price'!$I$11="OK",J410/INDEX(J$5:J$1258,'Stock Price'!$I$9)-1,"")</f>
        <v>-0.59582916805509267</v>
      </c>
      <c r="X410" s="19">
        <f ca="1">IF('Stock Price'!$I$11="OK",K410/INDEX(K$5:K$1258,'Stock Price'!$I$9)-1,"")</f>
        <v>0.25364758698092027</v>
      </c>
      <c r="Y410" s="19">
        <f ca="1">IF('Stock Price'!$I$11="OK",L410/INDEX(L$5:L$1258,'Stock Price'!$I$9)-1,"")</f>
        <v>-0.23154087292018322</v>
      </c>
      <c r="Z410" s="19">
        <f ca="1">IF('Stock Price'!$I$11="OK",M410/INDEX(M$5:M$1258,'Stock Price'!$I$9)-1,"")</f>
        <v>-0.37512537612838515</v>
      </c>
    </row>
    <row r="411" spans="1:26" x14ac:dyDescent="0.2">
      <c r="A411" s="16">
        <f>'Stock Price'!A411</f>
        <v>45063</v>
      </c>
      <c r="B411" s="17">
        <f>'Stock Price'!E411</f>
        <v>114.76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7.8064819163926824E-2</v>
      </c>
      <c r="P411" s="19">
        <f ca="1">IF('Stock Price'!$I$11="OK",C411/INDEX(C$5:C$1258,'Stock Price'!$I$9)-1,"")</f>
        <v>-0.29318103074924207</v>
      </c>
      <c r="Q411" s="19">
        <f ca="1">IF('Stock Price'!$I$11="OK",D411/INDEX(D$5:D$1258,'Stock Price'!$I$9)-1,"")</f>
        <v>-0.19419734501163277</v>
      </c>
      <c r="R411" s="19">
        <f ca="1">IF('Stock Price'!$I$11="OK",E411/INDEX(E$5:E$1258,'Stock Price'!$I$9)-1,"")</f>
        <v>-0.27181140439250451</v>
      </c>
      <c r="S411" s="19">
        <f ca="1">IF('Stock Price'!$I$11="OK",F411/INDEX(F$5:F$1258,'Stock Price'!$I$9)-1,"")</f>
        <v>-0.22604470359572404</v>
      </c>
      <c r="T411" s="19">
        <f ca="1">IF('Stock Price'!$I$11="OK",G411/INDEX(G$5:G$1258,'Stock Price'!$I$9)-1,"")</f>
        <v>0.1132075471698113</v>
      </c>
      <c r="U411" s="19">
        <f ca="1">IF('Stock Price'!$I$11="OK",H411/INDEX(H$5:H$1258,'Stock Price'!$I$9)-1,"")</f>
        <v>0.41552631578947374</v>
      </c>
      <c r="V411" s="19">
        <f ca="1">IF('Stock Price'!$I$11="OK",I411/INDEX(I$5:I$1258,'Stock Price'!$I$9)-1,"")</f>
        <v>0.45949166004765685</v>
      </c>
      <c r="W411" s="19">
        <f ca="1">IF('Stock Price'!$I$11="OK",J411/INDEX(J$5:J$1258,'Stock Price'!$I$9)-1,"")</f>
        <v>-0.59507016179791916</v>
      </c>
      <c r="X411" s="19">
        <f ca="1">IF('Stock Price'!$I$11="OK",K411/INDEX(K$5:K$1258,'Stock Price'!$I$9)-1,"")</f>
        <v>0.24448185559296665</v>
      </c>
      <c r="Y411" s="19">
        <f ca="1">IF('Stock Price'!$I$11="OK",L411/INDEX(L$5:L$1258,'Stock Price'!$I$9)-1,"")</f>
        <v>-0.2332288401253918</v>
      </c>
      <c r="Z411" s="19">
        <f ca="1">IF('Stock Price'!$I$11="OK",M411/INDEX(M$5:M$1258,'Stock Price'!$I$9)-1,"")</f>
        <v>-0.37486372159958137</v>
      </c>
    </row>
    <row r="412" spans="1:26" x14ac:dyDescent="0.2">
      <c r="A412" s="16">
        <f>'Stock Price'!A412</f>
        <v>45064</v>
      </c>
      <c r="B412" s="17">
        <f>'Stock Price'!E412</f>
        <v>114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7.0925317050258396E-2</v>
      </c>
      <c r="P412" s="19">
        <f ca="1">IF('Stock Price'!$I$11="OK",C412/INDEX(C$5:C$1258,'Stock Price'!$I$9)-1,"")</f>
        <v>-0.29925653240941241</v>
      </c>
      <c r="Q412" s="19">
        <f ca="1">IF('Stock Price'!$I$11="OK",D412/INDEX(D$5:D$1258,'Stock Price'!$I$9)-1,"")</f>
        <v>-0.19835773915423571</v>
      </c>
      <c r="R412" s="19">
        <f ca="1">IF('Stock Price'!$I$11="OK",E412/INDEX(E$5:E$1258,'Stock Price'!$I$9)-1,"")</f>
        <v>-0.29055007052186177</v>
      </c>
      <c r="S412" s="19">
        <f ca="1">IF('Stock Price'!$I$11="OK",F412/INDEX(F$5:F$1258,'Stock Price'!$I$9)-1,"")</f>
        <v>-0.23051506316812442</v>
      </c>
      <c r="T412" s="19">
        <f ca="1">IF('Stock Price'!$I$11="OK",G412/INDEX(G$5:G$1258,'Stock Price'!$I$9)-1,"")</f>
        <v>0.1167323242794942</v>
      </c>
      <c r="U412" s="19">
        <f ca="1">IF('Stock Price'!$I$11="OK",H412/INDEX(H$5:H$1258,'Stock Price'!$I$9)-1,"")</f>
        <v>0.42394736842105263</v>
      </c>
      <c r="V412" s="19">
        <f ca="1">IF('Stock Price'!$I$11="OK",I412/INDEX(I$5:I$1258,'Stock Price'!$I$9)-1,"")</f>
        <v>0.44876886417791884</v>
      </c>
      <c r="W412" s="19">
        <f ca="1">IF('Stock Price'!$I$11="OK",J412/INDEX(J$5:J$1258,'Stock Price'!$I$9)-1,"")</f>
        <v>-0.59468140249546453</v>
      </c>
      <c r="X412" s="19">
        <f ca="1">IF('Stock Price'!$I$11="OK",K412/INDEX(K$5:K$1258,'Stock Price'!$I$9)-1,"")</f>
        <v>0.22895622895622902</v>
      </c>
      <c r="Y412" s="19">
        <f ca="1">IF('Stock Price'!$I$11="OK",L412/INDEX(L$5:L$1258,'Stock Price'!$I$9)-1,"")</f>
        <v>-0.23568844948155299</v>
      </c>
      <c r="Z412" s="19">
        <f ca="1">IF('Stock Price'!$I$11="OK",M412/INDEX(M$5:M$1258,'Stock Price'!$I$9)-1,"")</f>
        <v>-0.37447123980637564</v>
      </c>
    </row>
    <row r="413" spans="1:26" x14ac:dyDescent="0.2">
      <c r="A413" s="16">
        <f>'Stock Price'!A413</f>
        <v>45065</v>
      </c>
      <c r="B413" s="17">
        <f>'Stock Price'!E413</f>
        <v>115.49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8.4922498825739767E-2</v>
      </c>
      <c r="P413" s="19">
        <f ca="1">IF('Stock Price'!$I$11="OK",C413/INDEX(C$5:C$1258,'Stock Price'!$I$9)-1,"")</f>
        <v>-0.29604446369279624</v>
      </c>
      <c r="Q413" s="19">
        <f ca="1">IF('Stock Price'!$I$11="OK",D413/INDEX(D$5:D$1258,'Stock Price'!$I$9)-1,"")</f>
        <v>-0.1736143424113864</v>
      </c>
      <c r="R413" s="19">
        <f ca="1">IF('Stock Price'!$I$11="OK",E413/INDEX(E$5:E$1258,'Stock Price'!$I$9)-1,"")</f>
        <v>-0.28249042917590172</v>
      </c>
      <c r="S413" s="19">
        <f ca="1">IF('Stock Price'!$I$11="OK",F413/INDEX(F$5:F$1258,'Stock Price'!$I$9)-1,"")</f>
        <v>-0.22215743440233238</v>
      </c>
      <c r="T413" s="19">
        <f ca="1">IF('Stock Price'!$I$11="OK",G413/INDEX(G$5:G$1258,'Stock Price'!$I$9)-1,"")</f>
        <v>0.14099108438731101</v>
      </c>
      <c r="U413" s="19">
        <f ca="1">IF('Stock Price'!$I$11="OK",H413/INDEX(H$5:H$1258,'Stock Price'!$I$9)-1,"")</f>
        <v>0.43657894736842118</v>
      </c>
      <c r="V413" s="19">
        <f ca="1">IF('Stock Price'!$I$11="OK",I413/INDEX(I$5:I$1258,'Stock Price'!$I$9)-1,"")</f>
        <v>0.46028594122319322</v>
      </c>
      <c r="W413" s="19">
        <f ca="1">IF('Stock Price'!$I$11="OK",J413/INDEX(J$5:J$1258,'Stock Price'!$I$9)-1,"")</f>
        <v>-0.59052538042874592</v>
      </c>
      <c r="X413" s="19">
        <f ca="1">IF('Stock Price'!$I$11="OK",K413/INDEX(K$5:K$1258,'Stock Price'!$I$9)-1,"")</f>
        <v>0.23157500935278708</v>
      </c>
      <c r="Y413" s="19">
        <f ca="1">IF('Stock Price'!$I$11="OK",L413/INDEX(L$5:L$1258,'Stock Price'!$I$9)-1,"")</f>
        <v>-0.23361466120086805</v>
      </c>
      <c r="Z413" s="19">
        <f ca="1">IF('Stock Price'!$I$11="OK",M413/INDEX(M$5:M$1258,'Stock Price'!$I$9)-1,"")</f>
        <v>-0.36718852208800312</v>
      </c>
    </row>
    <row r="414" spans="1:26" x14ac:dyDescent="0.2">
      <c r="A414" s="16">
        <f>'Stock Price'!A414</f>
        <v>45068</v>
      </c>
      <c r="B414" s="17">
        <f>'Stock Price'!E414</f>
        <v>114.49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7.5528417097228573E-2</v>
      </c>
      <c r="P414" s="19">
        <f ca="1">IF('Stock Price'!$I$11="OK",C414/INDEX(C$5:C$1258,'Stock Price'!$I$9)-1,"")</f>
        <v>-0.29653313122563885</v>
      </c>
      <c r="Q414" s="19">
        <f ca="1">IF('Stock Price'!$I$11="OK",D414/INDEX(D$5:D$1258,'Stock Price'!$I$9)-1,"")</f>
        <v>-0.19036540303818261</v>
      </c>
      <c r="R414" s="19">
        <f ca="1">IF('Stock Price'!$I$11="OK",E414/INDEX(E$5:E$1258,'Stock Price'!$I$9)-1,"")</f>
        <v>-0.28772919605077574</v>
      </c>
      <c r="S414" s="19">
        <f ca="1">IF('Stock Price'!$I$11="OK",F414/INDEX(F$5:F$1258,'Stock Price'!$I$9)-1,"")</f>
        <v>-0.22721088435374159</v>
      </c>
      <c r="T414" s="19">
        <f ca="1">IF('Stock Price'!$I$11="OK",G414/INDEX(G$5:G$1258,'Stock Price'!$I$9)-1,"")</f>
        <v>0.11922040223927022</v>
      </c>
      <c r="U414" s="19">
        <f ca="1">IF('Stock Price'!$I$11="OK",H414/INDEX(H$5:H$1258,'Stock Price'!$I$9)-1,"")</f>
        <v>0.41894736842105273</v>
      </c>
      <c r="V414" s="19">
        <f ca="1">IF('Stock Price'!$I$11="OK",I414/INDEX(I$5:I$1258,'Stock Price'!$I$9)-1,"")</f>
        <v>0.53891977760127086</v>
      </c>
      <c r="W414" s="19">
        <f ca="1">IF('Stock Price'!$I$11="OK",J414/INDEX(J$5:J$1258,'Stock Price'!$I$9)-1,"")</f>
        <v>-0.59829131030397265</v>
      </c>
      <c r="X414" s="19">
        <f ca="1">IF('Stock Price'!$I$11="OK",K414/INDEX(K$5:K$1258,'Stock Price'!$I$9)-1,"")</f>
        <v>0.23101384212495324</v>
      </c>
      <c r="Y414" s="19">
        <f ca="1">IF('Stock Price'!$I$11="OK",L414/INDEX(L$5:L$1258,'Stock Price'!$I$9)-1,"")</f>
        <v>-0.24345309862551234</v>
      </c>
      <c r="Z414" s="19">
        <f ca="1">IF('Stock Price'!$I$11="OK",M414/INDEX(M$5:M$1258,'Stock Price'!$I$9)-1,"")</f>
        <v>-0.3681043129388164</v>
      </c>
    </row>
    <row r="415" spans="1:26" x14ac:dyDescent="0.2">
      <c r="A415" s="16">
        <f>'Stock Price'!A415</f>
        <v>45069</v>
      </c>
      <c r="B415" s="17">
        <f>'Stock Price'!E415</f>
        <v>113.27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6.4067637388445231E-2</v>
      </c>
      <c r="P415" s="19">
        <f ca="1">IF('Stock Price'!$I$11="OK",C415/INDEX(C$5:C$1258,'Stock Price'!$I$9)-1,"")</f>
        <v>-0.29995452576873094</v>
      </c>
      <c r="Q415" s="19">
        <f ca="1">IF('Stock Price'!$I$11="OK",D415/INDEX(D$5:D$1258,'Stock Price'!$I$9)-1,"")</f>
        <v>-0.19014643492541405</v>
      </c>
      <c r="R415" s="19">
        <f ca="1">IF('Stock Price'!$I$11="OK",E415/INDEX(E$5:E$1258,'Stock Price'!$I$9)-1,"")</f>
        <v>-0.28631875881523272</v>
      </c>
      <c r="S415" s="19">
        <f ca="1">IF('Stock Price'!$I$11="OK",F415/INDEX(F$5:F$1258,'Stock Price'!$I$9)-1,"")</f>
        <v>-0.22934888241010698</v>
      </c>
      <c r="T415" s="19">
        <f ca="1">IF('Stock Price'!$I$11="OK",G415/INDEX(G$5:G$1258,'Stock Price'!$I$9)-1,"")</f>
        <v>0.12772133526850515</v>
      </c>
      <c r="U415" s="19">
        <f ca="1">IF('Stock Price'!$I$11="OK",H415/INDEX(H$5:H$1258,'Stock Price'!$I$9)-1,"")</f>
        <v>0.4223684210526315</v>
      </c>
      <c r="V415" s="19">
        <f ca="1">IF('Stock Price'!$I$11="OK",I415/INDEX(I$5:I$1258,'Stock Price'!$I$9)-1,"")</f>
        <v>0.57426528991262904</v>
      </c>
      <c r="W415" s="19">
        <f ca="1">IF('Stock Price'!$I$11="OK",J415/INDEX(J$5:J$1258,'Stock Price'!$I$9)-1,"")</f>
        <v>-0.60826946573364427</v>
      </c>
      <c r="X415" s="19">
        <f ca="1">IF('Stock Price'!$I$11="OK",K415/INDEX(K$5:K$1258,'Stock Price'!$I$9)-1,"")</f>
        <v>0.24448185559296665</v>
      </c>
      <c r="Y415" s="19">
        <f ca="1">IF('Stock Price'!$I$11="OK",L415/INDEX(L$5:L$1258,'Stock Price'!$I$9)-1,"")</f>
        <v>-0.24374246443211955</v>
      </c>
      <c r="Z415" s="19">
        <f ca="1">IF('Stock Price'!$I$11="OK",M415/INDEX(M$5:M$1258,'Stock Price'!$I$9)-1,"")</f>
        <v>-0.37848327591470055</v>
      </c>
    </row>
    <row r="416" spans="1:26" x14ac:dyDescent="0.2">
      <c r="A416" s="16">
        <f>'Stock Price'!A416</f>
        <v>45070</v>
      </c>
      <c r="B416" s="17">
        <f>'Stock Price'!E416</f>
        <v>113.6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6.7167684358853785E-2</v>
      </c>
      <c r="P416" s="19">
        <f ca="1">IF('Stock Price'!$I$11="OK",C416/INDEX(C$5:C$1258,'Stock Price'!$I$9)-1,"")</f>
        <v>-0.3014912660603436</v>
      </c>
      <c r="Q416" s="19">
        <f ca="1">IF('Stock Price'!$I$11="OK",D416/INDEX(D$5:D$1258,'Stock Price'!$I$9)-1,"")</f>
        <v>-0.21308334473792256</v>
      </c>
      <c r="R416" s="19">
        <f ca="1">IF('Stock Price'!$I$11="OK",E416/INDEX(E$5:E$1258,'Stock Price'!$I$9)-1,"")</f>
        <v>-0.30102760427161002</v>
      </c>
      <c r="S416" s="19">
        <f ca="1">IF('Stock Price'!$I$11="OK",F416/INDEX(F$5:F$1258,'Stock Price'!$I$9)-1,"")</f>
        <v>-0.22546161321671532</v>
      </c>
      <c r="T416" s="19">
        <f ca="1">IF('Stock Price'!$I$11="OK",G416/INDEX(G$5:G$1258,'Stock Price'!$I$9)-1,"")</f>
        <v>0.11901306240928888</v>
      </c>
      <c r="U416" s="19">
        <f ca="1">IF('Stock Price'!$I$11="OK",H416/INDEX(H$5:H$1258,'Stock Price'!$I$9)-1,"")</f>
        <v>0.41999999999999993</v>
      </c>
      <c r="V416" s="19">
        <f ca="1">IF('Stock Price'!$I$11="OK",I416/INDEX(I$5:I$1258,'Stock Price'!$I$9)-1,"")</f>
        <v>0.53415409054805418</v>
      </c>
      <c r="W416" s="19">
        <f ca="1">IF('Stock Price'!$I$11="OK",J416/INDEX(J$5:J$1258,'Stock Price'!$I$9)-1,"")</f>
        <v>-0.60589988522344407</v>
      </c>
      <c r="X416" s="19">
        <f ca="1">IF('Stock Price'!$I$11="OK",K416/INDEX(K$5:K$1258,'Stock Price'!$I$9)-1,"")</f>
        <v>0.22465394687616902</v>
      </c>
      <c r="Y416" s="19">
        <f ca="1">IF('Stock Price'!$I$11="OK",L416/INDEX(L$5:L$1258,'Stock Price'!$I$9)-1,"")</f>
        <v>-0.24446587894863758</v>
      </c>
      <c r="Z416" s="19">
        <f ca="1">IF('Stock Price'!$I$11="OK",M416/INDEX(M$5:M$1258,'Stock Price'!$I$9)-1,"")</f>
        <v>-0.38445772098905406</v>
      </c>
    </row>
    <row r="417" spans="1:26" x14ac:dyDescent="0.2">
      <c r="A417" s="16">
        <f>'Stock Price'!A417</f>
        <v>45071</v>
      </c>
      <c r="B417" s="17">
        <f>'Stock Price'!E417</f>
        <v>112.3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5.4955378111789521E-2</v>
      </c>
      <c r="P417" s="19">
        <f ca="1">IF('Stock Price'!$I$11="OK",C417/INDEX(C$5:C$1258,'Stock Price'!$I$9)-1,"")</f>
        <v>-0.31720297387036234</v>
      </c>
      <c r="Q417" s="19">
        <f ca="1">IF('Stock Price'!$I$11="OK",D417/INDEX(D$5:D$1258,'Stock Price'!$I$9)-1,"")</f>
        <v>-0.20481729848090879</v>
      </c>
      <c r="R417" s="19">
        <f ca="1">IF('Stock Price'!$I$11="OK",E417/INDEX(E$5:E$1258,'Stock Price'!$I$9)-1,"")</f>
        <v>-0.31271408422325209</v>
      </c>
      <c r="S417" s="19">
        <f ca="1">IF('Stock Price'!$I$11="OK",F417/INDEX(F$5:F$1258,'Stock Price'!$I$9)-1,"")</f>
        <v>-0.22448979591836737</v>
      </c>
      <c r="T417" s="19">
        <f ca="1">IF('Stock Price'!$I$11="OK",G417/INDEX(G$5:G$1258,'Stock Price'!$I$9)-1,"")</f>
        <v>9.0400165871864058E-2</v>
      </c>
      <c r="U417" s="19">
        <f ca="1">IF('Stock Price'!$I$11="OK",H417/INDEX(H$5:H$1258,'Stock Price'!$I$9)-1,"")</f>
        <v>0.40473684210526328</v>
      </c>
      <c r="V417" s="19">
        <f ca="1">IF('Stock Price'!$I$11="OK",I417/INDEX(I$5:I$1258,'Stock Price'!$I$9)-1,"")</f>
        <v>0.50238284352660845</v>
      </c>
      <c r="W417" s="19">
        <f ca="1">IF('Stock Price'!$I$11="OK",J417/INDEX(J$5:J$1258,'Stock Price'!$I$9)-1,"")</f>
        <v>-0.6044744344477766</v>
      </c>
      <c r="X417" s="19">
        <f ca="1">IF('Stock Price'!$I$11="OK",K417/INDEX(K$5:K$1258,'Stock Price'!$I$9)-1,"")</f>
        <v>0.20763187429854102</v>
      </c>
      <c r="Y417" s="19">
        <f ca="1">IF('Stock Price'!$I$11="OK",L417/INDEX(L$5:L$1258,'Stock Price'!$I$9)-1,"")</f>
        <v>-0.25531709669640701</v>
      </c>
      <c r="Z417" s="19">
        <f ca="1">IF('Stock Price'!$I$11="OK",M417/INDEX(M$5:M$1258,'Stock Price'!$I$9)-1,"")</f>
        <v>-0.39549082028694782</v>
      </c>
    </row>
    <row r="418" spans="1:26" x14ac:dyDescent="0.2">
      <c r="A418" s="16">
        <f>'Stock Price'!A418</f>
        <v>45072</v>
      </c>
      <c r="B418" s="17">
        <f>'Stock Price'!E418</f>
        <v>111.07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4.340065758572087E-2</v>
      </c>
      <c r="P418" s="19">
        <f ca="1">IF('Stock Price'!$I$11="OK",C418/INDEX(C$5:C$1258,'Stock Price'!$I$9)-1,"")</f>
        <v>-0.31664429045762954</v>
      </c>
      <c r="Q418" s="19">
        <f ca="1">IF('Stock Price'!$I$11="OK",D418/INDEX(D$5:D$1258,'Stock Price'!$I$9)-1,"")</f>
        <v>-0.20870398248255095</v>
      </c>
      <c r="R418" s="19">
        <f ca="1">IF('Stock Price'!$I$11="OK",E418/INDEX(E$5:E$1258,'Stock Price'!$I$9)-1,"")</f>
        <v>-0.31009470078581503</v>
      </c>
      <c r="S418" s="19">
        <f ca="1">IF('Stock Price'!$I$11="OK",F418/INDEX(F$5:F$1258,'Stock Price'!$I$9)-1,"")</f>
        <v>-0.21749271137026249</v>
      </c>
      <c r="T418" s="19">
        <f ca="1">IF('Stock Price'!$I$11="OK",G418/INDEX(G$5:G$1258,'Stock Price'!$I$9)-1,"")</f>
        <v>8.8741447232013382E-2</v>
      </c>
      <c r="U418" s="19">
        <f ca="1">IF('Stock Price'!$I$11="OK",H418/INDEX(H$5:H$1258,'Stock Price'!$I$9)-1,"")</f>
        <v>0.43157894736842106</v>
      </c>
      <c r="V418" s="19">
        <f ca="1">IF('Stock Price'!$I$11="OK",I418/INDEX(I$5:I$1258,'Stock Price'!$I$9)-1,"")</f>
        <v>0.49324861000794296</v>
      </c>
      <c r="W418" s="19">
        <f ca="1">IF('Stock Price'!$I$11="OK",J418/INDEX(J$5:J$1258,'Stock Price'!$I$9)-1,"")</f>
        <v>-0.60588137287570798</v>
      </c>
      <c r="X418" s="19">
        <f ca="1">IF('Stock Price'!$I$11="OK",K418/INDEX(K$5:K$1258,'Stock Price'!$I$9)-1,"")</f>
        <v>0.19378974934530491</v>
      </c>
      <c r="Y418" s="19">
        <f ca="1">IF('Stock Price'!$I$11="OK",L418/INDEX(L$5:L$1258,'Stock Price'!$I$9)-1,"")</f>
        <v>-0.25560646250301422</v>
      </c>
      <c r="Z418" s="19">
        <f ca="1">IF('Stock Price'!$I$11="OK",M418/INDEX(M$5:M$1258,'Stock Price'!$I$9)-1,"")</f>
        <v>-0.40011338362914828</v>
      </c>
    </row>
    <row r="419" spans="1:26" x14ac:dyDescent="0.2">
      <c r="A419" s="16">
        <f>'Stock Price'!A419</f>
        <v>45076</v>
      </c>
      <c r="B419" s="17">
        <f>'Stock Price'!E419</f>
        <v>109.17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2.5551902301550022E-2</v>
      </c>
      <c r="P419" s="19">
        <f ca="1">IF('Stock Price'!$I$11="OK",C419/INDEX(C$5:C$1258,'Stock Price'!$I$9)-1,"")</f>
        <v>-0.32579182907463544</v>
      </c>
      <c r="Q419" s="19">
        <f ca="1">IF('Stock Price'!$I$11="OK",D419/INDEX(D$5:D$1258,'Stock Price'!$I$9)-1,"")</f>
        <v>-0.22737156151635418</v>
      </c>
      <c r="R419" s="19">
        <f ca="1">IF('Stock Price'!$I$11="OK",E419/INDEX(E$5:E$1258,'Stock Price'!$I$9)-1,"")</f>
        <v>-0.31775136006447713</v>
      </c>
      <c r="S419" s="19">
        <f ca="1">IF('Stock Price'!$I$11="OK",F419/INDEX(F$5:F$1258,'Stock Price'!$I$9)-1,"")</f>
        <v>-0.22546161321671532</v>
      </c>
      <c r="T419" s="19">
        <f ca="1">IF('Stock Price'!$I$11="OK",G419/INDEX(G$5:G$1258,'Stock Price'!$I$9)-1,"")</f>
        <v>4.6029442255857367E-2</v>
      </c>
      <c r="U419" s="19">
        <f ca="1">IF('Stock Price'!$I$11="OK",H419/INDEX(H$5:H$1258,'Stock Price'!$I$9)-1,"")</f>
        <v>0.40578947368421048</v>
      </c>
      <c r="V419" s="19">
        <f ca="1">IF('Stock Price'!$I$11="OK",I419/INDEX(I$5:I$1258,'Stock Price'!$I$9)-1,"")</f>
        <v>0.46981731532962656</v>
      </c>
      <c r="W419" s="19">
        <f ca="1">IF('Stock Price'!$I$11="OK",J419/INDEX(J$5:J$1258,'Stock Price'!$I$9)-1,"")</f>
        <v>-0.60453922766485246</v>
      </c>
      <c r="X419" s="19">
        <f ca="1">IF('Stock Price'!$I$11="OK",K419/INDEX(K$5:K$1258,'Stock Price'!$I$9)-1,"")</f>
        <v>0.19173213617658069</v>
      </c>
      <c r="Y419" s="19">
        <f ca="1">IF('Stock Price'!$I$11="OK",L419/INDEX(L$5:L$1258,'Stock Price'!$I$9)-1,"")</f>
        <v>-0.25551000723414508</v>
      </c>
      <c r="Z419" s="19">
        <f ca="1">IF('Stock Price'!$I$11="OK",M419/INDEX(M$5:M$1258,'Stock Price'!$I$9)-1,"")</f>
        <v>-0.40499760150015263</v>
      </c>
    </row>
    <row r="420" spans="1:26" x14ac:dyDescent="0.2">
      <c r="A420" s="16">
        <f>'Stock Price'!A420</f>
        <v>45077</v>
      </c>
      <c r="B420" s="17">
        <f>'Stock Price'!E420</f>
        <v>110.41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3.7200563644903761E-2</v>
      </c>
      <c r="P420" s="19">
        <f ca="1">IF('Stock Price'!$I$11="OK",C420/INDEX(C$5:C$1258,'Stock Price'!$I$9)-1,"")</f>
        <v>-0.32788653096578602</v>
      </c>
      <c r="Q420" s="19">
        <f ca="1">IF('Stock Price'!$I$11="OK",D420/INDEX(D$5:D$1258,'Stock Price'!$I$9)-1,"")</f>
        <v>-0.20032845216915285</v>
      </c>
      <c r="R420" s="19">
        <f ca="1">IF('Stock Price'!$I$11="OK",E420/INDEX(E$5:E$1258,'Stock Price'!$I$9)-1,"")</f>
        <v>-0.32299012693935125</v>
      </c>
      <c r="S420" s="19">
        <f ca="1">IF('Stock Price'!$I$11="OK",F420/INDEX(F$5:F$1258,'Stock Price'!$I$9)-1,"")</f>
        <v>-0.23051506316812442</v>
      </c>
      <c r="T420" s="19">
        <f ca="1">IF('Stock Price'!$I$11="OK",G420/INDEX(G$5:G$1258,'Stock Price'!$I$9)-1,"")</f>
        <v>5.7847812564793877E-2</v>
      </c>
      <c r="U420" s="19">
        <f ca="1">IF('Stock Price'!$I$11="OK",H420/INDEX(H$5:H$1258,'Stock Price'!$I$9)-1,"")</f>
        <v>0.37210526315789472</v>
      </c>
      <c r="V420" s="19">
        <f ca="1">IF('Stock Price'!$I$11="OK",I420/INDEX(I$5:I$1258,'Stock Price'!$I$9)-1,"")</f>
        <v>0.50992851469420186</v>
      </c>
      <c r="W420" s="19">
        <f ca="1">IF('Stock Price'!$I$11="OK",J420/INDEX(J$5:J$1258,'Stock Price'!$I$9)-1,"")</f>
        <v>-0.6024843570661631</v>
      </c>
      <c r="X420" s="19">
        <f ca="1">IF('Stock Price'!$I$11="OK",K420/INDEX(K$5:K$1258,'Stock Price'!$I$9)-1,"")</f>
        <v>0.20538720538720523</v>
      </c>
      <c r="Y420" s="19">
        <f ca="1">IF('Stock Price'!$I$11="OK",L420/INDEX(L$5:L$1258,'Stock Price'!$I$9)-1,"")</f>
        <v>-0.25218230045816248</v>
      </c>
      <c r="Z420" s="19">
        <f ca="1">IF('Stock Price'!$I$11="OK",M420/INDEX(M$5:M$1258,'Stock Price'!$I$9)-1,"")</f>
        <v>-0.39836902010378961</v>
      </c>
    </row>
    <row r="421" spans="1:26" x14ac:dyDescent="0.2">
      <c r="A421" s="16">
        <f>'Stock Price'!A421</f>
        <v>45078</v>
      </c>
      <c r="B421" s="17">
        <f>'Stock Price'!E421</f>
        <v>110.93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4.2085486143729423E-2</v>
      </c>
      <c r="P421" s="19">
        <f ca="1">IF('Stock Price'!$I$11="OK",C421/INDEX(C$5:C$1258,'Stock Price'!$I$9)-1,"")</f>
        <v>-0.32188104518550598</v>
      </c>
      <c r="Q421" s="19">
        <f ca="1">IF('Stock Price'!$I$11="OK",D421/INDEX(D$5:D$1258,'Stock Price'!$I$9)-1,"")</f>
        <v>-0.19146024360202551</v>
      </c>
      <c r="R421" s="19">
        <f ca="1">IF('Stock Price'!$I$11="OK",E421/INDEX(E$5:E$1258,'Stock Price'!$I$9)-1,"")</f>
        <v>-0.31896030626637129</v>
      </c>
      <c r="S421" s="19">
        <f ca="1">IF('Stock Price'!$I$11="OK",F421/INDEX(F$5:F$1258,'Stock Price'!$I$9)-1,"")</f>
        <v>-0.22312925170068032</v>
      </c>
      <c r="T421" s="19">
        <f ca="1">IF('Stock Price'!$I$11="OK",G421/INDEX(G$5:G$1258,'Stock Price'!$I$9)-1,"")</f>
        <v>4.6236782085838701E-2</v>
      </c>
      <c r="U421" s="19">
        <f ca="1">IF('Stock Price'!$I$11="OK",H421/INDEX(H$5:H$1258,'Stock Price'!$I$9)-1,"")</f>
        <v>0.36578947368421044</v>
      </c>
      <c r="V421" s="19">
        <f ca="1">IF('Stock Price'!$I$11="OK",I421/INDEX(I$5:I$1258,'Stock Price'!$I$9)-1,"")</f>
        <v>0.50992851469420186</v>
      </c>
      <c r="W421" s="19">
        <f ca="1">IF('Stock Price'!$I$11="OK",J421/INDEX(J$5:J$1258,'Stock Price'!$I$9)-1,"")</f>
        <v>-0.59597726683698027</v>
      </c>
      <c r="X421" s="19">
        <f ca="1">IF('Stock Price'!$I$11="OK",K421/INDEX(K$5:K$1258,'Stock Price'!$I$9)-1,"")</f>
        <v>0.20987654320987659</v>
      </c>
      <c r="Y421" s="19">
        <f ca="1">IF('Stock Price'!$I$11="OK",L421/INDEX(L$5:L$1258,'Stock Price'!$I$9)-1,"")</f>
        <v>-0.25469013744875812</v>
      </c>
      <c r="Z421" s="19">
        <f ca="1">IF('Stock Price'!$I$11="OK",M421/INDEX(M$5:M$1258,'Stock Price'!$I$9)-1,"")</f>
        <v>-0.41808032794034278</v>
      </c>
    </row>
    <row r="422" spans="1:26" x14ac:dyDescent="0.2">
      <c r="A422" s="16">
        <f>'Stock Price'!A422</f>
        <v>45079</v>
      </c>
      <c r="B422" s="17">
        <f>'Stock Price'!E422</f>
        <v>112.52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5.7022076092061891E-2</v>
      </c>
      <c r="P422" s="19">
        <f ca="1">IF('Stock Price'!$I$11="OK",C422/INDEX(C$5:C$1258,'Stock Price'!$I$9)-1,"")</f>
        <v>-0.30931211202540776</v>
      </c>
      <c r="Q422" s="19">
        <f ca="1">IF('Stock Price'!$I$11="OK",D422/INDEX(D$5:D$1258,'Stock Price'!$I$9)-1,"")</f>
        <v>-0.19463528123716989</v>
      </c>
      <c r="R422" s="19">
        <f ca="1">IF('Stock Price'!$I$11="OK",E422/INDEX(E$5:E$1258,'Stock Price'!$I$9)-1,"")</f>
        <v>-0.31271408422325209</v>
      </c>
      <c r="S422" s="19">
        <f ca="1">IF('Stock Price'!$I$11="OK",F422/INDEX(F$5:F$1258,'Stock Price'!$I$9)-1,"")</f>
        <v>-0.21496598639455788</v>
      </c>
      <c r="T422" s="19">
        <f ca="1">IF('Stock Price'!$I$11="OK",G422/INDEX(G$5:G$1258,'Stock Price'!$I$9)-1,"")</f>
        <v>5.764047273481232E-2</v>
      </c>
      <c r="U422" s="19">
        <f ca="1">IF('Stock Price'!$I$11="OK",H422/INDEX(H$5:H$1258,'Stock Price'!$I$9)-1,"")</f>
        <v>0.3844736842105263</v>
      </c>
      <c r="V422" s="19">
        <f ca="1">IF('Stock Price'!$I$11="OK",I422/INDEX(I$5:I$1258,'Stock Price'!$I$9)-1,"")</f>
        <v>0.52343129467831617</v>
      </c>
      <c r="W422" s="19">
        <f ca="1">IF('Stock Price'!$I$11="OK",J422/INDEX(J$5:J$1258,'Stock Price'!$I$9)-1,"")</f>
        <v>-0.5905716612980858</v>
      </c>
      <c r="X422" s="19">
        <f ca="1">IF('Stock Price'!$I$11="OK",K422/INDEX(K$5:K$1258,'Stock Price'!$I$9)-1,"")</f>
        <v>0.22820800598578361</v>
      </c>
      <c r="Y422" s="19">
        <f ca="1">IF('Stock Price'!$I$11="OK",L422/INDEX(L$5:L$1258,'Stock Price'!$I$9)-1,"")</f>
        <v>-0.24297082228116706</v>
      </c>
      <c r="Z422" s="19">
        <f ca="1">IF('Stock Price'!$I$11="OK",M422/INDEX(M$5:M$1258,'Stock Price'!$I$9)-1,"")</f>
        <v>-0.40312241071039201</v>
      </c>
    </row>
    <row r="423" spans="1:26" x14ac:dyDescent="0.2">
      <c r="A423" s="16">
        <f>'Stock Price'!A423</f>
        <v>45082</v>
      </c>
      <c r="B423" s="17">
        <f>'Stock Price'!E423</f>
        <v>113.11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6.2564584311883387E-2</v>
      </c>
      <c r="P423" s="19">
        <f ca="1">IF('Stock Price'!$I$11="OK",C423/INDEX(C$5:C$1258,'Stock Price'!$I$9)-1,"")</f>
        <v>-0.30610004330879159</v>
      </c>
      <c r="Q423" s="19">
        <f ca="1">IF('Stock Price'!$I$11="OK",D423/INDEX(D$5:D$1258,'Stock Price'!$I$9)-1,"")</f>
        <v>-0.20521417818530185</v>
      </c>
      <c r="R423" s="19">
        <f ca="1">IF('Stock Price'!$I$11="OK",E423/INDEX(E$5:E$1258,'Stock Price'!$I$9)-1,"")</f>
        <v>-0.30928873665121903</v>
      </c>
      <c r="S423" s="19">
        <f ca="1">IF('Stock Price'!$I$11="OK",F423/INDEX(F$5:F$1258,'Stock Price'!$I$9)-1,"")</f>
        <v>-0.21846452866861032</v>
      </c>
      <c r="T423" s="19">
        <f ca="1">IF('Stock Price'!$I$11="OK",G423/INDEX(G$5:G$1258,'Stock Price'!$I$9)-1,"")</f>
        <v>5.3908355795148299E-2</v>
      </c>
      <c r="U423" s="19">
        <f ca="1">IF('Stock Price'!$I$11="OK",H423/INDEX(H$5:H$1258,'Stock Price'!$I$9)-1,"")</f>
        <v>0.37157894736842101</v>
      </c>
      <c r="V423" s="19">
        <f ca="1">IF('Stock Price'!$I$11="OK",I423/INDEX(I$5:I$1258,'Stock Price'!$I$9)-1,"")</f>
        <v>0.53494837172359011</v>
      </c>
      <c r="W423" s="19">
        <f ca="1">IF('Stock Price'!$I$11="OK",J423/INDEX(J$5:J$1258,'Stock Price'!$I$9)-1,"")</f>
        <v>-0.58878521974156761</v>
      </c>
      <c r="X423" s="19">
        <f ca="1">IF('Stock Price'!$I$11="OK",K423/INDEX(K$5:K$1258,'Stock Price'!$I$9)-1,"")</f>
        <v>0.23419378974934535</v>
      </c>
      <c r="Y423" s="19">
        <f ca="1">IF('Stock Price'!$I$11="OK",L423/INDEX(L$5:L$1258,'Stock Price'!$I$9)-1,"")</f>
        <v>-0.23646009163250548</v>
      </c>
      <c r="Z423" s="19">
        <f ca="1">IF('Stock Price'!$I$11="OK",M423/INDEX(M$5:M$1258,'Stock Price'!$I$9)-1,"")</f>
        <v>-0.40316601979852595</v>
      </c>
    </row>
    <row r="424" spans="1:26" x14ac:dyDescent="0.2">
      <c r="A424" s="16">
        <f>'Stock Price'!A424</f>
        <v>45083</v>
      </c>
      <c r="B424" s="17">
        <f>'Stock Price'!E424</f>
        <v>110.01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3.3442930953499372E-2</v>
      </c>
      <c r="P424" s="19">
        <f ca="1">IF('Stock Price'!$I$11="OK",C424/INDEX(C$5:C$1258,'Stock Price'!$I$9)-1,"")</f>
        <v>-0.30407463548433666</v>
      </c>
      <c r="Q424" s="19">
        <f ca="1">IF('Stock Price'!$I$11="OK",D424/INDEX(D$5:D$1258,'Stock Price'!$I$9)-1,"")</f>
        <v>-0.20377719994525811</v>
      </c>
      <c r="R424" s="19">
        <f ca="1">IF('Stock Price'!$I$11="OK",E424/INDEX(E$5:E$1258,'Stock Price'!$I$9)-1,"")</f>
        <v>-0.30243804150715303</v>
      </c>
      <c r="S424" s="19">
        <f ca="1">IF('Stock Price'!$I$11="OK",F424/INDEX(F$5:F$1258,'Stock Price'!$I$9)-1,"")</f>
        <v>-0.21846452866861032</v>
      </c>
      <c r="T424" s="19">
        <f ca="1">IF('Stock Price'!$I$11="OK",G424/INDEX(G$5:G$1258,'Stock Price'!$I$9)-1,"")</f>
        <v>6.759278457391682E-2</v>
      </c>
      <c r="U424" s="19">
        <f ca="1">IF('Stock Price'!$I$11="OK",H424/INDEX(H$5:H$1258,'Stock Price'!$I$9)-1,"")</f>
        <v>0.37578947368421045</v>
      </c>
      <c r="V424" s="19">
        <f ca="1">IF('Stock Price'!$I$11="OK",I424/INDEX(I$5:I$1258,'Stock Price'!$I$9)-1,"")</f>
        <v>0.52382843526608402</v>
      </c>
      <c r="W424" s="19">
        <f ca="1">IF('Stock Price'!$I$11="OK",J424/INDEX(J$5:J$1258,'Stock Price'!$I$9)-1,"")</f>
        <v>-0.58988670443185609</v>
      </c>
      <c r="X424" s="19">
        <f ca="1">IF('Stock Price'!$I$11="OK",K424/INDEX(K$5:K$1258,'Stock Price'!$I$9)-1,"")</f>
        <v>0.22484100261878037</v>
      </c>
      <c r="Y424" s="19">
        <f ca="1">IF('Stock Price'!$I$11="OK",L424/INDEX(L$5:L$1258,'Stock Price'!$I$9)-1,"")</f>
        <v>-0.23713527851458882</v>
      </c>
      <c r="Z424" s="19">
        <f ca="1">IF('Stock Price'!$I$11="OK",M424/INDEX(M$5:M$1258,'Stock Price'!$I$9)-1,"")</f>
        <v>-0.40940211940168325</v>
      </c>
    </row>
    <row r="425" spans="1:26" x14ac:dyDescent="0.2">
      <c r="A425" s="16">
        <f>'Stock Price'!A425</f>
        <v>45084</v>
      </c>
      <c r="B425" s="17">
        <f>'Stock Price'!E425</f>
        <v>108.61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2.0291216533583789E-2</v>
      </c>
      <c r="P425" s="19">
        <f ca="1">IF('Stock Price'!$I$11="OK",C425/INDEX(C$5:C$1258,'Stock Price'!$I$9)-1,"")</f>
        <v>-0.31217482315576717</v>
      </c>
      <c r="Q425" s="19">
        <f ca="1">IF('Stock Price'!$I$11="OK",D425/INDEX(D$5:D$1258,'Stock Price'!$I$9)-1,"")</f>
        <v>-0.19583960585739701</v>
      </c>
      <c r="R425" s="19">
        <f ca="1">IF('Stock Price'!$I$11="OK",E425/INDEX(E$5:E$1258,'Stock Price'!$I$9)-1,"")</f>
        <v>-0.30767680838202704</v>
      </c>
      <c r="S425" s="19">
        <f ca="1">IF('Stock Price'!$I$11="OK",F425/INDEX(F$5:F$1258,'Stock Price'!$I$9)-1,"")</f>
        <v>-0.23343051506316825</v>
      </c>
      <c r="T425" s="19">
        <f ca="1">IF('Stock Price'!$I$11="OK",G425/INDEX(G$5:G$1258,'Stock Price'!$I$9)-1,"")</f>
        <v>5.4945054945054972E-2</v>
      </c>
      <c r="U425" s="19">
        <f ca="1">IF('Stock Price'!$I$11="OK",H425/INDEX(H$5:H$1258,'Stock Price'!$I$9)-1,"")</f>
        <v>0.37184210526315797</v>
      </c>
      <c r="V425" s="19">
        <f ca="1">IF('Stock Price'!$I$11="OK",I425/INDEX(I$5:I$1258,'Stock Price'!$I$9)-1,"")</f>
        <v>0.5444797458300239</v>
      </c>
      <c r="W425" s="19">
        <f ca="1">IF('Stock Price'!$I$11="OK",J425/INDEX(J$5:J$1258,'Stock Price'!$I$9)-1,"")</f>
        <v>-0.59608834092339591</v>
      </c>
      <c r="X425" s="19">
        <f ca="1">IF('Stock Price'!$I$11="OK",K425/INDEX(K$5:K$1258,'Stock Price'!$I$9)-1,"")</f>
        <v>0.21885521885521886</v>
      </c>
      <c r="Y425" s="19">
        <f ca="1">IF('Stock Price'!$I$11="OK",L425/INDEX(L$5:L$1258,'Stock Price'!$I$9)-1,"")</f>
        <v>-0.2354955389438147</v>
      </c>
      <c r="Z425" s="19">
        <f ca="1">IF('Stock Price'!$I$11="OK",M425/INDEX(M$5:M$1258,'Stock Price'!$I$9)-1,"")</f>
        <v>-0.40473594697134885</v>
      </c>
    </row>
    <row r="426" spans="1:26" x14ac:dyDescent="0.2">
      <c r="A426" s="16">
        <f>'Stock Price'!A426</f>
        <v>45085</v>
      </c>
      <c r="B426" s="17">
        <f>'Stock Price'!E426</f>
        <v>110.32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3.635509628933753E-2</v>
      </c>
      <c r="P426" s="19">
        <f ca="1">IF('Stock Price'!$I$11="OK",C426/INDEX(C$5:C$1258,'Stock Price'!$I$9)-1,"")</f>
        <v>-0.29716183051826184</v>
      </c>
      <c r="Q426" s="19">
        <f ca="1">IF('Stock Price'!$I$11="OK",D426/INDEX(D$5:D$1258,'Stock Price'!$I$9)-1,"")</f>
        <v>-0.20897769262351173</v>
      </c>
      <c r="R426" s="19">
        <f ca="1">IF('Stock Price'!$I$11="OK",E426/INDEX(E$5:E$1258,'Stock Price'!$I$9)-1,"")</f>
        <v>-0.30042313117066299</v>
      </c>
      <c r="S426" s="19">
        <f ca="1">IF('Stock Price'!$I$11="OK",F426/INDEX(F$5:F$1258,'Stock Price'!$I$9)-1,"")</f>
        <v>-0.23420796890184647</v>
      </c>
      <c r="T426" s="19">
        <f ca="1">IF('Stock Price'!$I$11="OK",G426/INDEX(G$5:G$1258,'Stock Price'!$I$9)-1,"")</f>
        <v>6.8629483723823492E-2</v>
      </c>
      <c r="U426" s="19">
        <f ca="1">IF('Stock Price'!$I$11="OK",H426/INDEX(H$5:H$1258,'Stock Price'!$I$9)-1,"")</f>
        <v>0.36710526315789482</v>
      </c>
      <c r="V426" s="19">
        <f ca="1">IF('Stock Price'!$I$11="OK",I426/INDEX(I$5:I$1258,'Stock Price'!$I$9)-1,"")</f>
        <v>0.55242255758538539</v>
      </c>
      <c r="W426" s="19">
        <f ca="1">IF('Stock Price'!$I$11="OK",J426/INDEX(J$5:J$1258,'Stock Price'!$I$9)-1,"")</f>
        <v>-0.58748935540005176</v>
      </c>
      <c r="X426" s="19">
        <f ca="1">IF('Stock Price'!$I$11="OK",K426/INDEX(K$5:K$1258,'Stock Price'!$I$9)-1,"")</f>
        <v>0.22166105499438826</v>
      </c>
      <c r="Y426" s="19">
        <f ca="1">IF('Stock Price'!$I$11="OK",L426/INDEX(L$5:L$1258,'Stock Price'!$I$9)-1,"")</f>
        <v>-0.22710393055220646</v>
      </c>
      <c r="Z426" s="19">
        <f ca="1">IF('Stock Price'!$I$11="OK",M426/INDEX(M$5:M$1258,'Stock Price'!$I$9)-1,"")</f>
        <v>-0.39976451092407661</v>
      </c>
    </row>
    <row r="427" spans="1:26" x14ac:dyDescent="0.2">
      <c r="A427" s="16">
        <f>'Stock Price'!A427</f>
        <v>45086</v>
      </c>
      <c r="B427" s="17">
        <f>'Stock Price'!E427</f>
        <v>110.71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4.0018788163456831E-2</v>
      </c>
      <c r="P427" s="19">
        <f ca="1">IF('Stock Price'!$I$11="OK",C427/INDEX(C$5:C$1258,'Stock Price'!$I$9)-1,"")</f>
        <v>-0.29520643857369711</v>
      </c>
      <c r="Q427" s="19">
        <f ca="1">IF('Stock Price'!$I$11="OK",D427/INDEX(D$5:D$1258,'Stock Price'!$I$9)-1,"")</f>
        <v>-0.18270151909128229</v>
      </c>
      <c r="R427" s="19">
        <f ca="1">IF('Stock Price'!$I$11="OK",E427/INDEX(E$5:E$1258,'Stock Price'!$I$9)-1,"")</f>
        <v>-0.299617167036067</v>
      </c>
      <c r="S427" s="19">
        <f ca="1">IF('Stock Price'!$I$11="OK",F427/INDEX(F$5:F$1258,'Stock Price'!$I$9)-1,"")</f>
        <v>-0.23906705539358608</v>
      </c>
      <c r="T427" s="19">
        <f ca="1">IF('Stock Price'!$I$11="OK",G427/INDEX(G$5:G$1258,'Stock Price'!$I$9)-1,"")</f>
        <v>6.2409288824383236E-2</v>
      </c>
      <c r="U427" s="19">
        <f ca="1">IF('Stock Price'!$I$11="OK",H427/INDEX(H$5:H$1258,'Stock Price'!$I$9)-1,"")</f>
        <v>0.34605263157894739</v>
      </c>
      <c r="V427" s="19">
        <f ca="1">IF('Stock Price'!$I$11="OK",I427/INDEX(I$5:I$1258,'Stock Price'!$I$9)-1,"")</f>
        <v>0.54765687053216827</v>
      </c>
      <c r="W427" s="19">
        <f ca="1">IF('Stock Price'!$I$11="OK",J427/INDEX(J$5:J$1258,'Stock Price'!$I$9)-1,"")</f>
        <v>-0.58713762079306897</v>
      </c>
      <c r="X427" s="19">
        <f ca="1">IF('Stock Price'!$I$11="OK",K427/INDEX(K$5:K$1258,'Stock Price'!$I$9)-1,"")</f>
        <v>0.21212121212121215</v>
      </c>
      <c r="Y427" s="19">
        <f ca="1">IF('Stock Price'!$I$11="OK",L427/INDEX(L$5:L$1258,'Stock Price'!$I$9)-1,"")</f>
        <v>-0.22830962141306976</v>
      </c>
      <c r="Z427" s="19">
        <f ca="1">IF('Stock Price'!$I$11="OK",M427/INDEX(M$5:M$1258,'Stock Price'!$I$9)-1,"")</f>
        <v>-0.39740962016484238</v>
      </c>
    </row>
    <row r="428" spans="1:26" x14ac:dyDescent="0.2">
      <c r="A428" s="16">
        <f>'Stock Price'!A428</f>
        <v>45089</v>
      </c>
      <c r="B428" s="17">
        <f>'Stock Price'!E428</f>
        <v>109.86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3.2033818694222616E-2</v>
      </c>
      <c r="P428" s="19">
        <f ca="1">IF('Stock Price'!$I$11="OK",C428/INDEX(C$5:C$1258,'Stock Price'!$I$9)-1,"")</f>
        <v>-0.30170059188681964</v>
      </c>
      <c r="Q428" s="19">
        <f ca="1">IF('Stock Price'!$I$11="OK",D428/INDEX(D$5:D$1258,'Stock Price'!$I$9)-1,"")</f>
        <v>-0.18511016833173666</v>
      </c>
      <c r="R428" s="19">
        <f ca="1">IF('Stock Price'!$I$11="OK",E428/INDEX(E$5:E$1258,'Stock Price'!$I$9)-1,"")</f>
        <v>-0.30707233528108002</v>
      </c>
      <c r="S428" s="19">
        <f ca="1">IF('Stock Price'!$I$11="OK",F428/INDEX(F$5:F$1258,'Stock Price'!$I$9)-1,"")</f>
        <v>-0.24820213799805646</v>
      </c>
      <c r="T428" s="19">
        <f ca="1">IF('Stock Price'!$I$11="OK",G428/INDEX(G$5:G$1258,'Stock Price'!$I$9)-1,"")</f>
        <v>5.764047273481232E-2</v>
      </c>
      <c r="U428" s="19">
        <f ca="1">IF('Stock Price'!$I$11="OK",H428/INDEX(H$5:H$1258,'Stock Price'!$I$9)-1,"")</f>
        <v>0.34499999999999997</v>
      </c>
      <c r="V428" s="19">
        <f ca="1">IF('Stock Price'!$I$11="OK",I428/INDEX(I$5:I$1258,'Stock Price'!$I$9)-1,"")</f>
        <v>0.58459094519459875</v>
      </c>
      <c r="W428" s="19">
        <f ca="1">IF('Stock Price'!$I$11="OK",J428/INDEX(J$5:J$1258,'Stock Price'!$I$9)-1,"")</f>
        <v>-0.58781332148543075</v>
      </c>
      <c r="X428" s="19">
        <f ca="1">IF('Stock Price'!$I$11="OK",K428/INDEX(K$5:K$1258,'Stock Price'!$I$9)-1,"")</f>
        <v>0.21137298915076697</v>
      </c>
      <c r="Y428" s="19">
        <f ca="1">IF('Stock Price'!$I$11="OK",L428/INDEX(L$5:L$1258,'Stock Price'!$I$9)-1,"")</f>
        <v>-0.2288401253918495</v>
      </c>
      <c r="Z428" s="19">
        <f ca="1">IF('Stock Price'!$I$11="OK",M428/INDEX(M$5:M$1258,'Stock Price'!$I$9)-1,"")</f>
        <v>-0.39937202913087089</v>
      </c>
    </row>
    <row r="429" spans="1:26" x14ac:dyDescent="0.2">
      <c r="A429" s="16">
        <f>'Stock Price'!A429</f>
        <v>45090</v>
      </c>
      <c r="B429" s="17">
        <f>'Stock Price'!E429</f>
        <v>109.99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3.3255049318928975E-2</v>
      </c>
      <c r="P429" s="19">
        <f ca="1">IF('Stock Price'!$I$11="OK",C429/INDEX(C$5:C$1258,'Stock Price'!$I$9)-1,"")</f>
        <v>-0.30644867908185358</v>
      </c>
      <c r="Q429" s="19">
        <f ca="1">IF('Stock Price'!$I$11="OK",D429/INDEX(D$5:D$1258,'Stock Price'!$I$9)-1,"")</f>
        <v>-0.1816066785274395</v>
      </c>
      <c r="R429" s="19">
        <f ca="1">IF('Stock Price'!$I$11="OK",E429/INDEX(E$5:E$1258,'Stock Price'!$I$9)-1,"")</f>
        <v>-0.30203505943985498</v>
      </c>
      <c r="S429" s="19">
        <f ca="1">IF('Stock Price'!$I$11="OK",F429/INDEX(F$5:F$1258,'Stock Price'!$I$9)-1,"")</f>
        <v>-0.24723032069970852</v>
      </c>
      <c r="T429" s="19">
        <f ca="1">IF('Stock Price'!$I$11="OK",G429/INDEX(G$5:G$1258,'Stock Price'!$I$9)-1,"")</f>
        <v>4.748082106572693E-2</v>
      </c>
      <c r="U429" s="19">
        <f ca="1">IF('Stock Price'!$I$11="OK",H429/INDEX(H$5:H$1258,'Stock Price'!$I$9)-1,"")</f>
        <v>0.34947368421052638</v>
      </c>
      <c r="V429" s="19">
        <f ca="1">IF('Stock Price'!$I$11="OK",I429/INDEX(I$5:I$1258,'Stock Price'!$I$9)-1,"")</f>
        <v>0.59968228752978558</v>
      </c>
      <c r="W429" s="19">
        <f ca="1">IF('Stock Price'!$I$11="OK",J429/INDEX(J$5:J$1258,'Stock Price'!$I$9)-1,"")</f>
        <v>-0.58743381835684394</v>
      </c>
      <c r="X429" s="19">
        <f ca="1">IF('Stock Price'!$I$11="OK",K429/INDEX(K$5:K$1258,'Stock Price'!$I$9)-1,"")</f>
        <v>0.21137298915076697</v>
      </c>
      <c r="Y429" s="19">
        <f ca="1">IF('Stock Price'!$I$11="OK",L429/INDEX(L$5:L$1258,'Stock Price'!$I$9)-1,"")</f>
        <v>-0.22478900409934888</v>
      </c>
      <c r="Z429" s="19">
        <f ca="1">IF('Stock Price'!$I$11="OK",M429/INDEX(M$5:M$1258,'Stock Price'!$I$9)-1,"")</f>
        <v>-0.39684270201910077</v>
      </c>
    </row>
    <row r="430" spans="1:26" x14ac:dyDescent="0.2">
      <c r="A430" s="16">
        <f>'Stock Price'!A430</f>
        <v>45091</v>
      </c>
      <c r="B430" s="17">
        <f>'Stock Price'!E430</f>
        <v>108.66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2.0760920620009227E-2</v>
      </c>
      <c r="P430" s="19">
        <f ca="1">IF('Stock Price'!$I$11="OK",C430/INDEX(C$5:C$1258,'Stock Price'!$I$9)-1,"")</f>
        <v>-0.30393532553775082</v>
      </c>
      <c r="Q430" s="19">
        <f ca="1">IF('Stock Price'!$I$11="OK",D430/INDEX(D$5:D$1258,'Stock Price'!$I$9)-1,"")</f>
        <v>-0.19597646092787746</v>
      </c>
      <c r="R430" s="19">
        <f ca="1">IF('Stock Price'!$I$11="OK",E430/INDEX(E$5:E$1258,'Stock Price'!$I$9)-1,"")</f>
        <v>-0.30546040701188804</v>
      </c>
      <c r="S430" s="19">
        <f ca="1">IF('Stock Price'!$I$11="OK",F430/INDEX(F$5:F$1258,'Stock Price'!$I$9)-1,"")</f>
        <v>-0.25966958211856173</v>
      </c>
      <c r="T430" s="19">
        <f ca="1">IF('Stock Price'!$I$11="OK",G430/INDEX(G$5:G$1258,'Stock Price'!$I$9)-1,"")</f>
        <v>5.162761766535362E-2</v>
      </c>
      <c r="U430" s="19">
        <f ca="1">IF('Stock Price'!$I$11="OK",H430/INDEX(H$5:H$1258,'Stock Price'!$I$9)-1,"")</f>
        <v>0.36315789473684212</v>
      </c>
      <c r="V430" s="19">
        <f ca="1">IF('Stock Price'!$I$11="OK",I430/INDEX(I$5:I$1258,'Stock Price'!$I$9)-1,"")</f>
        <v>0.56314535345512318</v>
      </c>
      <c r="W430" s="19">
        <f ca="1">IF('Stock Price'!$I$11="OK",J430/INDEX(J$5:J$1258,'Stock Price'!$I$9)-1,"")</f>
        <v>-0.58558258358324999</v>
      </c>
      <c r="X430" s="19">
        <f ca="1">IF('Stock Price'!$I$11="OK",K430/INDEX(K$5:K$1258,'Stock Price'!$I$9)-1,"")</f>
        <v>0.2001496445940889</v>
      </c>
      <c r="Y430" s="19">
        <f ca="1">IF('Stock Price'!$I$11="OK",L430/INDEX(L$5:L$1258,'Stock Price'!$I$9)-1,"")</f>
        <v>-0.2208343380757174</v>
      </c>
      <c r="Z430" s="19">
        <f ca="1">IF('Stock Price'!$I$11="OK",M430/INDEX(M$5:M$1258,'Stock Price'!$I$9)-1,"")</f>
        <v>-0.40591339235096602</v>
      </c>
    </row>
    <row r="431" spans="1:26" x14ac:dyDescent="0.2">
      <c r="A431" s="16">
        <f>'Stock Price'!A431</f>
        <v>45092</v>
      </c>
      <c r="B431" s="17">
        <f>'Stock Price'!E431</f>
        <v>109.4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2.7712541099107479E-2</v>
      </c>
      <c r="P431" s="19">
        <f ca="1">IF('Stock Price'!$I$11="OK",C431/INDEX(C$5:C$1258,'Stock Price'!$I$9)-1,"")</f>
        <v>-0.29199436985708094</v>
      </c>
      <c r="Q431" s="19">
        <f ca="1">IF('Stock Price'!$I$11="OK",D431/INDEX(D$5:D$1258,'Stock Price'!$I$9)-1,"")</f>
        <v>-0.18297522923224308</v>
      </c>
      <c r="R431" s="19">
        <f ca="1">IF('Stock Price'!$I$11="OK",E431/INDEX(E$5:E$1258,'Stock Price'!$I$9)-1,"")</f>
        <v>-0.28934112431996772</v>
      </c>
      <c r="S431" s="19">
        <f ca="1">IF('Stock Price'!$I$11="OK",F431/INDEX(F$5:F$1258,'Stock Price'!$I$9)-1,"")</f>
        <v>-0.24917395529640429</v>
      </c>
      <c r="T431" s="19">
        <f ca="1">IF('Stock Price'!$I$11="OK",G431/INDEX(G$5:G$1258,'Stock Price'!$I$9)-1,"")</f>
        <v>7.3812979473356854E-2</v>
      </c>
      <c r="U431" s="19">
        <f ca="1">IF('Stock Price'!$I$11="OK",H431/INDEX(H$5:H$1258,'Stock Price'!$I$9)-1,"")</f>
        <v>0.36342105263157909</v>
      </c>
      <c r="V431" s="19">
        <f ca="1">IF('Stock Price'!$I$11="OK",I431/INDEX(I$5:I$1258,'Stock Price'!$I$9)-1,"")</f>
        <v>0.57863383637807786</v>
      </c>
      <c r="W431" s="19">
        <f ca="1">IF('Stock Price'!$I$11="OK",J431/INDEX(J$5:J$1258,'Stock Price'!$I$9)-1,"")</f>
        <v>-0.57983449961124067</v>
      </c>
      <c r="X431" s="19">
        <f ca="1">IF('Stock Price'!$I$11="OK",K431/INDEX(K$5:K$1258,'Stock Price'!$I$9)-1,"")</f>
        <v>0.20968948746726523</v>
      </c>
      <c r="Y431" s="19">
        <f ca="1">IF('Stock Price'!$I$11="OK",L431/INDEX(L$5:L$1258,'Stock Price'!$I$9)-1,"")</f>
        <v>-0.21036894140342421</v>
      </c>
      <c r="Z431" s="19">
        <f ca="1">IF('Stock Price'!$I$11="OK",M431/INDEX(M$5:M$1258,'Stock Price'!$I$9)-1,"")</f>
        <v>-0.40739610134752091</v>
      </c>
    </row>
    <row r="432" spans="1:26" x14ac:dyDescent="0.2">
      <c r="A432" s="16">
        <f>'Stock Price'!A432</f>
        <v>45093</v>
      </c>
      <c r="B432" s="17">
        <f>'Stock Price'!E432</f>
        <v>109.32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2.6961014560826557E-2</v>
      </c>
      <c r="P432" s="19">
        <f ca="1">IF('Stock Price'!$I$11="OK",C432/INDEX(C$5:C$1258,'Stock Price'!$I$9)-1,"")</f>
        <v>-0.28892161108705061</v>
      </c>
      <c r="Q432" s="19">
        <f ca="1">IF('Stock Price'!$I$11="OK",D432/INDEX(D$5:D$1258,'Stock Price'!$I$9)-1,"")</f>
        <v>-0.18155193649924739</v>
      </c>
      <c r="R432" s="19">
        <f ca="1">IF('Stock Price'!$I$11="OK",E432/INDEX(E$5:E$1258,'Stock Price'!$I$9)-1,"")</f>
        <v>-0.29175901672375582</v>
      </c>
      <c r="S432" s="19">
        <f ca="1">IF('Stock Price'!$I$11="OK",F432/INDEX(F$5:F$1258,'Stock Price'!$I$9)-1,"")</f>
        <v>-0.2419825072886298</v>
      </c>
      <c r="T432" s="19">
        <f ca="1">IF('Stock Price'!$I$11="OK",G432/INDEX(G$5:G$1258,'Stock Price'!$I$9)-1,"")</f>
        <v>7.8996475222890439E-2</v>
      </c>
      <c r="U432" s="19">
        <f ca="1">IF('Stock Price'!$I$11="OK",H432/INDEX(H$5:H$1258,'Stock Price'!$I$9)-1,"")</f>
        <v>0.37710526315789461</v>
      </c>
      <c r="V432" s="19">
        <f ca="1">IF('Stock Price'!$I$11="OK",I432/INDEX(I$5:I$1258,'Stock Price'!$I$9)-1,"")</f>
        <v>0.59094519459888817</v>
      </c>
      <c r="W432" s="19">
        <f ca="1">IF('Stock Price'!$I$11="OK",J432/INDEX(J$5:J$1258,'Stock Price'!$I$9)-1,"")</f>
        <v>-0.58559183975711804</v>
      </c>
      <c r="X432" s="19">
        <f ca="1">IF('Stock Price'!$I$11="OK",K432/INDEX(K$5:K$1258,'Stock Price'!$I$9)-1,"")</f>
        <v>0.23756079311634859</v>
      </c>
      <c r="Y432" s="19">
        <f ca="1">IF('Stock Price'!$I$11="OK",L432/INDEX(L$5:L$1258,'Stock Price'!$I$9)-1,"")</f>
        <v>-0.2079575596816976</v>
      </c>
      <c r="Z432" s="19">
        <f ca="1">IF('Stock Price'!$I$11="OK",M432/INDEX(M$5:M$1258,'Stock Price'!$I$9)-1,"")</f>
        <v>-0.39540360211067993</v>
      </c>
    </row>
    <row r="433" spans="1:26" x14ac:dyDescent="0.2">
      <c r="A433" s="16">
        <f>'Stock Price'!A433</f>
        <v>45097</v>
      </c>
      <c r="B433" s="17">
        <f>'Stock Price'!E433</f>
        <v>110.23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3.5509628933771742E-2</v>
      </c>
      <c r="P433" s="19">
        <f ca="1">IF('Stock Price'!$I$11="OK",C433/INDEX(C$5:C$1258,'Stock Price'!$I$9)-1,"")</f>
        <v>-0.29597444781290594</v>
      </c>
      <c r="Q433" s="19">
        <f ca="1">IF('Stock Price'!$I$11="OK",D433/INDEX(D$5:D$1258,'Stock Price'!$I$9)-1,"")</f>
        <v>-0.18297522923224308</v>
      </c>
      <c r="R433" s="19">
        <f ca="1">IF('Stock Price'!$I$11="OK",E433/INDEX(E$5:E$1258,'Stock Price'!$I$9)-1,"")</f>
        <v>-0.30243804150715303</v>
      </c>
      <c r="S433" s="19">
        <f ca="1">IF('Stock Price'!$I$11="OK",F433/INDEX(F$5:F$1258,'Stock Price'!$I$9)-1,"")</f>
        <v>-0.25247813411078723</v>
      </c>
      <c r="T433" s="19">
        <f ca="1">IF('Stock Price'!$I$11="OK",G433/INDEX(G$5:G$1258,'Stock Price'!$I$9)-1,"")</f>
        <v>0.10097449720091234</v>
      </c>
      <c r="U433" s="19">
        <f ca="1">IF('Stock Price'!$I$11="OK",H433/INDEX(H$5:H$1258,'Stock Price'!$I$9)-1,"")</f>
        <v>0.33921052631578941</v>
      </c>
      <c r="V433" s="19">
        <f ca="1">IF('Stock Price'!$I$11="OK",I433/INDEX(I$5:I$1258,'Stock Price'!$I$9)-1,"")</f>
        <v>0.56235107227958703</v>
      </c>
      <c r="W433" s="19">
        <f ca="1">IF('Stock Price'!$I$11="OK",J433/INDEX(J$5:J$1258,'Stock Price'!$I$9)-1,"")</f>
        <v>-0.58166722203709864</v>
      </c>
      <c r="X433" s="19">
        <f ca="1">IF('Stock Price'!$I$11="OK",K433/INDEX(K$5:K$1258,'Stock Price'!$I$9)-1,"")</f>
        <v>0.23512906846240189</v>
      </c>
      <c r="Y433" s="19">
        <f ca="1">IF('Stock Price'!$I$11="OK",L433/INDEX(L$5:L$1258,'Stock Price'!$I$9)-1,"")</f>
        <v>-0.20843983602604288</v>
      </c>
      <c r="Z433" s="19">
        <f ca="1">IF('Stock Price'!$I$11="OK",M433/INDEX(M$5:M$1258,'Stock Price'!$I$9)-1,"")</f>
        <v>-0.39897954733766516</v>
      </c>
    </row>
    <row r="434" spans="1:26" x14ac:dyDescent="0.2">
      <c r="A434" s="16">
        <f>'Stock Price'!A434</f>
        <v>45098</v>
      </c>
      <c r="B434" s="17">
        <f>'Stock Price'!E434</f>
        <v>111.16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4.424612494128688E-2</v>
      </c>
      <c r="P434" s="19">
        <f ca="1">IF('Stock Price'!$I$11="OK",C434/INDEX(C$5:C$1258,'Stock Price'!$I$9)-1,"")</f>
        <v>-0.29534574852028295</v>
      </c>
      <c r="Q434" s="19">
        <f ca="1">IF('Stock Price'!$I$11="OK",D434/INDEX(D$5:D$1258,'Stock Price'!$I$9)-1,"")</f>
        <v>-0.18620500889557967</v>
      </c>
      <c r="R434" s="19">
        <f ca="1">IF('Stock Price'!$I$11="OK",E434/INDEX(E$5:E$1258,'Stock Price'!$I$9)-1,"")</f>
        <v>-0.29175901672375582</v>
      </c>
      <c r="S434" s="19">
        <f ca="1">IF('Stock Price'!$I$11="OK",F434/INDEX(F$5:F$1258,'Stock Price'!$I$9)-1,"")</f>
        <v>-0.25694849368318762</v>
      </c>
      <c r="T434" s="19">
        <f ca="1">IF('Stock Price'!$I$11="OK",G434/INDEX(G$5:G$1258,'Stock Price'!$I$9)-1,"")</f>
        <v>0.11217084801990462</v>
      </c>
      <c r="U434" s="19">
        <f ca="1">IF('Stock Price'!$I$11="OK",H434/INDEX(H$5:H$1258,'Stock Price'!$I$9)-1,"")</f>
        <v>0.3386842105263157</v>
      </c>
      <c r="V434" s="19">
        <f ca="1">IF('Stock Price'!$I$11="OK",I434/INDEX(I$5:I$1258,'Stock Price'!$I$9)-1,"")</f>
        <v>0.54487688641779175</v>
      </c>
      <c r="W434" s="19">
        <f ca="1">IF('Stock Price'!$I$11="OK",J434/INDEX(J$5:J$1258,'Stock Price'!$I$9)-1,"")</f>
        <v>-0.58069532378096178</v>
      </c>
      <c r="X434" s="19">
        <f ca="1">IF('Stock Price'!$I$11="OK",K434/INDEX(K$5:K$1258,'Stock Price'!$I$9)-1,"")</f>
        <v>0.22521511410400308</v>
      </c>
      <c r="Y434" s="19">
        <f ca="1">IF('Stock Price'!$I$11="OK",L434/INDEX(L$5:L$1258,'Stock Price'!$I$9)-1,"")</f>
        <v>-0.20964552688690619</v>
      </c>
      <c r="Z434" s="19">
        <f ca="1">IF('Stock Price'!$I$11="OK",M434/INDEX(M$5:M$1258,'Stock Price'!$I$9)-1,"")</f>
        <v>-0.40316601979852595</v>
      </c>
    </row>
    <row r="435" spans="1:26" x14ac:dyDescent="0.2">
      <c r="A435" s="16">
        <f>'Stock Price'!A435</f>
        <v>45099</v>
      </c>
      <c r="B435" s="17">
        <f>'Stock Price'!E435</f>
        <v>113.72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6.829497416627528E-2</v>
      </c>
      <c r="P435" s="19">
        <f ca="1">IF('Stock Price'!$I$11="OK",C435/INDEX(C$5:C$1258,'Stock Price'!$I$9)-1,"")</f>
        <v>-0.29792983975747078</v>
      </c>
      <c r="Q435" s="19">
        <f ca="1">IF('Stock Price'!$I$11="OK",D435/INDEX(D$5:D$1258,'Stock Price'!$I$9)-1,"")</f>
        <v>-0.19704393047762425</v>
      </c>
      <c r="R435" s="19">
        <f ca="1">IF('Stock Price'!$I$11="OK",E435/INDEX(E$5:E$1258,'Stock Price'!$I$9)-1,"")</f>
        <v>-0.30122909530525899</v>
      </c>
      <c r="S435" s="19">
        <f ca="1">IF('Stock Price'!$I$11="OK",F435/INDEX(F$5:F$1258,'Stock Price'!$I$9)-1,"")</f>
        <v>-0.25617103984450917</v>
      </c>
      <c r="T435" s="19">
        <f ca="1">IF('Stock Price'!$I$11="OK",G435/INDEX(G$5:G$1258,'Stock Price'!$I$9)-1,"")</f>
        <v>0.10512129380053903</v>
      </c>
      <c r="U435" s="19">
        <f ca="1">IF('Stock Price'!$I$11="OK",H435/INDEX(H$5:H$1258,'Stock Price'!$I$9)-1,"")</f>
        <v>0.32894736842105265</v>
      </c>
      <c r="V435" s="19">
        <f ca="1">IF('Stock Price'!$I$11="OK",I435/INDEX(I$5:I$1258,'Stock Price'!$I$9)-1,"")</f>
        <v>0.53812549642573471</v>
      </c>
      <c r="W435" s="19">
        <f ca="1">IF('Stock Price'!$I$11="OK",J435/INDEX(J$5:J$1258,'Stock Price'!$I$9)-1,"")</f>
        <v>-0.576363434410752</v>
      </c>
      <c r="X435" s="19">
        <f ca="1">IF('Stock Price'!$I$11="OK",K435/INDEX(K$5:K$1258,'Stock Price'!$I$9)-1,"")</f>
        <v>0.22147399925177691</v>
      </c>
      <c r="Y435" s="19">
        <f ca="1">IF('Stock Price'!$I$11="OK",L435/INDEX(L$5:L$1258,'Stock Price'!$I$9)-1,"")</f>
        <v>-0.20125391849529772</v>
      </c>
      <c r="Z435" s="19">
        <f ca="1">IF('Stock Price'!$I$11="OK",M435/INDEX(M$5:M$1258,'Stock Price'!$I$9)-1,"")</f>
        <v>-0.40076751995115789</v>
      </c>
    </row>
    <row r="436" spans="1:26" x14ac:dyDescent="0.2">
      <c r="A436" s="16">
        <f>'Stock Price'!A436</f>
        <v>45100</v>
      </c>
      <c r="B436" s="17">
        <f>'Stock Price'!E436</f>
        <v>114.6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7.656176608736498E-2</v>
      </c>
      <c r="P436" s="19">
        <f ca="1">IF('Stock Price'!$I$11="OK",C436/INDEX(C$5:C$1258,'Stock Price'!$I$9)-1,"")</f>
        <v>-0.2968824888118955</v>
      </c>
      <c r="Q436" s="19">
        <f ca="1">IF('Stock Price'!$I$11="OK",D436/INDEX(D$5:D$1258,'Stock Price'!$I$9)-1,"")</f>
        <v>-0.19994525797180784</v>
      </c>
      <c r="R436" s="19">
        <f ca="1">IF('Stock Price'!$I$11="OK",E436/INDEX(E$5:E$1258,'Stock Price'!$I$9)-1,"")</f>
        <v>-0.26697561958492844</v>
      </c>
      <c r="S436" s="19">
        <f ca="1">IF('Stock Price'!$I$11="OK",F436/INDEX(F$5:F$1258,'Stock Price'!$I$9)-1,"")</f>
        <v>-0.25306122448979596</v>
      </c>
      <c r="T436" s="19">
        <f ca="1">IF('Stock Price'!$I$11="OK",G436/INDEX(G$5:G$1258,'Stock Price'!$I$9)-1,"")</f>
        <v>0.10512129380053903</v>
      </c>
      <c r="U436" s="19">
        <f ca="1">IF('Stock Price'!$I$11="OK",H436/INDEX(H$5:H$1258,'Stock Price'!$I$9)-1,"")</f>
        <v>0.32894736842105265</v>
      </c>
      <c r="V436" s="19">
        <f ca="1">IF('Stock Price'!$I$11="OK",I436/INDEX(I$5:I$1258,'Stock Price'!$I$9)-1,"")</f>
        <v>0.5210484511517075</v>
      </c>
      <c r="W436" s="19">
        <f ca="1">IF('Stock Price'!$I$11="OK",J436/INDEX(J$5:J$1258,'Stock Price'!$I$9)-1,"")</f>
        <v>-0.57528971824206743</v>
      </c>
      <c r="X436" s="19">
        <f ca="1">IF('Stock Price'!$I$11="OK",K436/INDEX(K$5:K$1258,'Stock Price'!$I$9)-1,"")</f>
        <v>0.21661054994388329</v>
      </c>
      <c r="Y436" s="19">
        <f ca="1">IF('Stock Price'!$I$11="OK",L436/INDEX(L$5:L$1258,'Stock Price'!$I$9)-1,"")</f>
        <v>-0.20192910537738129</v>
      </c>
      <c r="Z436" s="19">
        <f ca="1">IF('Stock Price'!$I$11="OK",M436/INDEX(M$5:M$1258,'Stock Price'!$I$9)-1,"")</f>
        <v>-0.40726527408311897</v>
      </c>
    </row>
    <row r="437" spans="1:26" x14ac:dyDescent="0.2">
      <c r="A437" s="16">
        <f>'Stock Price'!A437</f>
        <v>45103</v>
      </c>
      <c r="B437" s="17">
        <f>'Stock Price'!E437</f>
        <v>113.08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6.2282761860028124E-2</v>
      </c>
      <c r="P437" s="19">
        <f ca="1">IF('Stock Price'!$I$11="OK",C437/INDEX(C$5:C$1258,'Stock Price'!$I$9)-1,"")</f>
        <v>-0.30512198642991195</v>
      </c>
      <c r="Q437" s="19">
        <f ca="1">IF('Stock Price'!$I$11="OK",D437/INDEX(D$5:D$1258,'Stock Price'!$I$9)-1,"")</f>
        <v>-0.21855754755713708</v>
      </c>
      <c r="R437" s="19">
        <f ca="1">IF('Stock Price'!$I$11="OK",E437/INDEX(E$5:E$1258,'Stock Price'!$I$9)-1,"")</f>
        <v>-0.26919202095506745</v>
      </c>
      <c r="S437" s="19">
        <f ca="1">IF('Stock Price'!$I$11="OK",F437/INDEX(F$5:F$1258,'Stock Price'!$I$9)-1,"")</f>
        <v>-0.25597667638483967</v>
      </c>
      <c r="T437" s="19">
        <f ca="1">IF('Stock Price'!$I$11="OK",G437/INDEX(G$5:G$1258,'Stock Price'!$I$9)-1,"")</f>
        <v>0.10885341074020327</v>
      </c>
      <c r="U437" s="19">
        <f ca="1">IF('Stock Price'!$I$11="OK",H437/INDEX(H$5:H$1258,'Stock Price'!$I$9)-1,"")</f>
        <v>0.3181578947368422</v>
      </c>
      <c r="V437" s="19">
        <f ca="1">IF('Stock Price'!$I$11="OK",I437/INDEX(I$5:I$1258,'Stock Price'!$I$9)-1,"")</f>
        <v>0.46505162827640989</v>
      </c>
      <c r="W437" s="19">
        <f ca="1">IF('Stock Price'!$I$11="OK",J437/INDEX(J$5:J$1258,'Stock Price'!$I$9)-1,"")</f>
        <v>-0.58091747195379317</v>
      </c>
      <c r="X437" s="19">
        <f ca="1">IF('Stock Price'!$I$11="OK",K437/INDEX(K$5:K$1258,'Stock Price'!$I$9)-1,"")</f>
        <v>0.21193415637860102</v>
      </c>
      <c r="Y437" s="19">
        <f ca="1">IF('Stock Price'!$I$11="OK",L437/INDEX(L$5:L$1258,'Stock Price'!$I$9)-1,"")</f>
        <v>-0.21085121774776949</v>
      </c>
      <c r="Z437" s="19">
        <f ca="1">IF('Stock Price'!$I$11="OK",M437/INDEX(M$5:M$1258,'Stock Price'!$I$9)-1,"")</f>
        <v>-0.41149535563211381</v>
      </c>
    </row>
    <row r="438" spans="1:26" x14ac:dyDescent="0.2">
      <c r="A438" s="16">
        <f>'Stock Price'!A438</f>
        <v>45104</v>
      </c>
      <c r="B438" s="17">
        <f>'Stock Price'!E438</f>
        <v>113.32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6.4537341474870669E-2</v>
      </c>
      <c r="P438" s="19">
        <f ca="1">IF('Stock Price'!$I$11="OK",C438/INDEX(C$5:C$1258,'Stock Price'!$I$9)-1,"")</f>
        <v>-0.30742673596073333</v>
      </c>
      <c r="Q438" s="19">
        <f ca="1">IF('Stock Price'!$I$11="OK",D438/INDEX(D$5:D$1258,'Stock Price'!$I$9)-1,"")</f>
        <v>-0.21855754755713708</v>
      </c>
      <c r="R438" s="19">
        <f ca="1">IF('Stock Price'!$I$11="OK",E438/INDEX(E$5:E$1258,'Stock Price'!$I$9)-1,"")</f>
        <v>-0.27946806367116672</v>
      </c>
      <c r="S438" s="19">
        <f ca="1">IF('Stock Price'!$I$11="OK",F438/INDEX(F$5:F$1258,'Stock Price'!$I$9)-1,"")</f>
        <v>-0.22915451895043748</v>
      </c>
      <c r="T438" s="19">
        <f ca="1">IF('Stock Price'!$I$11="OK",G438/INDEX(G$5:G$1258,'Stock Price'!$I$9)-1,"")</f>
        <v>0.11279286750984885</v>
      </c>
      <c r="U438" s="19">
        <f ca="1">IF('Stock Price'!$I$11="OK",H438/INDEX(H$5:H$1258,'Stock Price'!$I$9)-1,"")</f>
        <v>0.32263157894736838</v>
      </c>
      <c r="V438" s="19">
        <f ca="1">IF('Stock Price'!$I$11="OK",I438/INDEX(I$5:I$1258,'Stock Price'!$I$9)-1,"")</f>
        <v>0.44638602065131061</v>
      </c>
      <c r="W438" s="19">
        <f ca="1">IF('Stock Price'!$I$11="OK",J438/INDEX(J$5:J$1258,'Stock Price'!$I$9)-1,"")</f>
        <v>-0.57005072383279642</v>
      </c>
      <c r="X438" s="19">
        <f ca="1">IF('Stock Price'!$I$11="OK",K438/INDEX(K$5:K$1258,'Stock Price'!$I$9)-1,"")</f>
        <v>0.21118593340815561</v>
      </c>
      <c r="Y438" s="19">
        <f ca="1">IF('Stock Price'!$I$11="OK",L438/INDEX(L$5:L$1258,'Stock Price'!$I$9)-1,"")</f>
        <v>-0.21249095731854351</v>
      </c>
      <c r="Z438" s="19">
        <f ca="1">IF('Stock Price'!$I$11="OK",M438/INDEX(M$5:M$1258,'Stock Price'!$I$9)-1,"")</f>
        <v>-0.42174349134359601</v>
      </c>
    </row>
    <row r="439" spans="1:26" x14ac:dyDescent="0.2">
      <c r="A439" s="16">
        <f>'Stock Price'!A439</f>
        <v>45105</v>
      </c>
      <c r="B439" s="17">
        <f>'Stock Price'!E439</f>
        <v>112.44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5.6270549553780969E-2</v>
      </c>
      <c r="P439" s="19">
        <f ca="1">IF('Stock Price'!$I$11="OK",C439/INDEX(C$5:C$1258,'Stock Price'!$I$9)-1,"")</f>
        <v>-0.31259419662191423</v>
      </c>
      <c r="Q439" s="19">
        <f ca="1">IF('Stock Price'!$I$11="OK",D439/INDEX(D$5:D$1258,'Stock Price'!$I$9)-1,"")</f>
        <v>-0.23142192418229102</v>
      </c>
      <c r="R439" s="19">
        <f ca="1">IF('Stock Price'!$I$11="OK",E439/INDEX(E$5:E$1258,'Stock Price'!$I$9)-1,"")</f>
        <v>-0.28410235744509371</v>
      </c>
      <c r="S439" s="19">
        <f ca="1">IF('Stock Price'!$I$11="OK",F439/INDEX(F$5:F$1258,'Stock Price'!$I$9)-1,"")</f>
        <v>-0.25383867832847429</v>
      </c>
      <c r="T439" s="19">
        <f ca="1">IF('Stock Price'!$I$11="OK",G439/INDEX(G$5:G$1258,'Stock Price'!$I$9)-1,"")</f>
        <v>0.11424424631971819</v>
      </c>
      <c r="U439" s="19">
        <f ca="1">IF('Stock Price'!$I$11="OK",H439/INDEX(H$5:H$1258,'Stock Price'!$I$9)-1,"")</f>
        <v>0.3236842105263158</v>
      </c>
      <c r="V439" s="19">
        <f ca="1">IF('Stock Price'!$I$11="OK",I439/INDEX(I$5:I$1258,'Stock Price'!$I$9)-1,"")</f>
        <v>0.44122319301032564</v>
      </c>
      <c r="W439" s="19">
        <f ca="1">IF('Stock Price'!$I$11="OK",J439/INDEX(J$5:J$1258,'Stock Price'!$I$9)-1,"")</f>
        <v>-0.57541930467621905</v>
      </c>
      <c r="X439" s="19">
        <f ca="1">IF('Stock Price'!$I$11="OK",K439/INDEX(K$5:K$1258,'Stock Price'!$I$9)-1,"")</f>
        <v>0.1988402543958101</v>
      </c>
      <c r="Y439" s="19">
        <f ca="1">IF('Stock Price'!$I$11="OK",L439/INDEX(L$5:L$1258,'Stock Price'!$I$9)-1,"")</f>
        <v>-0.21408246925488295</v>
      </c>
      <c r="Z439" s="19">
        <f ca="1">IF('Stock Price'!$I$11="OK",M439/INDEX(M$5:M$1258,'Stock Price'!$I$9)-1,"")</f>
        <v>-0.42213597313680173</v>
      </c>
    </row>
    <row r="440" spans="1:26" x14ac:dyDescent="0.2">
      <c r="A440" s="16">
        <f>'Stock Price'!A440</f>
        <v>45106</v>
      </c>
      <c r="B440" s="17">
        <f>'Stock Price'!E440</f>
        <v>113.54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6.660403945514326E-2</v>
      </c>
      <c r="P440" s="19">
        <f ca="1">IF('Stock Price'!$I$11="OK",C440/INDEX(C$5:C$1258,'Stock Price'!$I$9)-1,"")</f>
        <v>-0.30616933737548713</v>
      </c>
      <c r="Q440" s="19">
        <f ca="1">IF('Stock Price'!$I$11="OK",D440/INDEX(D$5:D$1258,'Stock Price'!$I$9)-1,"")</f>
        <v>-0.21768167510606273</v>
      </c>
      <c r="R440" s="19">
        <f ca="1">IF('Stock Price'!$I$11="OK",E440/INDEX(E$5:E$1258,'Stock Price'!$I$9)-1,"")</f>
        <v>-0.28631875881523272</v>
      </c>
      <c r="S440" s="19">
        <f ca="1">IF('Stock Price'!$I$11="OK",F440/INDEX(F$5:F$1258,'Stock Price'!$I$9)-1,"")</f>
        <v>-0.25928085519922262</v>
      </c>
      <c r="T440" s="19">
        <f ca="1">IF('Stock Price'!$I$11="OK",G440/INDEX(G$5:G$1258,'Stock Price'!$I$9)-1,"")</f>
        <v>9.8693759071117659E-2</v>
      </c>
      <c r="U440" s="19">
        <f ca="1">IF('Stock Price'!$I$11="OK",H440/INDEX(H$5:H$1258,'Stock Price'!$I$9)-1,"")</f>
        <v>0.3292105263157894</v>
      </c>
      <c r="V440" s="19">
        <f ca="1">IF('Stock Price'!$I$11="OK",I440/INDEX(I$5:I$1258,'Stock Price'!$I$9)-1,"")</f>
        <v>0.43447180301826838</v>
      </c>
      <c r="W440" s="19">
        <f ca="1">IF('Stock Price'!$I$11="OK",J440/INDEX(J$5:J$1258,'Stock Price'!$I$9)-1,"")</f>
        <v>-0.57005998000666436</v>
      </c>
      <c r="X440" s="19">
        <f ca="1">IF('Stock Price'!$I$11="OK",K440/INDEX(K$5:K$1258,'Stock Price'!$I$9)-1,"")</f>
        <v>0.19715675271230815</v>
      </c>
      <c r="Y440" s="19">
        <f ca="1">IF('Stock Price'!$I$11="OK",L440/INDEX(L$5:L$1258,'Stock Price'!$I$9)-1,"")</f>
        <v>-0.20858451892934649</v>
      </c>
      <c r="Z440" s="19">
        <f ca="1">IF('Stock Price'!$I$11="OK",M440/INDEX(M$5:M$1258,'Stock Price'!$I$9)-1,"")</f>
        <v>-0.41899611879115617</v>
      </c>
    </row>
    <row r="441" spans="1:26" x14ac:dyDescent="0.2">
      <c r="A441" s="16">
        <f>'Stock Price'!A441</f>
        <v>45107</v>
      </c>
      <c r="B441" s="17">
        <f>'Stock Price'!E441</f>
        <v>115.39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8.398309065288867E-2</v>
      </c>
      <c r="P441" s="19">
        <f ca="1">IF('Stock Price'!$I$11="OK",C441/INDEX(C$5:C$1258,'Stock Price'!$I$9)-1,"")</f>
        <v>-0.29534574852028295</v>
      </c>
      <c r="Q441" s="19">
        <f ca="1">IF('Stock Price'!$I$11="OK",D441/INDEX(D$5:D$1258,'Stock Price'!$I$9)-1,"")</f>
        <v>-0.21226221431504044</v>
      </c>
      <c r="R441" s="19">
        <f ca="1">IF('Stock Price'!$I$11="OK",E441/INDEX(E$5:E$1258,'Stock Price'!$I$9)-1,"")</f>
        <v>-0.2818859560749547</v>
      </c>
      <c r="S441" s="19">
        <f ca="1">IF('Stock Price'!$I$11="OK",F441/INDEX(F$5:F$1258,'Stock Price'!$I$9)-1,"")</f>
        <v>-0.25753158406219634</v>
      </c>
      <c r="T441" s="19">
        <f ca="1">IF('Stock Price'!$I$11="OK",G441/INDEX(G$5:G$1258,'Stock Price'!$I$9)-1,"")</f>
        <v>0.11756168359941954</v>
      </c>
      <c r="U441" s="19">
        <f ca="1">IF('Stock Price'!$I$11="OK",H441/INDEX(H$5:H$1258,'Stock Price'!$I$9)-1,"")</f>
        <v>0.33342105263157906</v>
      </c>
      <c r="V441" s="19">
        <f ca="1">IF('Stock Price'!$I$11="OK",I441/INDEX(I$5:I$1258,'Stock Price'!$I$9)-1,"")</f>
        <v>0.45671167593328033</v>
      </c>
      <c r="W441" s="19">
        <f ca="1">IF('Stock Price'!$I$11="OK",J441/INDEX(J$5:J$1258,'Stock Price'!$I$9)-1,"")</f>
        <v>-0.56590395793994586</v>
      </c>
      <c r="X441" s="19">
        <f ca="1">IF('Stock Price'!$I$11="OK",K441/INDEX(K$5:K$1258,'Stock Price'!$I$9)-1,"")</f>
        <v>0.19622147399925183</v>
      </c>
      <c r="Y441" s="19">
        <f ca="1">IF('Stock Price'!$I$11="OK",L441/INDEX(L$5:L$1258,'Stock Price'!$I$9)-1,"")</f>
        <v>-0.201736194839643</v>
      </c>
      <c r="Z441" s="19">
        <f ca="1">IF('Stock Price'!$I$11="OK",M441/INDEX(M$5:M$1258,'Stock Price'!$I$9)-1,"")</f>
        <v>-0.41245475557106104</v>
      </c>
    </row>
    <row r="442" spans="1:26" x14ac:dyDescent="0.2">
      <c r="A442" s="16">
        <f>'Stock Price'!A442</f>
        <v>45110</v>
      </c>
      <c r="B442" s="17">
        <f>'Stock Price'!E442</f>
        <v>114.33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7.4025364020666951E-2</v>
      </c>
      <c r="P442" s="19">
        <f ca="1">IF('Stock Price'!$I$11="OK",C442/INDEX(C$5:C$1258,'Stock Price'!$I$9)-1,"")</f>
        <v>-0.31028944709109285</v>
      </c>
      <c r="Q442" s="19">
        <f ca="1">IF('Stock Price'!$I$11="OK",D442/INDEX(D$5:D$1258,'Stock Price'!$I$9)-1,"")</f>
        <v>-0.27064458738196251</v>
      </c>
      <c r="R442" s="19">
        <f ca="1">IF('Stock Price'!$I$11="OK",E442/INDEX(E$5:E$1258,'Stock Price'!$I$9)-1,"")</f>
        <v>-0.28893814225266978</v>
      </c>
      <c r="S442" s="19">
        <f ca="1">IF('Stock Price'!$I$11="OK",F442/INDEX(F$5:F$1258,'Stock Price'!$I$9)-1,"")</f>
        <v>-0.25792031098153556</v>
      </c>
      <c r="T442" s="19">
        <f ca="1">IF('Stock Price'!$I$11="OK",G442/INDEX(G$5:G$1258,'Stock Price'!$I$9)-1,"")</f>
        <v>0.11196350818992351</v>
      </c>
      <c r="U442" s="19">
        <f ca="1">IF('Stock Price'!$I$11="OK",H442/INDEX(H$5:H$1258,'Stock Price'!$I$9)-1,"")</f>
        <v>0.33078947368421052</v>
      </c>
      <c r="V442" s="19">
        <f ca="1">IF('Stock Price'!$I$11="OK",I442/INDEX(I$5:I$1258,'Stock Price'!$I$9)-1,"")</f>
        <v>0.4555202541699761</v>
      </c>
      <c r="W442" s="19">
        <f ca="1">IF('Stock Price'!$I$11="OK",J442/INDEX(J$5:J$1258,'Stock Price'!$I$9)-1,"")</f>
        <v>-0.57290162538413114</v>
      </c>
      <c r="X442" s="19">
        <f ca="1">IF('Stock Price'!$I$11="OK",K442/INDEX(K$5:K$1258,'Stock Price'!$I$9)-1,"")</f>
        <v>0.2052001496445941</v>
      </c>
      <c r="Y442" s="19">
        <f ca="1">IF('Stock Price'!$I$11="OK",L442/INDEX(L$5:L$1258,'Stock Price'!$I$9)-1,"")</f>
        <v>-0.21220159151193629</v>
      </c>
      <c r="Z442" s="19">
        <f ca="1">IF('Stock Price'!$I$11="OK",M442/INDEX(M$5:M$1258,'Stock Price'!$I$9)-1,"")</f>
        <v>-0.41123370110330992</v>
      </c>
    </row>
    <row r="443" spans="1:26" x14ac:dyDescent="0.2">
      <c r="A443" s="16">
        <f>'Stock Price'!A443</f>
        <v>45112</v>
      </c>
      <c r="B443" s="17">
        <f>'Stock Price'!E443</f>
        <v>113.7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6.8107092531705105E-2</v>
      </c>
      <c r="P443" s="19">
        <f ca="1">IF('Stock Price'!$I$11="OK",C443/INDEX(C$5:C$1258,'Stock Price'!$I$9)-1,"")</f>
        <v>-0.30903277031904131</v>
      </c>
      <c r="Q443" s="19">
        <f ca="1">IF('Stock Price'!$I$11="OK",D443/INDEX(D$5:D$1258,'Stock Price'!$I$9)-1,"")</f>
        <v>-0.26645682222526346</v>
      </c>
      <c r="R443" s="19">
        <f ca="1">IF('Stock Price'!$I$11="OK",E443/INDEX(E$5:E$1258,'Stock Price'!$I$9)-1,"")</f>
        <v>-0.30022164013701402</v>
      </c>
      <c r="S443" s="19">
        <f ca="1">IF('Stock Price'!$I$11="OK",F443/INDEX(F$5:F$1258,'Stock Price'!$I$9)-1,"")</f>
        <v>-0.2518950437317784</v>
      </c>
      <c r="T443" s="19">
        <f ca="1">IF('Stock Price'!$I$11="OK",G443/INDEX(G$5:G$1258,'Stock Price'!$I$9)-1,"")</f>
        <v>9.8693759071117659E-2</v>
      </c>
      <c r="U443" s="19">
        <f ca="1">IF('Stock Price'!$I$11="OK",H443/INDEX(H$5:H$1258,'Stock Price'!$I$9)-1,"")</f>
        <v>0.32710526315789479</v>
      </c>
      <c r="V443" s="19">
        <f ca="1">IF('Stock Price'!$I$11="OK",I443/INDEX(I$5:I$1258,'Stock Price'!$I$9)-1,"")</f>
        <v>0.44797458300238291</v>
      </c>
      <c r="W443" s="19">
        <f ca="1">IF('Stock Price'!$I$11="OK",J443/INDEX(J$5:J$1258,'Stock Price'!$I$9)-1,"")</f>
        <v>-0.56893998296864012</v>
      </c>
      <c r="X443" s="19">
        <f ca="1">IF('Stock Price'!$I$11="OK",K443/INDEX(K$5:K$1258,'Stock Price'!$I$9)-1,"")</f>
        <v>0.21081182192293313</v>
      </c>
      <c r="Y443" s="19">
        <f ca="1">IF('Stock Price'!$I$11="OK",L443/INDEX(L$5:L$1258,'Stock Price'!$I$9)-1,"")</f>
        <v>-0.21480588377140097</v>
      </c>
      <c r="Z443" s="19">
        <f ca="1">IF('Stock Price'!$I$11="OK",M443/INDEX(M$5:M$1258,'Stock Price'!$I$9)-1,"")</f>
        <v>-0.3998517291003445</v>
      </c>
    </row>
    <row r="444" spans="1:26" x14ac:dyDescent="0.2">
      <c r="A444" s="16">
        <f>'Stock Price'!A444</f>
        <v>45113</v>
      </c>
      <c r="B444" s="17">
        <f>'Stock Price'!E444</f>
        <v>111.75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4.9788633161108375E-2</v>
      </c>
      <c r="P444" s="19">
        <f ca="1">IF('Stock Price'!$I$11="OK",C444/INDEX(C$5:C$1258,'Stock Price'!$I$9)-1,"")</f>
        <v>-0.31559693951205425</v>
      </c>
      <c r="Q444" s="19">
        <f ca="1">IF('Stock Price'!$I$11="OK",D444/INDEX(D$5:D$1258,'Stock Price'!$I$9)-1,"")</f>
        <v>-0.27499657862323801</v>
      </c>
      <c r="R444" s="19">
        <f ca="1">IF('Stock Price'!$I$11="OK",E444/INDEX(E$5:E$1258,'Stock Price'!$I$9)-1,"")</f>
        <v>-0.31311706629055003</v>
      </c>
      <c r="S444" s="19">
        <f ca="1">IF('Stock Price'!$I$11="OK",F444/INDEX(F$5:F$1258,'Stock Price'!$I$9)-1,"")</f>
        <v>-0.26550048590864928</v>
      </c>
      <c r="T444" s="19">
        <f ca="1">IF('Stock Price'!$I$11="OK",G444/INDEX(G$5:G$1258,'Stock Price'!$I$9)-1,"")</f>
        <v>7.5264358283226196E-2</v>
      </c>
      <c r="U444" s="19">
        <f ca="1">IF('Stock Price'!$I$11="OK",H444/INDEX(H$5:H$1258,'Stock Price'!$I$9)-1,"")</f>
        <v>0.27947368421052632</v>
      </c>
      <c r="V444" s="19">
        <f ca="1">IF('Stock Price'!$I$11="OK",I444/INDEX(I$5:I$1258,'Stock Price'!$I$9)-1,"")</f>
        <v>0.41501191421763317</v>
      </c>
      <c r="W444" s="19">
        <f ca="1">IF('Stock Price'!$I$11="OK",J444/INDEX(J$5:J$1258,'Stock Price'!$I$9)-1,"")</f>
        <v>-0.57124477026176457</v>
      </c>
      <c r="X444" s="19">
        <f ca="1">IF('Stock Price'!$I$11="OK",K444/INDEX(K$5:K$1258,'Stock Price'!$I$9)-1,"")</f>
        <v>0.1866816311260755</v>
      </c>
      <c r="Y444" s="19">
        <f ca="1">IF('Stock Price'!$I$11="OK",L444/INDEX(L$5:L$1258,'Stock Price'!$I$9)-1,"")</f>
        <v>-0.22064142753797922</v>
      </c>
      <c r="Z444" s="19">
        <f ca="1">IF('Stock Price'!$I$11="OK",M444/INDEX(M$5:M$1258,'Stock Price'!$I$9)-1,"")</f>
        <v>-0.40146526536130134</v>
      </c>
    </row>
    <row r="445" spans="1:26" x14ac:dyDescent="0.2">
      <c r="A445" s="16">
        <f>'Stock Price'!A445</f>
        <v>45114</v>
      </c>
      <c r="B445" s="17">
        <f>'Stock Price'!E445</f>
        <v>109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2.395490840770309E-2</v>
      </c>
      <c r="P445" s="19">
        <f ca="1">IF('Stock Price'!$I$11="OK",C445/INDEX(C$5:C$1258,'Stock Price'!$I$9)-1,"")</f>
        <v>-0.33850079399451427</v>
      </c>
      <c r="Q445" s="19">
        <f ca="1">IF('Stock Price'!$I$11="OK",D445/INDEX(D$5:D$1258,'Stock Price'!$I$9)-1,"")</f>
        <v>-0.30067058984535378</v>
      </c>
      <c r="R445" s="19">
        <f ca="1">IF('Stock Price'!$I$11="OK",E445/INDEX(E$5:E$1258,'Stock Price'!$I$9)-1,"")</f>
        <v>-0.31875881523272209</v>
      </c>
      <c r="S445" s="19">
        <f ca="1">IF('Stock Price'!$I$11="OK",F445/INDEX(F$5:F$1258,'Stock Price'!$I$9)-1,"")</f>
        <v>-0.27755102040816326</v>
      </c>
      <c r="T445" s="19">
        <f ca="1">IF('Stock Price'!$I$11="OK",G445/INDEX(G$5:G$1258,'Stock Price'!$I$9)-1,"")</f>
        <v>6.3653327804271242E-2</v>
      </c>
      <c r="U445" s="19">
        <f ca="1">IF('Stock Price'!$I$11="OK",H445/INDEX(H$5:H$1258,'Stock Price'!$I$9)-1,"")</f>
        <v>0.28315789473684205</v>
      </c>
      <c r="V445" s="19">
        <f ca="1">IF('Stock Price'!$I$11="OK",I445/INDEX(I$5:I$1258,'Stock Price'!$I$9)-1,"")</f>
        <v>0.41104050833995243</v>
      </c>
      <c r="W445" s="19">
        <f ca="1">IF('Stock Price'!$I$11="OK",J445/INDEX(J$5:J$1258,'Stock Price'!$I$9)-1,"")</f>
        <v>-0.58154689177681518</v>
      </c>
      <c r="X445" s="19">
        <f ca="1">IF('Stock Price'!$I$11="OK",K445/INDEX(K$5:K$1258,'Stock Price'!$I$9)-1,"")</f>
        <v>0.17190422745978307</v>
      </c>
      <c r="Y445" s="19">
        <f ca="1">IF('Stock Price'!$I$11="OK",L445/INDEX(L$5:L$1258,'Stock Price'!$I$9)-1,"")</f>
        <v>-0.23197492163009403</v>
      </c>
      <c r="Z445" s="19">
        <f ca="1">IF('Stock Price'!$I$11="OK",M445/INDEX(M$5:M$1258,'Stock Price'!$I$9)-1,"")</f>
        <v>-0.40909685578474553</v>
      </c>
    </row>
    <row r="446" spans="1:26" x14ac:dyDescent="0.2">
      <c r="A446" s="16">
        <f>'Stock Price'!A446</f>
        <v>45117</v>
      </c>
      <c r="B446" s="17">
        <f>'Stock Price'!E446</f>
        <v>109.96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3.2973226867073713E-2</v>
      </c>
      <c r="P446" s="19">
        <f ca="1">IF('Stock Price'!$I$11="OK",C446/INDEX(C$5:C$1258,'Stock Price'!$I$9)-1,"")</f>
        <v>-0.32579182907463544</v>
      </c>
      <c r="Q446" s="19">
        <f ca="1">IF('Stock Price'!$I$11="OK",D446/INDEX(D$5:D$1258,'Stock Price'!$I$9)-1,"")</f>
        <v>-0.2815108799781032</v>
      </c>
      <c r="R446" s="19">
        <f ca="1">IF('Stock Price'!$I$11="OK",E446/INDEX(E$5:E$1258,'Stock Price'!$I$9)-1,"")</f>
        <v>-0.3179528510981261</v>
      </c>
      <c r="S446" s="19">
        <f ca="1">IF('Stock Price'!$I$11="OK",F446/INDEX(F$5:F$1258,'Stock Price'!$I$9)-1,"")</f>
        <v>-0.27444120505345004</v>
      </c>
      <c r="T446" s="19">
        <f ca="1">IF('Stock Price'!$I$11="OK",G446/INDEX(G$5:G$1258,'Stock Price'!$I$9)-1,"")</f>
        <v>7.4642338793282192E-2</v>
      </c>
      <c r="U446" s="19">
        <f ca="1">IF('Stock Price'!$I$11="OK",H446/INDEX(H$5:H$1258,'Stock Price'!$I$9)-1,"")</f>
        <v>0.30355263157894719</v>
      </c>
      <c r="V446" s="19">
        <f ca="1">IF('Stock Price'!$I$11="OK",I446/INDEX(I$5:I$1258,'Stock Price'!$I$9)-1,"")</f>
        <v>0.41699761715647332</v>
      </c>
      <c r="W446" s="19">
        <f ca="1">IF('Stock Price'!$I$11="OK",J446/INDEX(J$5:J$1258,'Stock Price'!$I$9)-1,"")</f>
        <v>-0.5805472249990743</v>
      </c>
      <c r="X446" s="19">
        <f ca="1">IF('Stock Price'!$I$11="OK",K446/INDEX(K$5:K$1258,'Stock Price'!$I$9)-1,"")</f>
        <v>0.16872427983539096</v>
      </c>
      <c r="Y446" s="19">
        <f ca="1">IF('Stock Price'!$I$11="OK",L446/INDEX(L$5:L$1258,'Stock Price'!$I$9)-1,"")</f>
        <v>-0.23072100313479627</v>
      </c>
      <c r="Z446" s="19">
        <f ca="1">IF('Stock Price'!$I$11="OK",M446/INDEX(M$5:M$1258,'Stock Price'!$I$9)-1,"")</f>
        <v>-0.41350137368627615</v>
      </c>
    </row>
    <row r="447" spans="1:26" x14ac:dyDescent="0.2">
      <c r="A447" s="16">
        <f>'Stock Price'!A447</f>
        <v>45118</v>
      </c>
      <c r="B447" s="17">
        <f>'Stock Price'!E447</f>
        <v>108.7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2.1136683889149799E-2</v>
      </c>
      <c r="P447" s="19">
        <f ca="1">IF('Stock Price'!$I$11="OK",C447/INDEX(C$5:C$1258,'Stock Price'!$I$9)-1,"")</f>
        <v>-0.32153240941244399</v>
      </c>
      <c r="Q447" s="19">
        <f ca="1">IF('Stock Price'!$I$11="OK",D447/INDEX(D$5:D$1258,'Stock Price'!$I$9)-1,"")</f>
        <v>-0.2815108799781032</v>
      </c>
      <c r="R447" s="19">
        <f ca="1">IF('Stock Price'!$I$11="OK",E447/INDEX(E$5:E$1258,'Stock Price'!$I$9)-1,"")</f>
        <v>-0.31251259318960312</v>
      </c>
      <c r="S447" s="19">
        <f ca="1">IF('Stock Price'!$I$11="OK",F447/INDEX(F$5:F$1258,'Stock Price'!$I$9)-1,"")</f>
        <v>-0.27074829931972788</v>
      </c>
      <c r="T447" s="19">
        <f ca="1">IF('Stock Price'!$I$11="OK",G447/INDEX(G$5:G$1258,'Stock Price'!$I$9)-1,"")</f>
        <v>7.2361600663487513E-2</v>
      </c>
      <c r="U447" s="19">
        <f ca="1">IF('Stock Price'!$I$11="OK",H447/INDEX(H$5:H$1258,'Stock Price'!$I$9)-1,"")</f>
        <v>0.3107894736842105</v>
      </c>
      <c r="V447" s="19">
        <f ca="1">IF('Stock Price'!$I$11="OK",I447/INDEX(I$5:I$1258,'Stock Price'!$I$9)-1,"")</f>
        <v>0.43050039714058785</v>
      </c>
      <c r="W447" s="19">
        <f ca="1">IF('Stock Price'!$I$11="OK",J447/INDEX(J$5:J$1258,'Stock Price'!$I$9)-1,"")</f>
        <v>-0.59329297641526901</v>
      </c>
      <c r="X447" s="19">
        <f ca="1">IF('Stock Price'!$I$11="OK",K447/INDEX(K$5:K$1258,'Stock Price'!$I$9)-1,"")</f>
        <v>0.17452300785634112</v>
      </c>
      <c r="Y447" s="19">
        <f ca="1">IF('Stock Price'!$I$11="OK",L447/INDEX(L$5:L$1258,'Stock Price'!$I$9)-1,"")</f>
        <v>-0.23496503496503496</v>
      </c>
      <c r="Z447" s="19">
        <f ca="1">IF('Stock Price'!$I$11="OK",M447/INDEX(M$5:M$1258,'Stock Price'!$I$9)-1,"")</f>
        <v>-0.4087915921678078</v>
      </c>
    </row>
    <row r="448" spans="1:26" x14ac:dyDescent="0.2">
      <c r="A448" s="16">
        <f>'Stock Price'!A448</f>
        <v>45119</v>
      </c>
      <c r="B448" s="17">
        <f>'Stock Price'!E448</f>
        <v>107.47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9.5819633630811474E-3</v>
      </c>
      <c r="P448" s="19">
        <f ca="1">IF('Stock Price'!$I$11="OK",C448/INDEX(C$5:C$1258,'Stock Price'!$I$9)-1,"")</f>
        <v>-0.31783095134979067</v>
      </c>
      <c r="Q448" s="19">
        <f ca="1">IF('Stock Price'!$I$11="OK",D448/INDEX(D$5:D$1258,'Stock Price'!$I$9)-1,"")</f>
        <v>-0.26470507732311488</v>
      </c>
      <c r="R448" s="19">
        <f ca="1">IF('Stock Price'!$I$11="OK",E448/INDEX(E$5:E$1258,'Stock Price'!$I$9)-1,"")</f>
        <v>-0.30485593391094101</v>
      </c>
      <c r="S448" s="19">
        <f ca="1">IF('Stock Price'!$I$11="OK",F448/INDEX(F$5:F$1258,'Stock Price'!$I$9)-1,"")</f>
        <v>-0.25558794946550056</v>
      </c>
      <c r="T448" s="19">
        <f ca="1">IF('Stock Price'!$I$11="OK",G448/INDEX(G$5:G$1258,'Stock Price'!$I$9)-1,"")</f>
        <v>7.4642338793282192E-2</v>
      </c>
      <c r="U448" s="19">
        <f ca="1">IF('Stock Price'!$I$11="OK",H448/INDEX(H$5:H$1258,'Stock Price'!$I$9)-1,"")</f>
        <v>0.31434210526315787</v>
      </c>
      <c r="V448" s="19">
        <f ca="1">IF('Stock Price'!$I$11="OK",I448/INDEX(I$5:I$1258,'Stock Price'!$I$9)-1,"")</f>
        <v>0.42930897537728363</v>
      </c>
      <c r="W448" s="19">
        <f ca="1">IF('Stock Price'!$I$11="OK",J448/INDEX(J$5:J$1258,'Stock Price'!$I$9)-1,"")</f>
        <v>-0.59217297937724456</v>
      </c>
      <c r="X448" s="19">
        <f ca="1">IF('Stock Price'!$I$11="OK",K448/INDEX(K$5:K$1258,'Stock Price'!$I$9)-1,"")</f>
        <v>0.16498316498316501</v>
      </c>
      <c r="Y448" s="19">
        <f ca="1">IF('Stock Price'!$I$11="OK",L448/INDEX(L$5:L$1258,'Stock Price'!$I$9)-1,"")</f>
        <v>-0.2376175548589341</v>
      </c>
      <c r="Z448" s="19">
        <f ca="1">IF('Stock Price'!$I$11="OK",M448/INDEX(M$5:M$1258,'Stock Price'!$I$9)-1,"")</f>
        <v>-0.41136452836771187</v>
      </c>
    </row>
    <row r="449" spans="1:26" x14ac:dyDescent="0.2">
      <c r="A449" s="16">
        <f>'Stock Price'!A449</f>
        <v>45120</v>
      </c>
      <c r="B449" s="17">
        <f>'Stock Price'!E449</f>
        <v>106.32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-1.2212306247064708E-3</v>
      </c>
      <c r="P449" s="19">
        <f ca="1">IF('Stock Price'!$I$11="OK",C449/INDEX(C$5:C$1258,'Stock Price'!$I$9)-1,"")</f>
        <v>-0.31336220586112307</v>
      </c>
      <c r="Q449" s="19">
        <f ca="1">IF('Stock Price'!$I$11="OK",D449/INDEX(D$5:D$1258,'Stock Price'!$I$9)-1,"")</f>
        <v>-0.26864705077323126</v>
      </c>
      <c r="R449" s="19">
        <f ca="1">IF('Stock Price'!$I$11="OK",E449/INDEX(E$5:E$1258,'Stock Price'!$I$9)-1,"")</f>
        <v>-0.29881120290147101</v>
      </c>
      <c r="S449" s="19">
        <f ca="1">IF('Stock Price'!$I$11="OK",F449/INDEX(F$5:F$1258,'Stock Price'!$I$9)-1,"")</f>
        <v>-0.24450923226433441</v>
      </c>
      <c r="T449" s="19">
        <f ca="1">IF('Stock Price'!$I$11="OK",G449/INDEX(G$5:G$1258,'Stock Price'!$I$9)-1,"")</f>
        <v>8.0655193862741115E-2</v>
      </c>
      <c r="U449" s="19">
        <f ca="1">IF('Stock Price'!$I$11="OK",H449/INDEX(H$5:H$1258,'Stock Price'!$I$9)-1,"")</f>
        <v>0.33236842105263165</v>
      </c>
      <c r="V449" s="19">
        <f ca="1">IF('Stock Price'!$I$11="OK",I449/INDEX(I$5:I$1258,'Stock Price'!$I$9)-1,"")</f>
        <v>0.43208895949166015</v>
      </c>
      <c r="W449" s="19">
        <f ca="1">IF('Stock Price'!$I$11="OK",J449/INDEX(J$5:J$1258,'Stock Price'!$I$9)-1,"")</f>
        <v>-0.59763412195934684</v>
      </c>
      <c r="X449" s="19">
        <f ca="1">IF('Stock Price'!$I$11="OK",K449/INDEX(K$5:K$1258,'Stock Price'!$I$9)-1,"")</f>
        <v>0.16498316498316501</v>
      </c>
      <c r="Y449" s="19">
        <f ca="1">IF('Stock Price'!$I$11="OK",L449/INDEX(L$5:L$1258,'Stock Price'!$I$9)-1,"")</f>
        <v>-0.23409693754521332</v>
      </c>
      <c r="Z449" s="19">
        <f ca="1">IF('Stock Price'!$I$11="OK",M449/INDEX(M$5:M$1258,'Stock Price'!$I$9)-1,"")</f>
        <v>-0.41742619161833328</v>
      </c>
    </row>
    <row r="450" spans="1:26" x14ac:dyDescent="0.2">
      <c r="A450" s="16">
        <f>'Stock Price'!A450</f>
        <v>45121</v>
      </c>
      <c r="B450" s="17">
        <f>'Stock Price'!E450</f>
        <v>107.34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8.3607327383747876E-3</v>
      </c>
      <c r="P450" s="19">
        <f ca="1">IF('Stock Price'!$I$11="OK",C450/INDEX(C$5:C$1258,'Stock Price'!$I$9)-1,"")</f>
        <v>-0.30987079543814056</v>
      </c>
      <c r="Q450" s="19">
        <f ca="1">IF('Stock Price'!$I$11="OK",D450/INDEX(D$5:D$1258,'Stock Price'!$I$9)-1,"")</f>
        <v>-0.24116600520049269</v>
      </c>
      <c r="R450" s="19">
        <f ca="1">IF('Stock Price'!$I$11="OK",E450/INDEX(E$5:E$1258,'Stock Price'!$I$9)-1,"")</f>
        <v>-0.30425146080999399</v>
      </c>
      <c r="S450" s="19">
        <f ca="1">IF('Stock Price'!$I$11="OK",F450/INDEX(F$5:F$1258,'Stock Price'!$I$9)-1,"")</f>
        <v>-0.23498542274052481</v>
      </c>
      <c r="T450" s="19">
        <f ca="1">IF('Stock Price'!$I$11="OK",G450/INDEX(G$5:G$1258,'Stock Price'!$I$9)-1,"")</f>
        <v>9.2266224341696068E-2</v>
      </c>
      <c r="U450" s="19">
        <f ca="1">IF('Stock Price'!$I$11="OK",H450/INDEX(H$5:H$1258,'Stock Price'!$I$9)-1,"")</f>
        <v>0.32394736842105276</v>
      </c>
      <c r="V450" s="19">
        <f ca="1">IF('Stock Price'!$I$11="OK",I450/INDEX(I$5:I$1258,'Stock Price'!$I$9)-1,"")</f>
        <v>0.44241461477362987</v>
      </c>
      <c r="W450" s="19">
        <f ca="1">IF('Stock Price'!$I$11="OK",J450/INDEX(J$5:J$1258,'Stock Price'!$I$9)-1,"")</f>
        <v>-0.5839720093302232</v>
      </c>
      <c r="X450" s="19">
        <f ca="1">IF('Stock Price'!$I$11="OK",K450/INDEX(K$5:K$1258,'Stock Price'!$I$9)-1,"")</f>
        <v>0.15862326973438079</v>
      </c>
      <c r="Y450" s="19">
        <f ca="1">IF('Stock Price'!$I$11="OK",L450/INDEX(L$5:L$1258,'Stock Price'!$I$9)-1,"")</f>
        <v>-0.22898480829515311</v>
      </c>
      <c r="Z450" s="19">
        <f ca="1">IF('Stock Price'!$I$11="OK",M450/INDEX(M$5:M$1258,'Stock Price'!$I$9)-1,"")</f>
        <v>-0.40687279228991324</v>
      </c>
    </row>
    <row r="451" spans="1:26" x14ac:dyDescent="0.2">
      <c r="A451" s="16">
        <f>'Stock Price'!A451</f>
        <v>45124</v>
      </c>
      <c r="B451" s="17">
        <f>'Stock Price'!E451</f>
        <v>105.57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-8.2667919210898111E-3</v>
      </c>
      <c r="P451" s="19">
        <f ca="1">IF('Stock Price'!$I$11="OK",C451/INDEX(C$5:C$1258,'Stock Price'!$I$9)-1,"")</f>
        <v>-0.30910278619893172</v>
      </c>
      <c r="Q451" s="19">
        <f ca="1">IF('Stock Price'!$I$11="OK",D451/INDEX(D$5:D$1258,'Stock Price'!$I$9)-1,"")</f>
        <v>-0.25671274120706178</v>
      </c>
      <c r="R451" s="19">
        <f ca="1">IF('Stock Price'!$I$11="OK",E451/INDEX(E$5:E$1258,'Stock Price'!$I$9)-1,"")</f>
        <v>-0.30465444287729204</v>
      </c>
      <c r="S451" s="19">
        <f ca="1">IF('Stock Price'!$I$11="OK",F451/INDEX(F$5:F$1258,'Stock Price'!$I$9)-1,"")</f>
        <v>-0.24450923226433441</v>
      </c>
      <c r="T451" s="19">
        <f ca="1">IF('Stock Price'!$I$11="OK",G451/INDEX(G$5:G$1258,'Stock Price'!$I$9)-1,"")</f>
        <v>9.6620360771304314E-2</v>
      </c>
      <c r="U451" s="19">
        <f ca="1">IF('Stock Price'!$I$11="OK",H451/INDEX(H$5:H$1258,'Stock Price'!$I$9)-1,"")</f>
        <v>0.32157894736842096</v>
      </c>
      <c r="V451" s="19">
        <f ca="1">IF('Stock Price'!$I$11="OK",I451/INDEX(I$5:I$1258,'Stock Price'!$I$9)-1,"")</f>
        <v>0.42414614773629866</v>
      </c>
      <c r="W451" s="19">
        <f ca="1">IF('Stock Price'!$I$11="OK",J451/INDEX(J$5:J$1258,'Stock Price'!$I$9)-1,"")</f>
        <v>-0.58611944166759233</v>
      </c>
      <c r="X451" s="19">
        <f ca="1">IF('Stock Price'!$I$11="OK",K451/INDEX(K$5:K$1258,'Stock Price'!$I$9)-1,"")</f>
        <v>0.15693976805087928</v>
      </c>
      <c r="Y451" s="19">
        <f ca="1">IF('Stock Price'!$I$11="OK",L451/INDEX(L$5:L$1258,'Stock Price'!$I$9)-1,"")</f>
        <v>-0.23284301904991567</v>
      </c>
      <c r="Z451" s="19">
        <f ca="1">IF('Stock Price'!$I$11="OK",M451/INDEX(M$5:M$1258,'Stock Price'!$I$9)-1,"")</f>
        <v>-0.41201866468972126</v>
      </c>
    </row>
    <row r="452" spans="1:26" x14ac:dyDescent="0.2">
      <c r="A452" s="16">
        <f>'Stock Price'!A452</f>
        <v>45125</v>
      </c>
      <c r="B452" s="17">
        <f>'Stock Price'!E452</f>
        <v>105.95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-4.6970408642554862E-3</v>
      </c>
      <c r="P452" s="19">
        <f ca="1">IF('Stock Price'!$I$11="OK",C452/INDEX(C$5:C$1258,'Stock Price'!$I$9)-1,"")</f>
        <v>-0.27753933881911363</v>
      </c>
      <c r="Q452" s="19">
        <f ca="1">IF('Stock Price'!$I$11="OK",D452/INDEX(D$5:D$1258,'Stock Price'!$I$9)-1,"")</f>
        <v>-0.26399343095661709</v>
      </c>
      <c r="R452" s="19">
        <f ca="1">IF('Stock Price'!$I$11="OK",E452/INDEX(E$5:E$1258,'Stock Price'!$I$9)-1,"")</f>
        <v>-0.29881120290147101</v>
      </c>
      <c r="S452" s="19">
        <f ca="1">IF('Stock Price'!$I$11="OK",F452/INDEX(F$5:F$1258,'Stock Price'!$I$9)-1,"")</f>
        <v>-0.23790087463556853</v>
      </c>
      <c r="T452" s="19">
        <f ca="1">IF('Stock Price'!$I$11="OK",G452/INDEX(G$5:G$1258,'Stock Price'!$I$9)-1,"")</f>
        <v>0.11403690648973663</v>
      </c>
      <c r="U452" s="19">
        <f ca="1">IF('Stock Price'!$I$11="OK",H452/INDEX(H$5:H$1258,'Stock Price'!$I$9)-1,"")</f>
        <v>0.35263157894736841</v>
      </c>
      <c r="V452" s="19">
        <f ca="1">IF('Stock Price'!$I$11="OK",I452/INDEX(I$5:I$1258,'Stock Price'!$I$9)-1,"")</f>
        <v>0.43923749007148549</v>
      </c>
      <c r="W452" s="19">
        <f ca="1">IF('Stock Price'!$I$11="OK",J452/INDEX(J$5:J$1258,'Stock Price'!$I$9)-1,"")</f>
        <v>-0.5823614350771964</v>
      </c>
      <c r="X452" s="19">
        <f ca="1">IF('Stock Price'!$I$11="OK",K452/INDEX(K$5:K$1258,'Stock Price'!$I$9)-1,"")</f>
        <v>0.15974560419004868</v>
      </c>
      <c r="Y452" s="19">
        <f ca="1">IF('Stock Price'!$I$11="OK",L452/INDEX(L$5:L$1258,'Stock Price'!$I$9)-1,"")</f>
        <v>-0.23289124668435013</v>
      </c>
      <c r="Z452" s="19">
        <f ca="1">IF('Stock Price'!$I$11="OK",M452/INDEX(M$5:M$1258,'Stock Price'!$I$9)-1,"")</f>
        <v>-0.40438707426627707</v>
      </c>
    </row>
    <row r="453" spans="1:26" x14ac:dyDescent="0.2">
      <c r="A453" s="16">
        <f>'Stock Price'!A453</f>
        <v>45126</v>
      </c>
      <c r="B453" s="17">
        <f>'Stock Price'!E453</f>
        <v>105.95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-4.6970408642554862E-3</v>
      </c>
      <c r="P453" s="19">
        <f ca="1">IF('Stock Price'!$I$11="OK",C453/INDEX(C$5:C$1258,'Stock Price'!$I$9)-1,"")</f>
        <v>-0.27921538905731191</v>
      </c>
      <c r="Q453" s="19">
        <f ca="1">IF('Stock Price'!$I$11="OK",D453/INDEX(D$5:D$1258,'Stock Price'!$I$9)-1,"")</f>
        <v>-0.24970576159846725</v>
      </c>
      <c r="R453" s="19">
        <f ca="1">IF('Stock Price'!$I$11="OK",E453/INDEX(E$5:E$1258,'Stock Price'!$I$9)-1,"")</f>
        <v>-0.29095305258915982</v>
      </c>
      <c r="S453" s="19">
        <f ca="1">IF('Stock Price'!$I$11="OK",F453/INDEX(F$5:F$1258,'Stock Price'!$I$9)-1,"")</f>
        <v>-0.23420796890184647</v>
      </c>
      <c r="T453" s="19">
        <f ca="1">IF('Stock Price'!$I$11="OK",G453/INDEX(G$5:G$1258,'Stock Price'!$I$9)-1,"")</f>
        <v>0.11486626580966219</v>
      </c>
      <c r="U453" s="19">
        <f ca="1">IF('Stock Price'!$I$11="OK",H453/INDEX(H$5:H$1258,'Stock Price'!$I$9)-1,"")</f>
        <v>0.35157894736842099</v>
      </c>
      <c r="V453" s="19">
        <f ca="1">IF('Stock Price'!$I$11="OK",I453/INDEX(I$5:I$1258,'Stock Price'!$I$9)-1,"")</f>
        <v>0.44718030182684654</v>
      </c>
      <c r="W453" s="19">
        <f ca="1">IF('Stock Price'!$I$11="OK",J453/INDEX(J$5:J$1258,'Stock Price'!$I$9)-1,"")</f>
        <v>-0.58017697804435553</v>
      </c>
      <c r="X453" s="19">
        <f ca="1">IF('Stock Price'!$I$11="OK",K453/INDEX(K$5:K$1258,'Stock Price'!$I$9)-1,"")</f>
        <v>0.16086793864571636</v>
      </c>
      <c r="Y453" s="19">
        <f ca="1">IF('Stock Price'!$I$11="OK",L453/INDEX(L$5:L$1258,'Stock Price'!$I$9)-1,"")</f>
        <v>-0.23443453098625511</v>
      </c>
      <c r="Z453" s="19">
        <f ca="1">IF('Stock Price'!$I$11="OK",M453/INDEX(M$5:M$1258,'Stock Price'!$I$9)-1,"")</f>
        <v>-0.39959007457154072</v>
      </c>
    </row>
    <row r="454" spans="1:26" x14ac:dyDescent="0.2">
      <c r="A454" s="16">
        <f>'Stock Price'!A454</f>
        <v>45127</v>
      </c>
      <c r="B454" s="17">
        <f>'Stock Price'!E454</f>
        <v>108.46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1.8882104274307032E-2</v>
      </c>
      <c r="P454" s="19">
        <f ca="1">IF('Stock Price'!$I$11="OK",C454/INDEX(C$5:C$1258,'Stock Price'!$I$9)-1,"")</f>
        <v>-0.2658777248448102</v>
      </c>
      <c r="Q454" s="19">
        <f ca="1">IF('Stock Price'!$I$11="OK",D454/INDEX(D$5:D$1258,'Stock Price'!$I$9)-1,"")</f>
        <v>-0.24456001094840574</v>
      </c>
      <c r="R454" s="19">
        <f ca="1">IF('Stock Price'!$I$11="OK",E454/INDEX(E$5:E$1258,'Stock Price'!$I$9)-1,"")</f>
        <v>-0.28067700987306066</v>
      </c>
      <c r="S454" s="19">
        <f ca="1">IF('Stock Price'!$I$11="OK",F454/INDEX(F$5:F$1258,'Stock Price'!$I$9)-1,"")</f>
        <v>-0.2324586977648202</v>
      </c>
      <c r="T454" s="19">
        <f ca="1">IF('Stock Price'!$I$11="OK",G454/INDEX(G$5:G$1258,'Stock Price'!$I$9)-1,"")</f>
        <v>0.13456354965788941</v>
      </c>
      <c r="U454" s="19">
        <f ca="1">IF('Stock Price'!$I$11="OK",H454/INDEX(H$5:H$1258,'Stock Price'!$I$9)-1,"")</f>
        <v>0.37263157894736842</v>
      </c>
      <c r="V454" s="19">
        <f ca="1">IF('Stock Price'!$I$11="OK",I454/INDEX(I$5:I$1258,'Stock Price'!$I$9)-1,"")</f>
        <v>0.46028594122319322</v>
      </c>
      <c r="W454" s="19">
        <f ca="1">IF('Stock Price'!$I$11="OK",J454/INDEX(J$5:J$1258,'Stock Price'!$I$9)-1,"")</f>
        <v>-0.57068014365581843</v>
      </c>
      <c r="X454" s="19">
        <f ca="1">IF('Stock Price'!$I$11="OK",K454/INDEX(K$5:K$1258,'Stock Price'!$I$9)-1,"")</f>
        <v>0.19285447063224836</v>
      </c>
      <c r="Y454" s="19">
        <f ca="1">IF('Stock Price'!$I$11="OK",L454/INDEX(L$5:L$1258,'Stock Price'!$I$9)-1,"")</f>
        <v>-0.18794309139136722</v>
      </c>
      <c r="Z454" s="19">
        <f ca="1">IF('Stock Price'!$I$11="OK",M454/INDEX(M$5:M$1258,'Stock Price'!$I$9)-1,"")</f>
        <v>-0.37992237582312161</v>
      </c>
    </row>
    <row r="455" spans="1:26" x14ac:dyDescent="0.2">
      <c r="A455" s="16">
        <f>'Stock Price'!A455</f>
        <v>45128</v>
      </c>
      <c r="B455" s="17">
        <f>'Stock Price'!E455</f>
        <v>110.39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3.7012682010333364E-2</v>
      </c>
      <c r="P455" s="19">
        <f ca="1">IF('Stock Price'!$I$11="OK",C455/INDEX(C$5:C$1258,'Stock Price'!$I$9)-1,"")</f>
        <v>-0.26671574996390923</v>
      </c>
      <c r="Q455" s="19">
        <f ca="1">IF('Stock Price'!$I$11="OK",D455/INDEX(D$5:D$1258,'Stock Price'!$I$9)-1,"")</f>
        <v>-0.25047269741343914</v>
      </c>
      <c r="R455" s="19">
        <f ca="1">IF('Stock Price'!$I$11="OK",E455/INDEX(E$5:E$1258,'Stock Price'!$I$9)-1,"")</f>
        <v>-0.27966955470481569</v>
      </c>
      <c r="S455" s="19">
        <f ca="1">IF('Stock Price'!$I$11="OK",F455/INDEX(F$5:F$1258,'Stock Price'!$I$9)-1,"")</f>
        <v>-0.22643343051506326</v>
      </c>
      <c r="T455" s="19">
        <f ca="1">IF('Stock Price'!$I$11="OK",G455/INDEX(G$5:G$1258,'Stock Price'!$I$9)-1,"")</f>
        <v>0.13933236574746033</v>
      </c>
      <c r="U455" s="19">
        <f ca="1">IF('Stock Price'!$I$11="OK",H455/INDEX(H$5:H$1258,'Stock Price'!$I$9)-1,"")</f>
        <v>0.36684210526315786</v>
      </c>
      <c r="V455" s="19">
        <f ca="1">IF('Stock Price'!$I$11="OK",I455/INDEX(I$5:I$1258,'Stock Price'!$I$9)-1,"")</f>
        <v>0.48530579825258147</v>
      </c>
      <c r="W455" s="19">
        <f ca="1">IF('Stock Price'!$I$11="OK",J455/INDEX(J$5:J$1258,'Stock Price'!$I$9)-1,"")</f>
        <v>-0.57232774260431696</v>
      </c>
      <c r="X455" s="19">
        <f ca="1">IF('Stock Price'!$I$11="OK",K455/INDEX(K$5:K$1258,'Stock Price'!$I$9)-1,"")</f>
        <v>0.20987654320987659</v>
      </c>
      <c r="Y455" s="19">
        <f ca="1">IF('Stock Price'!$I$11="OK",L455/INDEX(L$5:L$1258,'Stock Price'!$I$9)-1,"")</f>
        <v>-0.17921388955871709</v>
      </c>
      <c r="Z455" s="19">
        <f ca="1">IF('Stock Price'!$I$11="OK",M455/INDEX(M$5:M$1258,'Stock Price'!$I$9)-1,"")</f>
        <v>-0.37316296716235664</v>
      </c>
    </row>
    <row r="456" spans="1:26" x14ac:dyDescent="0.2">
      <c r="A456" s="16">
        <f>'Stock Price'!A456</f>
        <v>45131</v>
      </c>
      <c r="B456" s="17">
        <f>'Stock Price'!E456</f>
        <v>108.79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2.1982151244715809E-2</v>
      </c>
      <c r="P456" s="19">
        <f ca="1">IF('Stock Price'!$I$11="OK",C456/INDEX(C$5:C$1258,'Stock Price'!$I$9)-1,"")</f>
        <v>-0.27313988739714157</v>
      </c>
      <c r="Q456" s="19">
        <f ca="1">IF('Stock Price'!$I$11="OK",D456/INDEX(D$5:D$1258,'Stock Price'!$I$9)-1,"")</f>
        <v>-0.2375530313398112</v>
      </c>
      <c r="R456" s="19">
        <f ca="1">IF('Stock Price'!$I$11="OK",E456/INDEX(E$5:E$1258,'Stock Price'!$I$9)-1,"")</f>
        <v>-0.28007253677211374</v>
      </c>
      <c r="S456" s="19">
        <f ca="1">IF('Stock Price'!$I$11="OK",F456/INDEX(F$5:F$1258,'Stock Price'!$I$9)-1,"")</f>
        <v>-0.23712342079689019</v>
      </c>
      <c r="T456" s="19">
        <f ca="1">IF('Stock Price'!$I$11="OK",G456/INDEX(G$5:G$1258,'Stock Price'!$I$9)-1,"")</f>
        <v>0.11797636325938221</v>
      </c>
      <c r="U456" s="19">
        <f ca="1">IF('Stock Price'!$I$11="OK",H456/INDEX(H$5:H$1258,'Stock Price'!$I$9)-1,"")</f>
        <v>0.35499999999999998</v>
      </c>
      <c r="V456" s="19">
        <f ca="1">IF('Stock Price'!$I$11="OK",I456/INDEX(I$5:I$1258,'Stock Price'!$I$9)-1,"")</f>
        <v>0.48967434471803006</v>
      </c>
      <c r="W456" s="19">
        <f ca="1">IF('Stock Price'!$I$11="OK",J456/INDEX(J$5:J$1258,'Stock Price'!$I$9)-1,"")</f>
        <v>-0.57484542189640486</v>
      </c>
      <c r="X456" s="19">
        <f ca="1">IF('Stock Price'!$I$11="OK",K456/INDEX(K$5:K$1258,'Stock Price'!$I$9)-1,"")</f>
        <v>0.21081182192293313</v>
      </c>
      <c r="Y456" s="19">
        <f ca="1">IF('Stock Price'!$I$11="OK",L456/INDEX(L$5:L$1258,'Stock Price'!$I$9)-1,"")</f>
        <v>-0.17492163009404382</v>
      </c>
      <c r="Z456" s="19">
        <f ca="1">IF('Stock Price'!$I$11="OK",M456/INDEX(M$5:M$1258,'Stock Price'!$I$9)-1,"")</f>
        <v>-0.37560507609785876</v>
      </c>
    </row>
    <row r="457" spans="1:26" x14ac:dyDescent="0.2">
      <c r="A457" s="16">
        <f>'Stock Price'!A457</f>
        <v>45132</v>
      </c>
      <c r="B457" s="17">
        <f>'Stock Price'!E457</f>
        <v>107.53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1.0145608266791895E-2</v>
      </c>
      <c r="P457" s="19">
        <f ca="1">IF('Stock Price'!$I$11="OK",C457/INDEX(C$5:C$1258,'Stock Price'!$I$9)-1,"")</f>
        <v>-0.26804244261585097</v>
      </c>
      <c r="Q457" s="19">
        <f ca="1">IF('Stock Price'!$I$11="OK",D457/INDEX(D$5:D$1258,'Stock Price'!$I$9)-1,"")</f>
        <v>-0.24948734090598068</v>
      </c>
      <c r="R457" s="19">
        <f ca="1">IF('Stock Price'!$I$11="OK",E457/INDEX(E$5:E$1258,'Stock Price'!$I$9)-1,"")</f>
        <v>-0.28067700987306066</v>
      </c>
      <c r="S457" s="19">
        <f ca="1">IF('Stock Price'!$I$11="OK",F457/INDEX(F$5:F$1258,'Stock Price'!$I$9)-1,"")</f>
        <v>-0.23595724003887264</v>
      </c>
      <c r="T457" s="19">
        <f ca="1">IF('Stock Price'!$I$11="OK",G457/INDEX(G$5:G$1258,'Stock Price'!$I$9)-1,"")</f>
        <v>0.11486626580966219</v>
      </c>
      <c r="U457" s="19">
        <f ca="1">IF('Stock Price'!$I$11="OK",H457/INDEX(H$5:H$1258,'Stock Price'!$I$9)-1,"")</f>
        <v>0.36131578947368403</v>
      </c>
      <c r="V457" s="19">
        <f ca="1">IF('Stock Price'!$I$11="OK",I457/INDEX(I$5:I$1258,'Stock Price'!$I$9)-1,"")</f>
        <v>0.47180301826846716</v>
      </c>
      <c r="W457" s="19">
        <f ca="1">IF('Stock Price'!$I$11="OK",J457/INDEX(J$5:J$1258,'Stock Price'!$I$9)-1,"")</f>
        <v>-0.5764930208449035</v>
      </c>
      <c r="X457" s="19">
        <f ca="1">IF('Stock Price'!$I$11="OK",K457/INDEX(K$5:K$1258,'Stock Price'!$I$9)-1,"")</f>
        <v>0.19285447063224836</v>
      </c>
      <c r="Y457" s="19">
        <f ca="1">IF('Stock Price'!$I$11="OK",L457/INDEX(L$5:L$1258,'Stock Price'!$I$9)-1,"")</f>
        <v>-0.16860380998312041</v>
      </c>
      <c r="Z457" s="19">
        <f ca="1">IF('Stock Price'!$I$11="OK",M457/INDEX(M$5:M$1258,'Stock Price'!$I$9)-1,"")</f>
        <v>-0.38236448475862372</v>
      </c>
    </row>
    <row r="458" spans="1:26" x14ac:dyDescent="0.2">
      <c r="A458" s="16">
        <f>'Stock Price'!A458</f>
        <v>45133</v>
      </c>
      <c r="B458" s="17">
        <f>'Stock Price'!E458</f>
        <v>107.14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6.4819163926725931E-3</v>
      </c>
      <c r="P458" s="19">
        <f ca="1">IF('Stock Price'!$I$11="OK",C458/INDEX(C$5:C$1258,'Stock Price'!$I$9)-1,"")</f>
        <v>-0.2745365959289735</v>
      </c>
      <c r="Q458" s="19">
        <f ca="1">IF('Stock Price'!$I$11="OK",D458/INDEX(D$5:D$1258,'Stock Price'!$I$9)-1,"")</f>
        <v>-0.23087450390036957</v>
      </c>
      <c r="R458" s="19">
        <f ca="1">IF('Stock Price'!$I$11="OK",E458/INDEX(E$5:E$1258,'Stock Price'!$I$9)-1,"")</f>
        <v>-0.27725166230102771</v>
      </c>
      <c r="S458" s="19">
        <f ca="1">IF('Stock Price'!$I$11="OK",F458/INDEX(F$5:F$1258,'Stock Price'!$I$9)-1,"")</f>
        <v>-0.23906705539358608</v>
      </c>
      <c r="T458" s="19">
        <f ca="1">IF('Stock Price'!$I$11="OK",G458/INDEX(G$5:G$1258,'Stock Price'!$I$9)-1,"")</f>
        <v>0.10947543023014727</v>
      </c>
      <c r="U458" s="19">
        <f ca="1">IF('Stock Price'!$I$11="OK",H458/INDEX(H$5:H$1258,'Stock Price'!$I$9)-1,"")</f>
        <v>0.35578947368421066</v>
      </c>
      <c r="V458" s="19">
        <f ca="1">IF('Stock Price'!$I$11="OK",I458/INDEX(I$5:I$1258,'Stock Price'!$I$9)-1,"")</f>
        <v>0.47776012708498805</v>
      </c>
      <c r="W458" s="19">
        <f ca="1">IF('Stock Price'!$I$11="OK",J458/INDEX(J$5:J$1258,'Stock Price'!$I$9)-1,"")</f>
        <v>-0.58014920952275162</v>
      </c>
      <c r="X458" s="19">
        <f ca="1">IF('Stock Price'!$I$11="OK",K458/INDEX(K$5:K$1258,'Stock Price'!$I$9)-1,"")</f>
        <v>0.18612046389824166</v>
      </c>
      <c r="Y458" s="19">
        <f ca="1">IF('Stock Price'!$I$11="OK",L458/INDEX(L$5:L$1258,'Stock Price'!$I$9)-1,"")</f>
        <v>-0.16701229804678075</v>
      </c>
      <c r="Z458" s="19">
        <f ca="1">IF('Stock Price'!$I$11="OK",M458/INDEX(M$5:M$1258,'Stock Price'!$I$9)-1,"")</f>
        <v>-0.38118703937900655</v>
      </c>
    </row>
    <row r="459" spans="1:26" x14ac:dyDescent="0.2">
      <c r="A459" s="16">
        <f>'Stock Price'!A459</f>
        <v>45134</v>
      </c>
      <c r="B459" s="17">
        <f>'Stock Price'!E459</f>
        <v>105.27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-1.1085016439643103E-2</v>
      </c>
      <c r="P459" s="19">
        <f ca="1">IF('Stock Price'!$I$11="OK",C459/INDEX(C$5:C$1258,'Stock Price'!$I$9)-1,"")</f>
        <v>-0.27495596939512057</v>
      </c>
      <c r="Q459" s="19">
        <f ca="1">IF('Stock Price'!$I$11="OK",D459/INDEX(D$5:D$1258,'Stock Price'!$I$9)-1,"")</f>
        <v>-0.23114821404133035</v>
      </c>
      <c r="R459" s="19">
        <f ca="1">IF('Stock Price'!$I$11="OK",E459/INDEX(E$5:E$1258,'Stock Price'!$I$9)-1,"")</f>
        <v>-0.27725166230102771</v>
      </c>
      <c r="S459" s="19">
        <f ca="1">IF('Stock Price'!$I$11="OK",F459/INDEX(F$5:F$1258,'Stock Price'!$I$9)-1,"")</f>
        <v>-0.24450923226433441</v>
      </c>
      <c r="T459" s="19">
        <f ca="1">IF('Stock Price'!$I$11="OK",G459/INDEX(G$5:G$1258,'Stock Price'!$I$9)-1,"")</f>
        <v>0.11009744972009128</v>
      </c>
      <c r="U459" s="19">
        <f ca="1">IF('Stock Price'!$I$11="OK",H459/INDEX(H$5:H$1258,'Stock Price'!$I$9)-1,"")</f>
        <v>0.37578947368421045</v>
      </c>
      <c r="V459" s="19">
        <f ca="1">IF('Stock Price'!$I$11="OK",I459/INDEX(I$5:I$1258,'Stock Price'!$I$9)-1,"")</f>
        <v>0.43764892772041319</v>
      </c>
      <c r="W459" s="19">
        <f ca="1">IF('Stock Price'!$I$11="OK",J459/INDEX(J$5:J$1258,'Stock Price'!$I$9)-1,"")</f>
        <v>-0.57885334518123588</v>
      </c>
      <c r="X459" s="19">
        <f ca="1">IF('Stock Price'!$I$11="OK",K459/INDEX(K$5:K$1258,'Stock Price'!$I$9)-1,"")</f>
        <v>0.13598952487841376</v>
      </c>
      <c r="Y459" s="19">
        <f ca="1">IF('Stock Price'!$I$11="OK",L459/INDEX(L$5:L$1258,'Stock Price'!$I$9)-1,"")</f>
        <v>-0.16233421750663124</v>
      </c>
      <c r="Z459" s="19">
        <f ca="1">IF('Stock Price'!$I$11="OK",M459/INDEX(M$5:M$1258,'Stock Price'!$I$9)-1,"")</f>
        <v>-0.35087872312589952</v>
      </c>
    </row>
    <row r="460" spans="1:26" x14ac:dyDescent="0.2">
      <c r="A460" s="16">
        <f>'Stock Price'!A460</f>
        <v>45135</v>
      </c>
      <c r="B460" s="17">
        <f>'Stock Price'!E460</f>
        <v>106.34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-1.0333489901361848E-3</v>
      </c>
      <c r="P460" s="19">
        <f ca="1">IF('Stock Price'!$I$11="OK",C460/INDEX(C$5:C$1258,'Stock Price'!$I$9)-1,"")</f>
        <v>-0.27251190991771335</v>
      </c>
      <c r="Q460" s="19">
        <f ca="1">IF('Stock Price'!$I$11="OK",D460/INDEX(D$5:D$1258,'Stock Price'!$I$9)-1,"")</f>
        <v>-0.22901327494183665</v>
      </c>
      <c r="R460" s="19">
        <f ca="1">IF('Stock Price'!$I$11="OK",E460/INDEX(E$5:E$1258,'Stock Price'!$I$9)-1,"")</f>
        <v>-0.28591577674793478</v>
      </c>
      <c r="S460" s="19">
        <f ca="1">IF('Stock Price'!$I$11="OK",F460/INDEX(F$5:F$1258,'Stock Price'!$I$9)-1,"")</f>
        <v>-0.2493683187560739</v>
      </c>
      <c r="T460" s="19">
        <f ca="1">IF('Stock Price'!$I$11="OK",G460/INDEX(G$5:G$1258,'Stock Price'!$I$9)-1,"")</f>
        <v>8.8119427742069156E-2</v>
      </c>
      <c r="U460" s="19">
        <f ca="1">IF('Stock Price'!$I$11="OK",H460/INDEX(H$5:H$1258,'Stock Price'!$I$9)-1,"")</f>
        <v>0.3789473684210527</v>
      </c>
      <c r="V460" s="19">
        <f ca="1">IF('Stock Price'!$I$11="OK",I460/INDEX(I$5:I$1258,'Stock Price'!$I$9)-1,"")</f>
        <v>0.43248610007942823</v>
      </c>
      <c r="W460" s="19">
        <f ca="1">IF('Stock Price'!$I$11="OK",J460/INDEX(J$5:J$1258,'Stock Price'!$I$9)-1,"")</f>
        <v>-0.57562294050131424</v>
      </c>
      <c r="X460" s="19">
        <f ca="1">IF('Stock Price'!$I$11="OK",K460/INDEX(K$5:K$1258,'Stock Price'!$I$9)-1,"")</f>
        <v>0.14870931537598198</v>
      </c>
      <c r="Y460" s="19">
        <f ca="1">IF('Stock Price'!$I$11="OK",L460/INDEX(L$5:L$1258,'Stock Price'!$I$9)-1,"")</f>
        <v>-0.15852423438630336</v>
      </c>
      <c r="Z460" s="19">
        <f ca="1">IF('Stock Price'!$I$11="OK",M460/INDEX(M$5:M$1258,'Stock Price'!$I$9)-1,"")</f>
        <v>-0.34215690549910605</v>
      </c>
    </row>
    <row r="461" spans="1:26" x14ac:dyDescent="0.2">
      <c r="A461" s="16">
        <f>'Stock Price'!A461</f>
        <v>45138</v>
      </c>
      <c r="B461" s="17">
        <f>'Stock Price'!E461</f>
        <v>106.65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1.8788163457021945E-3</v>
      </c>
      <c r="P461" s="19">
        <f ca="1">IF('Stock Price'!$I$11="OK",C461/INDEX(C$5:C$1258,'Stock Price'!$I$9)-1,"")</f>
        <v>-0.26748375920311818</v>
      </c>
      <c r="Q461" s="19">
        <f ca="1">IF('Stock Price'!$I$11="OK",D461/INDEX(D$5:D$1258,'Stock Price'!$I$9)-1,"")</f>
        <v>-0.20722594772136316</v>
      </c>
      <c r="R461" s="19">
        <f ca="1">IF('Stock Price'!$I$11="OK",E461/INDEX(E$5:E$1258,'Stock Price'!$I$9)-1,"")</f>
        <v>-0.28329639331049772</v>
      </c>
      <c r="S461" s="19">
        <f ca="1">IF('Stock Price'!$I$11="OK",F461/INDEX(F$5:F$1258,'Stock Price'!$I$9)-1,"")</f>
        <v>-0.24781341107871724</v>
      </c>
      <c r="T461" s="19">
        <f ca="1">IF('Stock Price'!$I$11="OK",G461/INDEX(G$5:G$1258,'Stock Price'!$I$9)-1,"")</f>
        <v>0.10657267261040837</v>
      </c>
      <c r="U461" s="19">
        <f ca="1">IF('Stock Price'!$I$11="OK",H461/INDEX(H$5:H$1258,'Stock Price'!$I$9)-1,"")</f>
        <v>0.39842105263157901</v>
      </c>
      <c r="V461" s="19">
        <f ca="1">IF('Stock Price'!$I$11="OK",I461/INDEX(I$5:I$1258,'Stock Price'!$I$9)-1,"")</f>
        <v>0.43208895949166015</v>
      </c>
      <c r="W461" s="19">
        <f ca="1">IF('Stock Price'!$I$11="OK",J461/INDEX(J$5:J$1258,'Stock Price'!$I$9)-1,"")</f>
        <v>-0.57926061683142649</v>
      </c>
      <c r="X461" s="19">
        <f ca="1">IF('Stock Price'!$I$11="OK",K461/INDEX(K$5:K$1258,'Stock Price'!$I$9)-1,"")</f>
        <v>0.16329966329966328</v>
      </c>
      <c r="Y461" s="19">
        <f ca="1">IF('Stock Price'!$I$11="OK",L461/INDEX(L$5:L$1258,'Stock Price'!$I$9)-1,"")</f>
        <v>-0.19204244031830231</v>
      </c>
      <c r="Z461" s="19">
        <f ca="1">IF('Stock Price'!$I$11="OK",M461/INDEX(M$5:M$1258,'Stock Price'!$I$9)-1,"")</f>
        <v>-0.34769525969211978</v>
      </c>
    </row>
    <row r="462" spans="1:26" x14ac:dyDescent="0.2">
      <c r="A462" s="16">
        <f>'Stock Price'!A462</f>
        <v>45139</v>
      </c>
      <c r="B462" s="17">
        <f>'Stock Price'!E462</f>
        <v>105.28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-1.0991075622357904E-2</v>
      </c>
      <c r="P462" s="19">
        <f ca="1">IF('Stock Price'!$I$11="OK",C462/INDEX(C$5:C$1258,'Stock Price'!$I$9)-1,"")</f>
        <v>-0.2785166738847985</v>
      </c>
      <c r="Q462" s="19">
        <f ca="1">IF('Stock Price'!$I$11="OK",D462/INDEX(D$5:D$1258,'Stock Price'!$I$9)-1,"")</f>
        <v>-0.21801012727521563</v>
      </c>
      <c r="R462" s="19">
        <f ca="1">IF('Stock Price'!$I$11="OK",E462/INDEX(E$5:E$1258,'Stock Price'!$I$9)-1,"")</f>
        <v>-0.29619181946403395</v>
      </c>
      <c r="S462" s="19">
        <f ca="1">IF('Stock Price'!$I$11="OK",F462/INDEX(F$5:F$1258,'Stock Price'!$I$9)-1,"")</f>
        <v>-0.25558794946550056</v>
      </c>
      <c r="T462" s="19">
        <f ca="1">IF('Stock Price'!$I$11="OK",G462/INDEX(G$5:G$1258,'Stock Price'!$I$9)-1,"")</f>
        <v>0.100145137880987</v>
      </c>
      <c r="U462" s="19">
        <f ca="1">IF('Stock Price'!$I$11="OK",H462/INDEX(H$5:H$1258,'Stock Price'!$I$9)-1,"")</f>
        <v>0.3939473684210526</v>
      </c>
      <c r="V462" s="19">
        <f ca="1">IF('Stock Price'!$I$11="OK",I462/INDEX(I$5:I$1258,'Stock Price'!$I$9)-1,"")</f>
        <v>0.4142176330420968</v>
      </c>
      <c r="W462" s="19">
        <f ca="1">IF('Stock Price'!$I$11="OK",J462/INDEX(J$5:J$1258,'Stock Price'!$I$9)-1,"")</f>
        <v>-0.58061201821615016</v>
      </c>
      <c r="X462" s="19">
        <f ca="1">IF('Stock Price'!$I$11="OK",K462/INDEX(K$5:K$1258,'Stock Price'!$I$9)-1,"")</f>
        <v>0.15095398428731754</v>
      </c>
      <c r="Y462" s="19">
        <f ca="1">IF('Stock Price'!$I$11="OK",L462/INDEX(L$5:L$1258,'Stock Price'!$I$9)-1,"")</f>
        <v>-0.18548348203520626</v>
      </c>
      <c r="Z462" s="19">
        <f ca="1">IF('Stock Price'!$I$11="OK",M462/INDEX(M$5:M$1258,'Stock Price'!$I$9)-1,"")</f>
        <v>-0.35223060485805247</v>
      </c>
    </row>
    <row r="463" spans="1:26" x14ac:dyDescent="0.2">
      <c r="A463" s="16">
        <f>'Stock Price'!A463</f>
        <v>45140</v>
      </c>
      <c r="B463" s="17">
        <f>'Stock Price'!E463</f>
        <v>105.7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-7.0455612963832293E-3</v>
      </c>
      <c r="P463" s="19">
        <f ca="1">IF('Stock Price'!$I$11="OK",C463/INDEX(C$5:C$1258,'Stock Price'!$I$9)-1,"")</f>
        <v>-0.28249747365381839</v>
      </c>
      <c r="Q463" s="19">
        <f ca="1">IF('Stock Price'!$I$11="OK",D463/INDEX(D$5:D$1258,'Stock Price'!$I$9)-1,"")</f>
        <v>-0.23840153277678944</v>
      </c>
      <c r="R463" s="19">
        <f ca="1">IF('Stock Price'!$I$11="OK",E463/INDEX(E$5:E$1258,'Stock Price'!$I$9)-1,"")</f>
        <v>-0.30223655047350395</v>
      </c>
      <c r="S463" s="19">
        <f ca="1">IF('Stock Price'!$I$11="OK",F463/INDEX(F$5:F$1258,'Stock Price'!$I$9)-1,"")</f>
        <v>-0.25578231292517017</v>
      </c>
      <c r="T463" s="19">
        <f ca="1">IF('Stock Price'!$I$11="OK",G463/INDEX(G$5:G$1258,'Stock Price'!$I$9)-1,"")</f>
        <v>6.759278457391682E-2</v>
      </c>
      <c r="U463" s="19">
        <f ca="1">IF('Stock Price'!$I$11="OK",H463/INDEX(H$5:H$1258,'Stock Price'!$I$9)-1,"")</f>
        <v>0.36842105263157898</v>
      </c>
      <c r="V463" s="19">
        <f ca="1">IF('Stock Price'!$I$11="OK",I463/INDEX(I$5:I$1258,'Stock Price'!$I$9)-1,"")</f>
        <v>0.40389197776012709</v>
      </c>
      <c r="W463" s="19">
        <f ca="1">IF('Stock Price'!$I$11="OK",J463/INDEX(J$5:J$1258,'Stock Price'!$I$9)-1,"")</f>
        <v>-0.57932541004850235</v>
      </c>
      <c r="X463" s="19">
        <f ca="1">IF('Stock Price'!$I$11="OK",K463/INDEX(K$5:K$1258,'Stock Price'!$I$9)-1,"")</f>
        <v>0.1550692106247662</v>
      </c>
      <c r="Y463" s="19">
        <f ca="1">IF('Stock Price'!$I$11="OK",L463/INDEX(L$5:L$1258,'Stock Price'!$I$9)-1,"")</f>
        <v>-0.180564263322884</v>
      </c>
      <c r="Z463" s="19">
        <f ca="1">IF('Stock Price'!$I$11="OK",M463/INDEX(M$5:M$1258,'Stock Price'!$I$9)-1,"")</f>
        <v>-0.34856744145479923</v>
      </c>
    </row>
    <row r="464" spans="1:26" x14ac:dyDescent="0.2">
      <c r="A464" s="16">
        <f>'Stock Price'!A464</f>
        <v>45141</v>
      </c>
      <c r="B464" s="17">
        <f>'Stock Price'!E464</f>
        <v>105.73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-6.7637388445279667E-3</v>
      </c>
      <c r="P464" s="19">
        <f ca="1">IF('Stock Price'!$I$11="OK",C464/INDEX(C$5:C$1258,'Stock Price'!$I$9)-1,"")</f>
        <v>-0.28745488667532848</v>
      </c>
      <c r="Q464" s="19">
        <f ca="1">IF('Stock Price'!$I$11="OK",D464/INDEX(D$5:D$1258,'Stock Price'!$I$9)-1,"")</f>
        <v>-0.23903106610099911</v>
      </c>
      <c r="R464" s="19">
        <f ca="1">IF('Stock Price'!$I$11="OK",E464/INDEX(E$5:E$1258,'Stock Price'!$I$9)-1,"")</f>
        <v>-0.31150513802135804</v>
      </c>
      <c r="S464" s="19">
        <f ca="1">IF('Stock Price'!$I$11="OK",F464/INDEX(F$5:F$1258,'Stock Price'!$I$9)-1,"")</f>
        <v>-0.26044703595724017</v>
      </c>
      <c r="T464" s="19">
        <f ca="1">IF('Stock Price'!$I$11="OK",G464/INDEX(G$5:G$1258,'Stock Price'!$I$9)-1,"")</f>
        <v>5.6396433754924535E-2</v>
      </c>
      <c r="U464" s="19">
        <f ca="1">IF('Stock Price'!$I$11="OK",H464/INDEX(H$5:H$1258,'Stock Price'!$I$9)-1,"")</f>
        <v>0.35763157894736852</v>
      </c>
      <c r="V464" s="19">
        <f ca="1">IF('Stock Price'!$I$11="OK",I464/INDEX(I$5:I$1258,'Stock Price'!$I$9)-1,"")</f>
        <v>0.3899920571882447</v>
      </c>
      <c r="W464" s="19">
        <f ca="1">IF('Stock Price'!$I$11="OK",J464/INDEX(J$5:J$1258,'Stock Price'!$I$9)-1,"")</f>
        <v>-0.5842496945462623</v>
      </c>
      <c r="X464" s="19">
        <f ca="1">IF('Stock Price'!$I$11="OK",K464/INDEX(K$5:K$1258,'Stock Price'!$I$9)-1,"")</f>
        <v>0.14534231200897851</v>
      </c>
      <c r="Y464" s="19">
        <f ca="1">IF('Stock Price'!$I$11="OK",L464/INDEX(L$5:L$1258,'Stock Price'!$I$9)-1,"")</f>
        <v>-0.17704364600916334</v>
      </c>
      <c r="Z464" s="19">
        <f ca="1">IF('Stock Price'!$I$11="OK",M464/INDEX(M$5:M$1258,'Stock Price'!$I$9)-1,"")</f>
        <v>-0.35000654136322007</v>
      </c>
    </row>
    <row r="465" spans="1:26" x14ac:dyDescent="0.2">
      <c r="A465" s="16">
        <f>'Stock Price'!A465</f>
        <v>45142</v>
      </c>
      <c r="B465" s="17">
        <f>'Stock Price'!E465</f>
        <v>105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-1.3621418506341021E-2</v>
      </c>
      <c r="P465" s="19">
        <f ca="1">IF('Stock Price'!$I$11="OK",C465/INDEX(C$5:C$1258,'Stock Price'!$I$9)-1,"")</f>
        <v>-0.28913093691352676</v>
      </c>
      <c r="Q465" s="19">
        <f ca="1">IF('Stock Price'!$I$11="OK",D465/INDEX(D$5:D$1258,'Stock Price'!$I$9)-1,"")</f>
        <v>-0.23229779663336525</v>
      </c>
      <c r="R465" s="19">
        <f ca="1">IF('Stock Price'!$I$11="OK",E465/INDEX(E$5:E$1258,'Stock Price'!$I$9)-1,"")</f>
        <v>-0.30727382631472899</v>
      </c>
      <c r="S465" s="19">
        <f ca="1">IF('Stock Price'!$I$11="OK",F465/INDEX(F$5:F$1258,'Stock Price'!$I$9)-1,"")</f>
        <v>-0.26569484936831878</v>
      </c>
      <c r="T465" s="19">
        <f ca="1">IF('Stock Price'!$I$11="OK",G465/INDEX(G$5:G$1258,'Stock Price'!$I$9)-1,"")</f>
        <v>7.0910221853618172E-2</v>
      </c>
      <c r="U465" s="19">
        <f ca="1">IF('Stock Price'!$I$11="OK",H465/INDEX(H$5:H$1258,'Stock Price'!$I$9)-1,"")</f>
        <v>0.35842105263157897</v>
      </c>
      <c r="V465" s="19">
        <f ca="1">IF('Stock Price'!$I$11="OK",I465/INDEX(I$5:I$1258,'Stock Price'!$I$9)-1,"")</f>
        <v>0.39078633836378085</v>
      </c>
      <c r="W465" s="19">
        <f ca="1">IF('Stock Price'!$I$11="OK",J465/INDEX(J$5:J$1258,'Stock Price'!$I$9)-1,"")</f>
        <v>-0.58394424080861929</v>
      </c>
      <c r="X465" s="19">
        <f ca="1">IF('Stock Price'!$I$11="OK",K465/INDEX(K$5:K$1258,'Stock Price'!$I$9)-1,"")</f>
        <v>0.13150018705574262</v>
      </c>
      <c r="Y465" s="19">
        <f ca="1">IF('Stock Price'!$I$11="OK",L465/INDEX(L$5:L$1258,'Stock Price'!$I$9)-1,"")</f>
        <v>-0.18476006751868823</v>
      </c>
      <c r="Z465" s="19">
        <f ca="1">IF('Stock Price'!$I$11="OK",M465/INDEX(M$5:M$1258,'Stock Price'!$I$9)-1,"")</f>
        <v>-0.35576294099690375</v>
      </c>
    </row>
    <row r="466" spans="1:26" x14ac:dyDescent="0.2">
      <c r="A466" s="16">
        <f>'Stock Price'!A466</f>
        <v>45145</v>
      </c>
      <c r="B466" s="17">
        <f>'Stock Price'!E466</f>
        <v>106.09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-3.3818694222639278E-3</v>
      </c>
      <c r="P466" s="19">
        <f ca="1">IF('Stock Price'!$I$11="OK",C466/INDEX(C$5:C$1258,'Stock Price'!$I$9)-1,"")</f>
        <v>-0.28214811606756163</v>
      </c>
      <c r="Q466" s="19">
        <f ca="1">IF('Stock Price'!$I$11="OK",D466/INDEX(D$5:D$1258,'Stock Price'!$I$9)-1,"")</f>
        <v>-0.22660462570138229</v>
      </c>
      <c r="R466" s="19">
        <f ca="1">IF('Stock Price'!$I$11="OK",E466/INDEX(E$5:E$1258,'Stock Price'!$I$9)-1,"")</f>
        <v>-0.30203505943985498</v>
      </c>
      <c r="S466" s="19">
        <f ca="1">IF('Stock Price'!$I$11="OK",F466/INDEX(F$5:F$1258,'Stock Price'!$I$9)-1,"")</f>
        <v>-0.26375121477162289</v>
      </c>
      <c r="T466" s="19">
        <f ca="1">IF('Stock Price'!$I$11="OK",G466/INDEX(G$5:G$1258,'Stock Price'!$I$9)-1,"")</f>
        <v>7.8996475222890439E-2</v>
      </c>
      <c r="U466" s="19">
        <f ca="1">IF('Stock Price'!$I$11="OK",H466/INDEX(H$5:H$1258,'Stock Price'!$I$9)-1,"")</f>
        <v>0.37815789473684203</v>
      </c>
      <c r="V466" s="19">
        <f ca="1">IF('Stock Price'!$I$11="OK",I466/INDEX(I$5:I$1258,'Stock Price'!$I$9)-1,"")</f>
        <v>0.41699761715647332</v>
      </c>
      <c r="W466" s="19">
        <f ca="1">IF('Stock Price'!$I$11="OK",J466/INDEX(J$5:J$1258,'Stock Price'!$I$9)-1,"")</f>
        <v>-0.57969565700322112</v>
      </c>
      <c r="X466" s="19">
        <f ca="1">IF('Stock Price'!$I$11="OK",K466/INDEX(K$5:K$1258,'Stock Price'!$I$9)-1,"")</f>
        <v>0.13112607557051992</v>
      </c>
      <c r="Y466" s="19">
        <f ca="1">IF('Stock Price'!$I$11="OK",L466/INDEX(L$5:L$1258,'Stock Price'!$I$9)-1,"")</f>
        <v>-0.16517964793826867</v>
      </c>
      <c r="Z466" s="19">
        <f ca="1">IF('Stock Price'!$I$11="OK",M466/INDEX(M$5:M$1258,'Stock Price'!$I$9)-1,"")</f>
        <v>-0.34442457808207227</v>
      </c>
    </row>
    <row r="467" spans="1:26" x14ac:dyDescent="0.2">
      <c r="A467" s="16">
        <f>'Stock Price'!A467</f>
        <v>45146</v>
      </c>
      <c r="B467" s="17">
        <f>'Stock Price'!E467</f>
        <v>106.41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-3.757632691404611E-4</v>
      </c>
      <c r="P467" s="19">
        <f ca="1">IF('Stock Price'!$I$11="OK",C467/INDEX(C$5:C$1258,'Stock Price'!$I$9)-1,"")</f>
        <v>-0.28040204994947304</v>
      </c>
      <c r="Q467" s="19">
        <f ca="1">IF('Stock Price'!$I$11="OK",D467/INDEX(D$5:D$1258,'Stock Price'!$I$9)-1,"")</f>
        <v>-0.22622143150403728</v>
      </c>
      <c r="R467" s="19">
        <f ca="1">IF('Stock Price'!$I$11="OK",E467/INDEX(E$5:E$1258,'Stock Price'!$I$9)-1,"")</f>
        <v>-0.29518436429578898</v>
      </c>
      <c r="S467" s="19">
        <f ca="1">IF('Stock Price'!$I$11="OK",F467/INDEX(F$5:F$1258,'Stock Price'!$I$9)-1,"")</f>
        <v>-0.26200194363459672</v>
      </c>
      <c r="T467" s="19">
        <f ca="1">IF('Stock Price'!$I$11="OK",G467/INDEX(G$5:G$1258,'Stock Price'!$I$9)-1,"")</f>
        <v>9.1851544681733399E-2</v>
      </c>
      <c r="U467" s="19">
        <f ca="1">IF('Stock Price'!$I$11="OK",H467/INDEX(H$5:H$1258,'Stock Price'!$I$9)-1,"")</f>
        <v>0.37684210526315787</v>
      </c>
      <c r="V467" s="19">
        <f ca="1">IF('Stock Price'!$I$11="OK",I467/INDEX(I$5:I$1258,'Stock Price'!$I$9)-1,"")</f>
        <v>0.41540905480540125</v>
      </c>
      <c r="W467" s="19">
        <f ca="1">IF('Stock Price'!$I$11="OK",J467/INDEX(J$5:J$1258,'Stock Price'!$I$9)-1,"")</f>
        <v>-0.51719797104668808</v>
      </c>
      <c r="X467" s="19">
        <f ca="1">IF('Stock Price'!$I$11="OK",K467/INDEX(K$5:K$1258,'Stock Price'!$I$9)-1,"")</f>
        <v>0.12532734754956976</v>
      </c>
      <c r="Y467" s="19">
        <f ca="1">IF('Stock Price'!$I$11="OK",L467/INDEX(L$5:L$1258,'Stock Price'!$I$9)-1,"")</f>
        <v>-0.16479382686279231</v>
      </c>
      <c r="Z467" s="19">
        <f ca="1">IF('Stock Price'!$I$11="OK",M467/INDEX(M$5:M$1258,'Stock Price'!$I$9)-1,"")</f>
        <v>-0.34752082333958401</v>
      </c>
    </row>
    <row r="468" spans="1:26" x14ac:dyDescent="0.2">
      <c r="A468" s="16">
        <f>'Stock Price'!A468</f>
        <v>45147</v>
      </c>
      <c r="B468" s="17">
        <f>'Stock Price'!E468</f>
        <v>106.1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-3.2879286049789513E-3</v>
      </c>
      <c r="P468" s="19">
        <f ca="1">IF('Stock Price'!$I$11="OK",C468/INDEX(C$5:C$1258,'Stock Price'!$I$9)-1,"")</f>
        <v>-0.27830734805832247</v>
      </c>
      <c r="Q468" s="19">
        <f ca="1">IF('Stock Price'!$I$11="OK",D468/INDEX(D$5:D$1258,'Stock Price'!$I$9)-1,"")</f>
        <v>-0.22622143150403728</v>
      </c>
      <c r="R468" s="19">
        <f ca="1">IF('Stock Price'!$I$11="OK",E468/INDEX(E$5:E$1258,'Stock Price'!$I$9)-1,"")</f>
        <v>-0.29115454362280879</v>
      </c>
      <c r="S468" s="19">
        <f ca="1">IF('Stock Price'!$I$11="OK",F468/INDEX(F$5:F$1258,'Stock Price'!$I$9)-1,"")</f>
        <v>-0.26569484936831878</v>
      </c>
      <c r="T468" s="19">
        <f ca="1">IF('Stock Price'!$I$11="OK",G468/INDEX(G$5:G$1258,'Stock Price'!$I$9)-1,"")</f>
        <v>0.10346257516068835</v>
      </c>
      <c r="U468" s="19">
        <f ca="1">IF('Stock Price'!$I$11="OK",H468/INDEX(H$5:H$1258,'Stock Price'!$I$9)-1,"")</f>
        <v>0.36894736842105269</v>
      </c>
      <c r="V468" s="19">
        <f ca="1">IF('Stock Price'!$I$11="OK",I468/INDEX(I$5:I$1258,'Stock Price'!$I$9)-1,"")</f>
        <v>0.42335186656076274</v>
      </c>
      <c r="W468" s="19">
        <f ca="1">IF('Stock Price'!$I$11="OK",J468/INDEX(J$5:J$1258,'Stock Price'!$I$9)-1,"")</f>
        <v>-0.51291236254581807</v>
      </c>
      <c r="X468" s="19">
        <f ca="1">IF('Stock Price'!$I$11="OK",K468/INDEX(K$5:K$1258,'Stock Price'!$I$9)-1,"")</f>
        <v>0.13393191170968932</v>
      </c>
      <c r="Y468" s="19">
        <f ca="1">IF('Stock Price'!$I$11="OK",L468/INDEX(L$5:L$1258,'Stock Price'!$I$9)-1,"")</f>
        <v>-0.16532433084157228</v>
      </c>
      <c r="Z468" s="19">
        <f ca="1">IF('Stock Price'!$I$11="OK",M468/INDEX(M$5:M$1258,'Stock Price'!$I$9)-1,"")</f>
        <v>-0.34250577820417771</v>
      </c>
    </row>
    <row r="469" spans="1:26" x14ac:dyDescent="0.2">
      <c r="A469" s="16">
        <f>'Stock Price'!A469</f>
        <v>45148</v>
      </c>
      <c r="B469" s="17">
        <f>'Stock Price'!E469</f>
        <v>105.57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-8.2667919210898111E-3</v>
      </c>
      <c r="P469" s="19">
        <f ca="1">IF('Stock Price'!$I$11="OK",C469/INDEX(C$5:C$1258,'Stock Price'!$I$9)-1,"")</f>
        <v>-0.27872672152446942</v>
      </c>
      <c r="Q469" s="19">
        <f ca="1">IF('Stock Price'!$I$11="OK",D469/INDEX(D$5:D$1258,'Stock Price'!$I$9)-1,"")</f>
        <v>-0.24483372108936652</v>
      </c>
      <c r="R469" s="19">
        <f ca="1">IF('Stock Price'!$I$11="OK",E469/INDEX(E$5:E$1258,'Stock Price'!$I$9)-1,"")</f>
        <v>-0.29316945395929883</v>
      </c>
      <c r="S469" s="19">
        <f ca="1">IF('Stock Price'!$I$11="OK",F469/INDEX(F$5:F$1258,'Stock Price'!$I$9)-1,"")</f>
        <v>-0.26413994169096211</v>
      </c>
      <c r="T469" s="19">
        <f ca="1">IF('Stock Price'!$I$11="OK",G469/INDEX(G$5:G$1258,'Stock Price'!$I$9)-1,"")</f>
        <v>0.1132075471698113</v>
      </c>
      <c r="U469" s="19">
        <f ca="1">IF('Stock Price'!$I$11="OK",H469/INDEX(H$5:H$1258,'Stock Price'!$I$9)-1,"")</f>
        <v>0.38657894736842091</v>
      </c>
      <c r="V469" s="19">
        <f ca="1">IF('Stock Price'!$I$11="OK",I469/INDEX(I$5:I$1258,'Stock Price'!$I$9)-1,"")</f>
        <v>0.41858617950754562</v>
      </c>
      <c r="W469" s="19">
        <f ca="1">IF('Stock Price'!$I$11="OK",J469/INDEX(J$5:J$1258,'Stock Price'!$I$9)-1,"")</f>
        <v>-0.51743863156725523</v>
      </c>
      <c r="X469" s="19">
        <f ca="1">IF('Stock Price'!$I$11="OK",K469/INDEX(K$5:K$1258,'Stock Price'!$I$9)-1,"")</f>
        <v>0.14646464646464641</v>
      </c>
      <c r="Y469" s="19">
        <f ca="1">IF('Stock Price'!$I$11="OK",L469/INDEX(L$5:L$1258,'Stock Price'!$I$9)-1,"")</f>
        <v>-0.16966481794068</v>
      </c>
      <c r="Z469" s="19">
        <f ca="1">IF('Stock Price'!$I$11="OK",M469/INDEX(M$5:M$1258,'Stock Price'!$I$9)-1,"")</f>
        <v>-0.33958396929920198</v>
      </c>
    </row>
    <row r="470" spans="1:26" x14ac:dyDescent="0.2">
      <c r="A470" s="16">
        <f>'Stock Price'!A470</f>
        <v>45149</v>
      </c>
      <c r="B470" s="17">
        <f>'Stock Price'!E470</f>
        <v>107.44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9.3001409112258848E-3</v>
      </c>
      <c r="P470" s="19">
        <f ca="1">IF('Stock Price'!$I$11="OK",C470/INDEX(C$5:C$1258,'Stock Price'!$I$9)-1,"")</f>
        <v>-0.27663129782012408</v>
      </c>
      <c r="Q470" s="19">
        <f ca="1">IF('Stock Price'!$I$11="OK",D470/INDEX(D$5:D$1258,'Stock Price'!$I$9)-1,"")</f>
        <v>-0.22529081702477072</v>
      </c>
      <c r="R470" s="19">
        <f ca="1">IF('Stock Price'!$I$11="OK",E470/INDEX(E$5:E$1258,'Stock Price'!$I$9)-1,"")</f>
        <v>-0.28813217811807379</v>
      </c>
      <c r="S470" s="19">
        <f ca="1">IF('Stock Price'!$I$11="OK",F470/INDEX(F$5:F$1258,'Stock Price'!$I$9)-1,"")</f>
        <v>-0.26316812439261428</v>
      </c>
      <c r="T470" s="19">
        <f ca="1">IF('Stock Price'!$I$11="OK",G470/INDEX(G$5:G$1258,'Stock Price'!$I$9)-1,"")</f>
        <v>0.10989010989010994</v>
      </c>
      <c r="U470" s="19">
        <f ca="1">IF('Stock Price'!$I$11="OK",H470/INDEX(H$5:H$1258,'Stock Price'!$I$9)-1,"")</f>
        <v>0.38342105263157888</v>
      </c>
      <c r="V470" s="19">
        <f ca="1">IF('Stock Price'!$I$11="OK",I470/INDEX(I$5:I$1258,'Stock Price'!$I$9)-1,"")</f>
        <v>0.43129467831612378</v>
      </c>
      <c r="W470" s="19">
        <f ca="1">IF('Stock Price'!$I$11="OK",J470/INDEX(J$5:J$1258,'Stock Price'!$I$9)-1,"")</f>
        <v>-0.51101484690288412</v>
      </c>
      <c r="X470" s="19">
        <f ca="1">IF('Stock Price'!$I$11="OK",K470/INDEX(K$5:K$1258,'Stock Price'!$I$9)-1,"")</f>
        <v>0.14534231200897851</v>
      </c>
      <c r="Y470" s="19">
        <f ca="1">IF('Stock Price'!$I$11="OK",L470/INDEX(L$5:L$1258,'Stock Price'!$I$9)-1,"")</f>
        <v>-0.16156257535567886</v>
      </c>
      <c r="Z470" s="19">
        <f ca="1">IF('Stock Price'!$I$11="OK",M470/INDEX(M$5:M$1258,'Stock Price'!$I$9)-1,"")</f>
        <v>-0.33635689677728842</v>
      </c>
    </row>
    <row r="471" spans="1:26" x14ac:dyDescent="0.2">
      <c r="A471" s="16">
        <f>'Stock Price'!A471</f>
        <v>45152</v>
      </c>
      <c r="B471" s="17">
        <f>'Stock Price'!E471</f>
        <v>108.91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2.3109441052137081E-2</v>
      </c>
      <c r="P471" s="19">
        <f ca="1">IF('Stock Price'!$I$11="OK",C471/INDEX(C$5:C$1258,'Stock Price'!$I$9)-1,"")</f>
        <v>-0.27816803811173663</v>
      </c>
      <c r="Q471" s="19">
        <f ca="1">IF('Stock Price'!$I$11="OK",D471/INDEX(D$5:D$1258,'Stock Price'!$I$9)-1,"")</f>
        <v>-0.2160941562884906</v>
      </c>
      <c r="R471" s="19">
        <f ca="1">IF('Stock Price'!$I$11="OK",E471/INDEX(E$5:E$1258,'Stock Price'!$I$9)-1,"")</f>
        <v>-0.28591577674793478</v>
      </c>
      <c r="S471" s="19">
        <f ca="1">IF('Stock Price'!$I$11="OK",F471/INDEX(F$5:F$1258,'Stock Price'!$I$9)-1,"")</f>
        <v>-0.26647230320699711</v>
      </c>
      <c r="T471" s="19">
        <f ca="1">IF('Stock Price'!$I$11="OK",G471/INDEX(G$5:G$1258,'Stock Price'!$I$9)-1,"")</f>
        <v>0.10470661414057658</v>
      </c>
      <c r="U471" s="19">
        <f ca="1">IF('Stock Price'!$I$11="OK",H471/INDEX(H$5:H$1258,'Stock Price'!$I$9)-1,"")</f>
        <v>0.38710526315789484</v>
      </c>
      <c r="V471" s="19">
        <f ca="1">IF('Stock Price'!$I$11="OK",I471/INDEX(I$5:I$1258,'Stock Price'!$I$9)-1,"")</f>
        <v>0.43248610007942823</v>
      </c>
      <c r="W471" s="19">
        <f ca="1">IF('Stock Price'!$I$11="OK",J471/INDEX(J$5:J$1258,'Stock Price'!$I$9)-1,"")</f>
        <v>-0.50201784590321741</v>
      </c>
      <c r="X471" s="19">
        <f ca="1">IF('Stock Price'!$I$11="OK",K471/INDEX(K$5:K$1258,'Stock Price'!$I$9)-1,"")</f>
        <v>0.15263748597081928</v>
      </c>
      <c r="Y471" s="19">
        <f ca="1">IF('Stock Price'!$I$11="OK",L471/INDEX(L$5:L$1258,'Stock Price'!$I$9)-1,"")</f>
        <v>-0.16353990836749455</v>
      </c>
      <c r="Z471" s="19">
        <f ca="1">IF('Stock Price'!$I$11="OK",M471/INDEX(M$5:M$1258,'Stock Price'!$I$9)-1,"")</f>
        <v>-0.33596441498408269</v>
      </c>
    </row>
    <row r="472" spans="1:26" x14ac:dyDescent="0.2">
      <c r="A472" s="16">
        <f>'Stock Price'!A472</f>
        <v>45153</v>
      </c>
      <c r="B472" s="17">
        <f>'Stock Price'!E472</f>
        <v>108.66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2.0760920620009227E-2</v>
      </c>
      <c r="P472" s="19">
        <f ca="1">IF('Stock Price'!$I$11="OK",C472/INDEX(C$5:C$1258,'Stock Price'!$I$9)-1,"")</f>
        <v>-0.28361484047928387</v>
      </c>
      <c r="Q472" s="19">
        <f ca="1">IF('Stock Price'!$I$11="OK",D472/INDEX(D$5:D$1258,'Stock Price'!$I$9)-1,"")</f>
        <v>-0.24696866018885999</v>
      </c>
      <c r="R472" s="19">
        <f ca="1">IF('Stock Price'!$I$11="OK",E472/INDEX(E$5:E$1258,'Stock Price'!$I$9)-1,"")</f>
        <v>-0.28954261535361681</v>
      </c>
      <c r="S472" s="19">
        <f ca="1">IF('Stock Price'!$I$11="OK",F472/INDEX(F$5:F$1258,'Stock Price'!$I$9)-1,"")</f>
        <v>-0.27716229348882415</v>
      </c>
      <c r="T472" s="19">
        <f ca="1">IF('Stock Price'!$I$11="OK",G472/INDEX(G$5:G$1258,'Stock Price'!$I$9)-1,"")</f>
        <v>9.4754302301472082E-2</v>
      </c>
      <c r="U472" s="19">
        <f ca="1">IF('Stock Price'!$I$11="OK",H472/INDEX(H$5:H$1258,'Stock Price'!$I$9)-1,"")</f>
        <v>0.36499999999999999</v>
      </c>
      <c r="V472" s="19">
        <f ca="1">IF('Stock Price'!$I$11="OK",I472/INDEX(I$5:I$1258,'Stock Price'!$I$9)-1,"")</f>
        <v>0.40548054011119938</v>
      </c>
      <c r="W472" s="19">
        <f ca="1">IF('Stock Price'!$I$11="OK",J472/INDEX(J$5:J$1258,'Stock Price'!$I$9)-1,"")</f>
        <v>-0.49403902402902733</v>
      </c>
      <c r="X472" s="19">
        <f ca="1">IF('Stock Price'!$I$11="OK",K472/INDEX(K$5:K$1258,'Stock Price'!$I$9)-1,"")</f>
        <v>0.1550692106247662</v>
      </c>
      <c r="Y472" s="19">
        <f ca="1">IF('Stock Price'!$I$11="OK",L472/INDEX(L$5:L$1258,'Stock Price'!$I$9)-1,"")</f>
        <v>-0.16595129008922116</v>
      </c>
      <c r="Z472" s="19">
        <f ca="1">IF('Stock Price'!$I$11="OK",M472/INDEX(M$5:M$1258,'Stock Price'!$I$9)-1,"")</f>
        <v>-0.3366185513060922</v>
      </c>
    </row>
    <row r="473" spans="1:26" x14ac:dyDescent="0.2">
      <c r="A473" s="16">
        <f>'Stock Price'!A473</f>
        <v>45154</v>
      </c>
      <c r="B473" s="17">
        <f>'Stock Price'!E473</f>
        <v>108.73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2.1418506341005283E-2</v>
      </c>
      <c r="P473" s="19">
        <f ca="1">IF('Stock Price'!$I$11="OK",C473/INDEX(C$5:C$1258,'Stock Price'!$I$9)-1,"")</f>
        <v>-0.28696621914248588</v>
      </c>
      <c r="Q473" s="19">
        <f ca="1">IF('Stock Price'!$I$11="OK",D473/INDEX(D$5:D$1258,'Stock Price'!$I$9)-1,"")</f>
        <v>-0.24696866018885999</v>
      </c>
      <c r="R473" s="19">
        <f ca="1">IF('Stock Price'!$I$11="OK",E473/INDEX(E$5:E$1258,'Stock Price'!$I$9)-1,"")</f>
        <v>-0.29377392706024597</v>
      </c>
      <c r="S473" s="19">
        <f ca="1">IF('Stock Price'!$I$11="OK",F473/INDEX(F$5:F$1258,'Stock Price'!$I$9)-1,"")</f>
        <v>-0.28435374149659864</v>
      </c>
      <c r="T473" s="19">
        <f ca="1">IF('Stock Price'!$I$11="OK",G473/INDEX(G$5:G$1258,'Stock Price'!$I$9)-1,"")</f>
        <v>8.6875388762181371E-2</v>
      </c>
      <c r="U473" s="19">
        <f ca="1">IF('Stock Price'!$I$11="OK",H473/INDEX(H$5:H$1258,'Stock Price'!$I$9)-1,"")</f>
        <v>0.34210526315789469</v>
      </c>
      <c r="V473" s="19">
        <f ca="1">IF('Stock Price'!$I$11="OK",I473/INDEX(I$5:I$1258,'Stock Price'!$I$9)-1,"")</f>
        <v>0.40905480540111183</v>
      </c>
      <c r="W473" s="19">
        <f ca="1">IF('Stock Price'!$I$11="OK",J473/INDEX(J$5:J$1258,'Stock Price'!$I$9)-1,"")</f>
        <v>-0.49439075863601012</v>
      </c>
      <c r="X473" s="19">
        <f ca="1">IF('Stock Price'!$I$11="OK",K473/INDEX(K$5:K$1258,'Stock Price'!$I$9)-1,"")</f>
        <v>0.13973063973063971</v>
      </c>
      <c r="Y473" s="19">
        <f ca="1">IF('Stock Price'!$I$11="OK",L473/INDEX(L$5:L$1258,'Stock Price'!$I$9)-1,"")</f>
        <v>-0.16860380998312041</v>
      </c>
      <c r="Z473" s="19">
        <f ca="1">IF('Stock Price'!$I$11="OK",M473/INDEX(M$5:M$1258,'Stock Price'!$I$9)-1,"")</f>
        <v>-0.33910426932972826</v>
      </c>
    </row>
    <row r="474" spans="1:26" x14ac:dyDescent="0.2">
      <c r="A474" s="16">
        <f>'Stock Price'!A474</f>
        <v>45155</v>
      </c>
      <c r="B474" s="17">
        <f>'Stock Price'!E474</f>
        <v>108.92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2.3203381869422168E-2</v>
      </c>
      <c r="P474" s="19">
        <f ca="1">IF('Stock Price'!$I$11="OK",C474/INDEX(C$5:C$1258,'Stock Price'!$I$9)-1,"")</f>
        <v>-0.28961960444636925</v>
      </c>
      <c r="Q474" s="19">
        <f ca="1">IF('Stock Price'!$I$11="OK",D474/INDEX(D$5:D$1258,'Stock Price'!$I$9)-1,"")</f>
        <v>-0.24743451484877521</v>
      </c>
      <c r="R474" s="19">
        <f ca="1">IF('Stock Price'!$I$11="OK",E474/INDEX(E$5:E$1258,'Stock Price'!$I$9)-1,"")</f>
        <v>-0.29760225669957696</v>
      </c>
      <c r="S474" s="19">
        <f ca="1">IF('Stock Price'!$I$11="OK",F474/INDEX(F$5:F$1258,'Stock Price'!$I$9)-1,"")</f>
        <v>-0.28688046647230325</v>
      </c>
      <c r="T474" s="19">
        <f ca="1">IF('Stock Price'!$I$11="OK",G474/INDEX(G$5:G$1258,'Stock Price'!$I$9)-1,"")</f>
        <v>9.7449720091229652E-2</v>
      </c>
      <c r="U474" s="19">
        <f ca="1">IF('Stock Price'!$I$11="OK",H474/INDEX(H$5:H$1258,'Stock Price'!$I$9)-1,"")</f>
        <v>0.35078947368421054</v>
      </c>
      <c r="V474" s="19">
        <f ca="1">IF('Stock Price'!$I$11="OK",I474/INDEX(I$5:I$1258,'Stock Price'!$I$9)-1,"")</f>
        <v>0.44996028594122306</v>
      </c>
      <c r="W474" s="19">
        <f ca="1">IF('Stock Price'!$I$11="OK",J474/INDEX(J$5:J$1258,'Stock Price'!$I$9)-1,"")</f>
        <v>-0.50233255581472847</v>
      </c>
      <c r="X474" s="19">
        <f ca="1">IF('Stock Price'!$I$11="OK",K474/INDEX(K$5:K$1258,'Stock Price'!$I$9)-1,"")</f>
        <v>0.16255144032921809</v>
      </c>
      <c r="Y474" s="19">
        <f ca="1">IF('Stock Price'!$I$11="OK",L474/INDEX(L$5:L$1258,'Stock Price'!$I$9)-1,"")</f>
        <v>-0.16079093320472637</v>
      </c>
      <c r="Z474" s="19">
        <f ca="1">IF('Stock Price'!$I$11="OK",M474/INDEX(M$5:M$1258,'Stock Price'!$I$9)-1,"")</f>
        <v>-0.34577645981422522</v>
      </c>
    </row>
    <row r="475" spans="1:26" x14ac:dyDescent="0.2">
      <c r="A475" s="16">
        <f>'Stock Price'!A475</f>
        <v>45156</v>
      </c>
      <c r="B475" s="17">
        <f>'Stock Price'!E475</f>
        <v>109.2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2.5833724753405285E-2</v>
      </c>
      <c r="P475" s="19">
        <f ca="1">IF('Stock Price'!$I$11="OK",C475/INDEX(C$5:C$1258,'Stock Price'!$I$9)-1,"")</f>
        <v>-0.294577739281074</v>
      </c>
      <c r="Q475" s="19">
        <f ca="1">IF('Stock Price'!$I$11="OK",D475/INDEX(D$5:D$1258,'Stock Price'!$I$9)-1,"")</f>
        <v>-0.25534419050225809</v>
      </c>
      <c r="R475" s="19">
        <f ca="1">IF('Stock Price'!$I$11="OK",E475/INDEX(E$5:E$1258,'Stock Price'!$I$9)-1,"")</f>
        <v>-0.30546040701188804</v>
      </c>
      <c r="S475" s="19">
        <f ca="1">IF('Stock Price'!$I$11="OK",F475/INDEX(F$5:F$1258,'Stock Price'!$I$9)-1,"")</f>
        <v>-0.30087463556851313</v>
      </c>
      <c r="T475" s="19">
        <f ca="1">IF('Stock Price'!$I$11="OK",G475/INDEX(G$5:G$1258,'Stock Price'!$I$9)-1,"")</f>
        <v>0.10408459465063236</v>
      </c>
      <c r="U475" s="19">
        <f ca="1">IF('Stock Price'!$I$11="OK",H475/INDEX(H$5:H$1258,'Stock Price'!$I$9)-1,"")</f>
        <v>0.3242105263157895</v>
      </c>
      <c r="V475" s="19">
        <f ca="1">IF('Stock Price'!$I$11="OK",I475/INDEX(I$5:I$1258,'Stock Price'!$I$9)-1,"")</f>
        <v>0.45591739475774418</v>
      </c>
      <c r="W475" s="19">
        <f ca="1">IF('Stock Price'!$I$11="OK",J475/INDEX(J$5:J$1258,'Stock Price'!$I$9)-1,"")</f>
        <v>-0.49421489133251884</v>
      </c>
      <c r="X475" s="19">
        <f ca="1">IF('Stock Price'!$I$11="OK",K475/INDEX(K$5:K$1258,'Stock Price'!$I$9)-1,"")</f>
        <v>0.16086793864571636</v>
      </c>
      <c r="Y475" s="19">
        <f ca="1">IF('Stock Price'!$I$11="OK",L475/INDEX(L$5:L$1258,'Stock Price'!$I$9)-1,"")</f>
        <v>-0.16812153363877491</v>
      </c>
      <c r="Z475" s="19">
        <f ca="1">IF('Stock Price'!$I$11="OK",M475/INDEX(M$5:M$1258,'Stock Price'!$I$9)-1,"")</f>
        <v>-0.34525315075661778</v>
      </c>
    </row>
    <row r="476" spans="1:26" x14ac:dyDescent="0.2">
      <c r="A476" s="16">
        <f>'Stock Price'!A476</f>
        <v>45159</v>
      </c>
      <c r="B476" s="17">
        <f>'Stock Price'!E476</f>
        <v>109.64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2.9967120713950246E-2</v>
      </c>
      <c r="P476" s="19">
        <f ca="1">IF('Stock Price'!$I$11="OK",C476/INDEX(C$5:C$1258,'Stock Price'!$I$9)-1,"")</f>
        <v>-0.2808914392955103</v>
      </c>
      <c r="Q476" s="19">
        <f ca="1">IF('Stock Price'!$I$11="OK",D476/INDEX(D$5:D$1258,'Stock Price'!$I$9)-1,"")</f>
        <v>-0.25030792390858092</v>
      </c>
      <c r="R476" s="19">
        <f ca="1">IF('Stock Price'!$I$11="OK",E476/INDEX(E$5:E$1258,'Stock Price'!$I$9)-1,"")</f>
        <v>-0.30384847874269605</v>
      </c>
      <c r="S476" s="19">
        <f ca="1">IF('Stock Price'!$I$11="OK",F476/INDEX(F$5:F$1258,'Stock Price'!$I$9)-1,"")</f>
        <v>-0.29737609329446069</v>
      </c>
      <c r="T476" s="19">
        <f ca="1">IF('Stock Price'!$I$11="OK",G476/INDEX(G$5:G$1258,'Stock Price'!$I$9)-1,"")</f>
        <v>0.11362222682977419</v>
      </c>
      <c r="U476" s="19">
        <f ca="1">IF('Stock Price'!$I$11="OK",H476/INDEX(H$5:H$1258,'Stock Price'!$I$9)-1,"")</f>
        <v>0.31921052631578961</v>
      </c>
      <c r="V476" s="19">
        <f ca="1">IF('Stock Price'!$I$11="OK",I476/INDEX(I$5:I$1258,'Stock Price'!$I$9)-1,"")</f>
        <v>0.46981731532962656</v>
      </c>
      <c r="W476" s="19">
        <f ca="1">IF('Stock Price'!$I$11="OK",J476/INDEX(J$5:J$1258,'Stock Price'!$I$9)-1,"")</f>
        <v>-0.49086415639231362</v>
      </c>
      <c r="X476" s="19">
        <f ca="1">IF('Stock Price'!$I$11="OK",K476/INDEX(K$5:K$1258,'Stock Price'!$I$9)-1,"")</f>
        <v>0.15806210250654695</v>
      </c>
      <c r="Y476" s="19">
        <f ca="1">IF('Stock Price'!$I$11="OK",L476/INDEX(L$5:L$1258,'Stock Price'!$I$9)-1,"")</f>
        <v>-0.19291053773812394</v>
      </c>
      <c r="Z476" s="19">
        <f ca="1">IF('Stock Price'!$I$11="OK",M476/INDEX(M$5:M$1258,'Stock Price'!$I$9)-1,"")</f>
        <v>-0.34516593258034978</v>
      </c>
    </row>
    <row r="477" spans="1:26" x14ac:dyDescent="0.2">
      <c r="A477" s="16">
        <f>'Stock Price'!A477</f>
        <v>45160</v>
      </c>
      <c r="B477" s="17">
        <f>'Stock Price'!E477</f>
        <v>107.23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7.3273837482386028E-3</v>
      </c>
      <c r="P477" s="19">
        <f ca="1">IF('Stock Price'!$I$11="OK",C477/INDEX(C$5:C$1258,'Stock Price'!$I$9)-1,"")</f>
        <v>-0.28361484047928387</v>
      </c>
      <c r="Q477" s="19">
        <f ca="1">IF('Stock Price'!$I$11="OK",D477/INDEX(D$5:D$1258,'Stock Price'!$I$9)-1,"")</f>
        <v>-0.25660325715067744</v>
      </c>
      <c r="R477" s="19">
        <f ca="1">IF('Stock Price'!$I$11="OK",E477/INDEX(E$5:E$1258,'Stock Price'!$I$9)-1,"")</f>
        <v>-0.30243804150715303</v>
      </c>
      <c r="S477" s="19">
        <f ca="1">IF('Stock Price'!$I$11="OK",F477/INDEX(F$5:F$1258,'Stock Price'!$I$9)-1,"")</f>
        <v>-0.30515063168124401</v>
      </c>
      <c r="T477" s="19">
        <f ca="1">IF('Stock Price'!$I$11="OK",G477/INDEX(G$5:G$1258,'Stock Price'!$I$9)-1,"")</f>
        <v>0.12004976155919556</v>
      </c>
      <c r="U477" s="19">
        <f ca="1">IF('Stock Price'!$I$11="OK",H477/INDEX(H$5:H$1258,'Stock Price'!$I$9)-1,"")</f>
        <v>0.32078947368421051</v>
      </c>
      <c r="V477" s="19">
        <f ca="1">IF('Stock Price'!$I$11="OK",I477/INDEX(I$5:I$1258,'Stock Price'!$I$9)-1,"")</f>
        <v>0.46306592533756974</v>
      </c>
      <c r="W477" s="19">
        <f ca="1">IF('Stock Price'!$I$11="OK",J477/INDEX(J$5:J$1258,'Stock Price'!$I$9)-1,"")</f>
        <v>-0.48752267762597656</v>
      </c>
      <c r="X477" s="19">
        <f ca="1">IF('Stock Price'!$I$11="OK",K477/INDEX(K$5:K$1258,'Stock Price'!$I$9)-1,"")</f>
        <v>0.15712682379349041</v>
      </c>
      <c r="Y477" s="19">
        <f ca="1">IF('Stock Price'!$I$11="OK",L477/INDEX(L$5:L$1258,'Stock Price'!$I$9)-1,"")</f>
        <v>-0.1993248131179165</v>
      </c>
      <c r="Z477" s="19">
        <f ca="1">IF('Stock Price'!$I$11="OK",M477/INDEX(M$5:M$1258,'Stock Price'!$I$9)-1,"")</f>
        <v>-0.35353887750207136</v>
      </c>
    </row>
    <row r="478" spans="1:26" x14ac:dyDescent="0.2">
      <c r="A478" s="16">
        <f>'Stock Price'!A478</f>
        <v>45161</v>
      </c>
      <c r="B478" s="17">
        <f>'Stock Price'!E478</f>
        <v>111.3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4.5561296383278549E-2</v>
      </c>
      <c r="P478" s="19">
        <f ca="1">IF('Stock Price'!$I$11="OK",C478/INDEX(C$5:C$1258,'Stock Price'!$I$9)-1,"")</f>
        <v>-0.28193879024108559</v>
      </c>
      <c r="Q478" s="19">
        <f ca="1">IF('Stock Price'!$I$11="OK",D478/INDEX(D$5:D$1258,'Stock Price'!$I$9)-1,"")</f>
        <v>-0.2371698371424662</v>
      </c>
      <c r="R478" s="19">
        <f ca="1">IF('Stock Price'!$I$11="OK",E478/INDEX(E$5:E$1258,'Stock Price'!$I$9)-1,"")</f>
        <v>-0.29578883739673578</v>
      </c>
      <c r="S478" s="19">
        <f ca="1">IF('Stock Price'!$I$11="OK",F478/INDEX(F$5:F$1258,'Stock Price'!$I$9)-1,"")</f>
        <v>-0.27502429543245877</v>
      </c>
      <c r="T478" s="19">
        <f ca="1">IF('Stock Price'!$I$11="OK",G478/INDEX(G$5:G$1258,'Stock Price'!$I$9)-1,"")</f>
        <v>0.10926809040016594</v>
      </c>
      <c r="U478" s="19">
        <f ca="1">IF('Stock Price'!$I$11="OK",H478/INDEX(H$5:H$1258,'Stock Price'!$I$9)-1,"")</f>
        <v>0.32315789473684209</v>
      </c>
      <c r="V478" s="19">
        <f ca="1">IF('Stock Price'!$I$11="OK",I478/INDEX(I$5:I$1258,'Stock Price'!$I$9)-1,"")</f>
        <v>0.45591739475774418</v>
      </c>
      <c r="W478" s="19">
        <f ca="1">IF('Stock Price'!$I$11="OK",J478/INDEX(J$5:J$1258,'Stock Price'!$I$9)-1,"")</f>
        <v>-0.48780036284201556</v>
      </c>
      <c r="X478" s="19">
        <f ca="1">IF('Stock Price'!$I$11="OK",K478/INDEX(K$5:K$1258,'Stock Price'!$I$9)-1,"")</f>
        <v>0.1515151515151516</v>
      </c>
      <c r="Y478" s="19">
        <f ca="1">IF('Stock Price'!$I$11="OK",L478/INDEX(L$5:L$1258,'Stock Price'!$I$9)-1,"")</f>
        <v>-0.21292500602845432</v>
      </c>
      <c r="Z478" s="19">
        <f ca="1">IF('Stock Price'!$I$11="OK",M478/INDEX(M$5:M$1258,'Stock Price'!$I$9)-1,"")</f>
        <v>-0.3585975317256116</v>
      </c>
    </row>
    <row r="479" spans="1:26" x14ac:dyDescent="0.2">
      <c r="A479" s="16">
        <f>'Stock Price'!A479</f>
        <v>45162</v>
      </c>
      <c r="B479" s="17">
        <f>'Stock Price'!E479</f>
        <v>109.45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2.8182245185533139E-2</v>
      </c>
      <c r="P479" s="19">
        <f ca="1">IF('Stock Price'!$I$11="OK",C479/INDEX(C$5:C$1258,'Stock Price'!$I$9)-1,"")</f>
        <v>-0.2958351378663201</v>
      </c>
      <c r="Q479" s="19">
        <f ca="1">IF('Stock Price'!$I$11="OK",D479/INDEX(D$5:D$1258,'Stock Price'!$I$9)-1,"")</f>
        <v>-0.25550841658683454</v>
      </c>
      <c r="R479" s="19">
        <f ca="1">IF('Stock Price'!$I$11="OK",E479/INDEX(E$5:E$1258,'Stock Price'!$I$9)-1,"")</f>
        <v>-0.30546040701188804</v>
      </c>
      <c r="S479" s="19">
        <f ca="1">IF('Stock Price'!$I$11="OK",F479/INDEX(F$5:F$1258,'Stock Price'!$I$9)-1,"")</f>
        <v>-0.28921282798833825</v>
      </c>
      <c r="T479" s="19">
        <f ca="1">IF('Stock Price'!$I$11="OK",G479/INDEX(G$5:G$1258,'Stock Price'!$I$9)-1,"")</f>
        <v>9.8071739581173656E-2</v>
      </c>
      <c r="U479" s="19">
        <f ca="1">IF('Stock Price'!$I$11="OK",H479/INDEX(H$5:H$1258,'Stock Price'!$I$9)-1,"")</f>
        <v>0.31289473684210534</v>
      </c>
      <c r="V479" s="19">
        <f ca="1">IF('Stock Price'!$I$11="OK",I479/INDEX(I$5:I$1258,'Stock Price'!$I$9)-1,"")</f>
        <v>0.43606036536934067</v>
      </c>
      <c r="W479" s="19">
        <f ca="1">IF('Stock Price'!$I$11="OK",J479/INDEX(J$5:J$1258,'Stock Price'!$I$9)-1,"")</f>
        <v>-0.49276167203524746</v>
      </c>
      <c r="X479" s="19">
        <f ca="1">IF('Stock Price'!$I$11="OK",K479/INDEX(K$5:K$1258,'Stock Price'!$I$9)-1,"")</f>
        <v>0.14627759072203528</v>
      </c>
      <c r="Y479" s="19">
        <f ca="1">IF('Stock Price'!$I$11="OK",L479/INDEX(L$5:L$1258,'Stock Price'!$I$9)-1,"")</f>
        <v>-0.20380998312032794</v>
      </c>
      <c r="Z479" s="19">
        <f ca="1">IF('Stock Price'!$I$11="OK",M479/INDEX(M$5:M$1258,'Stock Price'!$I$9)-1,"")</f>
        <v>-0.36055994069164021</v>
      </c>
    </row>
    <row r="480" spans="1:26" x14ac:dyDescent="0.2">
      <c r="A480" s="16">
        <f>'Stock Price'!A480</f>
        <v>45163</v>
      </c>
      <c r="B480" s="17">
        <f>'Stock Price'!E480</f>
        <v>110.21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3.5321747299201345E-2</v>
      </c>
      <c r="P480" s="19">
        <f ca="1">IF('Stock Price'!$I$11="OK",C480/INDEX(C$5:C$1258,'Stock Price'!$I$9)-1,"")</f>
        <v>-0.28927096867330737</v>
      </c>
      <c r="Q480" s="19">
        <f ca="1">IF('Stock Price'!$I$11="OK",D480/INDEX(D$5:D$1258,'Stock Price'!$I$9)-1,"")</f>
        <v>-0.25566716846859183</v>
      </c>
      <c r="R480" s="19">
        <f ca="1">IF('Stock Price'!$I$11="OK",E480/INDEX(E$5:E$1258,'Stock Price'!$I$9)-1,"")</f>
        <v>-0.29941567600241792</v>
      </c>
      <c r="S480" s="19">
        <f ca="1">IF('Stock Price'!$I$11="OK",F480/INDEX(F$5:F$1258,'Stock Price'!$I$9)-1,"")</f>
        <v>-0.28707482993197286</v>
      </c>
      <c r="T480" s="19">
        <f ca="1">IF('Stock Price'!$I$11="OK",G480/INDEX(G$5:G$1258,'Stock Price'!$I$9)-1,"")</f>
        <v>0.10760937176031526</v>
      </c>
      <c r="U480" s="19">
        <f ca="1">IF('Stock Price'!$I$11="OK",H480/INDEX(H$5:H$1258,'Stock Price'!$I$9)-1,"")</f>
        <v>0.31710526315789456</v>
      </c>
      <c r="V480" s="19">
        <f ca="1">IF('Stock Price'!$I$11="OK",I480/INDEX(I$5:I$1258,'Stock Price'!$I$9)-1,"")</f>
        <v>0.44479745830023831</v>
      </c>
      <c r="W480" s="19">
        <f ca="1">IF('Stock Price'!$I$11="OK",J480/INDEX(J$5:J$1258,'Stock Price'!$I$9)-1,"")</f>
        <v>-0.4875319337998445</v>
      </c>
      <c r="X480" s="19">
        <f ca="1">IF('Stock Price'!$I$11="OK",K480/INDEX(K$5:K$1258,'Stock Price'!$I$9)-1,"")</f>
        <v>0.16124205013093906</v>
      </c>
      <c r="Y480" s="19">
        <f ca="1">IF('Stock Price'!$I$11="OK",L480/INDEX(L$5:L$1258,'Stock Price'!$I$9)-1,"")</f>
        <v>-0.19821557752592234</v>
      </c>
      <c r="Z480" s="19">
        <f ca="1">IF('Stock Price'!$I$11="OK",M480/INDEX(M$5:M$1258,'Stock Price'!$I$9)-1,"")</f>
        <v>-0.36029828616283632</v>
      </c>
    </row>
    <row r="481" spans="1:26" x14ac:dyDescent="0.2">
      <c r="A481" s="16">
        <f>'Stock Price'!A481</f>
        <v>45166</v>
      </c>
      <c r="B481" s="17">
        <f>'Stock Price'!E481</f>
        <v>108.93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2.3297322686707478E-2</v>
      </c>
      <c r="P481" s="19">
        <f ca="1">IF('Stock Price'!$I$11="OK",C481/INDEX(C$5:C$1258,'Stock Price'!$I$9)-1,"")</f>
        <v>-0.28536018478417779</v>
      </c>
      <c r="Q481" s="19">
        <f ca="1">IF('Stock Price'!$I$11="OK",D481/INDEX(D$5:D$1258,'Stock Price'!$I$9)-1,"")</f>
        <v>-0.25200492678253739</v>
      </c>
      <c r="R481" s="19">
        <f ca="1">IF('Stock Price'!$I$11="OK",E481/INDEX(E$5:E$1258,'Stock Price'!$I$9)-1,"")</f>
        <v>-0.29256498085835181</v>
      </c>
      <c r="S481" s="19">
        <f ca="1">IF('Stock Price'!$I$11="OK",F481/INDEX(F$5:F$1258,'Stock Price'!$I$9)-1,"")</f>
        <v>-0.28688046647230325</v>
      </c>
      <c r="T481" s="19">
        <f ca="1">IF('Stock Price'!$I$11="OK",G481/INDEX(G$5:G$1258,'Stock Price'!$I$9)-1,"")</f>
        <v>0.11465892597968064</v>
      </c>
      <c r="U481" s="19">
        <f ca="1">IF('Stock Price'!$I$11="OK",H481/INDEX(H$5:H$1258,'Stock Price'!$I$9)-1,"")</f>
        <v>0.32578947368421063</v>
      </c>
      <c r="V481" s="19">
        <f ca="1">IF('Stock Price'!$I$11="OK",I481/INDEX(I$5:I$1258,'Stock Price'!$I$9)-1,"")</f>
        <v>0.43804606830818105</v>
      </c>
      <c r="W481" s="19">
        <f ca="1">IF('Stock Price'!$I$11="OK",J481/INDEX(J$5:J$1258,'Stock Price'!$I$9)-1,"")</f>
        <v>-0.4872820171054093</v>
      </c>
      <c r="X481" s="19">
        <f ca="1">IF('Stock Price'!$I$11="OK",K481/INDEX(K$5:K$1258,'Stock Price'!$I$9)-1,"")</f>
        <v>0.15301159745604198</v>
      </c>
      <c r="Y481" s="19">
        <f ca="1">IF('Stock Price'!$I$11="OK",L481/INDEX(L$5:L$1258,'Stock Price'!$I$9)-1,"")</f>
        <v>-0.20766819387509039</v>
      </c>
      <c r="Z481" s="19">
        <f ca="1">IF('Stock Price'!$I$11="OK",M481/INDEX(M$5:M$1258,'Stock Price'!$I$9)-1,"")</f>
        <v>-0.35707121364092276</v>
      </c>
    </row>
    <row r="482" spans="1:26" x14ac:dyDescent="0.2">
      <c r="A482" s="16">
        <f>'Stock Price'!A482</f>
        <v>45167</v>
      </c>
      <c r="B482" s="17">
        <f>'Stock Price'!E482</f>
        <v>109.99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3.3255049318928975E-2</v>
      </c>
      <c r="P482" s="19">
        <f ca="1">IF('Stock Price'!$I$11="OK",C482/INDEX(C$5:C$1258,'Stock Price'!$I$9)-1,"")</f>
        <v>-0.27879601559116496</v>
      </c>
      <c r="Q482" s="19">
        <f ca="1">IF('Stock Price'!$I$11="OK",D482/INDEX(D$5:D$1258,'Stock Price'!$I$9)-1,"")</f>
        <v>-0.23853838784726977</v>
      </c>
      <c r="R482" s="19">
        <f ca="1">IF('Stock Price'!$I$11="OK",E482/INDEX(E$5:E$1258,'Stock Price'!$I$9)-1,"")</f>
        <v>-0.28450533951239176</v>
      </c>
      <c r="S482" s="19">
        <f ca="1">IF('Stock Price'!$I$11="OK",F482/INDEX(F$5:F$1258,'Stock Price'!$I$9)-1,"")</f>
        <v>-0.27735665694849376</v>
      </c>
      <c r="T482" s="19">
        <f ca="1">IF('Stock Price'!$I$11="OK",G482/INDEX(G$5:G$1258,'Stock Price'!$I$9)-1,"")</f>
        <v>0.12295251917893424</v>
      </c>
      <c r="U482" s="19">
        <f ca="1">IF('Stock Price'!$I$11="OK",H482/INDEX(H$5:H$1258,'Stock Price'!$I$9)-1,"")</f>
        <v>0.33342105263157906</v>
      </c>
      <c r="V482" s="19">
        <f ca="1">IF('Stock Price'!$I$11="OK",I482/INDEX(I$5:I$1258,'Stock Price'!$I$9)-1,"")</f>
        <v>0.4356632247815726</v>
      </c>
      <c r="W482" s="19">
        <f ca="1">IF('Stock Price'!$I$11="OK",J482/INDEX(J$5:J$1258,'Stock Price'!$I$9)-1,"")</f>
        <v>-0.48730052945314517</v>
      </c>
      <c r="X482" s="19">
        <f ca="1">IF('Stock Price'!$I$11="OK",K482/INDEX(K$5:K$1258,'Stock Price'!$I$9)-1,"")</f>
        <v>0.17564534231200901</v>
      </c>
      <c r="Y482" s="19">
        <f ca="1">IF('Stock Price'!$I$11="OK",L482/INDEX(L$5:L$1258,'Stock Price'!$I$9)-1,"")</f>
        <v>-0.20757173860622136</v>
      </c>
      <c r="Z482" s="19">
        <f ca="1">IF('Stock Price'!$I$11="OK",M482/INDEX(M$5:M$1258,'Stock Price'!$I$9)-1,"")</f>
        <v>-0.35637346823077931</v>
      </c>
    </row>
    <row r="483" spans="1:26" x14ac:dyDescent="0.2">
      <c r="A483" s="16">
        <f>'Stock Price'!A483</f>
        <v>45168</v>
      </c>
      <c r="B483" s="17">
        <f>'Stock Price'!E483</f>
        <v>110.21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3.5321747299201345E-2</v>
      </c>
      <c r="P483" s="19">
        <f ca="1">IF('Stock Price'!$I$11="OK",C483/INDEX(C$5:C$1258,'Stock Price'!$I$9)-1,"")</f>
        <v>-0.28836292767431793</v>
      </c>
      <c r="Q483" s="19">
        <f ca="1">IF('Stock Price'!$I$11="OK",D483/INDEX(D$5:D$1258,'Stock Price'!$I$9)-1,"")</f>
        <v>-0.25153961954290416</v>
      </c>
      <c r="R483" s="19">
        <f ca="1">IF('Stock Price'!$I$11="OK",E483/INDEX(E$5:E$1258,'Stock Price'!$I$9)-1,"")</f>
        <v>-0.28490832157968971</v>
      </c>
      <c r="S483" s="19">
        <f ca="1">IF('Stock Price'!$I$11="OK",F483/INDEX(F$5:F$1258,'Stock Price'!$I$9)-1,"")</f>
        <v>-0.27502429543245877</v>
      </c>
      <c r="T483" s="19">
        <f ca="1">IF('Stock Price'!$I$11="OK",G483/INDEX(G$5:G$1258,'Stock Price'!$I$9)-1,"")</f>
        <v>0.12253783951897157</v>
      </c>
      <c r="U483" s="19">
        <f ca="1">IF('Stock Price'!$I$11="OK",H483/INDEX(H$5:H$1258,'Stock Price'!$I$9)-1,"")</f>
        <v>0.32657894736842086</v>
      </c>
      <c r="V483" s="19">
        <f ca="1">IF('Stock Price'!$I$11="OK",I483/INDEX(I$5:I$1258,'Stock Price'!$I$9)-1,"")</f>
        <v>0.42573471008737096</v>
      </c>
      <c r="W483" s="19">
        <f ca="1">IF('Stock Price'!$I$11="OK",J483/INDEX(J$5:J$1258,'Stock Price'!$I$9)-1,"")</f>
        <v>-0.49277092820911539</v>
      </c>
      <c r="X483" s="19">
        <f ca="1">IF('Stock Price'!$I$11="OK",K483/INDEX(K$5:K$1258,'Stock Price'!$I$9)-1,"")</f>
        <v>0.16685372240927809</v>
      </c>
      <c r="Y483" s="19">
        <f ca="1">IF('Stock Price'!$I$11="OK",L483/INDEX(L$5:L$1258,'Stock Price'!$I$9)-1,"")</f>
        <v>-0.21036894140342421</v>
      </c>
      <c r="Z483" s="19">
        <f ca="1">IF('Stock Price'!$I$11="OK",M483/INDEX(M$5:M$1258,'Stock Price'!$I$9)-1,"")</f>
        <v>-0.35319000479699969</v>
      </c>
    </row>
    <row r="484" spans="1:26" x14ac:dyDescent="0.2">
      <c r="A484" s="16">
        <f>'Stock Price'!A484</f>
        <v>45169</v>
      </c>
      <c r="B484" s="17">
        <f>'Stock Price'!E484</f>
        <v>108.98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2.3767026773132915E-2</v>
      </c>
      <c r="P484" s="19">
        <f ca="1">IF('Stock Price'!$I$11="OK",C484/INDEX(C$5:C$1258,'Stock Price'!$I$9)-1,"")</f>
        <v>-0.29834849141042297</v>
      </c>
      <c r="Q484" s="19">
        <f ca="1">IF('Stock Price'!$I$11="OK",D484/INDEX(D$5:D$1258,'Stock Price'!$I$9)-1,"")</f>
        <v>-0.26623840153277689</v>
      </c>
      <c r="R484" s="19">
        <f ca="1">IF('Stock Price'!$I$11="OK",E484/INDEX(E$5:E$1258,'Stock Price'!$I$9)-1,"")</f>
        <v>-0.29216199879105376</v>
      </c>
      <c r="S484" s="19">
        <f ca="1">IF('Stock Price'!$I$11="OK",F484/INDEX(F$5:F$1258,'Stock Price'!$I$9)-1,"")</f>
        <v>-0.2880466472303207</v>
      </c>
      <c r="T484" s="19">
        <f ca="1">IF('Stock Price'!$I$11="OK",G484/INDEX(G$5:G$1258,'Stock Price'!$I$9)-1,"")</f>
        <v>0.10263321584076301</v>
      </c>
      <c r="U484" s="19">
        <f ca="1">IF('Stock Price'!$I$11="OK",H484/INDEX(H$5:H$1258,'Stock Price'!$I$9)-1,"")</f>
        <v>0.33000000000000007</v>
      </c>
      <c r="V484" s="19">
        <f ca="1">IF('Stock Price'!$I$11="OK",I484/INDEX(I$5:I$1258,'Stock Price'!$I$9)-1,"")</f>
        <v>0.40508339952343131</v>
      </c>
      <c r="W484" s="19">
        <f ca="1">IF('Stock Price'!$I$11="OK",J484/INDEX(J$5:J$1258,'Stock Price'!$I$9)-1,"")</f>
        <v>-0.48702284423710607</v>
      </c>
      <c r="X484" s="19">
        <f ca="1">IF('Stock Price'!$I$11="OK",K484/INDEX(K$5:K$1258,'Stock Price'!$I$9)-1,"")</f>
        <v>0.15319865319865311</v>
      </c>
      <c r="Y484" s="19">
        <f ca="1">IF('Stock Price'!$I$11="OK",L484/INDEX(L$5:L$1258,'Stock Price'!$I$9)-1,"")</f>
        <v>-0.22025560646250297</v>
      </c>
      <c r="Z484" s="19">
        <f ca="1">IF('Stock Price'!$I$11="OK",M484/INDEX(M$5:M$1258,'Stock Price'!$I$9)-1,"")</f>
        <v>-0.35912084078321915</v>
      </c>
    </row>
    <row r="485" spans="1:26" x14ac:dyDescent="0.2">
      <c r="A485" s="16">
        <f>'Stock Price'!A485</f>
        <v>45170</v>
      </c>
      <c r="B485" s="17">
        <f>'Stock Price'!E485</f>
        <v>109.84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3.184593705965244E-2</v>
      </c>
      <c r="P485" s="19">
        <f ca="1">IF('Stock Price'!$I$11="OK",C485/INDEX(C$5:C$1258,'Stock Price'!$I$9)-1,"")</f>
        <v>-0.29667244117222469</v>
      </c>
      <c r="Q485" s="19">
        <f ca="1">IF('Stock Price'!$I$11="OK",D485/INDEX(D$5:D$1258,'Stock Price'!$I$9)-1,"")</f>
        <v>-0.25550841658683454</v>
      </c>
      <c r="R485" s="19">
        <f ca="1">IF('Stock Price'!$I$11="OK",E485/INDEX(E$5:E$1258,'Stock Price'!$I$9)-1,"")</f>
        <v>-0.2941769091275438</v>
      </c>
      <c r="S485" s="19">
        <f ca="1">IF('Stock Price'!$I$11="OK",F485/INDEX(F$5:F$1258,'Stock Price'!$I$9)-1,"")</f>
        <v>-0.29018464528668608</v>
      </c>
      <c r="T485" s="19">
        <f ca="1">IF('Stock Price'!$I$11="OK",G485/INDEX(G$5:G$1258,'Stock Price'!$I$9)-1,"")</f>
        <v>0.10159651669085634</v>
      </c>
      <c r="U485" s="19">
        <f ca="1">IF('Stock Price'!$I$11="OK",H485/INDEX(H$5:H$1258,'Stock Price'!$I$9)-1,"")</f>
        <v>0.3386842105263157</v>
      </c>
      <c r="V485" s="19">
        <f ca="1">IF('Stock Price'!$I$11="OK",I485/INDEX(I$5:I$1258,'Stock Price'!$I$9)-1,"")</f>
        <v>0.42096902303415407</v>
      </c>
      <c r="W485" s="19">
        <f ca="1">IF('Stock Price'!$I$11="OK",J485/INDEX(J$5:J$1258,'Stock Price'!$I$9)-1,"")</f>
        <v>-0.48432929764152688</v>
      </c>
      <c r="X485" s="19">
        <f ca="1">IF('Stock Price'!$I$11="OK",K485/INDEX(K$5:K$1258,'Stock Price'!$I$9)-1,"")</f>
        <v>0.16011971567527117</v>
      </c>
      <c r="Y485" s="19">
        <f ca="1">IF('Stock Price'!$I$11="OK",L485/INDEX(L$5:L$1258,'Stock Price'!$I$9)-1,"")</f>
        <v>-0.22604292259464676</v>
      </c>
      <c r="Z485" s="19">
        <f ca="1">IF('Stock Price'!$I$11="OK",M485/INDEX(M$5:M$1258,'Stock Price'!$I$9)-1,"")</f>
        <v>-0.35371331385460736</v>
      </c>
    </row>
    <row r="486" spans="1:26" x14ac:dyDescent="0.2">
      <c r="A486" s="16">
        <f>'Stock Price'!A486</f>
        <v>45174</v>
      </c>
      <c r="B486" s="17">
        <f>'Stock Price'!E486</f>
        <v>107.51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9.9577266322217195E-3</v>
      </c>
      <c r="P486" s="19">
        <f ca="1">IF('Stock Price'!$I$11="OK",C486/INDEX(C$5:C$1258,'Stock Price'!$I$9)-1,"")</f>
        <v>-0.31503825609932146</v>
      </c>
      <c r="Q486" s="19">
        <f ca="1">IF('Stock Price'!$I$11="OK",D486/INDEX(D$5:D$1258,'Stock Price'!$I$9)-1,"")</f>
        <v>-0.26700424250718491</v>
      </c>
      <c r="R486" s="19">
        <f ca="1">IF('Stock Price'!$I$11="OK",E486/INDEX(E$5:E$1258,'Stock Price'!$I$9)-1,"")</f>
        <v>-0.30364698770904697</v>
      </c>
      <c r="S486" s="19">
        <f ca="1">IF('Stock Price'!$I$11="OK",F486/INDEX(F$5:F$1258,'Stock Price'!$I$9)-1,"")</f>
        <v>-0.31020408163265301</v>
      </c>
      <c r="T486" s="19">
        <f ca="1">IF('Stock Price'!$I$11="OK",G486/INDEX(G$5:G$1258,'Stock Price'!$I$9)-1,"")</f>
        <v>9.7657059921210987E-2</v>
      </c>
      <c r="U486" s="19">
        <f ca="1">IF('Stock Price'!$I$11="OK",H486/INDEX(H$5:H$1258,'Stock Price'!$I$9)-1,"")</f>
        <v>0.33289473684210513</v>
      </c>
      <c r="V486" s="19">
        <f ca="1">IF('Stock Price'!$I$11="OK",I486/INDEX(I$5:I$1258,'Stock Price'!$I$9)-1,"")</f>
        <v>0.40508339952343131</v>
      </c>
      <c r="W486" s="19">
        <f ca="1">IF('Stock Price'!$I$11="OK",J486/INDEX(J$5:J$1258,'Stock Price'!$I$9)-1,"")</f>
        <v>-0.483329630863786</v>
      </c>
      <c r="X486" s="19">
        <f ca="1">IF('Stock Price'!$I$11="OK",K486/INDEX(K$5:K$1258,'Stock Price'!$I$9)-1,"")</f>
        <v>0.13430602319491203</v>
      </c>
      <c r="Y486" s="19">
        <f ca="1">IF('Stock Price'!$I$11="OK",L486/INDEX(L$5:L$1258,'Stock Price'!$I$9)-1,"")</f>
        <v>-0.22507836990595609</v>
      </c>
      <c r="Z486" s="19">
        <f ca="1">IF('Stock Price'!$I$11="OK",M486/INDEX(M$5:M$1258,'Stock Price'!$I$9)-1,"")</f>
        <v>-0.36287122236274039</v>
      </c>
    </row>
    <row r="487" spans="1:26" x14ac:dyDescent="0.2">
      <c r="A487" s="16">
        <f>'Stock Price'!A487</f>
        <v>45175</v>
      </c>
      <c r="B487" s="17">
        <f>'Stock Price'!E487</f>
        <v>106.49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3.7576326914035008E-4</v>
      </c>
      <c r="P487" s="19">
        <f ca="1">IF('Stock Price'!$I$11="OK",C487/INDEX(C$5:C$1258,'Stock Price'!$I$9)-1,"")</f>
        <v>-0.31643496463115339</v>
      </c>
      <c r="Q487" s="19">
        <f ca="1">IF('Stock Price'!$I$11="OK",D487/INDEX(D$5:D$1258,'Stock Price'!$I$9)-1,"")</f>
        <v>-0.26700424250718491</v>
      </c>
      <c r="R487" s="19">
        <f ca="1">IF('Stock Price'!$I$11="OK",E487/INDEX(E$5:E$1258,'Stock Price'!$I$9)-1,"")</f>
        <v>-0.30666935321378208</v>
      </c>
      <c r="S487" s="19">
        <f ca="1">IF('Stock Price'!$I$11="OK",F487/INDEX(F$5:F$1258,'Stock Price'!$I$9)-1,"")</f>
        <v>-0.3123420796890185</v>
      </c>
      <c r="T487" s="19">
        <f ca="1">IF('Stock Price'!$I$11="OK",G487/INDEX(G$5:G$1258,'Stock Price'!$I$9)-1,"")</f>
        <v>9.2266224341696068E-2</v>
      </c>
      <c r="U487" s="19">
        <f ca="1">IF('Stock Price'!$I$11="OK",H487/INDEX(H$5:H$1258,'Stock Price'!$I$9)-1,"")</f>
        <v>0.31894736842105265</v>
      </c>
      <c r="V487" s="19">
        <f ca="1">IF('Stock Price'!$I$11="OK",I487/INDEX(I$5:I$1258,'Stock Price'!$I$9)-1,"")</f>
        <v>0.36497220015885623</v>
      </c>
      <c r="W487" s="19">
        <f ca="1">IF('Stock Price'!$I$11="OK",J487/INDEX(J$5:J$1258,'Stock Price'!$I$9)-1,"")</f>
        <v>-0.48170054426302333</v>
      </c>
      <c r="X487" s="19">
        <f ca="1">IF('Stock Price'!$I$11="OK",K487/INDEX(K$5:K$1258,'Stock Price'!$I$9)-1,"")</f>
        <v>0.11616161616161613</v>
      </c>
      <c r="Y487" s="19">
        <f ca="1">IF('Stock Price'!$I$11="OK",L487/INDEX(L$5:L$1258,'Stock Price'!$I$9)-1,"")</f>
        <v>-0.23795514829997588</v>
      </c>
      <c r="Z487" s="19">
        <f ca="1">IF('Stock Price'!$I$11="OK",M487/INDEX(M$5:M$1258,'Stock Price'!$I$9)-1,"")</f>
        <v>-0.36500806768130478</v>
      </c>
    </row>
    <row r="488" spans="1:26" x14ac:dyDescent="0.2">
      <c r="A488" s="16">
        <f>'Stock Price'!A488</f>
        <v>45176</v>
      </c>
      <c r="B488" s="17">
        <f>'Stock Price'!E488</f>
        <v>107.94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1.3997181775481371E-2</v>
      </c>
      <c r="P488" s="19">
        <f ca="1">IF('Stock Price'!$I$11="OK",C488/INDEX(C$5:C$1258,'Stock Price'!$I$9)-1,"")</f>
        <v>-0.30973076367835994</v>
      </c>
      <c r="Q488" s="19">
        <f ca="1">IF('Stock Price'!$I$11="OK",D488/INDEX(D$5:D$1258,'Stock Price'!$I$9)-1,"")</f>
        <v>-0.26273436430819763</v>
      </c>
      <c r="R488" s="19">
        <f ca="1">IF('Stock Price'!$I$11="OK",E488/INDEX(E$5:E$1258,'Stock Price'!$I$9)-1,"")</f>
        <v>-0.30203505943985498</v>
      </c>
      <c r="S488" s="19">
        <f ca="1">IF('Stock Price'!$I$11="OK",F488/INDEX(F$5:F$1258,'Stock Price'!$I$9)-1,"")</f>
        <v>-0.30417881438289607</v>
      </c>
      <c r="T488" s="19">
        <f ca="1">IF('Stock Price'!$I$11="OK",G488/INDEX(G$5:G$1258,'Stock Price'!$I$9)-1,"")</f>
        <v>9.9523118391042997E-2</v>
      </c>
      <c r="U488" s="19">
        <f ca="1">IF('Stock Price'!$I$11="OK",H488/INDEX(H$5:H$1258,'Stock Price'!$I$9)-1,"")</f>
        <v>0.32210526315789489</v>
      </c>
      <c r="V488" s="19">
        <f ca="1">IF('Stock Price'!$I$11="OK",I488/INDEX(I$5:I$1258,'Stock Price'!$I$9)-1,"")</f>
        <v>0.36139793486894356</v>
      </c>
      <c r="W488" s="19">
        <f ca="1">IF('Stock Price'!$I$11="OK",J488/INDEX(J$5:J$1258,'Stock Price'!$I$9)-1,"")</f>
        <v>-0.46940834536635934</v>
      </c>
      <c r="X488" s="19">
        <f ca="1">IF('Stock Price'!$I$11="OK",K488/INDEX(K$5:K$1258,'Stock Price'!$I$9)-1,"")</f>
        <v>0.12177328843995516</v>
      </c>
      <c r="Y488" s="19">
        <f ca="1">IF('Stock Price'!$I$11="OK",L488/INDEX(L$5:L$1258,'Stock Price'!$I$9)-1,"")</f>
        <v>-0.22821316614420062</v>
      </c>
      <c r="Z488" s="19">
        <f ca="1">IF('Stock Price'!$I$11="OK",M488/INDEX(M$5:M$1258,'Stock Price'!$I$9)-1,"")</f>
        <v>-0.35061706859709563</v>
      </c>
    </row>
    <row r="489" spans="1:26" x14ac:dyDescent="0.2">
      <c r="A489" s="16">
        <f>'Stock Price'!A489</f>
        <v>45177</v>
      </c>
      <c r="B489" s="17">
        <f>'Stock Price'!E489</f>
        <v>109.05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2.442461249412875E-2</v>
      </c>
      <c r="P489" s="19">
        <f ca="1">IF('Stock Price'!$I$11="OK",C489/INDEX(C$5:C$1258,'Stock Price'!$I$9)-1,"")</f>
        <v>-0.31329218998123287</v>
      </c>
      <c r="Q489" s="19">
        <f ca="1">IF('Stock Price'!$I$11="OK",D489/INDEX(D$5:D$1258,'Stock Price'!$I$9)-1,"")</f>
        <v>-0.25715067743259901</v>
      </c>
      <c r="R489" s="19">
        <f ca="1">IF('Stock Price'!$I$11="OK",E489/INDEX(E$5:E$1258,'Stock Price'!$I$9)-1,"")</f>
        <v>-0.26355027201289549</v>
      </c>
      <c r="S489" s="19">
        <f ca="1">IF('Stock Price'!$I$11="OK",F489/INDEX(F$5:F$1258,'Stock Price'!$I$9)-1,"")</f>
        <v>-0.30340136054421762</v>
      </c>
      <c r="T489" s="19">
        <f ca="1">IF('Stock Price'!$I$11="OK",G489/INDEX(G$5:G$1258,'Stock Price'!$I$9)-1,"")</f>
        <v>0.11113414886999817</v>
      </c>
      <c r="U489" s="19">
        <f ca="1">IF('Stock Price'!$I$11="OK",H489/INDEX(H$5:H$1258,'Stock Price'!$I$9)-1,"")</f>
        <v>0.32078947368421051</v>
      </c>
      <c r="V489" s="19">
        <f ca="1">IF('Stock Price'!$I$11="OK",I489/INDEX(I$5:I$1258,'Stock Price'!$I$9)-1,"")</f>
        <v>0.36020651310563934</v>
      </c>
      <c r="W489" s="19">
        <f ca="1">IF('Stock Price'!$I$11="OK",J489/INDEX(J$5:J$1258,'Stock Price'!$I$9)-1,"")</f>
        <v>-0.457162427339035</v>
      </c>
      <c r="X489" s="19">
        <f ca="1">IF('Stock Price'!$I$11="OK",K489/INDEX(K$5:K$1258,'Stock Price'!$I$9)-1,"")</f>
        <v>0.13767302656191549</v>
      </c>
      <c r="Y489" s="19">
        <f ca="1">IF('Stock Price'!$I$11="OK",L489/INDEX(L$5:L$1258,'Stock Price'!$I$9)-1,"")</f>
        <v>-0.2256571015191704</v>
      </c>
      <c r="Z489" s="19">
        <f ca="1">IF('Stock Price'!$I$11="OK",M489/INDEX(M$5:M$1258,'Stock Price'!$I$9)-1,"")</f>
        <v>-0.3501373686276219</v>
      </c>
    </row>
    <row r="490" spans="1:26" x14ac:dyDescent="0.2">
      <c r="A490" s="16">
        <f>'Stock Price'!A490</f>
        <v>45180</v>
      </c>
      <c r="B490" s="17">
        <f>'Stock Price'!E490</f>
        <v>108.6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2.0197275716298702E-2</v>
      </c>
      <c r="P490" s="19">
        <f ca="1">IF('Stock Price'!$I$11="OK",C490/INDEX(C$5:C$1258,'Stock Price'!$I$9)-1,"")</f>
        <v>-0.30700736249458638</v>
      </c>
      <c r="Q490" s="19">
        <f ca="1">IF('Stock Price'!$I$11="OK",D490/INDEX(D$5:D$1258,'Stock Price'!$I$9)-1,"")</f>
        <v>-0.25715067743259901</v>
      </c>
      <c r="R490" s="19">
        <f ca="1">IF('Stock Price'!$I$11="OK",E490/INDEX(E$5:E$1258,'Stock Price'!$I$9)-1,"")</f>
        <v>-0.25408019343139232</v>
      </c>
      <c r="S490" s="19">
        <f ca="1">IF('Stock Price'!$I$11="OK",F490/INDEX(F$5:F$1258,'Stock Price'!$I$9)-1,"")</f>
        <v>-0.31020408163265301</v>
      </c>
      <c r="T490" s="19">
        <f ca="1">IF('Stock Price'!$I$11="OK",G490/INDEX(G$5:G$1258,'Stock Price'!$I$9)-1,"")</f>
        <v>0.12938005390835583</v>
      </c>
      <c r="U490" s="19">
        <f ca="1">IF('Stock Price'!$I$11="OK",H490/INDEX(H$5:H$1258,'Stock Price'!$I$9)-1,"")</f>
        <v>0.34736842105263155</v>
      </c>
      <c r="V490" s="19">
        <f ca="1">IF('Stock Price'!$I$11="OK",I490/INDEX(I$5:I$1258,'Stock Price'!$I$9)-1,"")</f>
        <v>0.34789515488482925</v>
      </c>
      <c r="W490" s="19">
        <f ca="1">IF('Stock Price'!$I$11="OK",J490/INDEX(J$5:J$1258,'Stock Price'!$I$9)-1,"")</f>
        <v>-0.44873930911918247</v>
      </c>
      <c r="X490" s="19">
        <f ca="1">IF('Stock Price'!$I$11="OK",K490/INDEX(K$5:K$1258,'Stock Price'!$I$9)-1,"")</f>
        <v>0.13748597081930414</v>
      </c>
      <c r="Y490" s="19">
        <f ca="1">IF('Stock Price'!$I$11="OK",L490/INDEX(L$5:L$1258,'Stock Price'!$I$9)-1,"")</f>
        <v>-0.215529298287919</v>
      </c>
      <c r="Z490" s="19">
        <f ca="1">IF('Stock Price'!$I$11="OK",M490/INDEX(M$5:M$1258,'Stock Price'!$I$9)-1,"")</f>
        <v>-0.35005015045135413</v>
      </c>
    </row>
    <row r="491" spans="1:26" x14ac:dyDescent="0.2">
      <c r="A491" s="16">
        <f>'Stock Price'!A491</f>
        <v>45181</v>
      </c>
      <c r="B491" s="17">
        <f>'Stock Price'!E491</f>
        <v>109.02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2.4142790042273266E-2</v>
      </c>
      <c r="P491" s="19">
        <f ca="1">IF('Stock Price'!$I$11="OK",C491/INDEX(C$5:C$1258,'Stock Price'!$I$9)-1,"")</f>
        <v>-0.29709181463837153</v>
      </c>
      <c r="Q491" s="19">
        <f ca="1">IF('Stock Price'!$I$11="OK",D491/INDEX(D$5:D$1258,'Stock Price'!$I$9)-1,"")</f>
        <v>-0.27617353222936913</v>
      </c>
      <c r="R491" s="19">
        <f ca="1">IF('Stock Price'!$I$11="OK",E491/INDEX(E$5:E$1258,'Stock Price'!$I$9)-1,"")</f>
        <v>-0.2573040499697764</v>
      </c>
      <c r="S491" s="19">
        <f ca="1">IF('Stock Price'!$I$11="OK",F491/INDEX(F$5:F$1258,'Stock Price'!$I$9)-1,"")</f>
        <v>-0.30767735665694862</v>
      </c>
      <c r="T491" s="19">
        <f ca="1">IF('Stock Price'!$I$11="OK",G491/INDEX(G$5:G$1258,'Stock Price'!$I$9)-1,"")</f>
        <v>0.13373419033796408</v>
      </c>
      <c r="U491" s="19">
        <f ca="1">IF('Stock Price'!$I$11="OK",H491/INDEX(H$5:H$1258,'Stock Price'!$I$9)-1,"")</f>
        <v>0.33342105263157906</v>
      </c>
      <c r="V491" s="19">
        <f ca="1">IF('Stock Price'!$I$11="OK",I491/INDEX(I$5:I$1258,'Stock Price'!$I$9)-1,"")</f>
        <v>0.35623510722795859</v>
      </c>
      <c r="W491" s="19">
        <f ca="1">IF('Stock Price'!$I$11="OK",J491/INDEX(J$5:J$1258,'Stock Price'!$I$9)-1,"")</f>
        <v>-0.44527750009256173</v>
      </c>
      <c r="X491" s="19">
        <f ca="1">IF('Stock Price'!$I$11="OK",K491/INDEX(K$5:K$1258,'Stock Price'!$I$9)-1,"")</f>
        <v>0.12682379349046013</v>
      </c>
      <c r="Y491" s="19">
        <f ca="1">IF('Stock Price'!$I$11="OK",L491/INDEX(L$5:L$1258,'Stock Price'!$I$9)-1,"")</f>
        <v>-0.21109235591994202</v>
      </c>
      <c r="Z491" s="19">
        <f ca="1">IF('Stock Price'!$I$11="OK",M491/INDEX(M$5:M$1258,'Stock Price'!$I$9)-1,"")</f>
        <v>-0.34904714142427273</v>
      </c>
    </row>
    <row r="492" spans="1:26" x14ac:dyDescent="0.2">
      <c r="A492" s="16">
        <f>'Stock Price'!A492</f>
        <v>45182</v>
      </c>
      <c r="B492" s="17">
        <f>'Stock Price'!E492</f>
        <v>107.81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1.2775951150775011E-2</v>
      </c>
      <c r="P492" s="19">
        <f ca="1">IF('Stock Price'!$I$11="OK",C492/INDEX(C$5:C$1258,'Stock Price'!$I$9)-1,"")</f>
        <v>-0.29625378951927239</v>
      </c>
      <c r="Q492" s="19">
        <f ca="1">IF('Stock Price'!$I$11="OK",D492/INDEX(D$5:D$1258,'Stock Price'!$I$9)-1,"")</f>
        <v>-0.28791569727658406</v>
      </c>
      <c r="R492" s="19">
        <f ca="1">IF('Stock Price'!$I$11="OK",E492/INDEX(E$5:E$1258,'Stock Price'!$I$9)-1,"")</f>
        <v>-0.25931896030626644</v>
      </c>
      <c r="S492" s="19">
        <f ca="1">IF('Stock Price'!$I$11="OK",F492/INDEX(F$5:F$1258,'Stock Price'!$I$9)-1,"")</f>
        <v>-0.30359572400388735</v>
      </c>
      <c r="T492" s="19">
        <f ca="1">IF('Stock Price'!$I$11="OK",G492/INDEX(G$5:G$1258,'Stock Price'!$I$9)-1,"")</f>
        <v>0.12544059713871047</v>
      </c>
      <c r="U492" s="19">
        <f ca="1">IF('Stock Price'!$I$11="OK",H492/INDEX(H$5:H$1258,'Stock Price'!$I$9)-1,"")</f>
        <v>0.27171052631578951</v>
      </c>
      <c r="V492" s="19">
        <f ca="1">IF('Stock Price'!$I$11="OK",I492/INDEX(I$5:I$1258,'Stock Price'!$I$9)-1,"")</f>
        <v>0.35345512311358207</v>
      </c>
      <c r="W492" s="19">
        <f ca="1">IF('Stock Price'!$I$11="OK",J492/INDEX(J$5:J$1258,'Stock Price'!$I$9)-1,"")</f>
        <v>-0.44566625939501647</v>
      </c>
      <c r="X492" s="19">
        <f ca="1">IF('Stock Price'!$I$11="OK",K492/INDEX(K$5:K$1258,'Stock Price'!$I$9)-1,"")</f>
        <v>0.11578750467639343</v>
      </c>
      <c r="Y492" s="19">
        <f ca="1">IF('Stock Price'!$I$11="OK",L492/INDEX(L$5:L$1258,'Stock Price'!$I$9)-1,"")</f>
        <v>-0.20911502290812634</v>
      </c>
      <c r="Z492" s="19">
        <f ca="1">IF('Stock Price'!$I$11="OK",M492/INDEX(M$5:M$1258,'Stock Price'!$I$9)-1,"")</f>
        <v>-0.3408050237669531</v>
      </c>
    </row>
    <row r="493" spans="1:26" x14ac:dyDescent="0.2">
      <c r="A493" s="16">
        <f>'Stock Price'!A493</f>
        <v>45183</v>
      </c>
      <c r="B493" s="17">
        <f>'Stock Price'!E493</f>
        <v>108.24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1.6815406294034663E-2</v>
      </c>
      <c r="P493" s="19">
        <f ca="1">IF('Stock Price'!$I$11="OK",C493/INDEX(C$5:C$1258,'Stock Price'!$I$9)-1,"")</f>
        <v>-0.28892161108705061</v>
      </c>
      <c r="Q493" s="19">
        <f ca="1">IF('Stock Price'!$I$11="OK",D493/INDEX(D$5:D$1258,'Stock Price'!$I$9)-1,"")</f>
        <v>-0.27193102504447797</v>
      </c>
      <c r="R493" s="19">
        <f ca="1">IF('Stock Price'!$I$11="OK",E493/INDEX(E$5:E$1258,'Stock Price'!$I$9)-1,"")</f>
        <v>-0.24662502518637919</v>
      </c>
      <c r="S493" s="19">
        <f ca="1">IF('Stock Price'!$I$11="OK",F493/INDEX(F$5:F$1258,'Stock Price'!$I$9)-1,"")</f>
        <v>-0.2977648202137998</v>
      </c>
      <c r="T493" s="19">
        <f ca="1">IF('Stock Price'!$I$11="OK",G493/INDEX(G$5:G$1258,'Stock Price'!$I$9)-1,"")</f>
        <v>0.13103877254820651</v>
      </c>
      <c r="U493" s="19">
        <f ca="1">IF('Stock Price'!$I$11="OK",H493/INDEX(H$5:H$1258,'Stock Price'!$I$9)-1,"")</f>
        <v>0.28671052631578964</v>
      </c>
      <c r="V493" s="19">
        <f ca="1">IF('Stock Price'!$I$11="OK",I493/INDEX(I$5:I$1258,'Stock Price'!$I$9)-1,"")</f>
        <v>0.35623510722795859</v>
      </c>
      <c r="W493" s="19">
        <f ca="1">IF('Stock Price'!$I$11="OK",J493/INDEX(J$5:J$1258,'Stock Price'!$I$9)-1,"")</f>
        <v>-0.45239549779703059</v>
      </c>
      <c r="X493" s="19">
        <f ca="1">IF('Stock Price'!$I$11="OK",K493/INDEX(K$5:K$1258,'Stock Price'!$I$9)-1,"")</f>
        <v>0.11279461279461289</v>
      </c>
      <c r="Y493" s="19">
        <f ca="1">IF('Stock Price'!$I$11="OK",L493/INDEX(L$5:L$1258,'Stock Price'!$I$9)-1,"")</f>
        <v>-0.21032071376898953</v>
      </c>
      <c r="Z493" s="19">
        <f ca="1">IF('Stock Price'!$I$11="OK",M493/INDEX(M$5:M$1258,'Stock Price'!$I$9)-1,"")</f>
        <v>-0.32998996990972929</v>
      </c>
    </row>
    <row r="494" spans="1:26" x14ac:dyDescent="0.2">
      <c r="A494" s="16">
        <f>'Stock Price'!A494</f>
        <v>45184</v>
      </c>
      <c r="B494" s="17">
        <f>'Stock Price'!E494</f>
        <v>107.52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1.0051667449506807E-2</v>
      </c>
      <c r="P494" s="19">
        <f ca="1">IF('Stock Price'!$I$11="OK",C494/INDEX(C$5:C$1258,'Stock Price'!$I$9)-1,"")</f>
        <v>-0.28333549877291753</v>
      </c>
      <c r="Q494" s="19">
        <f ca="1">IF('Stock Price'!$I$11="OK",D494/INDEX(D$5:D$1258,'Stock Price'!$I$9)-1,"")</f>
        <v>-0.24302723415902561</v>
      </c>
      <c r="R494" s="19">
        <f ca="1">IF('Stock Price'!$I$11="OK",E494/INDEX(E$5:E$1258,'Stock Price'!$I$9)-1,"")</f>
        <v>-0.24581906105178319</v>
      </c>
      <c r="S494" s="19">
        <f ca="1">IF('Stock Price'!$I$11="OK",F494/INDEX(F$5:F$1258,'Stock Price'!$I$9)-1,"")</f>
        <v>-0.29290573372206019</v>
      </c>
      <c r="T494" s="19">
        <f ca="1">IF('Stock Price'!$I$11="OK",G494/INDEX(G$5:G$1258,'Stock Price'!$I$9)-1,"")</f>
        <v>0.13083143271822517</v>
      </c>
      <c r="U494" s="19">
        <f ca="1">IF('Stock Price'!$I$11="OK",H494/INDEX(H$5:H$1258,'Stock Price'!$I$9)-1,"")</f>
        <v>0.30000000000000004</v>
      </c>
      <c r="V494" s="19">
        <f ca="1">IF('Stock Price'!$I$11="OK",I494/INDEX(I$5:I$1258,'Stock Price'!$I$9)-1,"")</f>
        <v>0.35305798252581422</v>
      </c>
      <c r="W494" s="19">
        <f ca="1">IF('Stock Price'!$I$11="OK",J494/INDEX(J$5:J$1258,'Stock Price'!$I$9)-1,"")</f>
        <v>-0.4671590951164426</v>
      </c>
      <c r="X494" s="19">
        <f ca="1">IF('Stock Price'!$I$11="OK",K494/INDEX(K$5:K$1258,'Stock Price'!$I$9)-1,"")</f>
        <v>0.1041900486344931</v>
      </c>
      <c r="Y494" s="19">
        <f ca="1">IF('Stock Price'!$I$11="OK",L494/INDEX(L$5:L$1258,'Stock Price'!$I$9)-1,"")</f>
        <v>-0.22136484205449725</v>
      </c>
      <c r="Z494" s="19">
        <f ca="1">IF('Stock Price'!$I$11="OK",M494/INDEX(M$5:M$1258,'Stock Price'!$I$9)-1,"")</f>
        <v>-0.3366185513060922</v>
      </c>
    </row>
    <row r="495" spans="1:26" x14ac:dyDescent="0.2">
      <c r="A495" s="16">
        <f>'Stock Price'!A495</f>
        <v>45187</v>
      </c>
      <c r="B495" s="17">
        <f>'Stock Price'!E495</f>
        <v>107.82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1.2869891968060099E-2</v>
      </c>
      <c r="P495" s="19">
        <f ca="1">IF('Stock Price'!$I$11="OK",C495/INDEX(C$5:C$1258,'Stock Price'!$I$9)-1,"")</f>
        <v>-0.28724556084885222</v>
      </c>
      <c r="Q495" s="19">
        <f ca="1">IF('Stock Price'!$I$11="OK",D495/INDEX(D$5:D$1258,'Stock Price'!$I$9)-1,"")</f>
        <v>-0.28038921582044618</v>
      </c>
      <c r="R495" s="19">
        <f ca="1">IF('Stock Price'!$I$11="OK",E495/INDEX(E$5:E$1258,'Stock Price'!$I$9)-1,"")</f>
        <v>-0.24743098932097518</v>
      </c>
      <c r="S495" s="19">
        <f ca="1">IF('Stock Price'!$I$11="OK",F495/INDEX(F$5:F$1258,'Stock Price'!$I$9)-1,"")</f>
        <v>-0.30301263362487862</v>
      </c>
      <c r="T495" s="19">
        <f ca="1">IF('Stock Price'!$I$11="OK",G495/INDEX(G$5:G$1258,'Stock Price'!$I$9)-1,"")</f>
        <v>0.12129380053908356</v>
      </c>
      <c r="U495" s="19">
        <f ca="1">IF('Stock Price'!$I$11="OK",H495/INDEX(H$5:H$1258,'Stock Price'!$I$9)-1,"")</f>
        <v>0.2801315789473684</v>
      </c>
      <c r="V495" s="19">
        <f ca="1">IF('Stock Price'!$I$11="OK",I495/INDEX(I$5:I$1258,'Stock Price'!$I$9)-1,"")</f>
        <v>0.33598093725178724</v>
      </c>
      <c r="W495" s="19">
        <f ca="1">IF('Stock Price'!$I$11="OK",J495/INDEX(J$5:J$1258,'Stock Price'!$I$9)-1,"")</f>
        <v>-0.47121329927061351</v>
      </c>
      <c r="X495" s="19">
        <f ca="1">IF('Stock Price'!$I$11="OK",K495/INDEX(K$5:K$1258,'Stock Price'!$I$9)-1,"")</f>
        <v>9.577254021698467E-2</v>
      </c>
      <c r="Y495" s="19">
        <f ca="1">IF('Stock Price'!$I$11="OK",L495/INDEX(L$5:L$1258,'Stock Price'!$I$9)-1,"")</f>
        <v>-0.2164456233421751</v>
      </c>
      <c r="Z495" s="19">
        <f ca="1">IF('Stock Price'!$I$11="OK",M495/INDEX(M$5:M$1258,'Stock Price'!$I$9)-1,"")</f>
        <v>-0.32868169726571017</v>
      </c>
    </row>
    <row r="496" spans="1:26" x14ac:dyDescent="0.2">
      <c r="A496" s="16">
        <f>'Stock Price'!A496</f>
        <v>45188</v>
      </c>
      <c r="B496" s="17">
        <f>'Stock Price'!E496</f>
        <v>107.36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8.5486143729449626E-3</v>
      </c>
      <c r="P496" s="19">
        <f ca="1">IF('Stock Price'!$I$11="OK",C496/INDEX(C$5:C$1258,'Stock Price'!$I$9)-1,"")</f>
        <v>-0.28138010682835279</v>
      </c>
      <c r="Q496" s="19">
        <f ca="1">IF('Stock Price'!$I$11="OK",D496/INDEX(D$5:D$1258,'Stock Price'!$I$9)-1,"")</f>
        <v>-0.28465854659915146</v>
      </c>
      <c r="R496" s="19">
        <f ca="1">IF('Stock Price'!$I$11="OK",E496/INDEX(E$5:E$1258,'Stock Price'!$I$9)-1,"")</f>
        <v>-0.24481160588353823</v>
      </c>
      <c r="S496" s="19">
        <f ca="1">IF('Stock Price'!$I$11="OK",F496/INDEX(F$5:F$1258,'Stock Price'!$I$9)-1,"")</f>
        <v>-0.30242954324586979</v>
      </c>
      <c r="T496" s="19">
        <f ca="1">IF('Stock Price'!$I$11="OK",G496/INDEX(G$5:G$1258,'Stock Price'!$I$9)-1,"")</f>
        <v>0.13767364710760943</v>
      </c>
      <c r="U496" s="19">
        <f ca="1">IF('Stock Price'!$I$11="OK",H496/INDEX(H$5:H$1258,'Stock Price'!$I$9)-1,"")</f>
        <v>0.28763157894736846</v>
      </c>
      <c r="V496" s="19">
        <f ca="1">IF('Stock Price'!$I$11="OK",I496/INDEX(I$5:I$1258,'Stock Price'!$I$9)-1,"")</f>
        <v>0.34988085782366962</v>
      </c>
      <c r="W496" s="19">
        <f ca="1">IF('Stock Price'!$I$11="OK",J496/INDEX(J$5:J$1258,'Stock Price'!$I$9)-1,"")</f>
        <v>-0.46780702728720047</v>
      </c>
      <c r="X496" s="19">
        <f ca="1">IF('Stock Price'!$I$11="OK",K496/INDEX(K$5:K$1258,'Stock Price'!$I$9)-1,"")</f>
        <v>9.6707818930041212E-2</v>
      </c>
      <c r="Y496" s="19">
        <f ca="1">IF('Stock Price'!$I$11="OK",L496/INDEX(L$5:L$1258,'Stock Price'!$I$9)-1,"")</f>
        <v>-0.21774776947190744</v>
      </c>
      <c r="Z496" s="19">
        <f ca="1">IF('Stock Price'!$I$11="OK",M496/INDEX(M$5:M$1258,'Stock Price'!$I$9)-1,"")</f>
        <v>-0.33064410623173868</v>
      </c>
    </row>
    <row r="497" spans="1:26" x14ac:dyDescent="0.2">
      <c r="A497" s="16">
        <f>'Stock Price'!A497</f>
        <v>45189</v>
      </c>
      <c r="B497" s="17">
        <f>'Stock Price'!E497</f>
        <v>107.31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8.078910286519525E-3</v>
      </c>
      <c r="P497" s="19">
        <f ca="1">IF('Stock Price'!$I$11="OK",C497/INDEX(C$5:C$1258,'Stock Price'!$I$9)-1,"")</f>
        <v>-0.27670131370001438</v>
      </c>
      <c r="Q497" s="19">
        <f ca="1">IF('Stock Price'!$I$11="OK",D497/INDEX(D$5:D$1258,'Stock Price'!$I$9)-1,"")</f>
        <v>-0.25364718762830163</v>
      </c>
      <c r="R497" s="19">
        <f ca="1">IF('Stock Price'!$I$11="OK",E497/INDEX(E$5:E$1258,'Stock Price'!$I$9)-1,"")</f>
        <v>-0.23292363489824708</v>
      </c>
      <c r="S497" s="19">
        <f ca="1">IF('Stock Price'!$I$11="OK",F497/INDEX(F$5:F$1258,'Stock Price'!$I$9)-1,"")</f>
        <v>-0.31098153547133134</v>
      </c>
      <c r="T497" s="19">
        <f ca="1">IF('Stock Price'!$I$11="OK",G497/INDEX(G$5:G$1258,'Stock Price'!$I$9)-1,"")</f>
        <v>0.14451586149699369</v>
      </c>
      <c r="U497" s="19">
        <f ca="1">IF('Stock Price'!$I$11="OK",H497/INDEX(H$5:H$1258,'Stock Price'!$I$9)-1,"")</f>
        <v>0.2935526315789474</v>
      </c>
      <c r="V497" s="19">
        <f ca="1">IF('Stock Price'!$I$11="OK",I497/INDEX(I$5:I$1258,'Stock Price'!$I$9)-1,"")</f>
        <v>0.33518665607625087</v>
      </c>
      <c r="W497" s="19">
        <f ca="1">IF('Stock Price'!$I$11="OK",J497/INDEX(J$5:J$1258,'Stock Price'!$I$9)-1,"")</f>
        <v>-0.47273131178496053</v>
      </c>
      <c r="X497" s="19">
        <f ca="1">IF('Stock Price'!$I$11="OK",K497/INDEX(K$5:K$1258,'Stock Price'!$I$9)-1,"")</f>
        <v>9.9513655069210616E-2</v>
      </c>
      <c r="Y497" s="19">
        <f ca="1">IF('Stock Price'!$I$11="OK",L497/INDEX(L$5:L$1258,'Stock Price'!$I$9)-1,"")</f>
        <v>-0.2143236074270557</v>
      </c>
      <c r="Z497" s="19">
        <f ca="1">IF('Stock Price'!$I$11="OK",M497/INDEX(M$5:M$1258,'Stock Price'!$I$9)-1,"")</f>
        <v>-0.33012079717413101</v>
      </c>
    </row>
    <row r="498" spans="1:26" x14ac:dyDescent="0.2">
      <c r="A498" s="16">
        <f>'Stock Price'!A498</f>
        <v>45190</v>
      </c>
      <c r="B498" s="17">
        <f>'Stock Price'!E498</f>
        <v>106.73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2.6303428839831167E-3</v>
      </c>
      <c r="P498" s="19">
        <f ca="1">IF('Stock Price'!$I$11="OK",C498/INDEX(C$5:C$1258,'Stock Price'!$I$9)-1,"")</f>
        <v>-0.28710625090226638</v>
      </c>
      <c r="Q498" s="19">
        <f ca="1">IF('Stock Price'!$I$11="OK",D498/INDEX(D$5:D$1258,'Stock Price'!$I$9)-1,"")</f>
        <v>-0.26673053236622424</v>
      </c>
      <c r="R498" s="19">
        <f ca="1">IF('Stock Price'!$I$11="OK",E498/INDEX(E$5:E$1258,'Stock Price'!$I$9)-1,"")</f>
        <v>-0.2419907314124522</v>
      </c>
      <c r="S498" s="19">
        <f ca="1">IF('Stock Price'!$I$11="OK",F498/INDEX(F$5:F$1258,'Stock Price'!$I$9)-1,"")</f>
        <v>-0.32905733722060249</v>
      </c>
      <c r="T498" s="19">
        <f ca="1">IF('Stock Price'!$I$11="OK",G498/INDEX(G$5:G$1258,'Stock Price'!$I$9)-1,"")</f>
        <v>0.12544059713871047</v>
      </c>
      <c r="U498" s="19">
        <f ca="1">IF('Stock Price'!$I$11="OK",H498/INDEX(H$5:H$1258,'Stock Price'!$I$9)-1,"")</f>
        <v>0.25710526315789473</v>
      </c>
      <c r="V498" s="19">
        <f ca="1">IF('Stock Price'!$I$11="OK",I498/INDEX(I$5:I$1258,'Stock Price'!$I$9)-1,"")</f>
        <v>0.30460683081810958</v>
      </c>
      <c r="W498" s="19">
        <f ca="1">IF('Stock Price'!$I$11="OK",J498/INDEX(J$5:J$1258,'Stock Price'!$I$9)-1,"")</f>
        <v>-0.49079010700136982</v>
      </c>
      <c r="X498" s="19">
        <f ca="1">IF('Stock Price'!$I$11="OK",K498/INDEX(K$5:K$1258,'Stock Price'!$I$9)-1,"")</f>
        <v>0.10512532734754942</v>
      </c>
      <c r="Y498" s="19">
        <f ca="1">IF('Stock Price'!$I$11="OK",L498/INDEX(L$5:L$1258,'Stock Price'!$I$9)-1,"")</f>
        <v>-0.22035206173137212</v>
      </c>
      <c r="Z498" s="19">
        <f ca="1">IF('Stock Price'!$I$11="OK",M498/INDEX(M$5:M$1258,'Stock Price'!$I$9)-1,"")</f>
        <v>-0.33090576076054246</v>
      </c>
    </row>
    <row r="499" spans="1:26" x14ac:dyDescent="0.2">
      <c r="A499" s="16">
        <f>'Stock Price'!A499</f>
        <v>45191</v>
      </c>
      <c r="B499" s="17">
        <f>'Stock Price'!E499</f>
        <v>106.34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-1.0333489901361848E-3</v>
      </c>
      <c r="P499" s="19">
        <f ca="1">IF('Stock Price'!$I$11="OK",C499/INDEX(C$5:C$1258,'Stock Price'!$I$9)-1,"")</f>
        <v>-0.29373971416197486</v>
      </c>
      <c r="Q499" s="19">
        <f ca="1">IF('Stock Price'!$I$11="OK",D499/INDEX(D$5:D$1258,'Stock Price'!$I$9)-1,"")</f>
        <v>-0.24494320514575063</v>
      </c>
      <c r="R499" s="19">
        <f ca="1">IF('Stock Price'!$I$11="OK",E499/INDEX(E$5:E$1258,'Stock Price'!$I$9)-1,"")</f>
        <v>-0.24581906105178319</v>
      </c>
      <c r="S499" s="19">
        <f ca="1">IF('Stock Price'!$I$11="OK",F499/INDEX(F$5:F$1258,'Stock Price'!$I$9)-1,"")</f>
        <v>-0.33391642371234209</v>
      </c>
      <c r="T499" s="19">
        <f ca="1">IF('Stock Price'!$I$11="OK",G499/INDEX(G$5:G$1258,'Stock Price'!$I$9)-1,"")</f>
        <v>0.12004976155919556</v>
      </c>
      <c r="U499" s="19">
        <f ca="1">IF('Stock Price'!$I$11="OK",H499/INDEX(H$5:H$1258,'Stock Price'!$I$9)-1,"")</f>
        <v>0.25368421052631573</v>
      </c>
      <c r="V499" s="19">
        <f ca="1">IF('Stock Price'!$I$11="OK",I499/INDEX(I$5:I$1258,'Stock Price'!$I$9)-1,"")</f>
        <v>0.29825258141382038</v>
      </c>
      <c r="W499" s="19">
        <f ca="1">IF('Stock Price'!$I$11="OK",J499/INDEX(J$5:J$1258,'Stock Price'!$I$9)-1,"")</f>
        <v>-0.49041060387278312</v>
      </c>
      <c r="X499" s="19">
        <f ca="1">IF('Stock Price'!$I$11="OK",K499/INDEX(K$5:K$1258,'Stock Price'!$I$9)-1,"")</f>
        <v>0.10175832398054618</v>
      </c>
      <c r="Y499" s="19">
        <f ca="1">IF('Stock Price'!$I$11="OK",L499/INDEX(L$5:L$1258,'Stock Price'!$I$9)-1,"")</f>
        <v>-0.22594646732577761</v>
      </c>
      <c r="Z499" s="19">
        <f ca="1">IF('Stock Price'!$I$11="OK",M499/INDEX(M$5:M$1258,'Stock Price'!$I$9)-1,"")</f>
        <v>-0.33391478784178619</v>
      </c>
    </row>
    <row r="500" spans="1:26" x14ac:dyDescent="0.2">
      <c r="A500" s="16">
        <f>'Stock Price'!A500</f>
        <v>45194</v>
      </c>
      <c r="B500" s="17">
        <f>'Stock Price'!E500</f>
        <v>105.84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-5.7303898543917819E-3</v>
      </c>
      <c r="P500" s="19">
        <f ca="1">IF('Stock Price'!$I$11="OK",C500/INDEX(C$5:C$1258,'Stock Price'!$I$9)-1,"")</f>
        <v>-0.28906164284683122</v>
      </c>
      <c r="Q500" s="19">
        <f ca="1">IF('Stock Price'!$I$11="OK",D500/INDEX(D$5:D$1258,'Stock Price'!$I$9)-1,"")</f>
        <v>-0.25008895579581225</v>
      </c>
      <c r="R500" s="19">
        <f ca="1">IF('Stock Price'!$I$11="OK",E500/INDEX(E$5:E$1258,'Stock Price'!$I$9)-1,"")</f>
        <v>-0.24017731210961113</v>
      </c>
      <c r="S500" s="19">
        <f ca="1">IF('Stock Price'!$I$11="OK",F500/INDEX(F$5:F$1258,'Stock Price'!$I$9)-1,"")</f>
        <v>-0.33605442176870759</v>
      </c>
      <c r="T500" s="19">
        <f ca="1">IF('Stock Price'!$I$11="OK",G500/INDEX(G$5:G$1258,'Stock Price'!$I$9)-1,"")</f>
        <v>0.12689197594857982</v>
      </c>
      <c r="U500" s="19">
        <f ca="1">IF('Stock Price'!$I$11="OK",H500/INDEX(H$5:H$1258,'Stock Price'!$I$9)-1,"")</f>
        <v>0.21894736842105256</v>
      </c>
      <c r="V500" s="19">
        <f ca="1">IF('Stock Price'!$I$11="OK",I500/INDEX(I$5:I$1258,'Stock Price'!$I$9)-1,"")</f>
        <v>0.30976965845909432</v>
      </c>
      <c r="W500" s="19">
        <f ca="1">IF('Stock Price'!$I$11="OK",J500/INDEX(J$5:J$1258,'Stock Price'!$I$9)-1,"")</f>
        <v>-0.48879077344588839</v>
      </c>
      <c r="X500" s="19">
        <f ca="1">IF('Stock Price'!$I$11="OK",K500/INDEX(K$5:K$1258,'Stock Price'!$I$9)-1,"")</f>
        <v>0.1066217732884398</v>
      </c>
      <c r="Y500" s="19">
        <f ca="1">IF('Stock Price'!$I$11="OK",L500/INDEX(L$5:L$1258,'Stock Price'!$I$9)-1,"")</f>
        <v>-0.22710393055220646</v>
      </c>
      <c r="Z500" s="19">
        <f ca="1">IF('Stock Price'!$I$11="OK",M500/INDEX(M$5:M$1258,'Stock Price'!$I$9)-1,"")</f>
        <v>-0.32558545200819844</v>
      </c>
    </row>
    <row r="501" spans="1:26" x14ac:dyDescent="0.2">
      <c r="A501" s="16">
        <f>'Stock Price'!A501</f>
        <v>45195</v>
      </c>
      <c r="B501" s="17">
        <f>'Stock Price'!E501</f>
        <v>105.39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-9.9577266322217195E-3</v>
      </c>
      <c r="P501" s="19">
        <f ca="1">IF('Stock Price'!$I$11="OK",C501/INDEX(C$5:C$1258,'Stock Price'!$I$9)-1,"")</f>
        <v>-0.29178432221741002</v>
      </c>
      <c r="Q501" s="19">
        <f ca="1">IF('Stock Price'!$I$11="OK",D501/INDEX(D$5:D$1258,'Stock Price'!$I$9)-1,"")</f>
        <v>-0.26125687696729161</v>
      </c>
      <c r="R501" s="19">
        <f ca="1">IF('Stock Price'!$I$11="OK",E501/INDEX(E$5:E$1258,'Stock Price'!$I$9)-1,"")</f>
        <v>-0.2488414265565182</v>
      </c>
      <c r="S501" s="19">
        <f ca="1">IF('Stock Price'!$I$11="OK",F501/INDEX(F$5:F$1258,'Stock Price'!$I$9)-1,"")</f>
        <v>-0.33858114674441209</v>
      </c>
      <c r="T501" s="19">
        <f ca="1">IF('Stock Price'!$I$11="OK",G501/INDEX(G$5:G$1258,'Stock Price'!$I$9)-1,"")</f>
        <v>0.12357453866887824</v>
      </c>
      <c r="U501" s="19">
        <f ca="1">IF('Stock Price'!$I$11="OK",H501/INDEX(H$5:H$1258,'Stock Price'!$I$9)-1,"")</f>
        <v>0.20210526315789479</v>
      </c>
      <c r="V501" s="19">
        <f ca="1">IF('Stock Price'!$I$11="OK",I501/INDEX(I$5:I$1258,'Stock Price'!$I$9)-1,"")</f>
        <v>0.28673550436854645</v>
      </c>
      <c r="W501" s="19">
        <f ca="1">IF('Stock Price'!$I$11="OK",J501/INDEX(J$5:J$1258,'Stock Price'!$I$9)-1,"")</f>
        <v>-0.49090118108778547</v>
      </c>
      <c r="X501" s="19">
        <f ca="1">IF('Stock Price'!$I$11="OK",K501/INDEX(K$5:K$1258,'Stock Price'!$I$9)-1,"")</f>
        <v>9.502431724653948E-2</v>
      </c>
      <c r="Y501" s="19">
        <f ca="1">IF('Stock Price'!$I$11="OK",L501/INDEX(L$5:L$1258,'Stock Price'!$I$9)-1,"")</f>
        <v>-0.2330841572220882</v>
      </c>
      <c r="Z501" s="19">
        <f ca="1">IF('Stock Price'!$I$11="OK",M501/INDEX(M$5:M$1258,'Stock Price'!$I$9)-1,"")</f>
        <v>-0.32881252453011212</v>
      </c>
    </row>
    <row r="502" spans="1:26" x14ac:dyDescent="0.2">
      <c r="A502" s="16">
        <f>'Stock Price'!A502</f>
        <v>45196</v>
      </c>
      <c r="B502" s="17">
        <f>'Stock Price'!E502</f>
        <v>103.94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-2.357914513856274E-2</v>
      </c>
      <c r="P502" s="19">
        <f ca="1">IF('Stock Price'!$I$11="OK",C502/INDEX(C$5:C$1258,'Stock Price'!$I$9)-1,"")</f>
        <v>-0.29988523170203552</v>
      </c>
      <c r="Q502" s="19">
        <f ca="1">IF('Stock Price'!$I$11="OK",D502/INDEX(D$5:D$1258,'Stock Price'!$I$9)-1,"")</f>
        <v>-0.27105515259340363</v>
      </c>
      <c r="R502" s="19">
        <f ca="1">IF('Stock Price'!$I$11="OK",E502/INDEX(E$5:E$1258,'Stock Price'!$I$9)-1,"")</f>
        <v>-0.25367721136409438</v>
      </c>
      <c r="S502" s="19">
        <f ca="1">IF('Stock Price'!$I$11="OK",F502/INDEX(F$5:F$1258,'Stock Price'!$I$9)-1,"")</f>
        <v>-0.33527696793002915</v>
      </c>
      <c r="T502" s="19">
        <f ca="1">IF('Stock Price'!$I$11="OK",G502/INDEX(G$5:G$1258,'Stock Price'!$I$9)-1,"")</f>
        <v>9.827907941115499E-2</v>
      </c>
      <c r="U502" s="19">
        <f ca="1">IF('Stock Price'!$I$11="OK",H502/INDEX(H$5:H$1258,'Stock Price'!$I$9)-1,"")</f>
        <v>0.20315789473684198</v>
      </c>
      <c r="V502" s="19">
        <f ca="1">IF('Stock Price'!$I$11="OK",I502/INDEX(I$5:I$1258,'Stock Price'!$I$9)-1,"")</f>
        <v>0.27482128673550443</v>
      </c>
      <c r="W502" s="19">
        <f ca="1">IF('Stock Price'!$I$11="OK",J502/INDEX(J$5:J$1258,'Stock Price'!$I$9)-1,"")</f>
        <v>-0.49113258543448479</v>
      </c>
      <c r="X502" s="19">
        <f ca="1">IF('Stock Price'!$I$11="OK",K502/INDEX(K$5:K$1258,'Stock Price'!$I$9)-1,"")</f>
        <v>8.2865693976805099E-2</v>
      </c>
      <c r="Y502" s="19">
        <f ca="1">IF('Stock Price'!$I$11="OK",L502/INDEX(L$5:L$1258,'Stock Price'!$I$9)-1,"")</f>
        <v>-0.24229563539908361</v>
      </c>
      <c r="Z502" s="19">
        <f ca="1">IF('Stock Price'!$I$11="OK",M502/INDEX(M$5:M$1258,'Stock Price'!$I$9)-1,"")</f>
        <v>-0.33221403340456157</v>
      </c>
    </row>
    <row r="503" spans="1:26" x14ac:dyDescent="0.2">
      <c r="A503" s="16">
        <f>'Stock Price'!A503</f>
        <v>45197</v>
      </c>
      <c r="B503" s="17">
        <f>'Stock Price'!E503</f>
        <v>104.3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-2.0197275716298813E-2</v>
      </c>
      <c r="P503" s="19">
        <f ca="1">IF('Stock Price'!$I$11="OK",C503/INDEX(C$5:C$1258,'Stock Price'!$I$9)-1,"")</f>
        <v>-0.2854302006640681</v>
      </c>
      <c r="Q503" s="19">
        <f ca="1">IF('Stock Price'!$I$11="OK",D503/INDEX(D$5:D$1258,'Stock Price'!$I$9)-1,"")</f>
        <v>-0.25468728616395242</v>
      </c>
      <c r="R503" s="19">
        <f ca="1">IF('Stock Price'!$I$11="OK",E503/INDEX(E$5:E$1258,'Stock Price'!$I$9)-1,"")</f>
        <v>-0.26778158371952443</v>
      </c>
      <c r="S503" s="19">
        <f ca="1">IF('Stock Price'!$I$11="OK",F503/INDEX(F$5:F$1258,'Stock Price'!$I$9)-1,"")</f>
        <v>-0.34013605442176864</v>
      </c>
      <c r="T503" s="19">
        <f ca="1">IF('Stock Price'!$I$11="OK",G503/INDEX(G$5:G$1258,'Stock Price'!$I$9)-1,"")</f>
        <v>9.9108438731080328E-2</v>
      </c>
      <c r="U503" s="19">
        <f ca="1">IF('Stock Price'!$I$11="OK",H503/INDEX(H$5:H$1258,'Stock Price'!$I$9)-1,"")</f>
        <v>0.19342105263157894</v>
      </c>
      <c r="V503" s="19">
        <f ca="1">IF('Stock Price'!$I$11="OK",I503/INDEX(I$5:I$1258,'Stock Price'!$I$9)-1,"")</f>
        <v>0.27442414614773636</v>
      </c>
      <c r="W503" s="19">
        <f ca="1">IF('Stock Price'!$I$11="OK",J503/INDEX(J$5:J$1258,'Stock Price'!$I$9)-1,"")</f>
        <v>-0.49604761375837669</v>
      </c>
      <c r="X503" s="19">
        <f ca="1">IF('Stock Price'!$I$11="OK",K503/INDEX(K$5:K$1258,'Stock Price'!$I$9)-1,"")</f>
        <v>8.7542087542087588E-2</v>
      </c>
      <c r="Y503" s="19">
        <f ca="1">IF('Stock Price'!$I$11="OK",L503/INDEX(L$5:L$1258,'Stock Price'!$I$9)-1,"")</f>
        <v>-0.24340487099107788</v>
      </c>
      <c r="Z503" s="19">
        <f ca="1">IF('Stock Price'!$I$11="OK",M503/INDEX(M$5:M$1258,'Stock Price'!$I$9)-1,"")</f>
        <v>-0.33605163316035058</v>
      </c>
    </row>
    <row r="504" spans="1:26" x14ac:dyDescent="0.2">
      <c r="A504" s="16">
        <f>'Stock Price'!A504</f>
        <v>45198</v>
      </c>
      <c r="B504" s="17">
        <f>'Stock Price'!E504</f>
        <v>102.95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-3.2879286049788625E-2</v>
      </c>
      <c r="P504" s="19">
        <f ca="1">IF('Stock Price'!$I$11="OK",C504/INDEX(C$5:C$1258,'Stock Price'!$I$9)-1,"")</f>
        <v>-0.28871228526057457</v>
      </c>
      <c r="Q504" s="19">
        <f ca="1">IF('Stock Price'!$I$11="OK",D504/INDEX(D$5:D$1258,'Stock Price'!$I$9)-1,"")</f>
        <v>-0.26070890926508827</v>
      </c>
      <c r="R504" s="19">
        <f ca="1">IF('Stock Price'!$I$11="OK",E504/INDEX(E$5:E$1258,'Stock Price'!$I$9)-1,"")</f>
        <v>-0.2695950030223655</v>
      </c>
      <c r="S504" s="19">
        <f ca="1">IF('Stock Price'!$I$11="OK",F504/INDEX(F$5:F$1258,'Stock Price'!$I$9)-1,"")</f>
        <v>-0.34052478134110786</v>
      </c>
      <c r="T504" s="19">
        <f ca="1">IF('Stock Price'!$I$11="OK",G504/INDEX(G$5:G$1258,'Stock Price'!$I$9)-1,"")</f>
        <v>0.11217084801990462</v>
      </c>
      <c r="U504" s="19">
        <f ca="1">IF('Stock Price'!$I$11="OK",H504/INDEX(H$5:H$1258,'Stock Price'!$I$9)-1,"")</f>
        <v>0.19605263157894748</v>
      </c>
      <c r="V504" s="19">
        <f ca="1">IF('Stock Price'!$I$11="OK",I504/INDEX(I$5:I$1258,'Stock Price'!$I$9)-1,"")</f>
        <v>0.31731532962668796</v>
      </c>
      <c r="W504" s="19">
        <f ca="1">IF('Stock Price'!$I$11="OK",J504/INDEX(J$5:J$1258,'Stock Price'!$I$9)-1,"")</f>
        <v>-0.50282313302973081</v>
      </c>
      <c r="X504" s="19">
        <f ca="1">IF('Stock Price'!$I$11="OK",K504/INDEX(K$5:K$1258,'Stock Price'!$I$9)-1,"")</f>
        <v>8.5671530115974504E-2</v>
      </c>
      <c r="Y504" s="19">
        <f ca="1">IF('Stock Price'!$I$11="OK",L504/INDEX(L$5:L$1258,'Stock Price'!$I$9)-1,"")</f>
        <v>-0.24885459368217988</v>
      </c>
      <c r="Z504" s="19">
        <f ca="1">IF('Stock Price'!$I$11="OK",M504/INDEX(M$5:M$1258,'Stock Price'!$I$9)-1,"")</f>
        <v>-0.34996293227508612</v>
      </c>
    </row>
    <row r="505" spans="1:26" x14ac:dyDescent="0.2">
      <c r="A505" s="16">
        <f>'Stock Price'!A505</f>
        <v>45201</v>
      </c>
      <c r="B505" s="17">
        <f>'Stock Price'!E505</f>
        <v>102.55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-3.6636918741193125E-2</v>
      </c>
      <c r="P505" s="19">
        <f ca="1">IF('Stock Price'!$I$11="OK",C505/INDEX(C$5:C$1258,'Stock Price'!$I$9)-1,"")</f>
        <v>-0.29094701891150565</v>
      </c>
      <c r="Q505" s="19">
        <f ca="1">IF('Stock Price'!$I$11="OK",D505/INDEX(D$5:D$1258,'Stock Price'!$I$9)-1,"")</f>
        <v>-0.27138360476255652</v>
      </c>
      <c r="R505" s="19">
        <f ca="1">IF('Stock Price'!$I$11="OK",E505/INDEX(E$5:E$1258,'Stock Price'!$I$9)-1,"")</f>
        <v>-0.27281885956074947</v>
      </c>
      <c r="S505" s="19">
        <f ca="1">IF('Stock Price'!$I$11="OK",F505/INDEX(F$5:F$1258,'Stock Price'!$I$9)-1,"")</f>
        <v>-0.34421768707482991</v>
      </c>
      <c r="T505" s="19">
        <f ca="1">IF('Stock Price'!$I$11="OK",G505/INDEX(G$5:G$1258,'Stock Price'!$I$9)-1,"")</f>
        <v>0.11092680904001662</v>
      </c>
      <c r="U505" s="19">
        <f ca="1">IF('Stock Price'!$I$11="OK",H505/INDEX(H$5:H$1258,'Stock Price'!$I$9)-1,"")</f>
        <v>0.18065789473684224</v>
      </c>
      <c r="V505" s="19">
        <f ca="1">IF('Stock Price'!$I$11="OK",I505/INDEX(I$5:I$1258,'Stock Price'!$I$9)-1,"")</f>
        <v>0.34789515488482925</v>
      </c>
      <c r="W505" s="19">
        <f ca="1">IF('Stock Price'!$I$11="OK",J505/INDEX(J$5:J$1258,'Stock Price'!$I$9)-1,"")</f>
        <v>-0.50174941686104635</v>
      </c>
      <c r="X505" s="19">
        <f ca="1">IF('Stock Price'!$I$11="OK",K505/INDEX(K$5:K$1258,'Stock Price'!$I$9)-1,"")</f>
        <v>8.211747100635991E-2</v>
      </c>
      <c r="Y505" s="19">
        <f ca="1">IF('Stock Price'!$I$11="OK",L505/INDEX(L$5:L$1258,'Stock Price'!$I$9)-1,"")</f>
        <v>-0.25174825174825166</v>
      </c>
      <c r="Z505" s="19">
        <f ca="1">IF('Stock Price'!$I$11="OK",M505/INDEX(M$5:M$1258,'Stock Price'!$I$9)-1,"")</f>
        <v>-0.35349526841393752</v>
      </c>
    </row>
    <row r="506" spans="1:26" x14ac:dyDescent="0.2">
      <c r="A506" s="16">
        <f>'Stock Price'!A506</f>
        <v>45202</v>
      </c>
      <c r="B506" s="17">
        <f>'Stock Price'!E506</f>
        <v>101.77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-4.3964302489431728E-2</v>
      </c>
      <c r="P506" s="19">
        <f ca="1">IF('Stock Price'!$I$11="OK",C506/INDEX(C$5:C$1258,'Stock Price'!$I$9)-1,"")</f>
        <v>-0.3054713440161686</v>
      </c>
      <c r="Q506" s="19">
        <f ca="1">IF('Stock Price'!$I$11="OK",D506/INDEX(D$5:D$1258,'Stock Price'!$I$9)-1,"")</f>
        <v>-0.27231421924182286</v>
      </c>
      <c r="R506" s="19">
        <f ca="1">IF('Stock Price'!$I$11="OK",E506/INDEX(E$5:E$1258,'Stock Price'!$I$9)-1,"")</f>
        <v>-0.27684868023372966</v>
      </c>
      <c r="S506" s="19">
        <f ca="1">IF('Stock Price'!$I$11="OK",F506/INDEX(F$5:F$1258,'Stock Price'!$I$9)-1,"")</f>
        <v>-0.35257531584062196</v>
      </c>
      <c r="T506" s="19">
        <f ca="1">IF('Stock Price'!$I$11="OK",G506/INDEX(G$5:G$1258,'Stock Price'!$I$9)-1,"")</f>
        <v>0.11092680904001662</v>
      </c>
      <c r="U506" s="19">
        <f ca="1">IF('Stock Price'!$I$11="OK",H506/INDEX(H$5:H$1258,'Stock Price'!$I$9)-1,"")</f>
        <v>0.15473684210526328</v>
      </c>
      <c r="V506" s="19">
        <f ca="1">IF('Stock Price'!$I$11="OK",I506/INDEX(I$5:I$1258,'Stock Price'!$I$9)-1,"")</f>
        <v>0.34630659253375695</v>
      </c>
      <c r="W506" s="19">
        <f ca="1">IF('Stock Price'!$I$11="OK",J506/INDEX(J$5:J$1258,'Stock Price'!$I$9)-1,"")</f>
        <v>-0.51387500462808688</v>
      </c>
      <c r="X506" s="19">
        <f ca="1">IF('Stock Price'!$I$11="OK",K506/INDEX(K$5:K$1258,'Stock Price'!$I$9)-1,"")</f>
        <v>7.0332959221848013E-2</v>
      </c>
      <c r="Y506" s="19">
        <f ca="1">IF('Stock Price'!$I$11="OK",L506/INDEX(L$5:L$1258,'Stock Price'!$I$9)-1,"")</f>
        <v>-0.25083192669399568</v>
      </c>
      <c r="Z506" s="19">
        <f ca="1">IF('Stock Price'!$I$11="OK",M506/INDEX(M$5:M$1258,'Stock Price'!$I$9)-1,"")</f>
        <v>-0.35707121364092276</v>
      </c>
    </row>
    <row r="507" spans="1:26" x14ac:dyDescent="0.2">
      <c r="A507" s="16">
        <f>'Stock Price'!A507</f>
        <v>45203</v>
      </c>
      <c r="B507" s="17">
        <f>'Stock Price'!E507</f>
        <v>102.17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-4.0206669798027228E-2</v>
      </c>
      <c r="P507" s="19">
        <f ca="1">IF('Stock Price'!$I$11="OK",C507/INDEX(C$5:C$1258,'Stock Price'!$I$9)-1,"")</f>
        <v>-0.30590443193301575</v>
      </c>
      <c r="Q507" s="19">
        <f ca="1">IF('Stock Price'!$I$11="OK",D507/INDEX(D$5:D$1258,'Stock Price'!$I$9)-1,"")</f>
        <v>-0.26563569180238134</v>
      </c>
      <c r="R507" s="19">
        <f ca="1">IF('Stock Price'!$I$11="OK",E507/INDEX(E$5:E$1258,'Stock Price'!$I$9)-1,"")</f>
        <v>-0.27302035059439866</v>
      </c>
      <c r="S507" s="19">
        <f ca="1">IF('Stock Price'!$I$11="OK",F507/INDEX(F$5:F$1258,'Stock Price'!$I$9)-1,"")</f>
        <v>-0.35160349854227413</v>
      </c>
      <c r="T507" s="19">
        <f ca="1">IF('Stock Price'!$I$11="OK",G507/INDEX(G$5:G$1258,'Stock Price'!$I$9)-1,"")</f>
        <v>0.1161103047895502</v>
      </c>
      <c r="U507" s="19">
        <f ca="1">IF('Stock Price'!$I$11="OK",H507/INDEX(H$5:H$1258,'Stock Price'!$I$9)-1,"")</f>
        <v>0.16486842105263166</v>
      </c>
      <c r="V507" s="19">
        <f ca="1">IF('Stock Price'!$I$11="OK",I507/INDEX(I$5:I$1258,'Stock Price'!$I$9)-1,"")</f>
        <v>0.322875297855441</v>
      </c>
      <c r="W507" s="19">
        <f ca="1">IF('Stock Price'!$I$11="OK",J507/INDEX(J$5:J$1258,'Stock Price'!$I$9)-1,"")</f>
        <v>-0.50807138361286963</v>
      </c>
      <c r="X507" s="19">
        <f ca="1">IF('Stock Price'!$I$11="OK",K507/INDEX(K$5:K$1258,'Stock Price'!$I$9)-1,"")</f>
        <v>6.1167227833894389E-2</v>
      </c>
      <c r="Y507" s="19">
        <f ca="1">IF('Stock Price'!$I$11="OK",L507/INDEX(L$5:L$1258,'Stock Price'!$I$9)-1,"")</f>
        <v>-0.24996382927417404</v>
      </c>
      <c r="Z507" s="19">
        <f ca="1">IF('Stock Price'!$I$11="OK",M507/INDEX(M$5:M$1258,'Stock Price'!$I$9)-1,"")</f>
        <v>-0.35593737734943964</v>
      </c>
    </row>
    <row r="508" spans="1:26" x14ac:dyDescent="0.2">
      <c r="A508" s="16">
        <f>'Stock Price'!A508</f>
        <v>45204</v>
      </c>
      <c r="B508" s="17">
        <f>'Stock Price'!E508</f>
        <v>103.6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-2.6773132926256493E-2</v>
      </c>
      <c r="P508" s="19">
        <f ca="1">IF('Stock Price'!$I$11="OK",C508/INDEX(C$5:C$1258,'Stock Price'!$I$9)-1,"")</f>
        <v>-0.30597661325249015</v>
      </c>
      <c r="Q508" s="19">
        <f ca="1">IF('Stock Price'!$I$11="OK",D508/INDEX(D$5:D$1258,'Stock Price'!$I$9)-1,"")</f>
        <v>-0.26153003968797051</v>
      </c>
      <c r="R508" s="19">
        <f ca="1">IF('Stock Price'!$I$11="OK",E508/INDEX(E$5:E$1258,'Stock Price'!$I$9)-1,"")</f>
        <v>-0.27140842232520668</v>
      </c>
      <c r="S508" s="19">
        <f ca="1">IF('Stock Price'!$I$11="OK",F508/INDEX(F$5:F$1258,'Stock Price'!$I$9)-1,"")</f>
        <v>-0.34363459669582119</v>
      </c>
      <c r="T508" s="19">
        <f ca="1">IF('Stock Price'!$I$11="OK",G508/INDEX(G$5:G$1258,'Stock Price'!$I$9)-1,"")</f>
        <v>0.12067178104913956</v>
      </c>
      <c r="U508" s="19">
        <f ca="1">IF('Stock Price'!$I$11="OK",H508/INDEX(H$5:H$1258,'Stock Price'!$I$9)-1,"")</f>
        <v>0.15447368421052632</v>
      </c>
      <c r="V508" s="19">
        <f ca="1">IF('Stock Price'!$I$11="OK",I508/INDEX(I$5:I$1258,'Stock Price'!$I$9)-1,"")</f>
        <v>0.32922954725972997</v>
      </c>
      <c r="W508" s="19">
        <f ca="1">IF('Stock Price'!$I$11="OK",J508/INDEX(J$5:J$1258,'Stock Price'!$I$9)-1,"")</f>
        <v>-0.49879669739716381</v>
      </c>
      <c r="X508" s="19">
        <f ca="1">IF('Stock Price'!$I$11="OK",K508/INDEX(K$5:K$1258,'Stock Price'!$I$9)-1,"")</f>
        <v>5.5368499812944227E-2</v>
      </c>
      <c r="Y508" s="19">
        <f ca="1">IF('Stock Price'!$I$11="OK",L508/INDEX(L$5:L$1258,'Stock Price'!$I$9)-1,"")</f>
        <v>-0.24215095249578011</v>
      </c>
      <c r="Z508" s="19">
        <f ca="1">IF('Stock Price'!$I$11="OK",M508/INDEX(M$5:M$1258,'Stock Price'!$I$9)-1,"")</f>
        <v>-0.35698399546465487</v>
      </c>
    </row>
    <row r="509" spans="1:26" x14ac:dyDescent="0.2">
      <c r="A509" s="16">
        <f>'Stock Price'!A509</f>
        <v>45205</v>
      </c>
      <c r="B509" s="17">
        <f>'Stock Price'!E509</f>
        <v>103.88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-2.4142790042273488E-2</v>
      </c>
      <c r="P509" s="19">
        <f ca="1">IF('Stock Price'!$I$11="OK",C509/INDEX(C$5:C$1258,'Stock Price'!$I$9)-1,"")</f>
        <v>-0.29883066262451274</v>
      </c>
      <c r="Q509" s="19">
        <f ca="1">IF('Stock Price'!$I$11="OK",D509/INDEX(D$5:D$1258,'Stock Price'!$I$9)-1,"")</f>
        <v>-0.26930395511153704</v>
      </c>
      <c r="R509" s="19">
        <f ca="1">IF('Stock Price'!$I$11="OK",E509/INDEX(E$5:E$1258,'Stock Price'!$I$9)-1,"")</f>
        <v>-0.26153536167640545</v>
      </c>
      <c r="S509" s="19">
        <f ca="1">IF('Stock Price'!$I$11="OK",F509/INDEX(F$5:F$1258,'Stock Price'!$I$9)-1,"")</f>
        <v>-0.33683187560738592</v>
      </c>
      <c r="T509" s="19">
        <f ca="1">IF('Stock Price'!$I$11="OK",G509/INDEX(G$5:G$1258,'Stock Price'!$I$9)-1,"")</f>
        <v>0.11756168359941954</v>
      </c>
      <c r="U509" s="19">
        <f ca="1">IF('Stock Price'!$I$11="OK",H509/INDEX(H$5:H$1258,'Stock Price'!$I$9)-1,"")</f>
        <v>0.15986842105263155</v>
      </c>
      <c r="V509" s="19">
        <f ca="1">IF('Stock Price'!$I$11="OK",I509/INDEX(I$5:I$1258,'Stock Price'!$I$9)-1,"")</f>
        <v>0.31572676727561566</v>
      </c>
      <c r="W509" s="19">
        <f ca="1">IF('Stock Price'!$I$11="OK",J509/INDEX(J$5:J$1258,'Stock Price'!$I$9)-1,"")</f>
        <v>-0.47682254063460316</v>
      </c>
      <c r="X509" s="19">
        <f ca="1">IF('Stock Price'!$I$11="OK",K509/INDEX(K$5:K$1258,'Stock Price'!$I$9)-1,"")</f>
        <v>5.9857837635615363E-2</v>
      </c>
      <c r="Y509" s="19">
        <f ca="1">IF('Stock Price'!$I$11="OK",L509/INDEX(L$5:L$1258,'Stock Price'!$I$9)-1,"")</f>
        <v>-0.23973957077405361</v>
      </c>
      <c r="Z509" s="19">
        <f ca="1">IF('Stock Price'!$I$11="OK",M509/INDEX(M$5:M$1258,'Stock Price'!$I$9)-1,"")</f>
        <v>-0.35353887750207136</v>
      </c>
    </row>
    <row r="510" spans="1:26" x14ac:dyDescent="0.2">
      <c r="A510" s="16">
        <f>'Stock Price'!A510</f>
        <v>45208</v>
      </c>
      <c r="B510" s="17">
        <f>'Stock Price'!E510</f>
        <v>104.5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-1.8318459370596507E-2</v>
      </c>
      <c r="P510" s="19">
        <f ca="1">IF('Stock Price'!$I$11="OK",C510/INDEX(C$5:C$1258,'Stock Price'!$I$9)-1,"")</f>
        <v>-0.29558250324815927</v>
      </c>
      <c r="Q510" s="19">
        <f ca="1">IF('Stock Price'!$I$11="OK",D510/INDEX(D$5:D$1258,'Stock Price'!$I$9)-1,"")</f>
        <v>-0.26569043383057356</v>
      </c>
      <c r="R510" s="19">
        <f ca="1">IF('Stock Price'!$I$11="OK",E510/INDEX(E$5:E$1258,'Stock Price'!$I$9)-1,"")</f>
        <v>-0.25246826516220033</v>
      </c>
      <c r="S510" s="19">
        <f ca="1">IF('Stock Price'!$I$11="OK",F510/INDEX(F$5:F$1258,'Stock Price'!$I$9)-1,"")</f>
        <v>-0.32769679300291543</v>
      </c>
      <c r="T510" s="19">
        <f ca="1">IF('Stock Price'!$I$11="OK",G510/INDEX(G$5:G$1258,'Stock Price'!$I$9)-1,"")</f>
        <v>0.12067178104913956</v>
      </c>
      <c r="U510" s="19">
        <f ca="1">IF('Stock Price'!$I$11="OK",H510/INDEX(H$5:H$1258,'Stock Price'!$I$9)-1,"")</f>
        <v>0.14315789473684215</v>
      </c>
      <c r="V510" s="19">
        <f ca="1">IF('Stock Price'!$I$11="OK",I510/INDEX(I$5:I$1258,'Stock Price'!$I$9)-1,"")</f>
        <v>0.31850675138999218</v>
      </c>
      <c r="W510" s="19">
        <f ca="1">IF('Stock Price'!$I$11="OK",J510/INDEX(J$5:J$1258,'Stock Price'!$I$9)-1,"")</f>
        <v>-0.47076900292495094</v>
      </c>
      <c r="X510" s="19">
        <f ca="1">IF('Stock Price'!$I$11="OK",K510/INDEX(K$5:K$1258,'Stock Price'!$I$9)-1,"")</f>
        <v>5.8922558922558821E-2</v>
      </c>
      <c r="Y510" s="19">
        <f ca="1">IF('Stock Price'!$I$11="OK",L510/INDEX(L$5:L$1258,'Stock Price'!$I$9)-1,"")</f>
        <v>-0.23539908367494577</v>
      </c>
      <c r="Z510" s="19">
        <f ca="1">IF('Stock Price'!$I$11="OK",M510/INDEX(M$5:M$1258,'Stock Price'!$I$9)-1,"")</f>
        <v>-0.34974488683441629</v>
      </c>
    </row>
    <row r="511" spans="1:26" x14ac:dyDescent="0.2">
      <c r="A511" s="16">
        <f>'Stock Price'!A511</f>
        <v>45209</v>
      </c>
      <c r="B511" s="17">
        <f>'Stock Price'!E511</f>
        <v>103.61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-2.6679192108971406E-2</v>
      </c>
      <c r="P511" s="19">
        <f ca="1">IF('Stock Price'!$I$11="OK",C511/INDEX(C$5:C$1258,'Stock Price'!$I$9)-1,"")</f>
        <v>-0.28923054713440155</v>
      </c>
      <c r="Q511" s="19">
        <f ca="1">IF('Stock Price'!$I$11="OK",D511/INDEX(D$5:D$1258,'Stock Price'!$I$9)-1,"")</f>
        <v>-0.26437662515396199</v>
      </c>
      <c r="R511" s="19">
        <f ca="1">IF('Stock Price'!$I$11="OK",E511/INDEX(E$5:E$1258,'Stock Price'!$I$9)-1,"")</f>
        <v>-0.24763248035462415</v>
      </c>
      <c r="S511" s="19">
        <f ca="1">IF('Stock Price'!$I$11="OK",F511/INDEX(F$5:F$1258,'Stock Price'!$I$9)-1,"")</f>
        <v>-0.32186588921282799</v>
      </c>
      <c r="T511" s="19">
        <f ca="1">IF('Stock Price'!$I$11="OK",G511/INDEX(G$5:G$1258,'Stock Price'!$I$9)-1,"")</f>
        <v>0.12896537424839316</v>
      </c>
      <c r="U511" s="19">
        <f ca="1">IF('Stock Price'!$I$11="OK",H511/INDEX(H$5:H$1258,'Stock Price'!$I$9)-1,"")</f>
        <v>0.17789473684210511</v>
      </c>
      <c r="V511" s="19">
        <f ca="1">IF('Stock Price'!$I$11="OK",I511/INDEX(I$5:I$1258,'Stock Price'!$I$9)-1,"")</f>
        <v>0.31731532962668796</v>
      </c>
      <c r="W511" s="19">
        <f ca="1">IF('Stock Price'!$I$11="OK",J511/INDEX(J$5:J$1258,'Stock Price'!$I$9)-1,"")</f>
        <v>-0.46378059165463359</v>
      </c>
      <c r="X511" s="19">
        <f ca="1">IF('Stock Price'!$I$11="OK",K511/INDEX(K$5:K$1258,'Stock Price'!$I$9)-1,"")</f>
        <v>5.4807332585110391E-2</v>
      </c>
      <c r="Y511" s="19">
        <f ca="1">IF('Stock Price'!$I$11="OK",L511/INDEX(L$5:L$1258,'Stock Price'!$I$9)-1,"")</f>
        <v>-0.23626718109476719</v>
      </c>
      <c r="Z511" s="19">
        <f ca="1">IF('Stock Price'!$I$11="OK",M511/INDEX(M$5:M$1258,'Stock Price'!$I$9)-1,"")</f>
        <v>-0.35070428677336363</v>
      </c>
    </row>
    <row r="512" spans="1:26" x14ac:dyDescent="0.2">
      <c r="A512" s="16">
        <f>'Stock Price'!A512</f>
        <v>45210</v>
      </c>
      <c r="B512" s="17">
        <f>'Stock Price'!E512</f>
        <v>103.46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-2.8088304368248052E-2</v>
      </c>
      <c r="P512" s="19">
        <f ca="1">IF('Stock Price'!$I$11="OK",C512/INDEX(C$5:C$1258,'Stock Price'!$I$9)-1,"")</f>
        <v>-0.28244550310379668</v>
      </c>
      <c r="Q512" s="19">
        <f ca="1">IF('Stock Price'!$I$11="OK",D512/INDEX(D$5:D$1258,'Stock Price'!$I$9)-1,"")</f>
        <v>-0.26661009990420148</v>
      </c>
      <c r="R512" s="19">
        <f ca="1">IF('Stock Price'!$I$11="OK",E512/INDEX(E$5:E$1258,'Stock Price'!$I$9)-1,"")</f>
        <v>-0.24319967761434613</v>
      </c>
      <c r="S512" s="19">
        <f ca="1">IF('Stock Price'!$I$11="OK",F512/INDEX(F$5:F$1258,'Stock Price'!$I$9)-1,"")</f>
        <v>-0.31758989310009722</v>
      </c>
      <c r="T512" s="19">
        <f ca="1">IF('Stock Price'!$I$11="OK",G512/INDEX(G$5:G$1258,'Stock Price'!$I$9)-1,"")</f>
        <v>0.13601492846775876</v>
      </c>
      <c r="U512" s="19">
        <f ca="1">IF('Stock Price'!$I$11="OK",H512/INDEX(H$5:H$1258,'Stock Price'!$I$9)-1,"")</f>
        <v>0.18039473684210527</v>
      </c>
      <c r="V512" s="19">
        <f ca="1">IF('Stock Price'!$I$11="OK",I512/INDEX(I$5:I$1258,'Stock Price'!$I$9)-1,"")</f>
        <v>0.31493248610007951</v>
      </c>
      <c r="W512" s="19">
        <f ca="1">IF('Stock Price'!$I$11="OK",J512/INDEX(J$5:J$1258,'Stock Price'!$I$9)-1,"")</f>
        <v>-0.43974230811951565</v>
      </c>
      <c r="X512" s="19">
        <f ca="1">IF('Stock Price'!$I$11="OK",K512/INDEX(K$5:K$1258,'Stock Price'!$I$9)-1,"")</f>
        <v>5.967078189300401E-2</v>
      </c>
      <c r="Y512" s="19">
        <f ca="1">IF('Stock Price'!$I$11="OK",L512/INDEX(L$5:L$1258,'Stock Price'!$I$9)-1,"")</f>
        <v>-0.24678080540149505</v>
      </c>
      <c r="Z512" s="19">
        <f ca="1">IF('Stock Price'!$I$11="OK",M512/INDEX(M$5:M$1258,'Stock Price'!$I$9)-1,"")</f>
        <v>-0.34874187780733501</v>
      </c>
    </row>
    <row r="513" spans="1:26" x14ac:dyDescent="0.2">
      <c r="A513" s="16">
        <f>'Stock Price'!A513</f>
        <v>45211</v>
      </c>
      <c r="B513" s="17">
        <f>'Stock Price'!E513</f>
        <v>103.59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-2.6867073743541581E-2</v>
      </c>
      <c r="P513" s="19">
        <f ca="1">IF('Stock Price'!$I$11="OK",C513/INDEX(C$5:C$1258,'Stock Price'!$I$9)-1,"")</f>
        <v>-0.29356142630287274</v>
      </c>
      <c r="Q513" s="19">
        <f ca="1">IF('Stock Price'!$I$11="OK",D513/INDEX(D$5:D$1258,'Stock Price'!$I$9)-1,"")</f>
        <v>-0.2582455179964418</v>
      </c>
      <c r="R513" s="19">
        <f ca="1">IF('Stock Price'!$I$11="OK",E513/INDEX(E$5:E$1258,'Stock Price'!$I$9)-1,"")</f>
        <v>-0.2542816844650414</v>
      </c>
      <c r="S513" s="19">
        <f ca="1">IF('Stock Price'!$I$11="OK",F513/INDEX(F$5:F$1258,'Stock Price'!$I$9)-1,"")</f>
        <v>-0.32497570456754143</v>
      </c>
      <c r="T513" s="19">
        <f ca="1">IF('Stock Price'!$I$11="OK",G513/INDEX(G$5:G$1258,'Stock Price'!$I$9)-1,"")</f>
        <v>0.13601492846775876</v>
      </c>
      <c r="U513" s="19">
        <f ca="1">IF('Stock Price'!$I$11="OK",H513/INDEX(H$5:H$1258,'Stock Price'!$I$9)-1,"")</f>
        <v>0.16473684210526307</v>
      </c>
      <c r="V513" s="19">
        <f ca="1">IF('Stock Price'!$I$11="OK",I513/INDEX(I$5:I$1258,'Stock Price'!$I$9)-1,"")</f>
        <v>0.3073868149324861</v>
      </c>
      <c r="W513" s="19">
        <f ca="1">IF('Stock Price'!$I$11="OK",J513/INDEX(J$5:J$1258,'Stock Price'!$I$9)-1,"")</f>
        <v>-0.43491058536043536</v>
      </c>
      <c r="X513" s="19">
        <f ca="1">IF('Stock Price'!$I$11="OK",K513/INDEX(K$5:K$1258,'Stock Price'!$I$9)-1,"")</f>
        <v>5.237560793116347E-2</v>
      </c>
      <c r="Y513" s="19">
        <f ca="1">IF('Stock Price'!$I$11="OK",L513/INDEX(L$5:L$1258,'Stock Price'!$I$9)-1,"")</f>
        <v>-0.24605739088497702</v>
      </c>
      <c r="Z513" s="19">
        <f ca="1">IF('Stock Price'!$I$11="OK",M513/INDEX(M$5:M$1258,'Stock Price'!$I$9)-1,"")</f>
        <v>-0.35327722297326758</v>
      </c>
    </row>
    <row r="514" spans="1:26" x14ac:dyDescent="0.2">
      <c r="A514" s="16">
        <f>'Stock Price'!A514</f>
        <v>45212</v>
      </c>
      <c r="B514" s="17">
        <f>'Stock Price'!E514</f>
        <v>104.01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-2.2921559417566906E-2</v>
      </c>
      <c r="P514" s="19">
        <f ca="1">IF('Stock Price'!$I$11="OK",C514/INDEX(C$5:C$1258,'Stock Price'!$I$9)-1,"")</f>
        <v>-0.29810884942976756</v>
      </c>
      <c r="Q514" s="19">
        <f ca="1">IF('Stock Price'!$I$11="OK",D514/INDEX(D$5:D$1258,'Stock Price'!$I$9)-1,"")</f>
        <v>-0.2582455179964418</v>
      </c>
      <c r="R514" s="19">
        <f ca="1">IF('Stock Price'!$I$11="OK",E514/INDEX(E$5:E$1258,'Stock Price'!$I$9)-1,"")</f>
        <v>-0.26093088857545843</v>
      </c>
      <c r="S514" s="19">
        <f ca="1">IF('Stock Price'!$I$11="OK",F514/INDEX(F$5:F$1258,'Stock Price'!$I$9)-1,"")</f>
        <v>-0.31195335276967939</v>
      </c>
      <c r="T514" s="19">
        <f ca="1">IF('Stock Price'!$I$11="OK",G514/INDEX(G$5:G$1258,'Stock Price'!$I$9)-1,"")</f>
        <v>0.13062409288824384</v>
      </c>
      <c r="U514" s="19">
        <f ca="1">IF('Stock Price'!$I$11="OK",H514/INDEX(H$5:H$1258,'Stock Price'!$I$9)-1,"")</f>
        <v>0.14631578947368418</v>
      </c>
      <c r="V514" s="19">
        <f ca="1">IF('Stock Price'!$I$11="OK",I514/INDEX(I$5:I$1258,'Stock Price'!$I$9)-1,"")</f>
        <v>0.27521842732327251</v>
      </c>
      <c r="W514" s="19">
        <f ca="1">IF('Stock Price'!$I$11="OK",J514/INDEX(J$5:J$1258,'Stock Price'!$I$9)-1,"")</f>
        <v>-0.43611388796327144</v>
      </c>
      <c r="X514" s="19">
        <f ca="1">IF('Stock Price'!$I$11="OK",K514/INDEX(K$5:K$1258,'Stock Price'!$I$9)-1,"")</f>
        <v>5.6303778526000769E-2</v>
      </c>
      <c r="Y514" s="19">
        <f ca="1">IF('Stock Price'!$I$11="OK",L514/INDEX(L$5:L$1258,'Stock Price'!$I$9)-1,"")</f>
        <v>-0.24354955389438149</v>
      </c>
      <c r="Z514" s="19">
        <f ca="1">IF('Stock Price'!$I$11="OK",M514/INDEX(M$5:M$1258,'Stock Price'!$I$9)-1,"")</f>
        <v>-0.35475993196982247</v>
      </c>
    </row>
    <row r="515" spans="1:26" x14ac:dyDescent="0.2">
      <c r="A515" s="16">
        <f>'Stock Price'!A515</f>
        <v>45215</v>
      </c>
      <c r="B515" s="17">
        <f>'Stock Price'!E515</f>
        <v>104.14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-2.1700328792860546E-2</v>
      </c>
      <c r="P515" s="19">
        <f ca="1">IF('Stock Price'!$I$11="OK",C515/INDEX(C$5:C$1258,'Stock Price'!$I$9)-1,"")</f>
        <v>-0.30099610220874828</v>
      </c>
      <c r="Q515" s="19">
        <f ca="1">IF('Stock Price'!$I$11="OK",D515/INDEX(D$5:D$1258,'Stock Price'!$I$9)-1,"")</f>
        <v>-0.26558094977418922</v>
      </c>
      <c r="R515" s="19">
        <f ca="1">IF('Stock Price'!$I$11="OK",E515/INDEX(E$5:E$1258,'Stock Price'!$I$9)-1,"")</f>
        <v>-0.26294579891194847</v>
      </c>
      <c r="S515" s="19">
        <f ca="1">IF('Stock Price'!$I$11="OK",F515/INDEX(F$5:F$1258,'Stock Price'!$I$9)-1,"")</f>
        <v>-0.3220602526724976</v>
      </c>
      <c r="T515" s="19">
        <f ca="1">IF('Stock Price'!$I$11="OK",G515/INDEX(G$5:G$1258,'Stock Price'!$I$9)-1,"")</f>
        <v>0.13290483101803874</v>
      </c>
      <c r="U515" s="19">
        <f ca="1">IF('Stock Price'!$I$11="OK",H515/INDEX(H$5:H$1258,'Stock Price'!$I$9)-1,"")</f>
        <v>0.14723684210526322</v>
      </c>
      <c r="V515" s="19">
        <f ca="1">IF('Stock Price'!$I$11="OK",I515/INDEX(I$5:I$1258,'Stock Price'!$I$9)-1,"")</f>
        <v>0.3212867355043687</v>
      </c>
      <c r="W515" s="19">
        <f ca="1">IF('Stock Price'!$I$11="OK",J515/INDEX(J$5:J$1258,'Stock Price'!$I$9)-1,"")</f>
        <v>-0.4292272946055018</v>
      </c>
      <c r="X515" s="19">
        <f ca="1">IF('Stock Price'!$I$11="OK",K515/INDEX(K$5:K$1258,'Stock Price'!$I$9)-1,"")</f>
        <v>6.9397680508791693E-2</v>
      </c>
      <c r="Y515" s="19">
        <f ca="1">IF('Stock Price'!$I$11="OK",L515/INDEX(L$5:L$1258,'Stock Price'!$I$9)-1,"")</f>
        <v>-0.24027007475283335</v>
      </c>
      <c r="Z515" s="19">
        <f ca="1">IF('Stock Price'!$I$11="OK",M515/INDEX(M$5:M$1258,'Stock Price'!$I$9)-1,"")</f>
        <v>-0.3579433954036022</v>
      </c>
    </row>
    <row r="516" spans="1:26" x14ac:dyDescent="0.2">
      <c r="A516" s="16">
        <f>'Stock Price'!A516</f>
        <v>45216</v>
      </c>
      <c r="B516" s="17">
        <f>'Stock Price'!E516</f>
        <v>104.17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-2.1418506341005172E-2</v>
      </c>
      <c r="P516" s="19">
        <f ca="1">IF('Stock Price'!$I$11="OK",C516/INDEX(C$5:C$1258,'Stock Price'!$I$9)-1,"")</f>
        <v>-0.30352244839035658</v>
      </c>
      <c r="Q516" s="19">
        <f ca="1">IF('Stock Price'!$I$11="OK",D516/INDEX(D$5:D$1258,'Stock Price'!$I$9)-1,"")</f>
        <v>-0.24976050362665936</v>
      </c>
      <c r="R516" s="19">
        <f ca="1">IF('Stock Price'!$I$11="OK",E516/INDEX(E$5:E$1258,'Stock Price'!$I$9)-1,"")</f>
        <v>-0.2611323796091074</v>
      </c>
      <c r="S516" s="19">
        <f ca="1">IF('Stock Price'!$I$11="OK",F516/INDEX(F$5:F$1258,'Stock Price'!$I$9)-1,"")</f>
        <v>-0.32108843537414966</v>
      </c>
      <c r="T516" s="19">
        <f ca="1">IF('Stock Price'!$I$11="OK",G516/INDEX(G$5:G$1258,'Stock Price'!$I$9)-1,"")</f>
        <v>0.11528094546962486</v>
      </c>
      <c r="U516" s="19">
        <f ca="1">IF('Stock Price'!$I$11="OK",H516/INDEX(H$5:H$1258,'Stock Price'!$I$9)-1,"")</f>
        <v>0.13684210526315788</v>
      </c>
      <c r="V516" s="19">
        <f ca="1">IF('Stock Price'!$I$11="OK",I516/INDEX(I$5:I$1258,'Stock Price'!$I$9)-1,"")</f>
        <v>0.30063542494042883</v>
      </c>
      <c r="W516" s="19">
        <f ca="1">IF('Stock Price'!$I$11="OK",J516/INDEX(J$5:J$1258,'Stock Price'!$I$9)-1,"")</f>
        <v>-0.43693768743752082</v>
      </c>
      <c r="X516" s="19">
        <f ca="1">IF('Stock Price'!$I$11="OK",K516/INDEX(K$5:K$1258,'Stock Price'!$I$9)-1,"")</f>
        <v>7.3138795361017417E-2</v>
      </c>
      <c r="Y516" s="19">
        <f ca="1">IF('Stock Price'!$I$11="OK",L516/INDEX(L$5:L$1258,'Stock Price'!$I$9)-1,"")</f>
        <v>-0.24721485411140576</v>
      </c>
      <c r="Z516" s="19">
        <f ca="1">IF('Stock Price'!$I$11="OK",M516/INDEX(M$5:M$1258,'Stock Price'!$I$9)-1,"")</f>
        <v>-0.34943962321747846</v>
      </c>
    </row>
    <row r="517" spans="1:26" x14ac:dyDescent="0.2">
      <c r="A517" s="16">
        <f>'Stock Price'!A517</f>
        <v>45217</v>
      </c>
      <c r="B517" s="17">
        <f>'Stock Price'!E517</f>
        <v>101.99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-4.1897604509159359E-2</v>
      </c>
      <c r="P517" s="19">
        <f ca="1">IF('Stock Price'!$I$11="OK",C517/INDEX(C$5:C$1258,'Stock Price'!$I$9)-1,"")</f>
        <v>-0.3063375198498629</v>
      </c>
      <c r="Q517" s="19">
        <f ca="1">IF('Stock Price'!$I$11="OK",D517/INDEX(D$5:D$1258,'Stock Price'!$I$9)-1,"")</f>
        <v>-0.28348159299302056</v>
      </c>
      <c r="R517" s="19">
        <f ca="1">IF('Stock Price'!$I$11="OK",E517/INDEX(E$5:E$1258,'Stock Price'!$I$9)-1,"")</f>
        <v>-0.2687890388877695</v>
      </c>
      <c r="S517" s="19">
        <f ca="1">IF('Stock Price'!$I$11="OK",F517/INDEX(F$5:F$1258,'Stock Price'!$I$9)-1,"")</f>
        <v>-0.33333333333333337</v>
      </c>
      <c r="T517" s="19">
        <f ca="1">IF('Stock Price'!$I$11="OK",G517/INDEX(G$5:G$1258,'Stock Price'!$I$9)-1,"")</f>
        <v>9.0814845531826727E-2</v>
      </c>
      <c r="U517" s="19">
        <f ca="1">IF('Stock Price'!$I$11="OK",H517/INDEX(H$5:H$1258,'Stock Price'!$I$9)-1,"")</f>
        <v>0.11907894736842106</v>
      </c>
      <c r="V517" s="19">
        <f ca="1">IF('Stock Price'!$I$11="OK",I517/INDEX(I$5:I$1258,'Stock Price'!$I$9)-1,"")</f>
        <v>0.24741858617950752</v>
      </c>
      <c r="W517" s="19">
        <f ca="1">IF('Stock Price'!$I$11="OK",J517/INDEX(J$5:J$1258,'Stock Price'!$I$9)-1,"")</f>
        <v>-0.43792809804139354</v>
      </c>
      <c r="X517" s="19">
        <f ca="1">IF('Stock Price'!$I$11="OK",K517/INDEX(K$5:K$1258,'Stock Price'!$I$9)-1,"")</f>
        <v>6.3411896745230178E-2</v>
      </c>
      <c r="Y517" s="19">
        <f ca="1">IF('Stock Price'!$I$11="OK",L517/INDEX(L$5:L$1258,'Stock Price'!$I$9)-1,"")</f>
        <v>-0.26341933928140826</v>
      </c>
      <c r="Z517" s="19">
        <f ca="1">IF('Stock Price'!$I$11="OK",M517/INDEX(M$5:M$1258,'Stock Price'!$I$9)-1,"")</f>
        <v>-0.3490035323361389</v>
      </c>
    </row>
    <row r="518" spans="1:26" x14ac:dyDescent="0.2">
      <c r="A518" s="16">
        <f>'Stock Price'!A518</f>
        <v>45218</v>
      </c>
      <c r="B518" s="17">
        <f>'Stock Price'!E518</f>
        <v>100.43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-5.6552372005636453E-2</v>
      </c>
      <c r="P518" s="19">
        <f ca="1">IF('Stock Price'!$I$11="OK",C518/INDEX(C$5:C$1258,'Stock Price'!$I$9)-1,"")</f>
        <v>-0.31687599249314269</v>
      </c>
      <c r="Q518" s="19">
        <f ca="1">IF('Stock Price'!$I$11="OK",D518/INDEX(D$5:D$1258,'Stock Price'!$I$9)-1,"")</f>
        <v>-0.30160120432462023</v>
      </c>
      <c r="R518" s="19">
        <f ca="1">IF('Stock Price'!$I$11="OK",E518/INDEX(E$5:E$1258,'Stock Price'!$I$9)-1,"")</f>
        <v>-0.28692323191617974</v>
      </c>
      <c r="S518" s="19">
        <f ca="1">IF('Stock Price'!$I$11="OK",F518/INDEX(F$5:F$1258,'Stock Price'!$I$9)-1,"")</f>
        <v>-0.35490767735665707</v>
      </c>
      <c r="T518" s="19">
        <f ca="1">IF('Stock Price'!$I$11="OK",G518/INDEX(G$5:G$1258,'Stock Price'!$I$9)-1,"")</f>
        <v>8.4490980717395914E-2</v>
      </c>
      <c r="U518" s="19">
        <f ca="1">IF('Stock Price'!$I$11="OK",H518/INDEX(H$5:H$1258,'Stock Price'!$I$9)-1,"")</f>
        <v>0.10907894736842105</v>
      </c>
      <c r="V518" s="19">
        <f ca="1">IF('Stock Price'!$I$11="OK",I518/INDEX(I$5:I$1258,'Stock Price'!$I$9)-1,"")</f>
        <v>0.2386814932486101</v>
      </c>
      <c r="W518" s="19">
        <f ca="1">IF('Stock Price'!$I$11="OK",J518/INDEX(J$5:J$1258,'Stock Price'!$I$9)-1,"")</f>
        <v>-0.45314524788033617</v>
      </c>
      <c r="X518" s="19">
        <f ca="1">IF('Stock Price'!$I$11="OK",K518/INDEX(K$5:K$1258,'Stock Price'!$I$9)-1,"")</f>
        <v>5.64908342686119E-2</v>
      </c>
      <c r="Y518" s="19">
        <f ca="1">IF('Stock Price'!$I$11="OK",L518/INDEX(L$5:L$1258,'Stock Price'!$I$9)-1,"")</f>
        <v>-0.26539667229322406</v>
      </c>
      <c r="Z518" s="19">
        <f ca="1">IF('Stock Price'!$I$11="OK",M518/INDEX(M$5:M$1258,'Stock Price'!$I$9)-1,"")</f>
        <v>-0.36540054947451039</v>
      </c>
    </row>
    <row r="519" spans="1:26" x14ac:dyDescent="0.2">
      <c r="A519" s="16">
        <f>'Stock Price'!A519</f>
        <v>45219</v>
      </c>
      <c r="B519" s="17">
        <f>'Stock Price'!E519</f>
        <v>102.67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-3.5509628933771742E-2</v>
      </c>
      <c r="P519" s="19">
        <f ca="1">IF('Stock Price'!$I$11="OK",C519/INDEX(C$5:C$1258,'Stock Price'!$I$9)-1,"")</f>
        <v>-0.31658726721524466</v>
      </c>
      <c r="Q519" s="19">
        <f ca="1">IF('Stock Price'!$I$11="OK",D519/INDEX(D$5:D$1258,'Stock Price'!$I$9)-1,"")</f>
        <v>-0.30006842753524021</v>
      </c>
      <c r="R519" s="19">
        <f ca="1">IF('Stock Price'!$I$11="OK",E519/INDEX(E$5:E$1258,'Stock Price'!$I$9)-1,"")</f>
        <v>-0.28309490227684875</v>
      </c>
      <c r="S519" s="19">
        <f ca="1">IF('Stock Price'!$I$11="OK",F519/INDEX(F$5:F$1258,'Stock Price'!$I$9)-1,"")</f>
        <v>-0.35160349854227413</v>
      </c>
      <c r="T519" s="19">
        <f ca="1">IF('Stock Price'!$I$11="OK",G519/INDEX(G$5:G$1258,'Stock Price'!$I$9)-1,"")</f>
        <v>7.9203815052871773E-2</v>
      </c>
      <c r="U519" s="19">
        <f ca="1">IF('Stock Price'!$I$11="OK",H519/INDEX(H$5:H$1258,'Stock Price'!$I$9)-1,"")</f>
        <v>9.1447368421052611E-2</v>
      </c>
      <c r="V519" s="19">
        <f ca="1">IF('Stock Price'!$I$11="OK",I519/INDEX(I$5:I$1258,'Stock Price'!$I$9)-1,"")</f>
        <v>0.2172359015091343</v>
      </c>
      <c r="W519" s="19">
        <f ca="1">IF('Stock Price'!$I$11="OK",J519/INDEX(J$5:J$1258,'Stock Price'!$I$9)-1,"")</f>
        <v>-0.4588470509830056</v>
      </c>
      <c r="X519" s="19">
        <f ca="1">IF('Stock Price'!$I$11="OK",K519/INDEX(K$5:K$1258,'Stock Price'!$I$9)-1,"")</f>
        <v>5.6116722783389417E-2</v>
      </c>
      <c r="Y519" s="19">
        <f ca="1">IF('Stock Price'!$I$11="OK",L519/INDEX(L$5:L$1258,'Stock Price'!$I$9)-1,"")</f>
        <v>-0.26211719315167592</v>
      </c>
      <c r="Z519" s="19">
        <f ca="1">IF('Stock Price'!$I$11="OK",M519/INDEX(M$5:M$1258,'Stock Price'!$I$9)-1,"")</f>
        <v>-0.36230430421699888</v>
      </c>
    </row>
    <row r="520" spans="1:26" x14ac:dyDescent="0.2">
      <c r="A520" s="16">
        <f>'Stock Price'!A520</f>
        <v>45222</v>
      </c>
      <c r="B520" s="17">
        <f>'Stock Price'!E520</f>
        <v>103.35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-2.9121653358384347E-2</v>
      </c>
      <c r="P520" s="19">
        <f ca="1">IF('Stock Price'!$I$11="OK",C520/INDEX(C$5:C$1258,'Stock Price'!$I$9)-1,"")</f>
        <v>-0.31651508589577015</v>
      </c>
      <c r="Q520" s="19">
        <f ca="1">IF('Stock Price'!$I$11="OK",D520/INDEX(D$5:D$1258,'Stock Price'!$I$9)-1,"")</f>
        <v>-0.32256740112221161</v>
      </c>
      <c r="R520" s="19">
        <f ca="1">IF('Stock Price'!$I$11="OK",E520/INDEX(E$5:E$1258,'Stock Price'!$I$9)-1,"")</f>
        <v>-0.27866209953657073</v>
      </c>
      <c r="S520" s="19">
        <f ca="1">IF('Stock Price'!$I$11="OK",F520/INDEX(F$5:F$1258,'Stock Price'!$I$9)-1,"")</f>
        <v>-0.35665694849368323</v>
      </c>
      <c r="T520" s="19">
        <f ca="1">IF('Stock Price'!$I$11="OK",G520/INDEX(G$5:G$1258,'Stock Price'!$I$9)-1,"")</f>
        <v>7.9618494712834442E-2</v>
      </c>
      <c r="U520" s="19">
        <f ca="1">IF('Stock Price'!$I$11="OK",H520/INDEX(H$5:H$1258,'Stock Price'!$I$9)-1,"")</f>
        <v>7.8552631578947318E-2</v>
      </c>
      <c r="V520" s="19">
        <f ca="1">IF('Stock Price'!$I$11="OK",I520/INDEX(I$5:I$1258,'Stock Price'!$I$9)-1,"")</f>
        <v>0.22478157267672749</v>
      </c>
      <c r="W520" s="19">
        <f ca="1">IF('Stock Price'!$I$11="OK",J520/INDEX(J$5:J$1258,'Stock Price'!$I$9)-1,"")</f>
        <v>-0.46624273390351356</v>
      </c>
      <c r="X520" s="19">
        <f ca="1">IF('Stock Price'!$I$11="OK",K520/INDEX(K$5:K$1258,'Stock Price'!$I$9)-1,"")</f>
        <v>4.7512158623269629E-2</v>
      </c>
      <c r="Y520" s="19">
        <f ca="1">IF('Stock Price'!$I$11="OK",L520/INDEX(L$5:L$1258,'Stock Price'!$I$9)-1,"")</f>
        <v>-0.2698818422956355</v>
      </c>
      <c r="Z520" s="19">
        <f ca="1">IF('Stock Price'!$I$11="OK",M520/INDEX(M$5:M$1258,'Stock Price'!$I$9)-1,"")</f>
        <v>-0.3688456674370939</v>
      </c>
    </row>
    <row r="521" spans="1:26" x14ac:dyDescent="0.2">
      <c r="A521" s="16">
        <f>'Stock Price'!A521</f>
        <v>45223</v>
      </c>
      <c r="B521" s="17">
        <f>'Stock Price'!E521</f>
        <v>103.03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-3.2127759511507814E-2</v>
      </c>
      <c r="P521" s="19">
        <f ca="1">IF('Stock Price'!$I$11="OK",C521/INDEX(C$5:C$1258,'Stock Price'!$I$9)-1,"")</f>
        <v>-0.31492709686733067</v>
      </c>
      <c r="Q521" s="19">
        <f ca="1">IF('Stock Price'!$I$11="OK",D521/INDEX(D$5:D$1258,'Stock Price'!$I$9)-1,"")</f>
        <v>-0.30395511153688248</v>
      </c>
      <c r="R521" s="19">
        <f ca="1">IF('Stock Price'!$I$11="OK",E521/INDEX(E$5:E$1258,'Stock Price'!$I$9)-1,"")</f>
        <v>-0.2750352609308887</v>
      </c>
      <c r="S521" s="19">
        <f ca="1">IF('Stock Price'!$I$11="OK",F521/INDEX(F$5:F$1258,'Stock Price'!$I$9)-1,"")</f>
        <v>-0.3603498542274054</v>
      </c>
      <c r="T521" s="19">
        <f ca="1">IF('Stock Price'!$I$11="OK",G521/INDEX(G$5:G$1258,'Stock Price'!$I$9)-1,"")</f>
        <v>8.5009330292349139E-2</v>
      </c>
      <c r="U521" s="19">
        <f ca="1">IF('Stock Price'!$I$11="OK",H521/INDEX(H$5:H$1258,'Stock Price'!$I$9)-1,"")</f>
        <v>8.6447368421052495E-2</v>
      </c>
      <c r="V521" s="19">
        <f ca="1">IF('Stock Price'!$I$11="OK",I521/INDEX(I$5:I$1258,'Stock Price'!$I$9)-1,"")</f>
        <v>0.20849880857823666</v>
      </c>
      <c r="W521" s="19">
        <f ca="1">IF('Stock Price'!$I$11="OK",J521/INDEX(J$5:J$1258,'Stock Price'!$I$9)-1,"")</f>
        <v>-0.45163649153985708</v>
      </c>
      <c r="X521" s="19">
        <f ca="1">IF('Stock Price'!$I$11="OK",K521/INDEX(K$5:K$1258,'Stock Price'!$I$9)-1,"")</f>
        <v>4.9756827534605197E-2</v>
      </c>
      <c r="Y521" s="19">
        <f ca="1">IF('Stock Price'!$I$11="OK",L521/INDEX(L$5:L$1258,'Stock Price'!$I$9)-1,"")</f>
        <v>-0.27065348444658788</v>
      </c>
      <c r="Z521" s="19">
        <f ca="1">IF('Stock Price'!$I$11="OK",M521/INDEX(M$5:M$1258,'Stock Price'!$I$9)-1,"")</f>
        <v>-0.36195543151192711</v>
      </c>
    </row>
    <row r="522" spans="1:26" x14ac:dyDescent="0.2">
      <c r="A522" s="16">
        <f>'Stock Price'!A522</f>
        <v>45224</v>
      </c>
      <c r="B522" s="17">
        <f>'Stock Price'!E522</f>
        <v>103.63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-2.6491310474401231E-2</v>
      </c>
      <c r="P522" s="19">
        <f ca="1">IF('Stock Price'!$I$11="OK",C522/INDEX(C$5:C$1258,'Stock Price'!$I$9)-1,"")</f>
        <v>-0.31117366825465564</v>
      </c>
      <c r="Q522" s="19">
        <f ca="1">IF('Stock Price'!$I$11="OK",D522/INDEX(D$5:D$1258,'Stock Price'!$I$9)-1,"")</f>
        <v>-0.30781442452442875</v>
      </c>
      <c r="R522" s="19">
        <f ca="1">IF('Stock Price'!$I$11="OK",E522/INDEX(E$5:E$1258,'Stock Price'!$I$9)-1,"")</f>
        <v>-0.27362482369534569</v>
      </c>
      <c r="S522" s="19">
        <f ca="1">IF('Stock Price'!$I$11="OK",F522/INDEX(F$5:F$1258,'Stock Price'!$I$9)-1,"")</f>
        <v>-0.36093294460641401</v>
      </c>
      <c r="T522" s="19">
        <f ca="1">IF('Stock Price'!$I$11="OK",G522/INDEX(G$5:G$1258,'Stock Price'!$I$9)-1,"")</f>
        <v>0.100767157370931</v>
      </c>
      <c r="U522" s="19">
        <f ca="1">IF('Stock Price'!$I$11="OK",H522/INDEX(H$5:H$1258,'Stock Price'!$I$9)-1,"")</f>
        <v>7.9868421052631478E-2</v>
      </c>
      <c r="V522" s="19">
        <f ca="1">IF('Stock Price'!$I$11="OK",I522/INDEX(I$5:I$1258,'Stock Price'!$I$9)-1,"")</f>
        <v>0.2204130262112789</v>
      </c>
      <c r="W522" s="19">
        <f ca="1">IF('Stock Price'!$I$11="OK",J522/INDEX(J$5:J$1258,'Stock Price'!$I$9)-1,"")</f>
        <v>-0.457162427339035</v>
      </c>
      <c r="X522" s="19">
        <f ca="1">IF('Stock Price'!$I$11="OK",K522/INDEX(K$5:K$1258,'Stock Price'!$I$9)-1,"")</f>
        <v>5.8922558922558821E-2</v>
      </c>
      <c r="Y522" s="19">
        <f ca="1">IF('Stock Price'!$I$11="OK",L522/INDEX(L$5:L$1258,'Stock Price'!$I$9)-1,"")</f>
        <v>-0.26901374487581386</v>
      </c>
      <c r="Z522" s="19">
        <f ca="1">IF('Stock Price'!$I$11="OK",M522/INDEX(M$5:M$1258,'Stock Price'!$I$9)-1,"")</f>
        <v>-0.36653438576599373</v>
      </c>
    </row>
    <row r="523" spans="1:26" x14ac:dyDescent="0.2">
      <c r="A523" s="16">
        <f>'Stock Price'!A523</f>
        <v>45225</v>
      </c>
      <c r="B523" s="17">
        <f>'Stock Price'!E523</f>
        <v>105.55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-8.4546735556599861E-3</v>
      </c>
      <c r="P523" s="19">
        <f ca="1">IF('Stock Price'!$I$11="OK",C523/INDEX(C$5:C$1258,'Stock Price'!$I$9)-1,"")</f>
        <v>-0.31933015735527648</v>
      </c>
      <c r="Q523" s="19">
        <f ca="1">IF('Stock Price'!$I$11="OK",D523/INDEX(D$5:D$1258,'Stock Price'!$I$9)-1,"")</f>
        <v>-0.3142192418229095</v>
      </c>
      <c r="R523" s="19">
        <f ca="1">IF('Stock Price'!$I$11="OK",E523/INDEX(E$5:E$1258,'Stock Price'!$I$9)-1,"")</f>
        <v>-0.28107999194035871</v>
      </c>
      <c r="S523" s="19">
        <f ca="1">IF('Stock Price'!$I$11="OK",F523/INDEX(F$5:F$1258,'Stock Price'!$I$9)-1,"")</f>
        <v>-0.35860058309037901</v>
      </c>
      <c r="T523" s="19">
        <f ca="1">IF('Stock Price'!$I$11="OK",G523/INDEX(G$5:G$1258,'Stock Price'!$I$9)-1,"")</f>
        <v>0.10574331329048303</v>
      </c>
      <c r="U523" s="19">
        <f ca="1">IF('Stock Price'!$I$11="OK",H523/INDEX(H$5:H$1258,'Stock Price'!$I$9)-1,"")</f>
        <v>7.263157894736838E-2</v>
      </c>
      <c r="V523" s="19">
        <f ca="1">IF('Stock Price'!$I$11="OK",I523/INDEX(I$5:I$1258,'Stock Price'!$I$9)-1,"")</f>
        <v>0.23749007148530588</v>
      </c>
      <c r="W523" s="19">
        <f ca="1">IF('Stock Price'!$I$11="OK",J523/INDEX(J$5:J$1258,'Stock Price'!$I$9)-1,"")</f>
        <v>-0.47415676256062789</v>
      </c>
      <c r="X523" s="19">
        <f ca="1">IF('Stock Price'!$I$11="OK",K523/INDEX(K$5:K$1258,'Stock Price'!$I$9)-1,"")</f>
        <v>-9.165731387953624E-3</v>
      </c>
      <c r="Y523" s="19">
        <f ca="1">IF('Stock Price'!$I$11="OK",L523/INDEX(L$5:L$1258,'Stock Price'!$I$9)-1,"")</f>
        <v>-0.28140824692548827</v>
      </c>
      <c r="Z523" s="19">
        <f ca="1">IF('Stock Price'!$I$11="OK",M523/INDEX(M$5:M$1258,'Stock Price'!$I$9)-1,"")</f>
        <v>-0.36679604029479751</v>
      </c>
    </row>
    <row r="524" spans="1:26" x14ac:dyDescent="0.2">
      <c r="A524" s="16">
        <f>'Stock Price'!A524</f>
        <v>45226</v>
      </c>
      <c r="B524" s="17">
        <f>'Stock Price'!E524</f>
        <v>102.82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-3.4100516674495207E-2</v>
      </c>
      <c r="P524" s="19">
        <f ca="1">IF('Stock Price'!$I$11="OK",C524/INDEX(C$5:C$1258,'Stock Price'!$I$9)-1,"")</f>
        <v>-0.33398296520860404</v>
      </c>
      <c r="Q524" s="19">
        <f ca="1">IF('Stock Price'!$I$11="OK",D524/INDEX(D$5:D$1258,'Stock Price'!$I$9)-1,"")</f>
        <v>-0.33515806760640487</v>
      </c>
      <c r="R524" s="19">
        <f ca="1">IF('Stock Price'!$I$11="OK",E524/INDEX(E$5:E$1258,'Stock Price'!$I$9)-1,"")</f>
        <v>-0.30364698770904697</v>
      </c>
      <c r="S524" s="19">
        <f ca="1">IF('Stock Price'!$I$11="OK",F524/INDEX(F$5:F$1258,'Stock Price'!$I$9)-1,"")</f>
        <v>-0.36112730806608362</v>
      </c>
      <c r="T524" s="19">
        <f ca="1">IF('Stock Price'!$I$11="OK",G524/INDEX(G$5:G$1258,'Stock Price'!$I$9)-1,"")</f>
        <v>-0.10574331329048303</v>
      </c>
      <c r="U524" s="19">
        <f ca="1">IF('Stock Price'!$I$11="OK",H524/INDEX(H$5:H$1258,'Stock Price'!$I$9)-1,"")</f>
        <v>6.6052631578947363E-2</v>
      </c>
      <c r="V524" s="19">
        <f ca="1">IF('Stock Price'!$I$11="OK",I524/INDEX(I$5:I$1258,'Stock Price'!$I$9)-1,"")</f>
        <v>0.1957903097696585</v>
      </c>
      <c r="W524" s="19">
        <f ca="1">IF('Stock Price'!$I$11="OK",J524/INDEX(J$5:J$1258,'Stock Price'!$I$9)-1,"")</f>
        <v>-0.48144137139472021</v>
      </c>
      <c r="X524" s="19">
        <f ca="1">IF('Stock Price'!$I$11="OK",K524/INDEX(K$5:K$1258,'Stock Price'!$I$9)-1,"")</f>
        <v>-4.5641601197156656E-2</v>
      </c>
      <c r="Y524" s="19">
        <f ca="1">IF('Stock Price'!$I$11="OK",L524/INDEX(L$5:L$1258,'Stock Price'!$I$9)-1,"")</f>
        <v>-0.29780564263322884</v>
      </c>
      <c r="Z524" s="19">
        <f ca="1">IF('Stock Price'!$I$11="OK",M524/INDEX(M$5:M$1258,'Stock Price'!$I$9)-1,"")</f>
        <v>-0.39413893855479476</v>
      </c>
    </row>
    <row r="525" spans="1:26" x14ac:dyDescent="0.2">
      <c r="A525" s="16">
        <f>'Stock Price'!A525</f>
        <v>45229</v>
      </c>
      <c r="B525" s="17">
        <f>'Stock Price'!E525</f>
        <v>102.68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-3.5415688116486543E-2</v>
      </c>
      <c r="P525" s="19">
        <f ca="1">IF('Stock Price'!$I$11="OK",C525/INDEX(C$5:C$1258,'Stock Price'!$I$9)-1,"")</f>
        <v>-0.32322794860690041</v>
      </c>
      <c r="Q525" s="19">
        <f ca="1">IF('Stock Price'!$I$11="OK",D525/INDEX(D$5:D$1258,'Stock Price'!$I$9)-1,"")</f>
        <v>-0.32133570548788837</v>
      </c>
      <c r="R525" s="19">
        <f ca="1">IF('Stock Price'!$I$11="OK",E525/INDEX(E$5:E$1258,'Stock Price'!$I$9)-1,"")</f>
        <v>-0.28934112431996772</v>
      </c>
      <c r="S525" s="19">
        <f ca="1">IF('Stock Price'!$I$11="OK",F525/INDEX(F$5:F$1258,'Stock Price'!$I$9)-1,"")</f>
        <v>-0.34888241010689991</v>
      </c>
      <c r="T525" s="19">
        <f ca="1">IF('Stock Price'!$I$11="OK",G525/INDEX(G$5:G$1258,'Stock Price'!$I$9)-1,"")</f>
        <v>-6.9873522703711388E-2</v>
      </c>
      <c r="U525" s="19">
        <f ca="1">IF('Stock Price'!$I$11="OK",H525/INDEX(H$5:H$1258,'Stock Price'!$I$9)-1,"")</f>
        <v>7.052631578947377E-2</v>
      </c>
      <c r="V525" s="19">
        <f ca="1">IF('Stock Price'!$I$11="OK",I525/INDEX(I$5:I$1258,'Stock Price'!$I$9)-1,"")</f>
        <v>0.21326449563145355</v>
      </c>
      <c r="W525" s="19">
        <f ca="1">IF('Stock Price'!$I$11="OK",J525/INDEX(J$5:J$1258,'Stock Price'!$I$9)-1,"")</f>
        <v>-0.47636898811507267</v>
      </c>
      <c r="X525" s="19">
        <f ca="1">IF('Stock Price'!$I$11="OK",K525/INDEX(K$5:K$1258,'Stock Price'!$I$9)-1,"")</f>
        <v>-4.1339319117096873E-2</v>
      </c>
      <c r="Y525" s="19">
        <f ca="1">IF('Stock Price'!$I$11="OK",L525/INDEX(L$5:L$1258,'Stock Price'!$I$9)-1,"")</f>
        <v>-0.29090909090909089</v>
      </c>
      <c r="Z525" s="19">
        <f ca="1">IF('Stock Price'!$I$11="OK",M525/INDEX(M$5:M$1258,'Stock Price'!$I$9)-1,"")</f>
        <v>-0.38123064846714061</v>
      </c>
    </row>
    <row r="526" spans="1:26" x14ac:dyDescent="0.2">
      <c r="A526" s="16">
        <f>'Stock Price'!A526</f>
        <v>45230</v>
      </c>
      <c r="B526" s="17">
        <f>'Stock Price'!E526</f>
        <v>102.7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-3.5227806481916368E-2</v>
      </c>
      <c r="P526" s="19">
        <f ca="1">IF('Stock Price'!$I$11="OK",C526/INDEX(C$5:C$1258,'Stock Price'!$I$9)-1,"")</f>
        <v>-0.32452721235744186</v>
      </c>
      <c r="Q526" s="19">
        <f ca="1">IF('Stock Price'!$I$11="OK",D526/INDEX(D$5:D$1258,'Stock Price'!$I$9)-1,"")</f>
        <v>-0.32798740933351589</v>
      </c>
      <c r="R526" s="19">
        <f ca="1">IF('Stock Price'!$I$11="OK",E526/INDEX(E$5:E$1258,'Stock Price'!$I$9)-1,"")</f>
        <v>-0.28067700987306066</v>
      </c>
      <c r="S526" s="19">
        <f ca="1">IF('Stock Price'!$I$11="OK",F526/INDEX(F$5:F$1258,'Stock Price'!$I$9)-1,"")</f>
        <v>-0.37162293488824105</v>
      </c>
      <c r="T526" s="19">
        <f ca="1">IF('Stock Price'!$I$11="OK",G526/INDEX(G$5:G$1258,'Stock Price'!$I$9)-1,"")</f>
        <v>-6.1787269334439121E-2</v>
      </c>
      <c r="U526" s="19">
        <f ca="1">IF('Stock Price'!$I$11="OK",H526/INDEX(H$5:H$1258,'Stock Price'!$I$9)-1,"")</f>
        <v>6.999999999999984E-2</v>
      </c>
      <c r="V526" s="19">
        <f ca="1">IF('Stock Price'!$I$11="OK",I526/INDEX(I$5:I$1258,'Stock Price'!$I$9)-1,"")</f>
        <v>0.21366163621922163</v>
      </c>
      <c r="W526" s="19">
        <f ca="1">IF('Stock Price'!$I$11="OK",J526/INDEX(J$5:J$1258,'Stock Price'!$I$9)-1,"")</f>
        <v>-0.48727276093154137</v>
      </c>
      <c r="X526" s="19">
        <f ca="1">IF('Stock Price'!$I$11="OK",K526/INDEX(K$5:K$1258,'Stock Price'!$I$9)-1,"")</f>
        <v>-3.6101758323980548E-2</v>
      </c>
      <c r="Y526" s="19">
        <f ca="1">IF('Stock Price'!$I$11="OK",L526/INDEX(L$5:L$1258,'Stock Price'!$I$9)-1,"")</f>
        <v>-0.28459127079816726</v>
      </c>
      <c r="Z526" s="19">
        <f ca="1">IF('Stock Price'!$I$11="OK",M526/INDEX(M$5:M$1258,'Stock Price'!$I$9)-1,"")</f>
        <v>-0.38432689372465223</v>
      </c>
    </row>
    <row r="527" spans="1:26" x14ac:dyDescent="0.2">
      <c r="A527" s="16">
        <f>'Stock Price'!A527</f>
        <v>45231</v>
      </c>
      <c r="B527" s="17">
        <f>'Stock Price'!E527</f>
        <v>102.85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-3.3818694222639833E-2</v>
      </c>
      <c r="P527" s="19">
        <f ca="1">IF('Stock Price'!$I$11="OK",C527/INDEX(C$5:C$1258,'Stock Price'!$I$9)-1,"")</f>
        <v>-0.31961888263317451</v>
      </c>
      <c r="Q527" s="19">
        <f ca="1">IF('Stock Price'!$I$11="OK",D527/INDEX(D$5:D$1258,'Stock Price'!$I$9)-1,"")</f>
        <v>-0.29612700150540572</v>
      </c>
      <c r="R527" s="19">
        <f ca="1">IF('Stock Price'!$I$11="OK",E527/INDEX(E$5:E$1258,'Stock Price'!$I$9)-1,"")</f>
        <v>-0.30324400564174903</v>
      </c>
      <c r="S527" s="19">
        <f ca="1">IF('Stock Price'!$I$11="OK",F527/INDEX(F$5:F$1258,'Stock Price'!$I$9)-1,"")</f>
        <v>-0.36112730806608362</v>
      </c>
      <c r="T527" s="19">
        <f ca="1">IF('Stock Price'!$I$11="OK",G527/INDEX(G$5:G$1258,'Stock Price'!$I$9)-1,"")</f>
        <v>-3.9394567696454441E-2</v>
      </c>
      <c r="U527" s="19">
        <f ca="1">IF('Stock Price'!$I$11="OK",H527/INDEX(H$5:H$1258,'Stock Price'!$I$9)-1,"")</f>
        <v>5.973684210526331E-2</v>
      </c>
      <c r="V527" s="19">
        <f ca="1">IF('Stock Price'!$I$11="OK",I527/INDEX(I$5:I$1258,'Stock Price'!$I$9)-1,"")</f>
        <v>0.21167593328038126</v>
      </c>
      <c r="W527" s="19">
        <f ca="1">IF('Stock Price'!$I$11="OK",J527/INDEX(J$5:J$1258,'Stock Price'!$I$9)-1,"")</f>
        <v>-0.48678218371653881</v>
      </c>
      <c r="X527" s="19">
        <f ca="1">IF('Stock Price'!$I$11="OK",K527/INDEX(K$5:K$1258,'Stock Price'!$I$9)-1,"")</f>
        <v>-4.0778151889263037E-2</v>
      </c>
      <c r="Y527" s="19">
        <f ca="1">IF('Stock Price'!$I$11="OK",L527/INDEX(L$5:L$1258,'Stock Price'!$I$9)-1,"")</f>
        <v>-0.28290330359295879</v>
      </c>
      <c r="Z527" s="19">
        <f ca="1">IF('Stock Price'!$I$11="OK",M527/INDEX(M$5:M$1258,'Stock Price'!$I$9)-1,"")</f>
        <v>-0.37870132135537049</v>
      </c>
    </row>
    <row r="528" spans="1:26" x14ac:dyDescent="0.2">
      <c r="A528" s="16">
        <f>'Stock Price'!A528</f>
        <v>45232</v>
      </c>
      <c r="B528" s="17">
        <f>'Stock Price'!E528</f>
        <v>102.85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-3.3818694222639833E-2</v>
      </c>
      <c r="P528" s="19">
        <f ca="1">IF('Stock Price'!$I$11="OK",C528/INDEX(C$5:C$1258,'Stock Price'!$I$9)-1,"")</f>
        <v>-0.32091814638371585</v>
      </c>
      <c r="Q528" s="19">
        <f ca="1">IF('Stock Price'!$I$11="OK",D528/INDEX(D$5:D$1258,'Stock Price'!$I$9)-1,"")</f>
        <v>-0.30576214588750517</v>
      </c>
      <c r="R528" s="19">
        <f ca="1">IF('Stock Price'!$I$11="OK",E528/INDEX(E$5:E$1258,'Stock Price'!$I$9)-1,"")</f>
        <v>-0.31150513802135804</v>
      </c>
      <c r="S528" s="19">
        <f ca="1">IF('Stock Price'!$I$11="OK",F528/INDEX(F$5:F$1258,'Stock Price'!$I$9)-1,"")</f>
        <v>-0.36132167152575323</v>
      </c>
      <c r="T528" s="19">
        <f ca="1">IF('Stock Price'!$I$11="OK",G528/INDEX(G$5:G$1258,'Stock Price'!$I$9)-1,"")</f>
        <v>-3.5662450756790309E-2</v>
      </c>
      <c r="U528" s="19">
        <f ca="1">IF('Stock Price'!$I$11="OK",H528/INDEX(H$5:H$1258,'Stock Price'!$I$9)-1,"")</f>
        <v>8.6315789473684346E-2</v>
      </c>
      <c r="V528" s="19">
        <f ca="1">IF('Stock Price'!$I$11="OK",I528/INDEX(I$5:I$1258,'Stock Price'!$I$9)-1,"")</f>
        <v>0.21127879269261318</v>
      </c>
      <c r="W528" s="19">
        <f ca="1">IF('Stock Price'!$I$11="OK",J528/INDEX(J$5:J$1258,'Stock Price'!$I$9)-1,"")</f>
        <v>-0.46287348661557259</v>
      </c>
      <c r="X528" s="19">
        <f ca="1">IF('Stock Price'!$I$11="OK",K528/INDEX(K$5:K$1258,'Stock Price'!$I$9)-1,"")</f>
        <v>-4.3583988028432441E-2</v>
      </c>
      <c r="Y528" s="19">
        <f ca="1">IF('Stock Price'!$I$11="OK",L528/INDEX(L$5:L$1258,'Stock Price'!$I$9)-1,"")</f>
        <v>-0.27542802025560642</v>
      </c>
      <c r="Z528" s="19">
        <f ca="1">IF('Stock Price'!$I$11="OK",M528/INDEX(M$5:M$1258,'Stock Price'!$I$9)-1,"")</f>
        <v>-0.37525620339278709</v>
      </c>
    </row>
    <row r="529" spans="1:26" x14ac:dyDescent="0.2">
      <c r="A529" s="16">
        <f>'Stock Price'!A529</f>
        <v>45233</v>
      </c>
      <c r="B529" s="17">
        <f>'Stock Price'!E529</f>
        <v>103.38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-2.8839830906528974E-2</v>
      </c>
      <c r="P529" s="19">
        <f ca="1">IF('Stock Price'!$I$11="OK",C529/INDEX(C$5:C$1258,'Stock Price'!$I$9)-1,"")</f>
        <v>-0.33044608055435243</v>
      </c>
      <c r="Q529" s="19">
        <f ca="1">IF('Stock Price'!$I$11="OK",D529/INDEX(D$5:D$1258,'Stock Price'!$I$9)-1,"")</f>
        <v>-0.30860818393321476</v>
      </c>
      <c r="R529" s="19">
        <f ca="1">IF('Stock Price'!$I$11="OK",E529/INDEX(E$5:E$1258,'Stock Price'!$I$9)-1,"")</f>
        <v>-0.30606488011283506</v>
      </c>
      <c r="S529" s="19">
        <f ca="1">IF('Stock Price'!$I$11="OK",F529/INDEX(F$5:F$1258,'Stock Price'!$I$9)-1,"")</f>
        <v>-0.36015549076773568</v>
      </c>
      <c r="T529" s="19">
        <f ca="1">IF('Stock Price'!$I$11="OK",G529/INDEX(G$5:G$1258,'Stock Price'!$I$9)-1,"")</f>
        <v>-5.0383578685465502E-2</v>
      </c>
      <c r="U529" s="19">
        <f ca="1">IF('Stock Price'!$I$11="OK",H529/INDEX(H$5:H$1258,'Stock Price'!$I$9)-1,"")</f>
        <v>0.10684210526315785</v>
      </c>
      <c r="V529" s="19">
        <f ca="1">IF('Stock Price'!$I$11="OK",I529/INDEX(I$5:I$1258,'Stock Price'!$I$9)-1,"")</f>
        <v>0.24146147736298662</v>
      </c>
      <c r="W529" s="19">
        <f ca="1">IF('Stock Price'!$I$11="OK",J529/INDEX(J$5:J$1258,'Stock Price'!$I$9)-1,"")</f>
        <v>-0.47442519160279906</v>
      </c>
      <c r="X529" s="19">
        <f ca="1">IF('Stock Price'!$I$11="OK",K529/INDEX(K$5:K$1258,'Stock Price'!$I$9)-1,"")</f>
        <v>-1.1971567527123139E-2</v>
      </c>
      <c r="Y529" s="19">
        <f ca="1">IF('Stock Price'!$I$11="OK",L529/INDEX(L$5:L$1258,'Stock Price'!$I$9)-1,"")</f>
        <v>-0.27012298046780803</v>
      </c>
      <c r="Z529" s="19">
        <f ca="1">IF('Stock Price'!$I$11="OK",M529/INDEX(M$5:M$1258,'Stock Price'!$I$9)-1,"")</f>
        <v>-0.38328027560943712</v>
      </c>
    </row>
    <row r="530" spans="1:26" x14ac:dyDescent="0.2">
      <c r="A530" s="16">
        <f>'Stock Price'!A530</f>
        <v>45236</v>
      </c>
      <c r="B530" s="17">
        <f>'Stock Price'!E530</f>
        <v>104.34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-1.982151244715824E-2</v>
      </c>
      <c r="P530" s="19">
        <f ca="1">IF('Stock Price'!$I$11="OK",C530/INDEX(C$5:C$1258,'Stock Price'!$I$9)-1,"")</f>
        <v>-0.32546556951061056</v>
      </c>
      <c r="Q530" s="19">
        <f ca="1">IF('Stock Price'!$I$11="OK",D530/INDEX(D$5:D$1258,'Stock Price'!$I$9)-1,"")</f>
        <v>-0.30576214588750517</v>
      </c>
      <c r="R530" s="19">
        <f ca="1">IF('Stock Price'!$I$11="OK",E530/INDEX(E$5:E$1258,'Stock Price'!$I$9)-1,"")</f>
        <v>-0.29901269393511998</v>
      </c>
      <c r="S530" s="19">
        <f ca="1">IF('Stock Price'!$I$11="OK",F530/INDEX(F$5:F$1258,'Stock Price'!$I$9)-1,"")</f>
        <v>-0.36151603498542273</v>
      </c>
      <c r="T530" s="19">
        <f ca="1">IF('Stock Price'!$I$11="OK",G530/INDEX(G$5:G$1258,'Stock Price'!$I$9)-1,"")</f>
        <v>-6.1994609164420345E-2</v>
      </c>
      <c r="U530" s="19">
        <f ca="1">IF('Stock Price'!$I$11="OK",H530/INDEX(H$5:H$1258,'Stock Price'!$I$9)-1,"")</f>
        <v>0.10684210526315785</v>
      </c>
      <c r="V530" s="19">
        <f ca="1">IF('Stock Price'!$I$11="OK",I530/INDEX(I$5:I$1258,'Stock Price'!$I$9)-1,"")</f>
        <v>0.23828435266084202</v>
      </c>
      <c r="W530" s="19">
        <f ca="1">IF('Stock Price'!$I$11="OK",J530/INDEX(J$5:J$1258,'Stock Price'!$I$9)-1,"")</f>
        <v>-0.44908178755229733</v>
      </c>
      <c r="X530" s="19">
        <f ca="1">IF('Stock Price'!$I$11="OK",K530/INDEX(K$5:K$1258,'Stock Price'!$I$9)-1,"")</f>
        <v>-1.2532734754956976E-2</v>
      </c>
      <c r="Y530" s="19">
        <f ca="1">IF('Stock Price'!$I$11="OK",L530/INDEX(L$5:L$1258,'Stock Price'!$I$9)-1,"")</f>
        <v>-0.26838678562816498</v>
      </c>
      <c r="Z530" s="19">
        <f ca="1">IF('Stock Price'!$I$11="OK",M530/INDEX(M$5:M$1258,'Stock Price'!$I$9)-1,"")</f>
        <v>-0.38423967554838434</v>
      </c>
    </row>
    <row r="531" spans="1:26" x14ac:dyDescent="0.2">
      <c r="A531" s="16">
        <f>'Stock Price'!A531</f>
        <v>45237</v>
      </c>
      <c r="B531" s="17">
        <f>'Stock Price'!E531</f>
        <v>104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-2.3015500234852104E-2</v>
      </c>
      <c r="P531" s="19">
        <f ca="1">IF('Stock Price'!$I$11="OK",C531/INDEX(C$5:C$1258,'Stock Price'!$I$9)-1,"")</f>
        <v>-0.32279486069005348</v>
      </c>
      <c r="Q531" s="19">
        <f ca="1">IF('Stock Price'!$I$11="OK",D531/INDEX(D$5:D$1258,'Stock Price'!$I$9)-1,"")</f>
        <v>-0.31435609689338995</v>
      </c>
      <c r="R531" s="19">
        <f ca="1">IF('Stock Price'!$I$11="OK",E531/INDEX(E$5:E$1258,'Stock Price'!$I$9)-1,"")</f>
        <v>-0.29518436429578898</v>
      </c>
      <c r="S531" s="19">
        <f ca="1">IF('Stock Price'!$I$11="OK",F531/INDEX(F$5:F$1258,'Stock Price'!$I$9)-1,"")</f>
        <v>-0.36404275996112734</v>
      </c>
      <c r="T531" s="19">
        <f ca="1">IF('Stock Price'!$I$11="OK",G531/INDEX(G$5:G$1258,'Stock Price'!$I$9)-1,"")</f>
        <v>-6.1994609164420345E-2</v>
      </c>
      <c r="U531" s="19">
        <f ca="1">IF('Stock Price'!$I$11="OK",H531/INDEX(H$5:H$1258,'Stock Price'!$I$9)-1,"")</f>
        <v>9.9078947368421044E-2</v>
      </c>
      <c r="V531" s="19">
        <f ca="1">IF('Stock Price'!$I$11="OK",I531/INDEX(I$5:I$1258,'Stock Price'!$I$9)-1,"")</f>
        <v>0.24106433677521855</v>
      </c>
      <c r="W531" s="19">
        <f ca="1">IF('Stock Price'!$I$11="OK",J531/INDEX(J$5:J$1258,'Stock Price'!$I$9)-1,"")</f>
        <v>-0.44469436113887961</v>
      </c>
      <c r="X531" s="19">
        <f ca="1">IF('Stock Price'!$I$11="OK",K531/INDEX(K$5:K$1258,'Stock Price'!$I$9)-1,"")</f>
        <v>-2.1885521885521952E-2</v>
      </c>
      <c r="Y531" s="19">
        <f ca="1">IF('Stock Price'!$I$11="OK",L531/INDEX(L$5:L$1258,'Stock Price'!$I$9)-1,"")</f>
        <v>-0.27224499638292732</v>
      </c>
      <c r="Z531" s="19">
        <f ca="1">IF('Stock Price'!$I$11="OK",M531/INDEX(M$5:M$1258,'Stock Price'!$I$9)-1,"")</f>
        <v>-0.38005320308752344</v>
      </c>
    </row>
    <row r="532" spans="1:26" x14ac:dyDescent="0.2">
      <c r="A532" s="16">
        <f>'Stock Price'!A532</f>
        <v>45238</v>
      </c>
      <c r="B532" s="17">
        <f>'Stock Price'!E532</f>
        <v>104.4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-1.9257867543447604E-2</v>
      </c>
      <c r="P532" s="19">
        <f ca="1">IF('Stock Price'!$I$11="OK",C532/INDEX(C$5:C$1258,'Stock Price'!$I$9)-1,"")</f>
        <v>-0.31875270679948031</v>
      </c>
      <c r="Q532" s="19">
        <f ca="1">IF('Stock Price'!$I$11="OK",D532/INDEX(D$5:D$1258,'Stock Price'!$I$9)-1,"")</f>
        <v>-0.3152867113726564</v>
      </c>
      <c r="R532" s="19">
        <f ca="1">IF('Stock Price'!$I$11="OK",E532/INDEX(E$5:E$1258,'Stock Price'!$I$9)-1,"")</f>
        <v>-0.29357243602659677</v>
      </c>
      <c r="S532" s="19">
        <f ca="1">IF('Stock Price'!$I$11="OK",F532/INDEX(F$5:F$1258,'Stock Price'!$I$9)-1,"")</f>
        <v>-0.35976676384839656</v>
      </c>
      <c r="T532" s="19">
        <f ca="1">IF('Stock Price'!$I$11="OK",G532/INDEX(G$5:G$1258,'Stock Price'!$I$9)-1,"")</f>
        <v>-5.079825834542806E-2</v>
      </c>
      <c r="U532" s="19">
        <f ca="1">IF('Stock Price'!$I$11="OK",H532/INDEX(H$5:H$1258,'Stock Price'!$I$9)-1,"")</f>
        <v>9.0263157894736823E-2</v>
      </c>
      <c r="V532" s="19">
        <f ca="1">IF('Stock Price'!$I$11="OK",I532/INDEX(I$5:I$1258,'Stock Price'!$I$9)-1,"")</f>
        <v>0.22398729150119134</v>
      </c>
      <c r="W532" s="19">
        <f ca="1">IF('Stock Price'!$I$11="OK",J532/INDEX(J$5:J$1258,'Stock Price'!$I$9)-1,"")</f>
        <v>-0.42692250731237735</v>
      </c>
      <c r="X532" s="19">
        <f ca="1">IF('Stock Price'!$I$11="OK",K532/INDEX(K$5:K$1258,'Stock Price'!$I$9)-1,"")</f>
        <v>-1.9453797231575032E-2</v>
      </c>
      <c r="Y532" s="19">
        <f ca="1">IF('Stock Price'!$I$11="OK",L532/INDEX(L$5:L$1258,'Stock Price'!$I$9)-1,"")</f>
        <v>-0.27489751627682668</v>
      </c>
      <c r="Z532" s="19">
        <f ca="1">IF('Stock Price'!$I$11="OK",M532/INDEX(M$5:M$1258,'Stock Price'!$I$9)-1,"")</f>
        <v>-0.38062012123326505</v>
      </c>
    </row>
    <row r="533" spans="1:26" x14ac:dyDescent="0.2">
      <c r="A533" s="16">
        <f>'Stock Price'!A533</f>
        <v>45239</v>
      </c>
      <c r="B533" s="17">
        <f>'Stock Price'!E533</f>
        <v>102.38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-3.8233912635039946E-2</v>
      </c>
      <c r="P533" s="19">
        <f ca="1">IF('Stock Price'!$I$11="OK",C533/INDEX(C$5:C$1258,'Stock Price'!$I$9)-1,"")</f>
        <v>-0.32705355853905005</v>
      </c>
      <c r="Q533" s="19">
        <f ca="1">IF('Stock Price'!$I$11="OK",D533/INDEX(D$5:D$1258,'Stock Price'!$I$9)-1,"")</f>
        <v>-0.3054878883262625</v>
      </c>
      <c r="R533" s="19">
        <f ca="1">IF('Stock Price'!$I$11="OK",E533/INDEX(E$5:E$1258,'Stock Price'!$I$9)-1,"")</f>
        <v>-0.30566189804553701</v>
      </c>
      <c r="S533" s="19">
        <f ca="1">IF('Stock Price'!$I$11="OK",F533/INDEX(F$5:F$1258,'Stock Price'!$I$9)-1,"")</f>
        <v>-0.36268221574344028</v>
      </c>
      <c r="T533" s="19">
        <f ca="1">IF('Stock Price'!$I$11="OK",G533/INDEX(G$5:G$1258,'Stock Price'!$I$9)-1,"")</f>
        <v>-5.7225793074849651E-2</v>
      </c>
      <c r="U533" s="19">
        <f ca="1">IF('Stock Price'!$I$11="OK",H533/INDEX(H$5:H$1258,'Stock Price'!$I$9)-1,"")</f>
        <v>0.10013157894736846</v>
      </c>
      <c r="V533" s="19">
        <f ca="1">IF('Stock Price'!$I$11="OK",I533/INDEX(I$5:I$1258,'Stock Price'!$I$9)-1,"")</f>
        <v>0.17871326449563152</v>
      </c>
      <c r="W533" s="19">
        <f ca="1">IF('Stock Price'!$I$11="OK",J533/INDEX(J$5:J$1258,'Stock Price'!$I$9)-1,"")</f>
        <v>-0.45266392683920165</v>
      </c>
      <c r="X533" s="19">
        <f ca="1">IF('Stock Price'!$I$11="OK",K533/INDEX(K$5:K$1258,'Stock Price'!$I$9)-1,"")</f>
        <v>-5.705200149644607E-2</v>
      </c>
      <c r="Y533" s="19">
        <f ca="1">IF('Stock Price'!$I$11="OK",L533/INDEX(L$5:L$1258,'Stock Price'!$I$9)-1,"")</f>
        <v>-0.28902821316614424</v>
      </c>
      <c r="Z533" s="19">
        <f ca="1">IF('Stock Price'!$I$11="OK",M533/INDEX(M$5:M$1258,'Stock Price'!$I$9)-1,"")</f>
        <v>-0.39802014739871794</v>
      </c>
    </row>
    <row r="534" spans="1:26" x14ac:dyDescent="0.2">
      <c r="A534" s="16">
        <f>'Stock Price'!A534</f>
        <v>45240</v>
      </c>
      <c r="B534" s="17">
        <f>'Stock Price'!E534</f>
        <v>101.39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-4.7534053546265831E-2</v>
      </c>
      <c r="P534" s="19">
        <f ca="1">IF('Stock Price'!$I$11="OK",C534/INDEX(C$5:C$1258,'Stock Price'!$I$9)-1,"")</f>
        <v>-0.32481593763533989</v>
      </c>
      <c r="Q534" s="19">
        <f ca="1">IF('Stock Price'!$I$11="OK",D534/INDEX(D$5:D$1258,'Stock Price'!$I$9)-1,"")</f>
        <v>-0.3196387026139319</v>
      </c>
      <c r="R534" s="19">
        <f ca="1">IF('Stock Price'!$I$11="OK",E534/INDEX(E$5:E$1258,'Stock Price'!$I$9)-1,"")</f>
        <v>-0.30666935321378208</v>
      </c>
      <c r="S534" s="19">
        <f ca="1">IF('Stock Price'!$I$11="OK",F534/INDEX(F$5:F$1258,'Stock Price'!$I$9)-1,"")</f>
        <v>-0.36268221574344028</v>
      </c>
      <c r="T534" s="19">
        <f ca="1">IF('Stock Price'!$I$11="OK",G534/INDEX(G$5:G$1258,'Stock Price'!$I$9)-1,"")</f>
        <v>-4.7895500725689266E-2</v>
      </c>
      <c r="U534" s="19">
        <f ca="1">IF('Stock Price'!$I$11="OK",H534/INDEX(H$5:H$1258,'Stock Price'!$I$9)-1,"")</f>
        <v>5.6710526315789433E-2</v>
      </c>
      <c r="V534" s="19">
        <f ca="1">IF('Stock Price'!$I$11="OK",I534/INDEX(I$5:I$1258,'Stock Price'!$I$9)-1,"")</f>
        <v>0.17077045274027003</v>
      </c>
      <c r="W534" s="19">
        <f ca="1">IF('Stock Price'!$I$11="OK",J534/INDEX(J$5:J$1258,'Stock Price'!$I$9)-1,"")</f>
        <v>-0.44674923173756886</v>
      </c>
      <c r="X534" s="19">
        <f ca="1">IF('Stock Price'!$I$11="OK",K534/INDEX(K$5:K$1258,'Stock Price'!$I$9)-1,"")</f>
        <v>-5.3310886644220012E-2</v>
      </c>
      <c r="Y534" s="19">
        <f ca="1">IF('Stock Price'!$I$11="OK",L534/INDEX(L$5:L$1258,'Stock Price'!$I$9)-1,"")</f>
        <v>-0.28984808295153119</v>
      </c>
      <c r="Z534" s="19">
        <f ca="1">IF('Stock Price'!$I$11="OK",M534/INDEX(M$5:M$1258,'Stock Price'!$I$9)-1,"")</f>
        <v>-0.39562164755134965</v>
      </c>
    </row>
    <row r="535" spans="1:26" x14ac:dyDescent="0.2">
      <c r="A535" s="16">
        <f>'Stock Price'!A535</f>
        <v>45243</v>
      </c>
      <c r="B535" s="17">
        <f>'Stock Price'!E535</f>
        <v>102.47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-3.7388445279473936E-2</v>
      </c>
      <c r="P535" s="19">
        <f ca="1">IF('Stock Price'!$I$11="OK",C535/INDEX(C$5:C$1258,'Stock Price'!$I$9)-1,"")</f>
        <v>-0.32084596506424135</v>
      </c>
      <c r="Q535" s="19">
        <f ca="1">IF('Stock Price'!$I$11="OK",D535/INDEX(D$5:D$1258,'Stock Price'!$I$9)-1,"")</f>
        <v>-0.3170931983029972</v>
      </c>
      <c r="R535" s="19">
        <f ca="1">IF('Stock Price'!$I$11="OK",E535/INDEX(E$5:E$1258,'Stock Price'!$I$9)-1,"")</f>
        <v>-0.302639532540802</v>
      </c>
      <c r="S535" s="19">
        <f ca="1">IF('Stock Price'!$I$11="OK",F535/INDEX(F$5:F$1258,'Stock Price'!$I$9)-1,"")</f>
        <v>-0.35626822157434412</v>
      </c>
      <c r="T535" s="19">
        <f ca="1">IF('Stock Price'!$I$11="OK",G535/INDEX(G$5:G$1258,'Stock Price'!$I$9)-1,"")</f>
        <v>-5.6189093924942868E-2</v>
      </c>
      <c r="U535" s="19">
        <f ca="1">IF('Stock Price'!$I$11="OK",H535/INDEX(H$5:H$1258,'Stock Price'!$I$9)-1,"")</f>
        <v>5.921052631578938E-2</v>
      </c>
      <c r="V535" s="19">
        <f ca="1">IF('Stock Price'!$I$11="OK",I535/INDEX(I$5:I$1258,'Stock Price'!$I$9)-1,"")</f>
        <v>0.15091342335186653</v>
      </c>
      <c r="W535" s="19">
        <f ca="1">IF('Stock Price'!$I$11="OK",J535/INDEX(J$5:J$1258,'Stock Price'!$I$9)-1,"")</f>
        <v>-0.43286497093561394</v>
      </c>
      <c r="X535" s="19">
        <f ca="1">IF('Stock Price'!$I$11="OK",K535/INDEX(K$5:K$1258,'Stock Price'!$I$9)-1,"")</f>
        <v>-6.1915450804339689E-2</v>
      </c>
      <c r="Y535" s="19">
        <f ca="1">IF('Stock Price'!$I$11="OK",L535/INDEX(L$5:L$1258,'Stock Price'!$I$9)-1,"")</f>
        <v>-0.288015432843019</v>
      </c>
      <c r="Z535" s="19">
        <f ca="1">IF('Stock Price'!$I$11="OK",M535/INDEX(M$5:M$1258,'Stock Price'!$I$9)-1,"")</f>
        <v>-0.39540360211067993</v>
      </c>
    </row>
    <row r="536" spans="1:26" x14ac:dyDescent="0.2">
      <c r="A536" s="16">
        <f>'Stock Price'!A536</f>
        <v>45244</v>
      </c>
      <c r="B536" s="17">
        <f>'Stock Price'!E536</f>
        <v>102.17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-4.0206669798027228E-2</v>
      </c>
      <c r="P536" s="19">
        <f ca="1">IF('Stock Price'!$I$11="OK",C536/INDEX(C$5:C$1258,'Stock Price'!$I$9)-1,"")</f>
        <v>-0.31492709686733067</v>
      </c>
      <c r="Q536" s="19">
        <f ca="1">IF('Stock Price'!$I$11="OK",D536/INDEX(D$5:D$1258,'Stock Price'!$I$9)-1,"")</f>
        <v>-0.31134528534282202</v>
      </c>
      <c r="R536" s="19">
        <f ca="1">IF('Stock Price'!$I$11="OK",E536/INDEX(E$5:E$1258,'Stock Price'!$I$9)-1,"")</f>
        <v>-0.30525891597823906</v>
      </c>
      <c r="S536" s="19">
        <f ca="1">IF('Stock Price'!$I$11="OK",F536/INDEX(F$5:F$1258,'Stock Price'!$I$9)-1,"")</f>
        <v>-0.34713313896987363</v>
      </c>
      <c r="T536" s="19">
        <f ca="1">IF('Stock Price'!$I$11="OK",G536/INDEX(G$5:G$1258,'Stock Price'!$I$9)-1,"")</f>
        <v>-5.1834957495334844E-2</v>
      </c>
      <c r="U536" s="19">
        <f ca="1">IF('Stock Price'!$I$11="OK",H536/INDEX(H$5:H$1258,'Stock Price'!$I$9)-1,"")</f>
        <v>6.9473684210526354E-2</v>
      </c>
      <c r="V536" s="19">
        <f ca="1">IF('Stock Price'!$I$11="OK",I536/INDEX(I$5:I$1258,'Stock Price'!$I$9)-1,"")</f>
        <v>0.16203335980937261</v>
      </c>
      <c r="W536" s="19">
        <f ca="1">IF('Stock Price'!$I$11="OK",J536/INDEX(J$5:J$1258,'Stock Price'!$I$9)-1,"")</f>
        <v>-0.43461438779666028</v>
      </c>
      <c r="X536" s="19">
        <f ca="1">IF('Stock Price'!$I$11="OK",K536/INDEX(K$5:K$1258,'Stock Price'!$I$9)-1,"")</f>
        <v>-5.4994388327721633E-2</v>
      </c>
      <c r="Y536" s="19">
        <f ca="1">IF('Stock Price'!$I$11="OK",L536/INDEX(L$5:L$1258,'Stock Price'!$I$9)-1,"")</f>
        <v>-0.28787074993971551</v>
      </c>
      <c r="Z536" s="19">
        <f ca="1">IF('Stock Price'!$I$11="OK",M536/INDEX(M$5:M$1258,'Stock Price'!$I$9)-1,"")</f>
        <v>-0.39793292922244994</v>
      </c>
    </row>
    <row r="537" spans="1:26" x14ac:dyDescent="0.2">
      <c r="A537" s="16">
        <f>'Stock Price'!A537</f>
        <v>45245</v>
      </c>
      <c r="B537" s="17">
        <f>'Stock Price'!E537</f>
        <v>101.35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-4.7909816815406403E-2</v>
      </c>
      <c r="P537" s="19">
        <f ca="1">IF('Stock Price'!$I$11="OK",C537/INDEX(C$5:C$1258,'Stock Price'!$I$9)-1,"")</f>
        <v>-0.32293922332900249</v>
      </c>
      <c r="Q537" s="19">
        <f ca="1">IF('Stock Price'!$I$11="OK",D537/INDEX(D$5:D$1258,'Stock Price'!$I$9)-1,"")</f>
        <v>-0.31484877514711929</v>
      </c>
      <c r="R537" s="19">
        <f ca="1">IF('Stock Price'!$I$11="OK",E537/INDEX(E$5:E$1258,'Stock Price'!$I$9)-1,"")</f>
        <v>-0.30546040701188804</v>
      </c>
      <c r="S537" s="19">
        <f ca="1">IF('Stock Price'!$I$11="OK",F537/INDEX(F$5:F$1258,'Stock Price'!$I$9)-1,"")</f>
        <v>-0.35218658892128285</v>
      </c>
      <c r="T537" s="19">
        <f ca="1">IF('Stock Price'!$I$11="OK",G537/INDEX(G$5:G$1258,'Stock Price'!$I$9)-1,"")</f>
        <v>-5.8262492224756324E-2</v>
      </c>
      <c r="U537" s="19">
        <f ca="1">IF('Stock Price'!$I$11="OK",H537/INDEX(H$5:H$1258,'Stock Price'!$I$9)-1,"")</f>
        <v>8.131578947368423E-2</v>
      </c>
      <c r="V537" s="19">
        <f ca="1">IF('Stock Price'!$I$11="OK",I537/INDEX(I$5:I$1258,'Stock Price'!$I$9)-1,"")</f>
        <v>0.1989674344718031</v>
      </c>
      <c r="W537" s="19">
        <f ca="1">IF('Stock Price'!$I$11="OK",J537/INDEX(J$5:J$1258,'Stock Price'!$I$9)-1,"")</f>
        <v>-0.45523714317449737</v>
      </c>
      <c r="X537" s="19">
        <f ca="1">IF('Stock Price'!$I$11="OK",K537/INDEX(K$5:K$1258,'Stock Price'!$I$9)-1,"")</f>
        <v>-3.5353535353535359E-2</v>
      </c>
      <c r="Y537" s="19">
        <f ca="1">IF('Stock Price'!$I$11="OK",L537/INDEX(L$5:L$1258,'Stock Price'!$I$9)-1,"")</f>
        <v>-0.28237279961417883</v>
      </c>
      <c r="Z537" s="19">
        <f ca="1">IF('Stock Price'!$I$11="OK",M537/INDEX(M$5:M$1258,'Stock Price'!$I$9)-1,"")</f>
        <v>-0.3999389472766125</v>
      </c>
    </row>
    <row r="538" spans="1:26" x14ac:dyDescent="0.2">
      <c r="A538" s="16">
        <f>'Stock Price'!A538</f>
        <v>45246</v>
      </c>
      <c r="B538" s="17">
        <f>'Stock Price'!E538</f>
        <v>101.99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-4.1897604509159359E-2</v>
      </c>
      <c r="P538" s="19">
        <f ca="1">IF('Stock Price'!$I$11="OK",C538/INDEX(C$5:C$1258,'Stock Price'!$I$9)-1,"")</f>
        <v>-0.32106250902266487</v>
      </c>
      <c r="Q538" s="19">
        <f ca="1">IF('Stock Price'!$I$11="OK",D538/INDEX(D$5:D$1258,'Stock Price'!$I$9)-1,"")</f>
        <v>-0.3149035171753114</v>
      </c>
      <c r="R538" s="19">
        <f ca="1">IF('Stock Price'!$I$11="OK",E538/INDEX(E$5:E$1258,'Stock Price'!$I$9)-1,"")</f>
        <v>-0.30606488011283506</v>
      </c>
      <c r="S538" s="19">
        <f ca="1">IF('Stock Price'!$I$11="OK",F538/INDEX(F$5:F$1258,'Stock Price'!$I$9)-1,"")</f>
        <v>-0.35276967930029168</v>
      </c>
      <c r="T538" s="19">
        <f ca="1">IF('Stock Price'!$I$11="OK",G538/INDEX(G$5:G$1258,'Stock Price'!$I$9)-1,"")</f>
        <v>-3.8979888036491772E-2</v>
      </c>
      <c r="U538" s="19">
        <f ca="1">IF('Stock Price'!$I$11="OK",H538/INDEX(H$5:H$1258,'Stock Price'!$I$9)-1,"")</f>
        <v>6.8421052631578938E-2</v>
      </c>
      <c r="V538" s="19">
        <f ca="1">IF('Stock Price'!$I$11="OK",I538/INDEX(I$5:I$1258,'Stock Price'!$I$9)-1,"")</f>
        <v>0.18228752978554419</v>
      </c>
      <c r="W538" s="19">
        <f ca="1">IF('Stock Price'!$I$11="OK",J538/INDEX(J$5:J$1258,'Stock Price'!$I$9)-1,"")</f>
        <v>-0.45504276352327</v>
      </c>
      <c r="X538" s="19">
        <f ca="1">IF('Stock Price'!$I$11="OK",K538/INDEX(K$5:K$1258,'Stock Price'!$I$9)-1,"")</f>
        <v>-4.9008604564160119E-2</v>
      </c>
      <c r="Y538" s="19">
        <f ca="1">IF('Stock Price'!$I$11="OK",L538/INDEX(L$5:L$1258,'Stock Price'!$I$9)-1,"")</f>
        <v>-0.27610320713768988</v>
      </c>
      <c r="Z538" s="19">
        <f ca="1">IF('Stock Price'!$I$11="OK",M538/INDEX(M$5:M$1258,'Stock Price'!$I$9)-1,"")</f>
        <v>-0.39697352928350271</v>
      </c>
    </row>
    <row r="539" spans="1:26" x14ac:dyDescent="0.2">
      <c r="A539" s="16">
        <f>'Stock Price'!A539</f>
        <v>45247</v>
      </c>
      <c r="B539" s="17">
        <f>'Stock Price'!E539</f>
        <v>101.75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-4.4152184124001903E-2</v>
      </c>
      <c r="P539" s="19">
        <f ca="1">IF('Stock Price'!$I$11="OK",C539/INDEX(C$5:C$1258,'Stock Price'!$I$9)-1,"")</f>
        <v>-0.31492709686733067</v>
      </c>
      <c r="Q539" s="19">
        <f ca="1">IF('Stock Price'!$I$11="OK",D539/INDEX(D$5:D$1258,'Stock Price'!$I$9)-1,"")</f>
        <v>-0.2993020391405502</v>
      </c>
      <c r="R539" s="19">
        <f ca="1">IF('Stock Price'!$I$11="OK",E539/INDEX(E$5:E$1258,'Stock Price'!$I$9)-1,"")</f>
        <v>-0.29075156155551074</v>
      </c>
      <c r="S539" s="19">
        <f ca="1">IF('Stock Price'!$I$11="OK",F539/INDEX(F$5:F$1258,'Stock Price'!$I$9)-1,"")</f>
        <v>-0.3510204081632653</v>
      </c>
      <c r="T539" s="19">
        <f ca="1">IF('Stock Price'!$I$11="OK",G539/INDEX(G$5:G$1258,'Stock Price'!$I$9)-1,"")</f>
        <v>-2.5088119427741917E-2</v>
      </c>
      <c r="U539" s="19">
        <f ca="1">IF('Stock Price'!$I$11="OK",H539/INDEX(H$5:H$1258,'Stock Price'!$I$9)-1,"")</f>
        <v>9.0789473684210531E-2</v>
      </c>
      <c r="V539" s="19">
        <f ca="1">IF('Stock Price'!$I$11="OK",I539/INDEX(I$5:I$1258,'Stock Price'!$I$9)-1,"")</f>
        <v>0.18824463860206531</v>
      </c>
      <c r="W539" s="19">
        <f ca="1">IF('Stock Price'!$I$11="OK",J539/INDEX(J$5:J$1258,'Stock Price'!$I$9)-1,"")</f>
        <v>-0.45230293605835081</v>
      </c>
      <c r="X539" s="19">
        <f ca="1">IF('Stock Price'!$I$11="OK",K539/INDEX(K$5:K$1258,'Stock Price'!$I$9)-1,"")</f>
        <v>-4.9008604564160119E-2</v>
      </c>
      <c r="Y539" s="19">
        <f ca="1">IF('Stock Price'!$I$11="OK",L539/INDEX(L$5:L$1258,'Stock Price'!$I$9)-1,"")</f>
        <v>-0.27759826380516039</v>
      </c>
      <c r="Z539" s="19">
        <f ca="1">IF('Stock Price'!$I$11="OK",M539/INDEX(M$5:M$1258,'Stock Price'!$I$9)-1,"")</f>
        <v>-0.39688631110723471</v>
      </c>
    </row>
    <row r="540" spans="1:26" x14ac:dyDescent="0.2">
      <c r="A540" s="16">
        <f>'Stock Price'!A540</f>
        <v>45250</v>
      </c>
      <c r="B540" s="17">
        <f>'Stock Price'!E540</f>
        <v>102.68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-3.5415688116486543E-2</v>
      </c>
      <c r="P540" s="19">
        <f ca="1">IF('Stock Price'!$I$11="OK",C540/INDEX(C$5:C$1258,'Stock Price'!$I$9)-1,"")</f>
        <v>-0.31247293200519699</v>
      </c>
      <c r="Q540" s="19">
        <f ca="1">IF('Stock Price'!$I$11="OK",D540/INDEX(D$5:D$1258,'Stock Price'!$I$9)-1,"")</f>
        <v>-0.30948405638428911</v>
      </c>
      <c r="R540" s="19">
        <f ca="1">IF('Stock Price'!$I$11="OK",E540/INDEX(E$5:E$1258,'Stock Price'!$I$9)-1,"")</f>
        <v>-0.29256498085835181</v>
      </c>
      <c r="S540" s="19">
        <f ca="1">IF('Stock Price'!$I$11="OK",F540/INDEX(F$5:F$1258,'Stock Price'!$I$9)-1,"")</f>
        <v>-0.3508260447035958</v>
      </c>
      <c r="T540" s="19">
        <f ca="1">IF('Stock Price'!$I$11="OK",G540/INDEX(G$5:G$1258,'Stock Price'!$I$9)-1,"")</f>
        <v>-3.5869790586771644E-2</v>
      </c>
      <c r="U540" s="19">
        <f ca="1">IF('Stock Price'!$I$11="OK",H540/INDEX(H$5:H$1258,'Stock Price'!$I$9)-1,"")</f>
        <v>-0.10513157894736835</v>
      </c>
      <c r="V540" s="19">
        <f ca="1">IF('Stock Price'!$I$11="OK",I540/INDEX(I$5:I$1258,'Stock Price'!$I$9)-1,"")</f>
        <v>0.19062748212867353</v>
      </c>
      <c r="W540" s="19">
        <f ca="1">IF('Stock Price'!$I$11="OK",J540/INDEX(J$5:J$1258,'Stock Price'!$I$9)-1,"")</f>
        <v>-0.44685104965011657</v>
      </c>
      <c r="X540" s="19">
        <f ca="1">IF('Stock Price'!$I$11="OK",K540/INDEX(K$5:K$1258,'Stock Price'!$I$9)-1,"")</f>
        <v>-8.529741863075202E-2</v>
      </c>
      <c r="Y540" s="19">
        <f ca="1">IF('Stock Price'!$I$11="OK",L540/INDEX(L$5:L$1258,'Stock Price'!$I$9)-1,"")</f>
        <v>-0.27701953219194597</v>
      </c>
      <c r="Z540" s="19">
        <f ca="1">IF('Stock Price'!$I$11="OK",M540/INDEX(M$5:M$1258,'Stock Price'!$I$9)-1,"")</f>
        <v>-0.39684270201910077</v>
      </c>
    </row>
    <row r="541" spans="1:26" x14ac:dyDescent="0.2">
      <c r="A541" s="16">
        <f>'Stock Price'!A541</f>
        <v>45251</v>
      </c>
      <c r="B541" s="17">
        <f>'Stock Price'!E541</f>
        <v>102.21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-3.9830906528886878E-2</v>
      </c>
      <c r="P541" s="19">
        <f ca="1">IF('Stock Price'!$I$11="OK",C541/INDEX(C$5:C$1258,'Stock Price'!$I$9)-1,"")</f>
        <v>-0.30431644290457627</v>
      </c>
      <c r="Q541" s="19">
        <f ca="1">IF('Stock Price'!$I$11="OK",D541/INDEX(D$5:D$1258,'Stock Price'!$I$9)-1,"")</f>
        <v>-0.31221020938825794</v>
      </c>
      <c r="R541" s="19">
        <f ca="1">IF('Stock Price'!$I$11="OK",E541/INDEX(E$5:E$1258,'Stock Price'!$I$9)-1,"")</f>
        <v>-0.28712472294982871</v>
      </c>
      <c r="S541" s="19">
        <f ca="1">IF('Stock Price'!$I$11="OK",F541/INDEX(F$5:F$1258,'Stock Price'!$I$9)-1,"")</f>
        <v>-0.34752186588921286</v>
      </c>
      <c r="T541" s="19">
        <f ca="1">IF('Stock Price'!$I$11="OK",G541/INDEX(G$5:G$1258,'Stock Price'!$I$9)-1,"")</f>
        <v>-3.4833091436864971E-2</v>
      </c>
      <c r="U541" s="19">
        <f ca="1">IF('Stock Price'!$I$11="OK",H541/INDEX(H$5:H$1258,'Stock Price'!$I$9)-1,"")</f>
        <v>-0.10565789473684217</v>
      </c>
      <c r="V541" s="19">
        <f ca="1">IF('Stock Price'!$I$11="OK",I541/INDEX(I$5:I$1258,'Stock Price'!$I$9)-1,"")</f>
        <v>0.20333598093725191</v>
      </c>
      <c r="W541" s="19">
        <f ca="1">IF('Stock Price'!$I$11="OK",J541/INDEX(J$5:J$1258,'Stock Price'!$I$9)-1,"")</f>
        <v>-0.45147913658410155</v>
      </c>
      <c r="X541" s="19">
        <f ca="1">IF('Stock Price'!$I$11="OK",K541/INDEX(K$5:K$1258,'Stock Price'!$I$9)-1,"")</f>
        <v>-9.3153759820426507E-2</v>
      </c>
      <c r="Y541" s="19">
        <f ca="1">IF('Stock Price'!$I$11="OK",L541/INDEX(L$5:L$1258,'Stock Price'!$I$9)-1,"")</f>
        <v>-0.27118398842536773</v>
      </c>
      <c r="Z541" s="19">
        <f ca="1">IF('Stock Price'!$I$11="OK",M541/INDEX(M$5:M$1258,'Stock Price'!$I$9)-1,"")</f>
        <v>-0.39501112031747421</v>
      </c>
    </row>
    <row r="542" spans="1:26" x14ac:dyDescent="0.2">
      <c r="A542" s="16">
        <f>'Stock Price'!A542</f>
        <v>45252</v>
      </c>
      <c r="B542" s="17">
        <f>'Stock Price'!E542</f>
        <v>101.68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-4.4809769844997627E-2</v>
      </c>
      <c r="P542" s="19">
        <f ca="1">IF('Stock Price'!$I$11="OK",C542/INDEX(C$5:C$1258,'Stock Price'!$I$9)-1,"")</f>
        <v>-0.29919156922188528</v>
      </c>
      <c r="Q542" s="19">
        <f ca="1">IF('Stock Price'!$I$11="OK",D542/INDEX(D$5:D$1258,'Stock Price'!$I$9)-1,"")</f>
        <v>-0.3072943752566033</v>
      </c>
      <c r="R542" s="19">
        <f ca="1">IF('Stock Price'!$I$11="OK",E542/INDEX(E$5:E$1258,'Stock Price'!$I$9)-1,"")</f>
        <v>-0.29075156155551074</v>
      </c>
      <c r="S542" s="19">
        <f ca="1">IF('Stock Price'!$I$11="OK",F542/INDEX(F$5:F$1258,'Stock Price'!$I$9)-1,"")</f>
        <v>-0.35179786200194363</v>
      </c>
      <c r="T542" s="19">
        <f ca="1">IF('Stock Price'!$I$11="OK",G542/INDEX(G$5:G$1258,'Stock Price'!$I$9)-1,"")</f>
        <v>-3.6699149906696982E-2</v>
      </c>
      <c r="U542" s="19">
        <f ca="1">IF('Stock Price'!$I$11="OK",H542/INDEX(H$5:H$1258,'Stock Price'!$I$9)-1,"")</f>
        <v>-0.13644736842105265</v>
      </c>
      <c r="V542" s="19">
        <f ca="1">IF('Stock Price'!$I$11="OK",I542/INDEX(I$5:I$1258,'Stock Price'!$I$9)-1,"")</f>
        <v>0.20413026211278784</v>
      </c>
      <c r="W542" s="19">
        <f ca="1">IF('Stock Price'!$I$11="OK",J542/INDEX(J$5:J$1258,'Stock Price'!$I$9)-1,"")</f>
        <v>-0.44917434929097699</v>
      </c>
      <c r="X542" s="19">
        <f ca="1">IF('Stock Price'!$I$11="OK",K542/INDEX(K$5:K$1258,'Stock Price'!$I$9)-1,"")</f>
        <v>-7.5570520014964448E-2</v>
      </c>
      <c r="Y542" s="19">
        <f ca="1">IF('Stock Price'!$I$11="OK",L542/INDEX(L$5:L$1258,'Stock Price'!$I$9)-1,"")</f>
        <v>-0.27263081745840367</v>
      </c>
      <c r="Z542" s="19">
        <f ca="1">IF('Stock Price'!$I$11="OK",M542/INDEX(M$5:M$1258,'Stock Price'!$I$9)-1,"")</f>
        <v>-0.39614495660895732</v>
      </c>
    </row>
    <row r="543" spans="1:26" x14ac:dyDescent="0.2">
      <c r="A543" s="16">
        <f>'Stock Price'!A543</f>
        <v>45254</v>
      </c>
      <c r="B543" s="17">
        <f>'Stock Price'!E543</f>
        <v>101.87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-4.302489431658052E-2</v>
      </c>
      <c r="P543" s="19">
        <f ca="1">IF('Stock Price'!$I$11="OK",C543/INDEX(C$5:C$1258,'Stock Price'!$I$9)-1,"")</f>
        <v>-0.29161253067706072</v>
      </c>
      <c r="Q543" s="19">
        <f ca="1">IF('Stock Price'!$I$11="OK",D543/INDEX(D$5:D$1258,'Stock Price'!$I$9)-1,"")</f>
        <v>-0.29629122758998216</v>
      </c>
      <c r="R543" s="19">
        <f ca="1">IF('Stock Price'!$I$11="OK",E543/INDEX(E$5:E$1258,'Stock Price'!$I$9)-1,"")</f>
        <v>-0.27846060850292165</v>
      </c>
      <c r="S543" s="19">
        <f ca="1">IF('Stock Price'!$I$11="OK",F543/INDEX(F$5:F$1258,'Stock Price'!$I$9)-1,"")</f>
        <v>-0.34266277939747336</v>
      </c>
      <c r="T543" s="19">
        <f ca="1">IF('Stock Price'!$I$11="OK",G543/INDEX(G$5:G$1258,'Stock Price'!$I$9)-1,"")</f>
        <v>-2.1770682148040565E-2</v>
      </c>
      <c r="U543" s="19">
        <f ca="1">IF('Stock Price'!$I$11="OK",H543/INDEX(H$5:H$1258,'Stock Price'!$I$9)-1,"")</f>
        <v>-0.14092105263157884</v>
      </c>
      <c r="V543" s="19">
        <f ca="1">IF('Stock Price'!$I$11="OK",I543/INDEX(I$5:I$1258,'Stock Price'!$I$9)-1,"")</f>
        <v>0.21127879269261318</v>
      </c>
      <c r="W543" s="19">
        <f ca="1">IF('Stock Price'!$I$11="OK",J543/INDEX(J$5:J$1258,'Stock Price'!$I$9)-1,"")</f>
        <v>-0.44361138879632711</v>
      </c>
      <c r="X543" s="19">
        <f ca="1">IF('Stock Price'!$I$11="OK",K543/INDEX(K$5:K$1258,'Stock Price'!$I$9)-1,"")</f>
        <v>-6.921062476618034E-2</v>
      </c>
      <c r="Y543" s="19">
        <f ca="1">IF('Stock Price'!$I$11="OK",L543/INDEX(L$5:L$1258,'Stock Price'!$I$9)-1,"")</f>
        <v>-0.26452857487340242</v>
      </c>
      <c r="Z543" s="19">
        <f ca="1">IF('Stock Price'!$I$11="OK",M543/INDEX(M$5:M$1258,'Stock Price'!$I$9)-1,"")</f>
        <v>-0.39527277484627799</v>
      </c>
    </row>
    <row r="544" spans="1:26" x14ac:dyDescent="0.2">
      <c r="A544" s="16">
        <f>'Stock Price'!A544</f>
        <v>45257</v>
      </c>
      <c r="B544" s="17">
        <f>'Stock Price'!E544</f>
        <v>101.43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-4.715829027712537E-2</v>
      </c>
      <c r="P544" s="19">
        <f ca="1">IF('Stock Price'!$I$11="OK",C544/INDEX(C$5:C$1258,'Stock Price'!$I$9)-1,"")</f>
        <v>-0.29449978345604155</v>
      </c>
      <c r="Q544" s="19">
        <f ca="1">IF('Stock Price'!$I$11="OK",D544/INDEX(D$5:D$1258,'Stock Price'!$I$9)-1,"")</f>
        <v>-0.29514164499794726</v>
      </c>
      <c r="R544" s="19">
        <f ca="1">IF('Stock Price'!$I$11="OK",E544/INDEX(E$5:E$1258,'Stock Price'!$I$9)-1,"")</f>
        <v>-0.28208744710860367</v>
      </c>
      <c r="S544" s="19">
        <f ca="1">IF('Stock Price'!$I$11="OK",F544/INDEX(F$5:F$1258,'Stock Price'!$I$9)-1,"")</f>
        <v>-0.35140913508260452</v>
      </c>
      <c r="T544" s="19">
        <f ca="1">IF('Stock Price'!$I$11="OK",G544/INDEX(G$5:G$1258,'Stock Price'!$I$9)-1,"")</f>
        <v>-1.2025710138917622E-2</v>
      </c>
      <c r="U544" s="19">
        <f ca="1">IF('Stock Price'!$I$11="OK",H544/INDEX(H$5:H$1258,'Stock Price'!$I$9)-1,"")</f>
        <v>-0.1668421052631579</v>
      </c>
      <c r="V544" s="19">
        <f ca="1">IF('Stock Price'!$I$11="OK",I544/INDEX(I$5:I$1258,'Stock Price'!$I$9)-1,"")</f>
        <v>0.19698173153296272</v>
      </c>
      <c r="W544" s="19">
        <f ca="1">IF('Stock Price'!$I$11="OK",J544/INDEX(J$5:J$1258,'Stock Price'!$I$9)-1,"")</f>
        <v>-0.45246954718797439</v>
      </c>
      <c r="X544" s="19">
        <f ca="1">IF('Stock Price'!$I$11="OK",K544/INDEX(K$5:K$1258,'Stock Price'!$I$9)-1,"")</f>
        <v>-8.3052749719416341E-2</v>
      </c>
      <c r="Y544" s="19">
        <f ca="1">IF('Stock Price'!$I$11="OK",L544/INDEX(L$5:L$1258,'Stock Price'!$I$9)-1,"")</f>
        <v>-0.27041234627441524</v>
      </c>
      <c r="Z544" s="19">
        <f ca="1">IF('Stock Price'!$I$11="OK",M544/INDEX(M$5:M$1258,'Stock Price'!$I$9)-1,"")</f>
        <v>-0.39344119314465131</v>
      </c>
    </row>
    <row r="545" spans="1:26" x14ac:dyDescent="0.2">
      <c r="A545" s="16">
        <f>'Stock Price'!A545</f>
        <v>45258</v>
      </c>
      <c r="B545" s="17">
        <f>'Stock Price'!E545</f>
        <v>100.18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-5.8900892437764196E-2</v>
      </c>
      <c r="P545" s="19">
        <f ca="1">IF('Stock Price'!$I$11="OK",C545/INDEX(C$5:C$1258,'Stock Price'!$I$9)-1,"")</f>
        <v>-0.29984120109715606</v>
      </c>
      <c r="Q545" s="19">
        <f ca="1">IF('Stock Price'!$I$11="OK",D545/INDEX(D$5:D$1258,'Stock Price'!$I$9)-1,"")</f>
        <v>-0.31594416313124407</v>
      </c>
      <c r="R545" s="19">
        <f ca="1">IF('Stock Price'!$I$11="OK",E545/INDEX(E$5:E$1258,'Stock Price'!$I$9)-1,"")</f>
        <v>-0.2818859560749547</v>
      </c>
      <c r="S545" s="19">
        <f ca="1">IF('Stock Price'!$I$11="OK",F545/INDEX(F$5:F$1258,'Stock Price'!$I$9)-1,"")</f>
        <v>-0.34771622934888236</v>
      </c>
      <c r="T545" s="19">
        <f ca="1">IF('Stock Price'!$I$11="OK",G545/INDEX(G$5:G$1258,'Stock Price'!$I$9)-1,"")</f>
        <v>-2.5917478747667477E-2</v>
      </c>
      <c r="U545" s="19">
        <f ca="1">IF('Stock Price'!$I$11="OK",H545/INDEX(H$5:H$1258,'Stock Price'!$I$9)-1,"")</f>
        <v>-0.195921052631579</v>
      </c>
      <c r="V545" s="19">
        <f ca="1">IF('Stock Price'!$I$11="OK",I545/INDEX(I$5:I$1258,'Stock Price'!$I$9)-1,"")</f>
        <v>0.17911040508339959</v>
      </c>
      <c r="W545" s="19">
        <f ca="1">IF('Stock Price'!$I$11="OK",J545/INDEX(J$5:J$1258,'Stock Price'!$I$9)-1,"")</f>
        <v>-0.45240475397089852</v>
      </c>
      <c r="X545" s="19">
        <f ca="1">IF('Stock Price'!$I$11="OK",K545/INDEX(K$5:K$1258,'Stock Price'!$I$9)-1,"")</f>
        <v>-8.4923307145529314E-2</v>
      </c>
      <c r="Y545" s="19">
        <f ca="1">IF('Stock Price'!$I$11="OK",L545/INDEX(L$5:L$1258,'Stock Price'!$I$9)-1,"")</f>
        <v>-0.26872437906920665</v>
      </c>
      <c r="Z545" s="19">
        <f ca="1">IF('Stock Price'!$I$11="OK",M545/INDEX(M$5:M$1258,'Stock Price'!$I$9)-1,"")</f>
        <v>-0.39784571104618194</v>
      </c>
    </row>
    <row r="546" spans="1:26" x14ac:dyDescent="0.2">
      <c r="A546" s="16">
        <f>'Stock Price'!A546</f>
        <v>45259</v>
      </c>
      <c r="B546" s="17">
        <f>'Stock Price'!E546</f>
        <v>101.13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-4.9976514795678773E-2</v>
      </c>
      <c r="P546" s="19">
        <f ca="1">IF('Stock Price'!$I$11="OK",C546/INDEX(C$5:C$1258,'Stock Price'!$I$9)-1,"")</f>
        <v>-0.29976901977768144</v>
      </c>
      <c r="Q546" s="19">
        <f ca="1">IF('Stock Price'!$I$11="OK",D546/INDEX(D$5:D$1258,'Stock Price'!$I$9)-1,"")</f>
        <v>-0.30576214588750517</v>
      </c>
      <c r="R546" s="19">
        <f ca="1">IF('Stock Price'!$I$11="OK",E546/INDEX(E$5:E$1258,'Stock Price'!$I$9)-1,"")</f>
        <v>-0.28490832157968971</v>
      </c>
      <c r="S546" s="19">
        <f ca="1">IF('Stock Price'!$I$11="OK",F546/INDEX(F$5:F$1258,'Stock Price'!$I$9)-1,"")</f>
        <v>-0.34285714285714286</v>
      </c>
      <c r="T546" s="19">
        <f ca="1">IF('Stock Price'!$I$11="OK",G546/INDEX(G$5:G$1258,'Stock Price'!$I$9)-1,"")</f>
        <v>-3.3796392286958188E-2</v>
      </c>
      <c r="U546" s="19">
        <f ca="1">IF('Stock Price'!$I$11="OK",H546/INDEX(H$5:H$1258,'Stock Price'!$I$9)-1,"")</f>
        <v>-0.19289473684210523</v>
      </c>
      <c r="V546" s="19">
        <f ca="1">IF('Stock Price'!$I$11="OK",I546/INDEX(I$5:I$1258,'Stock Price'!$I$9)-1,"")</f>
        <v>0.19459888800635428</v>
      </c>
      <c r="W546" s="19">
        <f ca="1">IF('Stock Price'!$I$11="OK",J546/INDEX(J$5:J$1258,'Stock Price'!$I$9)-1,"")</f>
        <v>-0.45216409345033126</v>
      </c>
      <c r="X546" s="19">
        <f ca="1">IF('Stock Price'!$I$11="OK",K546/INDEX(K$5:K$1258,'Stock Price'!$I$9)-1,"")</f>
        <v>-8.8664421997755372E-2</v>
      </c>
      <c r="Y546" s="19">
        <f ca="1">IF('Stock Price'!$I$11="OK",L546/INDEX(L$5:L$1258,'Stock Price'!$I$9)-1,"")</f>
        <v>-0.26640945261634907</v>
      </c>
      <c r="Z546" s="19">
        <f ca="1">IF('Stock Price'!$I$11="OK",M546/INDEX(M$5:M$1258,'Stock Price'!$I$9)-1,"")</f>
        <v>-0.39601412934455538</v>
      </c>
    </row>
    <row r="547" spans="1:26" x14ac:dyDescent="0.2">
      <c r="A547" s="16">
        <f>'Stock Price'!A547</f>
        <v>45260</v>
      </c>
      <c r="B547" s="17">
        <f>'Stock Price'!E547</f>
        <v>102.48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-3.7294504462188849E-2</v>
      </c>
      <c r="P547" s="19">
        <f ca="1">IF('Stock Price'!$I$11="OK",C547/INDEX(C$5:C$1258,'Stock Price'!$I$9)-1,"")</f>
        <v>-0.29334488234444922</v>
      </c>
      <c r="Q547" s="19">
        <f ca="1">IF('Stock Price'!$I$11="OK",D547/INDEX(D$5:D$1258,'Stock Price'!$I$9)-1,"")</f>
        <v>-0.29656493773094295</v>
      </c>
      <c r="R547" s="19">
        <f ca="1">IF('Stock Price'!$I$11="OK",E547/INDEX(E$5:E$1258,'Stock Price'!$I$9)-1,"")</f>
        <v>-0.27483376989723962</v>
      </c>
      <c r="S547" s="19">
        <f ca="1">IF('Stock Price'!$I$11="OK",F547/INDEX(F$5:F$1258,'Stock Price'!$I$9)-1,"")</f>
        <v>-0.34518950437317797</v>
      </c>
      <c r="T547" s="19">
        <f ca="1">IF('Stock Price'!$I$11="OK",G547/INDEX(G$5:G$1258,'Stock Price'!$I$9)-1,"")</f>
        <v>-3.0686294837238171E-2</v>
      </c>
      <c r="U547" s="19">
        <f ca="1">IF('Stock Price'!$I$11="OK",H547/INDEX(H$5:H$1258,'Stock Price'!$I$9)-1,"")</f>
        <v>-0.17473684210526319</v>
      </c>
      <c r="V547" s="19">
        <f ca="1">IF('Stock Price'!$I$11="OK",I547/INDEX(I$5:I$1258,'Stock Price'!$I$9)-1,"")</f>
        <v>0.21008737092930896</v>
      </c>
      <c r="W547" s="19">
        <f ca="1">IF('Stock Price'!$I$11="OK",J547/INDEX(J$5:J$1258,'Stock Price'!$I$9)-1,"")</f>
        <v>-0.45292309970750488</v>
      </c>
      <c r="X547" s="19">
        <f ca="1">IF('Stock Price'!$I$11="OK",K547/INDEX(K$5:K$1258,'Stock Price'!$I$9)-1,"")</f>
        <v>-7.6318742985409638E-2</v>
      </c>
      <c r="Y547" s="19">
        <f ca="1">IF('Stock Price'!$I$11="OK",L547/INDEX(L$5:L$1258,'Stock Price'!$I$9)-1,"")</f>
        <v>-0.25411140583554381</v>
      </c>
      <c r="Z547" s="19">
        <f ca="1">IF('Stock Price'!$I$11="OK",M547/INDEX(M$5:M$1258,'Stock Price'!$I$9)-1,"")</f>
        <v>-0.37905019406044227</v>
      </c>
    </row>
    <row r="548" spans="1:26" x14ac:dyDescent="0.2">
      <c r="A548" s="16">
        <f>'Stock Price'!A548</f>
        <v>45261</v>
      </c>
      <c r="B548" s="17">
        <f>'Stock Price'!E548</f>
        <v>103.46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-2.8088304368248052E-2</v>
      </c>
      <c r="P548" s="19">
        <f ca="1">IF('Stock Price'!$I$11="OK",C548/INDEX(C$5:C$1258,'Stock Price'!$I$9)-1,"")</f>
        <v>-0.29168471199653534</v>
      </c>
      <c r="Q548" s="19">
        <f ca="1">IF('Stock Price'!$I$11="OK",D548/INDEX(D$5:D$1258,'Stock Price'!$I$9)-1,"")</f>
        <v>-0.31572464759819352</v>
      </c>
      <c r="R548" s="19">
        <f ca="1">IF('Stock Price'!$I$11="OK",E548/INDEX(E$5:E$1258,'Stock Price'!$I$9)-1,"")</f>
        <v>-0.26314728994559744</v>
      </c>
      <c r="S548" s="19">
        <f ca="1">IF('Stock Price'!$I$11="OK",F548/INDEX(F$5:F$1258,'Stock Price'!$I$9)-1,"")</f>
        <v>-0.33216715257531593</v>
      </c>
      <c r="T548" s="19">
        <f ca="1">IF('Stock Price'!$I$11="OK",G548/INDEX(G$5:G$1258,'Stock Price'!$I$9)-1,"")</f>
        <v>-3.1308314327182174E-2</v>
      </c>
      <c r="U548" s="19">
        <f ca="1">IF('Stock Price'!$I$11="OK",H548/INDEX(H$5:H$1258,'Stock Price'!$I$9)-1,"")</f>
        <v>-0.18131578947368421</v>
      </c>
      <c r="V548" s="19">
        <f ca="1">IF('Stock Price'!$I$11="OK",I548/INDEX(I$5:I$1258,'Stock Price'!$I$9)-1,"")</f>
        <v>0.14813343923749001</v>
      </c>
      <c r="W548" s="19">
        <f ca="1">IF('Stock Price'!$I$11="OK",J548/INDEX(J$5:J$1258,'Stock Price'!$I$9)-1,"")</f>
        <v>-0.45940242141508381</v>
      </c>
      <c r="X548" s="19">
        <f ca="1">IF('Stock Price'!$I$11="OK",K548/INDEX(K$5:K$1258,'Stock Price'!$I$9)-1,"")</f>
        <v>-6.285072951739612E-2</v>
      </c>
      <c r="Y548" s="19">
        <f ca="1">IF('Stock Price'!$I$11="OK",L548/INDEX(L$5:L$1258,'Stock Price'!$I$9)-1,"")</f>
        <v>-0.23617072582589826</v>
      </c>
      <c r="Z548" s="19">
        <f ca="1">IF('Stock Price'!$I$11="OK",M548/INDEX(M$5:M$1258,'Stock Price'!$I$9)-1,"")</f>
        <v>-0.37460206707077759</v>
      </c>
    </row>
    <row r="549" spans="1:26" x14ac:dyDescent="0.2">
      <c r="A549" s="16">
        <f>'Stock Price'!A549</f>
        <v>45264</v>
      </c>
      <c r="B549" s="17">
        <f>'Stock Price'!E549</f>
        <v>105.06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-1.3057773602630385E-2</v>
      </c>
      <c r="P549" s="19">
        <f ca="1">IF('Stock Price'!$I$11="OK",C549/INDEX(C$5:C$1258,'Stock Price'!$I$9)-1,"")</f>
        <v>-0.28547711852172653</v>
      </c>
      <c r="Q549" s="19">
        <f ca="1">IF('Stock Price'!$I$11="OK",D549/INDEX(D$5:D$1258,'Stock Price'!$I$9)-1,"")</f>
        <v>-0.29645545367455861</v>
      </c>
      <c r="R549" s="19">
        <f ca="1">IF('Stock Price'!$I$11="OK",E549/INDEX(E$5:E$1258,'Stock Price'!$I$9)-1,"")</f>
        <v>-0.26193834374370339</v>
      </c>
      <c r="S549" s="19">
        <f ca="1">IF('Stock Price'!$I$11="OK",F549/INDEX(F$5:F$1258,'Stock Price'!$I$9)-1,"")</f>
        <v>-0.31156462585034017</v>
      </c>
      <c r="T549" s="19">
        <f ca="1">IF('Stock Price'!$I$11="OK",G549/INDEX(G$5:G$1258,'Stock Price'!$I$9)-1,"")</f>
        <v>-2.5088119427741917E-2</v>
      </c>
      <c r="U549" s="19">
        <f ca="1">IF('Stock Price'!$I$11="OK",H549/INDEX(H$5:H$1258,'Stock Price'!$I$9)-1,"")</f>
        <v>-0.18881578947368427</v>
      </c>
      <c r="V549" s="19">
        <f ca="1">IF('Stock Price'!$I$11="OK",I549/INDEX(I$5:I$1258,'Stock Price'!$I$9)-1,"")</f>
        <v>0.16282764098490876</v>
      </c>
      <c r="W549" s="19">
        <f ca="1">IF('Stock Price'!$I$11="OK",J549/INDEX(J$5:J$1258,'Stock Price'!$I$9)-1,"")</f>
        <v>-0.45788440890073678</v>
      </c>
      <c r="X549" s="19">
        <f ca="1">IF('Stock Price'!$I$11="OK",K549/INDEX(K$5:K$1258,'Stock Price'!$I$9)-1,"")</f>
        <v>-6.5095398428731799E-2</v>
      </c>
      <c r="Y549" s="19">
        <f ca="1">IF('Stock Price'!$I$11="OK",L549/INDEX(L$5:L$1258,'Stock Price'!$I$9)-1,"")</f>
        <v>-0.23375934410417165</v>
      </c>
      <c r="Z549" s="19">
        <f ca="1">IF('Stock Price'!$I$11="OK",M549/INDEX(M$5:M$1258,'Stock Price'!$I$9)-1,"")</f>
        <v>-0.37137499454886391</v>
      </c>
    </row>
    <row r="550" spans="1:26" x14ac:dyDescent="0.2">
      <c r="A550" s="16">
        <f>'Stock Price'!A550</f>
        <v>45265</v>
      </c>
      <c r="B550" s="17">
        <f>'Stock Price'!E550</f>
        <v>106.23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-2.0666979802723695E-3</v>
      </c>
      <c r="P550" s="19">
        <f ca="1">IF('Stock Price'!$I$11="OK",C550/INDEX(C$5:C$1258,'Stock Price'!$I$9)-1,"")</f>
        <v>-0.30005774505557958</v>
      </c>
      <c r="Q550" s="19">
        <f ca="1">IF('Stock Price'!$I$11="OK",D550/INDEX(D$5:D$1258,'Stock Price'!$I$9)-1,"")</f>
        <v>-0.31161899548378269</v>
      </c>
      <c r="R550" s="19">
        <f ca="1">IF('Stock Price'!$I$11="OK",E550/INDEX(E$5:E$1258,'Stock Price'!$I$9)-1,"")</f>
        <v>-0.26798307475317351</v>
      </c>
      <c r="S550" s="19">
        <f ca="1">IF('Stock Price'!$I$11="OK",F550/INDEX(F$5:F$1258,'Stock Price'!$I$9)-1,"")</f>
        <v>-0.30301263362487862</v>
      </c>
      <c r="T550" s="19">
        <f ca="1">IF('Stock Price'!$I$11="OK",G550/INDEX(G$5:G$1258,'Stock Price'!$I$9)-1,"")</f>
        <v>-3.9187227866472996E-2</v>
      </c>
      <c r="U550" s="19">
        <f ca="1">IF('Stock Price'!$I$11="OK",H550/INDEX(H$5:H$1258,'Stock Price'!$I$9)-1,"")</f>
        <v>-0.16565789473684212</v>
      </c>
      <c r="V550" s="19">
        <f ca="1">IF('Stock Price'!$I$11="OK",I550/INDEX(I$5:I$1258,'Stock Price'!$I$9)-1,"")</f>
        <v>0.15528196981731535</v>
      </c>
      <c r="W550" s="19">
        <f ca="1">IF('Stock Price'!$I$11="OK",J550/INDEX(J$5:J$1258,'Stock Price'!$I$9)-1,"")</f>
        <v>-0.45559813395534821</v>
      </c>
      <c r="X550" s="19">
        <f ca="1">IF('Stock Price'!$I$11="OK",K550/INDEX(K$5:K$1258,'Stock Price'!$I$9)-1,"")</f>
        <v>-6.0419004863449421E-2</v>
      </c>
      <c r="Y550" s="19">
        <f ca="1">IF('Stock Price'!$I$11="OK",L550/INDEX(L$5:L$1258,'Stock Price'!$I$9)-1,"")</f>
        <v>-0.23535085604051109</v>
      </c>
      <c r="Z550" s="19">
        <f ca="1">IF('Stock Price'!$I$11="OK",M550/INDEX(M$5:M$1258,'Stock Price'!$I$9)-1,"")</f>
        <v>-0.36954341284723735</v>
      </c>
    </row>
    <row r="551" spans="1:26" x14ac:dyDescent="0.2">
      <c r="A551" s="16">
        <f>'Stock Price'!A551</f>
        <v>45266</v>
      </c>
      <c r="B551" s="17">
        <f>'Stock Price'!E551</f>
        <v>105.63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-7.703147017379175E-3</v>
      </c>
      <c r="P551" s="19">
        <f ca="1">IF('Stock Price'!$I$11="OK",C551/INDEX(C$5:C$1258,'Stock Price'!$I$9)-1,"")</f>
        <v>-0.29948029449978342</v>
      </c>
      <c r="Q551" s="19">
        <f ca="1">IF('Stock Price'!$I$11="OK",D551/INDEX(D$5:D$1258,'Stock Price'!$I$9)-1,"")</f>
        <v>-0.31298754618858637</v>
      </c>
      <c r="R551" s="19">
        <f ca="1">IF('Stock Price'!$I$11="OK",E551/INDEX(E$5:E$1258,'Stock Price'!$I$9)-1,"")</f>
        <v>-0.27120693129155748</v>
      </c>
      <c r="S551" s="19">
        <f ca="1">IF('Stock Price'!$I$11="OK",F551/INDEX(F$5:F$1258,'Stock Price'!$I$9)-1,"")</f>
        <v>-0.30320699708454812</v>
      </c>
      <c r="T551" s="19">
        <f ca="1">IF('Stock Price'!$I$11="OK",G551/INDEX(G$5:G$1258,'Stock Price'!$I$9)-1,"")</f>
        <v>-4.665146174580137E-2</v>
      </c>
      <c r="U551" s="19">
        <f ca="1">IF('Stock Price'!$I$11="OK",H551/INDEX(H$5:H$1258,'Stock Price'!$I$9)-1,"")</f>
        <v>-0.14763157894736845</v>
      </c>
      <c r="V551" s="19">
        <f ca="1">IF('Stock Price'!$I$11="OK",I551/INDEX(I$5:I$1258,'Stock Price'!$I$9)-1,"")</f>
        <v>0.14336775218427311</v>
      </c>
      <c r="W551" s="19">
        <f ca="1">IF('Stock Price'!$I$11="OK",J551/INDEX(J$5:J$1258,'Stock Price'!$I$9)-1,"")</f>
        <v>-0.45457995482987146</v>
      </c>
      <c r="X551" s="19">
        <f ca="1">IF('Stock Price'!$I$11="OK",K551/INDEX(K$5:K$1258,'Stock Price'!$I$9)-1,"")</f>
        <v>-6.6965955854844661E-2</v>
      </c>
      <c r="Y551" s="19">
        <f ca="1">IF('Stock Price'!$I$11="OK",L551/INDEX(L$5:L$1258,'Stock Price'!$I$9)-1,"")</f>
        <v>-0.24465878948637565</v>
      </c>
      <c r="Z551" s="19">
        <f ca="1">IF('Stock Price'!$I$11="OK",M551/INDEX(M$5:M$1258,'Stock Price'!$I$9)-1,"")</f>
        <v>-0.36165016789498938</v>
      </c>
    </row>
    <row r="552" spans="1:26" x14ac:dyDescent="0.2">
      <c r="A552" s="16">
        <f>'Stock Price'!A552</f>
        <v>45267</v>
      </c>
      <c r="B552" s="17">
        <f>'Stock Price'!E552</f>
        <v>103.88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-2.4142790042273488E-2</v>
      </c>
      <c r="P552" s="19">
        <f ca="1">IF('Stock Price'!$I$11="OK",C552/INDEX(C$5:C$1258,'Stock Price'!$I$9)-1,"")</f>
        <v>-0.30756460228092963</v>
      </c>
      <c r="Q552" s="19">
        <f ca="1">IF('Stock Price'!$I$11="OK",D552/INDEX(D$5:D$1258,'Stock Price'!$I$9)-1,"")</f>
        <v>-0.31353496647050771</v>
      </c>
      <c r="R552" s="19">
        <f ca="1">IF('Stock Price'!$I$11="OK",E552/INDEX(E$5:E$1258,'Stock Price'!$I$9)-1,"")</f>
        <v>-0.27463227886359065</v>
      </c>
      <c r="S552" s="19">
        <f ca="1">IF('Stock Price'!$I$11="OK",F552/INDEX(F$5:F$1258,'Stock Price'!$I$9)-1,"")</f>
        <v>-0.30845481049562684</v>
      </c>
      <c r="T552" s="19">
        <f ca="1">IF('Stock Price'!$I$11="OK",G552/INDEX(G$5:G$1258,'Stock Price'!$I$9)-1,"")</f>
        <v>-4.4992743105950583E-2</v>
      </c>
      <c r="U552" s="19">
        <f ca="1">IF('Stock Price'!$I$11="OK",H552/INDEX(H$5:H$1258,'Stock Price'!$I$9)-1,"")</f>
        <v>-0.16236842105263161</v>
      </c>
      <c r="V552" s="19">
        <f ca="1">IF('Stock Price'!$I$11="OK",I552/INDEX(I$5:I$1258,'Stock Price'!$I$9)-1,"")</f>
        <v>0.13701350277998414</v>
      </c>
      <c r="W552" s="19">
        <f ca="1">IF('Stock Price'!$I$11="OK",J552/INDEX(J$5:J$1258,'Stock Price'!$I$9)-1,"")</f>
        <v>-0.45548705986893256</v>
      </c>
      <c r="X552" s="19">
        <f ca="1">IF('Stock Price'!$I$11="OK",K552/INDEX(K$5:K$1258,'Stock Price'!$I$9)-1,"")</f>
        <v>-6.1728395061728447E-2</v>
      </c>
      <c r="Y552" s="19">
        <f ca="1">IF('Stock Price'!$I$11="OK",L552/INDEX(L$5:L$1258,'Stock Price'!$I$9)-1,"")</f>
        <v>-0.25054256088738847</v>
      </c>
      <c r="Z552" s="19">
        <f ca="1">IF('Stock Price'!$I$11="OK",M552/INDEX(M$5:M$1258,'Stock Price'!$I$9)-1,"")</f>
        <v>-0.35471632288168853</v>
      </c>
    </row>
    <row r="553" spans="1:26" x14ac:dyDescent="0.2">
      <c r="A553" s="16">
        <f>'Stock Price'!A553</f>
        <v>45268</v>
      </c>
      <c r="B553" s="17">
        <f>'Stock Price'!E553</f>
        <v>103.75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-2.5364020666979847E-2</v>
      </c>
      <c r="P553" s="19">
        <f ca="1">IF('Stock Price'!$I$11="OK",C553/INDEX(C$5:C$1258,'Stock Price'!$I$9)-1,"")</f>
        <v>-0.30489389346037243</v>
      </c>
      <c r="Q553" s="19">
        <f ca="1">IF('Stock Price'!$I$11="OK",D553/INDEX(D$5:D$1258,'Stock Price'!$I$9)-1,"")</f>
        <v>-0.31539619542904063</v>
      </c>
      <c r="R553" s="19">
        <f ca="1">IF('Stock Price'!$I$11="OK",E553/INDEX(E$5:E$1258,'Stock Price'!$I$9)-1,"")</f>
        <v>-0.2758412250654847</v>
      </c>
      <c r="S553" s="19">
        <f ca="1">IF('Stock Price'!$I$11="OK",F553/INDEX(F$5:F$1258,'Stock Price'!$I$9)-1,"")</f>
        <v>-0.30029154518950441</v>
      </c>
      <c r="T553" s="19">
        <f ca="1">IF('Stock Price'!$I$11="OK",G553/INDEX(G$5:G$1258,'Stock Price'!$I$9)-1,"")</f>
        <v>-3.9601907526435776E-2</v>
      </c>
      <c r="U553" s="19">
        <f ca="1">IF('Stock Price'!$I$11="OK",H553/INDEX(H$5:H$1258,'Stock Price'!$I$9)-1,"")</f>
        <v>-0.16065789473684211</v>
      </c>
      <c r="V553" s="19">
        <f ca="1">IF('Stock Price'!$I$11="OK",I553/INDEX(I$5:I$1258,'Stock Price'!$I$9)-1,"")</f>
        <v>0.14297061159650526</v>
      </c>
      <c r="W553" s="19">
        <f ca="1">IF('Stock Price'!$I$11="OK",J553/INDEX(J$5:J$1258,'Stock Price'!$I$9)-1,"")</f>
        <v>-0.44643452182605792</v>
      </c>
      <c r="X553" s="19">
        <f ca="1">IF('Stock Price'!$I$11="OK",K553/INDEX(K$5:K$1258,'Stock Price'!$I$9)-1,"")</f>
        <v>-5.8922558922558932E-2</v>
      </c>
      <c r="Y553" s="19">
        <f ca="1">IF('Stock Price'!$I$11="OK",L553/INDEX(L$5:L$1258,'Stock Price'!$I$9)-1,"")</f>
        <v>-0.25526886906197255</v>
      </c>
      <c r="Z553" s="19">
        <f ca="1">IF('Stock Price'!$I$11="OK",M553/INDEX(M$5:M$1258,'Stock Price'!$I$9)-1,"")</f>
        <v>-0.3490035323361389</v>
      </c>
    </row>
    <row r="554" spans="1:26" x14ac:dyDescent="0.2">
      <c r="A554" s="16">
        <f>'Stock Price'!A554</f>
        <v>45271</v>
      </c>
      <c r="B554" s="17">
        <f>'Stock Price'!E554</f>
        <v>104.37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-1.9539689995302978E-2</v>
      </c>
      <c r="P554" s="19">
        <f ca="1">IF('Stock Price'!$I$11="OK",C554/INDEX(C$5:C$1258,'Stock Price'!$I$9)-1,"")</f>
        <v>-0.29782012415186943</v>
      </c>
      <c r="Q554" s="19">
        <f ca="1">IF('Stock Price'!$I$11="OK",D554/INDEX(D$5:D$1258,'Stock Price'!$I$9)-1,"")</f>
        <v>-0.31462980703435062</v>
      </c>
      <c r="R554" s="19">
        <f ca="1">IF('Stock Price'!$I$11="OK",E554/INDEX(E$5:E$1258,'Stock Price'!$I$9)-1,"")</f>
        <v>-0.26717711061857752</v>
      </c>
      <c r="S554" s="19">
        <f ca="1">IF('Stock Price'!$I$11="OK",F554/INDEX(F$5:F$1258,'Stock Price'!$I$9)-1,"")</f>
        <v>-0.2977648202137998</v>
      </c>
      <c r="T554" s="19">
        <f ca="1">IF('Stock Price'!$I$11="OK",G554/INDEX(G$5:G$1258,'Stock Price'!$I$9)-1,"")</f>
        <v>-2.2392701637984569E-2</v>
      </c>
      <c r="U554" s="19">
        <f ca="1">IF('Stock Price'!$I$11="OK",H554/INDEX(H$5:H$1258,'Stock Price'!$I$9)-1,"")</f>
        <v>-0.1713157894736842</v>
      </c>
      <c r="V554" s="19">
        <f ca="1">IF('Stock Price'!$I$11="OK",I554/INDEX(I$5:I$1258,'Stock Price'!$I$9)-1,"")</f>
        <v>0.13741064336775222</v>
      </c>
      <c r="W554" s="19">
        <f ca="1">IF('Stock Price'!$I$11="OK",J554/INDEX(J$5:J$1258,'Stock Price'!$I$9)-1,"")</f>
        <v>-0.45940242141508381</v>
      </c>
      <c r="X554" s="19">
        <f ca="1">IF('Stock Price'!$I$11="OK",K554/INDEX(K$5:K$1258,'Stock Price'!$I$9)-1,"")</f>
        <v>-4.433221099887763E-2</v>
      </c>
      <c r="Y554" s="19">
        <f ca="1">IF('Stock Price'!$I$11="OK",L554/INDEX(L$5:L$1258,'Stock Price'!$I$9)-1,"")</f>
        <v>-0.25218230045816248</v>
      </c>
      <c r="Z554" s="19">
        <f ca="1">IF('Stock Price'!$I$11="OK",M554/INDEX(M$5:M$1258,'Stock Price'!$I$9)-1,"")</f>
        <v>-0.34045615106188132</v>
      </c>
    </row>
    <row r="555" spans="1:26" x14ac:dyDescent="0.2">
      <c r="A555" s="16">
        <f>'Stock Price'!A555</f>
        <v>45272</v>
      </c>
      <c r="B555" s="17">
        <f>'Stock Price'!E555</f>
        <v>104.36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-1.9633630812588065E-2</v>
      </c>
      <c r="P555" s="19">
        <f ca="1">IF('Stock Price'!$I$11="OK",C555/INDEX(C$5:C$1258,'Stock Price'!$I$9)-1,"")</f>
        <v>-0.2913959867186372</v>
      </c>
      <c r="Q555" s="19">
        <f ca="1">IF('Stock Price'!$I$11="OK",D555/INDEX(D$5:D$1258,'Stock Price'!$I$9)-1,"")</f>
        <v>-0.3076228274257562</v>
      </c>
      <c r="R555" s="19">
        <f ca="1">IF('Stock Price'!$I$11="OK",E555/INDEX(E$5:E$1258,'Stock Price'!$I$9)-1,"")</f>
        <v>-0.26616965545033244</v>
      </c>
      <c r="S555" s="19">
        <f ca="1">IF('Stock Price'!$I$11="OK",F555/INDEX(F$5:F$1258,'Stock Price'!$I$9)-1,"")</f>
        <v>-0.29601554907677363</v>
      </c>
      <c r="T555" s="19">
        <f ca="1">IF('Stock Price'!$I$11="OK",G555/INDEX(G$5:G$1258,'Stock Price'!$I$9)-1,"")</f>
        <v>-1.8660584698320548E-2</v>
      </c>
      <c r="U555" s="19">
        <f ca="1">IF('Stock Price'!$I$11="OK",H555/INDEX(H$5:H$1258,'Stock Price'!$I$9)-1,"")</f>
        <v>-0.1752631578947369</v>
      </c>
      <c r="V555" s="19">
        <f ca="1">IF('Stock Price'!$I$11="OK",I555/INDEX(I$5:I$1258,'Stock Price'!$I$9)-1,"")</f>
        <v>0.13502779984114377</v>
      </c>
      <c r="W555" s="19">
        <f ca="1">IF('Stock Price'!$I$11="OK",J555/INDEX(J$5:J$1258,'Stock Price'!$I$9)-1,"")</f>
        <v>-0.45873597689658996</v>
      </c>
      <c r="X555" s="19">
        <f ca="1">IF('Stock Price'!$I$11="OK",K555/INDEX(K$5:K$1258,'Stock Price'!$I$9)-1,"")</f>
        <v>-5.5181444070332986E-2</v>
      </c>
      <c r="Y555" s="19">
        <f ca="1">IF('Stock Price'!$I$11="OK",L555/INDEX(L$5:L$1258,'Stock Price'!$I$9)-1,"")</f>
        <v>-0.25213407282372802</v>
      </c>
      <c r="Z555" s="19">
        <f ca="1">IF('Stock Price'!$I$11="OK",M555/INDEX(M$5:M$1258,'Stock Price'!$I$9)-1,"")</f>
        <v>-0.33173433343508785</v>
      </c>
    </row>
    <row r="556" spans="1:26" x14ac:dyDescent="0.2">
      <c r="A556" s="16">
        <f>'Stock Price'!A556</f>
        <v>45273</v>
      </c>
      <c r="B556" s="17">
        <f>'Stock Price'!E556</f>
        <v>107.11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6.2000939408173306E-3</v>
      </c>
      <c r="P556" s="19">
        <f ca="1">IF('Stock Price'!$I$11="OK",C556/INDEX(C$5:C$1258,'Stock Price'!$I$9)-1,"")</f>
        <v>-0.28028006351956114</v>
      </c>
      <c r="Q556" s="19">
        <f ca="1">IF('Stock Price'!$I$11="OK",D556/INDEX(D$5:D$1258,'Stock Price'!$I$9)-1,"")</f>
        <v>-0.292405091008622</v>
      </c>
      <c r="R556" s="19">
        <f ca="1">IF('Stock Price'!$I$11="OK",E556/INDEX(E$5:E$1258,'Stock Price'!$I$9)-1,"")</f>
        <v>-0.25972194237356439</v>
      </c>
      <c r="S556" s="19">
        <f ca="1">IF('Stock Price'!$I$11="OK",F556/INDEX(F$5:F$1258,'Stock Price'!$I$9)-1,"")</f>
        <v>-0.29640427599611274</v>
      </c>
      <c r="T556" s="19">
        <f ca="1">IF('Stock Price'!$I$11="OK",G556/INDEX(G$5:G$1258,'Stock Price'!$I$9)-1,"")</f>
        <v>1.4513788098693414E-3</v>
      </c>
      <c r="U556" s="19">
        <f ca="1">IF('Stock Price'!$I$11="OK",H556/INDEX(H$5:H$1258,'Stock Price'!$I$9)-1,"")</f>
        <v>-0.18263157894736848</v>
      </c>
      <c r="V556" s="19">
        <f ca="1">IF('Stock Price'!$I$11="OK",I556/INDEX(I$5:I$1258,'Stock Price'!$I$9)-1,"")</f>
        <v>5.8776806989674357E-2</v>
      </c>
      <c r="W556" s="19">
        <f ca="1">IF('Stock Price'!$I$11="OK",J556/INDEX(J$5:J$1258,'Stock Price'!$I$9)-1,"")</f>
        <v>-0.44694361138879624</v>
      </c>
      <c r="X556" s="19">
        <f ca="1">IF('Stock Price'!$I$11="OK",K556/INDEX(K$5:K$1258,'Stock Price'!$I$9)-1,"")</f>
        <v>-2.9928918817807681E-2</v>
      </c>
      <c r="Y556" s="19">
        <f ca="1">IF('Stock Price'!$I$11="OK",L556/INDEX(L$5:L$1258,'Stock Price'!$I$9)-1,"")</f>
        <v>-0.24866168314444181</v>
      </c>
      <c r="Z556" s="19">
        <f ca="1">IF('Stock Price'!$I$11="OK",M556/INDEX(M$5:M$1258,'Stock Price'!$I$9)-1,"")</f>
        <v>-0.32711177009288728</v>
      </c>
    </row>
    <row r="557" spans="1:26" x14ac:dyDescent="0.2">
      <c r="A557" s="16">
        <f>'Stock Price'!A557</f>
        <v>45274</v>
      </c>
      <c r="B557" s="17">
        <f>'Stock Price'!E557</f>
        <v>105.88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-5.3546265852513208E-3</v>
      </c>
      <c r="P557" s="19">
        <f ca="1">IF('Stock Price'!$I$11="OK",C557/INDEX(C$5:C$1258,'Stock Price'!$I$9)-1,"")</f>
        <v>-0.28634329435542072</v>
      </c>
      <c r="Q557" s="19">
        <f ca="1">IF('Stock Price'!$I$11="OK",D557/INDEX(D$5:D$1258,'Stock Price'!$I$9)-1,"")</f>
        <v>-0.27469549746818123</v>
      </c>
      <c r="R557" s="19">
        <f ca="1">IF('Stock Price'!$I$11="OK",E557/INDEX(E$5:E$1258,'Stock Price'!$I$9)-1,"")</f>
        <v>-0.25488615756598842</v>
      </c>
      <c r="S557" s="19">
        <f ca="1">IF('Stock Price'!$I$11="OK",F557/INDEX(F$5:F$1258,'Stock Price'!$I$9)-1,"")</f>
        <v>-0.31195335276967939</v>
      </c>
      <c r="T557" s="19">
        <f ca="1">IF('Stock Price'!$I$11="OK",G557/INDEX(G$5:G$1258,'Stock Price'!$I$9)-1,"")</f>
        <v>2.0733982998155653E-4</v>
      </c>
      <c r="U557" s="19">
        <f ca="1">IF('Stock Price'!$I$11="OK",H557/INDEX(H$5:H$1258,'Stock Price'!$I$9)-1,"")</f>
        <v>-0.16065789473684211</v>
      </c>
      <c r="V557" s="19">
        <f ca="1">IF('Stock Price'!$I$11="OK",I557/INDEX(I$5:I$1258,'Stock Price'!$I$9)-1,"")</f>
        <v>3.7728355837966632E-2</v>
      </c>
      <c r="W557" s="19">
        <f ca="1">IF('Stock Price'!$I$11="OK",J557/INDEX(J$5:J$1258,'Stock Price'!$I$9)-1,"")</f>
        <v>-0.46900107371616873</v>
      </c>
      <c r="X557" s="19">
        <f ca="1">IF('Stock Price'!$I$11="OK",K557/INDEX(K$5:K$1258,'Stock Price'!$I$9)-1,"")</f>
        <v>-3.7224092779648332E-2</v>
      </c>
      <c r="Y557" s="19">
        <f ca="1">IF('Stock Price'!$I$11="OK",L557/INDEX(L$5:L$1258,'Stock Price'!$I$9)-1,"")</f>
        <v>-0.24345309862551234</v>
      </c>
      <c r="Z557" s="19">
        <f ca="1">IF('Stock Price'!$I$11="OK",M557/INDEX(M$5:M$1258,'Stock Price'!$I$9)-1,"")</f>
        <v>-0.32458244298111727</v>
      </c>
    </row>
    <row r="558" spans="1:26" x14ac:dyDescent="0.2">
      <c r="A558" s="16">
        <f>'Stock Price'!A558</f>
        <v>45275</v>
      </c>
      <c r="B558" s="17">
        <f>'Stock Price'!E558</f>
        <v>105.11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-1.2588069516204836E-2</v>
      </c>
      <c r="P558" s="19">
        <f ca="1">IF('Stock Price'!$I$11="OK",C558/INDEX(C$5:C$1258,'Stock Price'!$I$9)-1,"")</f>
        <v>-0.29695394831817512</v>
      </c>
      <c r="Q558" s="19">
        <f ca="1">IF('Stock Price'!$I$11="OK",D558/INDEX(D$5:D$1258,'Stock Price'!$I$9)-1,"")</f>
        <v>-0.28134665389352675</v>
      </c>
      <c r="R558" s="19">
        <f ca="1">IF('Stock Price'!$I$11="OK",E558/INDEX(E$5:E$1258,'Stock Price'!$I$9)-1,"")</f>
        <v>-0.27705017126737863</v>
      </c>
      <c r="S558" s="19">
        <f ca="1">IF('Stock Price'!$I$11="OK",F558/INDEX(F$5:F$1258,'Stock Price'!$I$9)-1,"")</f>
        <v>-0.32497570456754143</v>
      </c>
      <c r="T558" s="19">
        <f ca="1">IF('Stock Price'!$I$11="OK",G558/INDEX(G$5:G$1258,'Stock Price'!$I$9)-1,"")</f>
        <v>-1.1403690648973619E-2</v>
      </c>
      <c r="U558" s="19">
        <f ca="1">IF('Stock Price'!$I$11="OK",H558/INDEX(H$5:H$1258,'Stock Price'!$I$9)-1,"")</f>
        <v>-0.15513157894736851</v>
      </c>
      <c r="V558" s="19">
        <f ca="1">IF('Stock Price'!$I$11="OK",I558/INDEX(I$5:I$1258,'Stock Price'!$I$9)-1,"")</f>
        <v>5.7585385226370134E-2</v>
      </c>
      <c r="W558" s="19">
        <f ca="1">IF('Stock Price'!$I$11="OK",J558/INDEX(J$5:J$1258,'Stock Price'!$I$9)-1,"")</f>
        <v>-0.47050983005664782</v>
      </c>
      <c r="X558" s="19">
        <f ca="1">IF('Stock Price'!$I$11="OK",K558/INDEX(K$5:K$1258,'Stock Price'!$I$9)-1,"")</f>
        <v>-4.8073325851103688E-2</v>
      </c>
      <c r="Y558" s="19">
        <f ca="1">IF('Stock Price'!$I$11="OK",L558/INDEX(L$5:L$1258,'Stock Price'!$I$9)-1,"")</f>
        <v>-0.2517000241138172</v>
      </c>
      <c r="Z558" s="19">
        <f ca="1">IF('Stock Price'!$I$11="OK",M558/INDEX(M$5:M$1258,'Stock Price'!$I$9)-1,"")</f>
        <v>-0.3282456063843705</v>
      </c>
    </row>
    <row r="559" spans="1:26" x14ac:dyDescent="0.2">
      <c r="A559" s="16">
        <f>'Stock Price'!A559</f>
        <v>45278</v>
      </c>
      <c r="B559" s="17">
        <f>'Stock Price'!E559</f>
        <v>106.04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-3.8515735086894765E-3</v>
      </c>
      <c r="P559" s="19">
        <f ca="1">IF('Stock Price'!$I$11="OK",C559/INDEX(C$5:C$1258,'Stock Price'!$I$9)-1,"")</f>
        <v>-0.29103508012126456</v>
      </c>
      <c r="Q559" s="19">
        <f ca="1">IF('Stock Price'!$I$11="OK",D559/INDEX(D$5:D$1258,'Stock Price'!$I$9)-1,"")</f>
        <v>-0.2993020391405502</v>
      </c>
      <c r="R559" s="19">
        <f ca="1">IF('Stock Price'!$I$11="OK",E559/INDEX(E$5:E$1258,'Stock Price'!$I$9)-1,"")</f>
        <v>-0.26536369131573645</v>
      </c>
      <c r="S559" s="19">
        <f ca="1">IF('Stock Price'!$I$11="OK",F559/INDEX(F$5:F$1258,'Stock Price'!$I$9)-1,"")</f>
        <v>-0.31661807580174939</v>
      </c>
      <c r="T559" s="19">
        <f ca="1">IF('Stock Price'!$I$11="OK",G559/INDEX(G$5:G$1258,'Stock Price'!$I$9)-1,"")</f>
        <v>6.4275347294215912E-3</v>
      </c>
      <c r="U559" s="19">
        <f ca="1">IF('Stock Price'!$I$11="OK",H559/INDEX(H$5:H$1258,'Stock Price'!$I$9)-1,"")</f>
        <v>-0.15500000000000003</v>
      </c>
      <c r="V559" s="19">
        <f ca="1">IF('Stock Price'!$I$11="OK",I559/INDEX(I$5:I$1258,'Stock Price'!$I$9)-1,"")</f>
        <v>7.4662430500397114E-2</v>
      </c>
      <c r="W559" s="19">
        <f ca="1">IF('Stock Price'!$I$11="OK",J559/INDEX(J$5:J$1258,'Stock Price'!$I$9)-1,"")</f>
        <v>-0.46336406383057493</v>
      </c>
      <c r="X559" s="19">
        <f ca="1">IF('Stock Price'!$I$11="OK",K559/INDEX(K$5:K$1258,'Stock Price'!$I$9)-1,"")</f>
        <v>-3.9655817433595142E-2</v>
      </c>
      <c r="Y559" s="19">
        <f ca="1">IF('Stock Price'!$I$11="OK",L559/INDEX(L$5:L$1258,'Stock Price'!$I$9)-1,"")</f>
        <v>-0.25034965034965029</v>
      </c>
      <c r="Z559" s="19">
        <f ca="1">IF('Stock Price'!$I$11="OK",M559/INDEX(M$5:M$1258,'Stock Price'!$I$9)-1,"")</f>
        <v>-0.33094936984867651</v>
      </c>
    </row>
    <row r="560" spans="1:26" x14ac:dyDescent="0.2">
      <c r="A560" s="16">
        <f>'Stock Price'!A560</f>
        <v>45279</v>
      </c>
      <c r="B560" s="17">
        <f>'Stock Price'!E560</f>
        <v>106.49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3.7576326914035008E-4</v>
      </c>
      <c r="P560" s="19">
        <f ca="1">IF('Stock Price'!$I$11="OK",C560/INDEX(C$5:C$1258,'Stock Price'!$I$9)-1,"")</f>
        <v>-0.2905298108849429</v>
      </c>
      <c r="Q560" s="19">
        <f ca="1">IF('Stock Price'!$I$11="OK",D560/INDEX(D$5:D$1258,'Stock Price'!$I$9)-1,"")</f>
        <v>-0.27258792938278376</v>
      </c>
      <c r="R560" s="19">
        <f ca="1">IF('Stock Price'!$I$11="OK",E560/INDEX(E$5:E$1258,'Stock Price'!$I$9)-1,"")</f>
        <v>-0.26455772718114046</v>
      </c>
      <c r="S560" s="19">
        <f ca="1">IF('Stock Price'!$I$11="OK",F560/INDEX(F$5:F$1258,'Stock Price'!$I$9)-1,"")</f>
        <v>-0.31059280855199234</v>
      </c>
      <c r="T560" s="19">
        <f ca="1">IF('Stock Price'!$I$11="OK",G560/INDEX(G$5:G$1258,'Stock Price'!$I$9)-1,"")</f>
        <v>1.7209205888451207E-2</v>
      </c>
      <c r="U560" s="19">
        <f ca="1">IF('Stock Price'!$I$11="OK",H560/INDEX(H$5:H$1258,'Stock Price'!$I$9)-1,"")</f>
        <v>-0.15276315789473682</v>
      </c>
      <c r="V560" s="19">
        <f ca="1">IF('Stock Price'!$I$11="OK",I560/INDEX(I$5:I$1258,'Stock Price'!$I$9)-1,"")</f>
        <v>0.11834789515488486</v>
      </c>
      <c r="W560" s="19">
        <f ca="1">IF('Stock Price'!$I$11="OK",J560/INDEX(J$5:J$1258,'Stock Price'!$I$9)-1,"")</f>
        <v>-0.46331778296123516</v>
      </c>
      <c r="X560" s="19">
        <f ca="1">IF('Stock Price'!$I$11="OK",K560/INDEX(K$5:K$1258,'Stock Price'!$I$9)-1,"")</f>
        <v>-2.5252525252525304E-2</v>
      </c>
      <c r="Y560" s="19">
        <f ca="1">IF('Stock Price'!$I$11="OK",L560/INDEX(L$5:L$1258,'Stock Price'!$I$9)-1,"")</f>
        <v>-0.24543043163732814</v>
      </c>
      <c r="Z560" s="19">
        <f ca="1">IF('Stock Price'!$I$11="OK",M560/INDEX(M$5:M$1258,'Stock Price'!$I$9)-1,"")</f>
        <v>-0.33016440626226506</v>
      </c>
    </row>
    <row r="561" spans="1:26" x14ac:dyDescent="0.2">
      <c r="A561" s="16">
        <f>'Stock Price'!A561</f>
        <v>45280</v>
      </c>
      <c r="B561" s="17">
        <f>'Stock Price'!E561</f>
        <v>105.36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-1.0239549084077093E-2</v>
      </c>
      <c r="P561" s="19">
        <f ca="1">IF('Stock Price'!$I$11="OK",C561/INDEX(C$5:C$1258,'Stock Price'!$I$9)-1,"")</f>
        <v>-0.29883066262451274</v>
      </c>
      <c r="Q561" s="19">
        <f ca="1">IF('Stock Price'!$I$11="OK",D561/INDEX(D$5:D$1258,'Stock Price'!$I$9)-1,"")</f>
        <v>-0.28219515533050499</v>
      </c>
      <c r="R561" s="19">
        <f ca="1">IF('Stock Price'!$I$11="OK",E561/INDEX(E$5:E$1258,'Stock Price'!$I$9)-1,"")</f>
        <v>-0.27080394922425965</v>
      </c>
      <c r="S561" s="19">
        <f ca="1">IF('Stock Price'!$I$11="OK",F561/INDEX(F$5:F$1258,'Stock Price'!$I$9)-1,"")</f>
        <v>-0.31953352769679311</v>
      </c>
      <c r="T561" s="19">
        <f ca="1">IF('Stock Price'!$I$11="OK",G561/INDEX(G$5:G$1258,'Stock Price'!$I$9)-1,"")</f>
        <v>-4.1467965996255796E-4</v>
      </c>
      <c r="U561" s="19">
        <f ca="1">IF('Stock Price'!$I$11="OK",H561/INDEX(H$5:H$1258,'Stock Price'!$I$9)-1,"")</f>
        <v>-0.14328947368421052</v>
      </c>
      <c r="V561" s="19">
        <f ca="1">IF('Stock Price'!$I$11="OK",I561/INDEX(I$5:I$1258,'Stock Price'!$I$9)-1,"")</f>
        <v>9.7299444003177138E-2</v>
      </c>
      <c r="W561" s="19">
        <f ca="1">IF('Stock Price'!$I$11="OK",J561/INDEX(J$5:J$1258,'Stock Price'!$I$9)-1,"")</f>
        <v>-0.47220370987448623</v>
      </c>
      <c r="X561" s="19">
        <f ca="1">IF('Stock Price'!$I$11="OK",K561/INDEX(K$5:K$1258,'Stock Price'!$I$9)-1,"")</f>
        <v>-4.6763935652824551E-2</v>
      </c>
      <c r="Y561" s="19">
        <f ca="1">IF('Stock Price'!$I$11="OK",L561/INDEX(L$5:L$1258,'Stock Price'!$I$9)-1,"")</f>
        <v>-0.26081504702194347</v>
      </c>
      <c r="Z561" s="19">
        <f ca="1">IF('Stock Price'!$I$11="OK",M561/INDEX(M$5:M$1258,'Stock Price'!$I$9)-1,"")</f>
        <v>-0.33849374209585281</v>
      </c>
    </row>
    <row r="562" spans="1:26" x14ac:dyDescent="0.2">
      <c r="A562" s="16">
        <f>'Stock Price'!A562</f>
        <v>45281</v>
      </c>
      <c r="B562" s="17">
        <f>'Stock Price'!E562</f>
        <v>106.39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-5.6364490371063614E-4</v>
      </c>
      <c r="P562" s="19">
        <f ca="1">IF('Stock Price'!$I$11="OK",C562/INDEX(C$5:C$1258,'Stock Price'!$I$9)-1,"")</f>
        <v>-0.29190125595495886</v>
      </c>
      <c r="Q562" s="19">
        <f ca="1">IF('Stock Price'!$I$11="OK",D562/INDEX(D$5:D$1258,'Stock Price'!$I$9)-1,"")</f>
        <v>-0.28561653209251403</v>
      </c>
      <c r="R562" s="19">
        <f ca="1">IF('Stock Price'!$I$11="OK",E562/INDEX(E$5:E$1258,'Stock Price'!$I$9)-1,"")</f>
        <v>-0.25831150513802137</v>
      </c>
      <c r="S562" s="19">
        <f ca="1">IF('Stock Price'!$I$11="OK",F562/INDEX(F$5:F$1258,'Stock Price'!$I$9)-1,"")</f>
        <v>-0.30709426627793979</v>
      </c>
      <c r="T562" s="19">
        <f ca="1">IF('Stock Price'!$I$11="OK",G562/INDEX(G$5:G$1258,'Stock Price'!$I$9)-1,"")</f>
        <v>1.4928467758656527E-2</v>
      </c>
      <c r="U562" s="19">
        <f ca="1">IF('Stock Price'!$I$11="OK",H562/INDEX(H$5:H$1258,'Stock Price'!$I$9)-1,"")</f>
        <v>-0.1417105263157894</v>
      </c>
      <c r="V562" s="19">
        <f ca="1">IF('Stock Price'!$I$11="OK",I562/INDEX(I$5:I$1258,'Stock Price'!$I$9)-1,"")</f>
        <v>0.12430500397140576</v>
      </c>
      <c r="W562" s="19">
        <f ca="1">IF('Stock Price'!$I$11="OK",J562/INDEX(J$5:J$1258,'Stock Price'!$I$9)-1,"")</f>
        <v>-0.47054685475211966</v>
      </c>
      <c r="X562" s="19">
        <f ca="1">IF('Stock Price'!$I$11="OK",K562/INDEX(K$5:K$1258,'Stock Price'!$I$9)-1,"")</f>
        <v>-4.1152263374485631E-2</v>
      </c>
      <c r="Y562" s="19">
        <f ca="1">IF('Stock Price'!$I$11="OK",L562/INDEX(L$5:L$1258,'Stock Price'!$I$9)-1,"")</f>
        <v>-0.25324330841572218</v>
      </c>
      <c r="Z562" s="19">
        <f ca="1">IF('Stock Price'!$I$11="OK",M562/INDEX(M$5:M$1258,'Stock Price'!$I$9)-1,"")</f>
        <v>-0.33456892416379569</v>
      </c>
    </row>
    <row r="563" spans="1:26" x14ac:dyDescent="0.2">
      <c r="A563" s="16">
        <f>'Stock Price'!A563</f>
        <v>45282</v>
      </c>
      <c r="B563" s="17">
        <f>'Stock Price'!E563</f>
        <v>107.7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1.1742602160638826E-2</v>
      </c>
      <c r="P563" s="19">
        <f ca="1">IF('Stock Price'!$I$11="OK",C563/INDEX(C$5:C$1258,'Stock Price'!$I$9)-1,"")</f>
        <v>-0.28720947018911502</v>
      </c>
      <c r="Q563" s="19">
        <f ca="1">IF('Stock Price'!$I$11="OK",D563/INDEX(D$5:D$1258,'Stock Price'!$I$9)-1,"")</f>
        <v>-0.28342685096482823</v>
      </c>
      <c r="R563" s="19">
        <f ca="1">IF('Stock Price'!$I$11="OK",E563/INDEX(E$5:E$1258,'Stock Price'!$I$9)-1,"")</f>
        <v>-0.25468466653233934</v>
      </c>
      <c r="S563" s="19">
        <f ca="1">IF('Stock Price'!$I$11="OK",F563/INDEX(F$5:F$1258,'Stock Price'!$I$9)-1,"")</f>
        <v>-0.30923226433430517</v>
      </c>
      <c r="T563" s="19">
        <f ca="1">IF('Stock Price'!$I$11="OK",G563/INDEX(G$5:G$1258,'Stock Price'!$I$9)-1,"")</f>
        <v>1.0574331329048503E-2</v>
      </c>
      <c r="U563" s="19">
        <f ca="1">IF('Stock Price'!$I$11="OK",H563/INDEX(H$5:H$1258,'Stock Price'!$I$9)-1,"")</f>
        <v>-0.13934210526315793</v>
      </c>
      <c r="V563" s="19">
        <f ca="1">IF('Stock Price'!$I$11="OK",I563/INDEX(I$5:I$1258,'Stock Price'!$I$9)-1,"")</f>
        <v>0.12787926926131843</v>
      </c>
      <c r="W563" s="19">
        <f ca="1">IF('Stock Price'!$I$11="OK",J563/INDEX(J$5:J$1258,'Stock Price'!$I$9)-1,"")</f>
        <v>-0.47203709874486277</v>
      </c>
      <c r="X563" s="19">
        <f ca="1">IF('Stock Price'!$I$11="OK",K563/INDEX(K$5:K$1258,'Stock Price'!$I$9)-1,"")</f>
        <v>-2.1885521885521952E-2</v>
      </c>
      <c r="Y563" s="19">
        <f ca="1">IF('Stock Price'!$I$11="OK",L563/INDEX(L$5:L$1258,'Stock Price'!$I$9)-1,"")</f>
        <v>-0.25025319508078125</v>
      </c>
      <c r="Z563" s="19">
        <f ca="1">IF('Stock Price'!$I$11="OK",M563/INDEX(M$5:M$1258,'Stock Price'!$I$9)-1,"")</f>
        <v>-0.32432078845231349</v>
      </c>
    </row>
    <row r="564" spans="1:26" x14ac:dyDescent="0.2">
      <c r="A564" s="16">
        <f>'Stock Price'!A564</f>
        <v>45286</v>
      </c>
      <c r="B564" s="17">
        <f>'Stock Price'!E564</f>
        <v>107.63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1.1085016439642992E-2</v>
      </c>
      <c r="P564" s="19">
        <f ca="1">IF('Stock Price'!$I$11="OK",C564/INDEX(C$5:C$1258,'Stock Price'!$I$9)-1,"")</f>
        <v>-0.28865309657860538</v>
      </c>
      <c r="Q564" s="19">
        <f ca="1">IF('Stock Price'!$I$11="OK",D564/INDEX(D$5:D$1258,'Stock Price'!$I$9)-1,"")</f>
        <v>-0.26426714109757765</v>
      </c>
      <c r="R564" s="19">
        <f ca="1">IF('Stock Price'!$I$11="OK",E564/INDEX(E$5:E$1258,'Stock Price'!$I$9)-1,"")</f>
        <v>-0.2542816844650414</v>
      </c>
      <c r="S564" s="19">
        <f ca="1">IF('Stock Price'!$I$11="OK",F564/INDEX(F$5:F$1258,'Stock Price'!$I$9)-1,"")</f>
        <v>-0.30767735665694862</v>
      </c>
      <c r="T564" s="19">
        <f ca="1">IF('Stock Price'!$I$11="OK",G564/INDEX(G$5:G$1258,'Stock Price'!$I$9)-1,"")</f>
        <v>1.7623885548413876E-2</v>
      </c>
      <c r="U564" s="19">
        <f ca="1">IF('Stock Price'!$I$11="OK",H564/INDEX(H$5:H$1258,'Stock Price'!$I$9)-1,"")</f>
        <v>-0.13934210526315793</v>
      </c>
      <c r="V564" s="19">
        <f ca="1">IF('Stock Price'!$I$11="OK",I564/INDEX(I$5:I$1258,'Stock Price'!$I$9)-1,"")</f>
        <v>0.1282764098490865</v>
      </c>
      <c r="W564" s="19">
        <f ca="1">IF('Stock Price'!$I$11="OK",J564/INDEX(J$5:J$1258,'Stock Price'!$I$9)-1,"")</f>
        <v>-0.47177792587655965</v>
      </c>
      <c r="X564" s="19">
        <f ca="1">IF('Stock Price'!$I$11="OK",K564/INDEX(K$5:K$1258,'Stock Price'!$I$9)-1,"")</f>
        <v>-3.7598204264870927E-2</v>
      </c>
      <c r="Y564" s="19">
        <f ca="1">IF('Stock Price'!$I$11="OK",L564/INDEX(L$5:L$1258,'Stock Price'!$I$9)-1,"")</f>
        <v>-0.24697371593923323</v>
      </c>
      <c r="Z564" s="19">
        <f ca="1">IF('Stock Price'!$I$11="OK",M564/INDEX(M$5:M$1258,'Stock Price'!$I$9)-1,"")</f>
        <v>-0.32571627927260038</v>
      </c>
    </row>
    <row r="565" spans="1:26" x14ac:dyDescent="0.2">
      <c r="A565" s="16">
        <f>'Stock Price'!A565</f>
        <v>45287</v>
      </c>
      <c r="B565" s="17">
        <f>'Stock Price'!E565</f>
        <v>107.98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1.4372945044621943E-2</v>
      </c>
      <c r="P565" s="19">
        <f ca="1">IF('Stock Price'!$I$11="OK",C565/INDEX(C$5:C$1258,'Stock Price'!$I$9)-1,"")</f>
        <v>-0.28028006351956114</v>
      </c>
      <c r="Q565" s="19">
        <f ca="1">IF('Stock Price'!$I$11="OK",D565/INDEX(D$5:D$1258,'Stock Price'!$I$9)-1,"")</f>
        <v>-0.27138415218283851</v>
      </c>
      <c r="R565" s="19">
        <f ca="1">IF('Stock Price'!$I$11="OK",E565/INDEX(E$5:E$1258,'Stock Price'!$I$9)-1,"")</f>
        <v>-0.25246826516220033</v>
      </c>
      <c r="S565" s="19">
        <f ca="1">IF('Stock Price'!$I$11="OK",F565/INDEX(F$5:F$1258,'Stock Price'!$I$9)-1,"")</f>
        <v>-0.30048590864917391</v>
      </c>
      <c r="T565" s="19">
        <f ca="1">IF('Stock Price'!$I$11="OK",G565/INDEX(G$5:G$1258,'Stock Price'!$I$9)-1,"")</f>
        <v>3.1515654157163731E-2</v>
      </c>
      <c r="U565" s="19">
        <f ca="1">IF('Stock Price'!$I$11="OK",H565/INDEX(H$5:H$1258,'Stock Price'!$I$9)-1,"")</f>
        <v>-0.1193421052631578</v>
      </c>
      <c r="V565" s="19">
        <f ca="1">IF('Stock Price'!$I$11="OK",I565/INDEX(I$5:I$1258,'Stock Price'!$I$9)-1,"")</f>
        <v>0.13621922160444799</v>
      </c>
      <c r="W565" s="19">
        <f ca="1">IF('Stock Price'!$I$11="OK",J565/INDEX(J$5:J$1258,'Stock Price'!$I$9)-1,"")</f>
        <v>-0.4617442334036802</v>
      </c>
      <c r="X565" s="19">
        <f ca="1">IF('Stock Price'!$I$11="OK",K565/INDEX(K$5:K$1258,'Stock Price'!$I$9)-1,"")</f>
        <v>-4.2087542087542062E-2</v>
      </c>
      <c r="Y565" s="19">
        <f ca="1">IF('Stock Price'!$I$11="OK",L565/INDEX(L$5:L$1258,'Stock Price'!$I$9)-1,"")</f>
        <v>-0.24596093561610799</v>
      </c>
      <c r="Z565" s="19">
        <f ca="1">IF('Stock Price'!$I$11="OK",M565/INDEX(M$5:M$1258,'Stock Price'!$I$9)-1,"")</f>
        <v>-0.32458244298111727</v>
      </c>
    </row>
    <row r="566" spans="1:26" x14ac:dyDescent="0.2">
      <c r="A566" s="16">
        <f>'Stock Price'!A566</f>
        <v>45288</v>
      </c>
      <c r="B566" s="17">
        <f>'Stock Price'!E566</f>
        <v>108.77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2.1794269610145633E-2</v>
      </c>
      <c r="P566" s="19">
        <f ca="1">IF('Stock Price'!$I$11="OK",C566/INDEX(C$5:C$1258,'Stock Price'!$I$9)-1,"")</f>
        <v>-0.27840334921322363</v>
      </c>
      <c r="Q566" s="19">
        <f ca="1">IF('Stock Price'!$I$11="OK",D566/INDEX(D$5:D$1258,'Stock Price'!$I$9)-1,"")</f>
        <v>-0.25375667168468596</v>
      </c>
      <c r="R566" s="19">
        <f ca="1">IF('Stock Price'!$I$11="OK",E566/INDEX(E$5:E$1258,'Stock Price'!$I$9)-1,"")</f>
        <v>-0.2526697561958493</v>
      </c>
      <c r="S566" s="19">
        <f ca="1">IF('Stock Price'!$I$11="OK",F566/INDEX(F$5:F$1258,'Stock Price'!$I$9)-1,"")</f>
        <v>-0.30398445092322646</v>
      </c>
      <c r="T566" s="19">
        <f ca="1">IF('Stock Price'!$I$11="OK",G566/INDEX(G$5:G$1258,'Stock Price'!$I$9)-1,"")</f>
        <v>2.3844080447854132E-2</v>
      </c>
      <c r="U566" s="19">
        <f ca="1">IF('Stock Price'!$I$11="OK",H566/INDEX(H$5:H$1258,'Stock Price'!$I$9)-1,"")</f>
        <v>-0.11868421052631573</v>
      </c>
      <c r="V566" s="19">
        <f ca="1">IF('Stock Price'!$I$11="OK",I566/INDEX(I$5:I$1258,'Stock Price'!$I$9)-1,"")</f>
        <v>0.14336775218427311</v>
      </c>
      <c r="W566" s="19">
        <f ca="1">IF('Stock Price'!$I$11="OK",J566/INDEX(J$5:J$1258,'Stock Price'!$I$9)-1,"")</f>
        <v>-0.46235514087896623</v>
      </c>
      <c r="X566" s="19">
        <f ca="1">IF('Stock Price'!$I$11="OK",K566/INDEX(K$5:K$1258,'Stock Price'!$I$9)-1,"")</f>
        <v>-4.1900486344930821E-2</v>
      </c>
      <c r="Y566" s="19">
        <f ca="1">IF('Stock Price'!$I$11="OK",L566/INDEX(L$5:L$1258,'Stock Price'!$I$9)-1,"")</f>
        <v>-0.24485170002411372</v>
      </c>
      <c r="Z566" s="19">
        <f ca="1">IF('Stock Price'!$I$11="OK",M566/INDEX(M$5:M$1258,'Stock Price'!$I$9)-1,"")</f>
        <v>-0.32514936112685888</v>
      </c>
    </row>
    <row r="567" spans="1:26" x14ac:dyDescent="0.2">
      <c r="A567" s="16">
        <f>'Stock Price'!A567</f>
        <v>45289</v>
      </c>
      <c r="B567" s="17">
        <f>'Stock Price'!E567</f>
        <v>109.02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2.4142790042273266E-2</v>
      </c>
      <c r="P567" s="19">
        <f ca="1">IF('Stock Price'!$I$11="OK",C567/INDEX(C$5:C$1258,'Stock Price'!$I$9)-1,"")</f>
        <v>-0.27118521726577161</v>
      </c>
      <c r="Q567" s="19">
        <f ca="1">IF('Stock Price'!$I$11="OK",D567/INDEX(D$5:D$1258,'Stock Price'!$I$9)-1,"")</f>
        <v>-0.26399343095661709</v>
      </c>
      <c r="R567" s="19">
        <f ca="1">IF('Stock Price'!$I$11="OK",E567/INDEX(E$5:E$1258,'Stock Price'!$I$9)-1,"")</f>
        <v>-0.25327422929679633</v>
      </c>
      <c r="S567" s="19">
        <f ca="1">IF('Stock Price'!$I$11="OK",F567/INDEX(F$5:F$1258,'Stock Price'!$I$9)-1,"")</f>
        <v>-0.29582118561710413</v>
      </c>
      <c r="T567" s="19">
        <f ca="1">IF('Stock Price'!$I$11="OK",G567/INDEX(G$5:G$1258,'Stock Price'!$I$9)-1,"")</f>
        <v>3.110097449720084E-2</v>
      </c>
      <c r="U567" s="19">
        <f ca="1">IF('Stock Price'!$I$11="OK",H567/INDEX(H$5:H$1258,'Stock Price'!$I$9)-1,"")</f>
        <v>-0.11499999999999988</v>
      </c>
      <c r="V567" s="19">
        <f ca="1">IF('Stock Price'!$I$11="OK",I567/INDEX(I$5:I$1258,'Stock Price'!$I$9)-1,"")</f>
        <v>0.14336775218427311</v>
      </c>
      <c r="W567" s="19">
        <f ca="1">IF('Stock Price'!$I$11="OK",J567/INDEX(J$5:J$1258,'Stock Price'!$I$9)-1,"")</f>
        <v>-0.46043911288829653</v>
      </c>
      <c r="X567" s="19">
        <f ca="1">IF('Stock Price'!$I$11="OK",K567/INDEX(K$5:K$1258,'Stock Price'!$I$9)-1,"")</f>
        <v>-4.0216984661429089E-2</v>
      </c>
      <c r="Y567" s="19">
        <f ca="1">IF('Stock Price'!$I$11="OK",L567/INDEX(L$5:L$1258,'Stock Price'!$I$9)-1,"")</f>
        <v>-0.24408005787316123</v>
      </c>
      <c r="Z567" s="19">
        <f ca="1">IF('Stock Price'!$I$11="OK",M567/INDEX(M$5:M$1258,'Stock Price'!$I$9)-1,"")</f>
        <v>-0.32418996118791155</v>
      </c>
    </row>
    <row r="568" spans="1:26" x14ac:dyDescent="0.2">
      <c r="A568" s="16">
        <f>'Stock Price'!A568</f>
        <v>45293</v>
      </c>
      <c r="B568" s="17">
        <f>'Stock Price'!E568</f>
        <v>113.24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6.3785814936589968E-2</v>
      </c>
      <c r="P568" s="19">
        <f ca="1">IF('Stock Price'!$I$11="OK",C568/INDEX(C$5:C$1258,'Stock Price'!$I$9)-1,"")</f>
        <v>-0.27096867330734797</v>
      </c>
      <c r="Q568" s="19">
        <f ca="1">IF('Stock Price'!$I$11="OK",D568/INDEX(D$5:D$1258,'Stock Price'!$I$9)-1,"")</f>
        <v>-0.27295853291364458</v>
      </c>
      <c r="R568" s="19">
        <f ca="1">IF('Stock Price'!$I$11="OK",E568/INDEX(E$5:E$1258,'Stock Price'!$I$9)-1,"")</f>
        <v>-0.24420713278259121</v>
      </c>
      <c r="S568" s="19">
        <f ca="1">IF('Stock Price'!$I$11="OK",F568/INDEX(F$5:F$1258,'Stock Price'!$I$9)-1,"")</f>
        <v>-0.29348882410106902</v>
      </c>
      <c r="T568" s="19">
        <f ca="1">IF('Stock Price'!$I$11="OK",G568/INDEX(G$5:G$1258,'Stock Price'!$I$9)-1,"")</f>
        <v>3.6699149906697093E-2</v>
      </c>
      <c r="U568" s="19">
        <f ca="1">IF('Stock Price'!$I$11="OK",H568/INDEX(H$5:H$1258,'Stock Price'!$I$9)-1,"")</f>
        <v>-9.6710526315789358E-2</v>
      </c>
      <c r="V568" s="19">
        <f ca="1">IF('Stock Price'!$I$11="OK",I568/INDEX(I$5:I$1258,'Stock Price'!$I$9)-1,"")</f>
        <v>0.18069896743447189</v>
      </c>
      <c r="W568" s="19">
        <f ca="1">IF('Stock Price'!$I$11="OK",J568/INDEX(J$5:J$1258,'Stock Price'!$I$9)-1,"")</f>
        <v>-0.45184938353882032</v>
      </c>
      <c r="X568" s="19">
        <f ca="1">IF('Stock Price'!$I$11="OK",K568/INDEX(K$5:K$1258,'Stock Price'!$I$9)-1,"")</f>
        <v>-1.3093901982790923E-2</v>
      </c>
      <c r="Y568" s="19">
        <f ca="1">IF('Stock Price'!$I$11="OK",L568/INDEX(L$5:L$1258,'Stock Price'!$I$9)-1,"")</f>
        <v>-0.22850253195080783</v>
      </c>
      <c r="Z568" s="19">
        <f ca="1">IF('Stock Price'!$I$11="OK",M568/INDEX(M$5:M$1258,'Stock Price'!$I$9)-1,"")</f>
        <v>-0.30303955344293754</v>
      </c>
    </row>
    <row r="569" spans="1:26" x14ac:dyDescent="0.2">
      <c r="A569" s="16">
        <f>'Stock Price'!A569</f>
        <v>45294</v>
      </c>
      <c r="B569" s="17">
        <f>'Stock Price'!E569</f>
        <v>114.77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7.815875998121169E-2</v>
      </c>
      <c r="P569" s="19">
        <f ca="1">IF('Stock Price'!$I$11="OK",C569/INDEX(C$5:C$1258,'Stock Price'!$I$9)-1,"")</f>
        <v>-0.24339540926808145</v>
      </c>
      <c r="Q569" s="19">
        <f ca="1">IF('Stock Price'!$I$11="OK",D569/INDEX(D$5:D$1258,'Stock Price'!$I$9)-1,"")</f>
        <v>-0.24204187765156704</v>
      </c>
      <c r="R569" s="19">
        <f ca="1">IF('Stock Price'!$I$11="OK",E569/INDEX(E$5:E$1258,'Stock Price'!$I$9)-1,"")</f>
        <v>-0.2157968970380818</v>
      </c>
      <c r="S569" s="19">
        <f ca="1">IF('Stock Price'!$I$11="OK",F569/INDEX(F$5:F$1258,'Stock Price'!$I$9)-1,"")</f>
        <v>-0.27657920310981543</v>
      </c>
      <c r="T569" s="19">
        <f ca="1">IF('Stock Price'!$I$11="OK",G569/INDEX(G$5:G$1258,'Stock Price'!$I$9)-1,"")</f>
        <v>4.9346879535558941E-2</v>
      </c>
      <c r="U569" s="19">
        <f ca="1">IF('Stock Price'!$I$11="OK",H569/INDEX(H$5:H$1258,'Stock Price'!$I$9)-1,"")</f>
        <v>-9.4605263157894748E-2</v>
      </c>
      <c r="V569" s="19">
        <f ca="1">IF('Stock Price'!$I$11="OK",I569/INDEX(I$5:I$1258,'Stock Price'!$I$9)-1,"")</f>
        <v>0.18069896743447189</v>
      </c>
      <c r="W569" s="19">
        <f ca="1">IF('Stock Price'!$I$11="OK",J569/INDEX(J$5:J$1258,'Stock Price'!$I$9)-1,"")</f>
        <v>-0.428246140175497</v>
      </c>
      <c r="X569" s="19">
        <f ca="1">IF('Stock Price'!$I$11="OK",K569/INDEX(K$5:K$1258,'Stock Price'!$I$9)-1,"")</f>
        <v>-2.1698466142910711E-2</v>
      </c>
      <c r="Y569" s="19">
        <f ca="1">IF('Stock Price'!$I$11="OK",L569/INDEX(L$5:L$1258,'Stock Price'!$I$9)-1,"")</f>
        <v>-0.22367976850735471</v>
      </c>
      <c r="Z569" s="19">
        <f ca="1">IF('Stock Price'!$I$11="OK",M569/INDEX(M$5:M$1258,'Stock Price'!$I$9)-1,"")</f>
        <v>-0.30024857180236364</v>
      </c>
    </row>
    <row r="570" spans="1:26" x14ac:dyDescent="0.2">
      <c r="A570" s="16">
        <f>'Stock Price'!A570</f>
        <v>45295</v>
      </c>
      <c r="B570" s="17">
        <f>'Stock Price'!E570</f>
        <v>117.01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9.9201503053076623E-2</v>
      </c>
      <c r="P570" s="19">
        <f ca="1">IF('Stock Price'!$I$11="OK",C570/INDEX(C$5:C$1258,'Stock Price'!$I$9)-1,"")</f>
        <v>-0.23798181030749244</v>
      </c>
      <c r="Q570" s="19">
        <f ca="1">IF('Stock Price'!$I$11="OK",D570/INDEX(D$5:D$1258,'Stock Price'!$I$9)-1,"")</f>
        <v>-0.24976050362665936</v>
      </c>
      <c r="R570" s="19">
        <f ca="1">IF('Stock Price'!$I$11="OK",E570/INDEX(E$5:E$1258,'Stock Price'!$I$9)-1,"")</f>
        <v>-0.2127745315333468</v>
      </c>
      <c r="S570" s="19">
        <f ca="1">IF('Stock Price'!$I$11="OK",F570/INDEX(F$5:F$1258,'Stock Price'!$I$9)-1,"")</f>
        <v>-0.27191448007774544</v>
      </c>
      <c r="T570" s="19">
        <f ca="1">IF('Stock Price'!$I$11="OK",G570/INDEX(G$5:G$1258,'Stock Price'!$I$9)-1,"")</f>
        <v>5.764047273481232E-2</v>
      </c>
      <c r="U570" s="19">
        <f ca="1">IF('Stock Price'!$I$11="OK",H570/INDEX(H$5:H$1258,'Stock Price'!$I$9)-1,"")</f>
        <v>-7.2763157894736863E-2</v>
      </c>
      <c r="V570" s="19">
        <f ca="1">IF('Stock Price'!$I$11="OK",I570/INDEX(I$5:I$1258,'Stock Price'!$I$9)-1,"")</f>
        <v>0.15528196981731535</v>
      </c>
      <c r="W570" s="19">
        <f ca="1">IF('Stock Price'!$I$11="OK",J570/INDEX(J$5:J$1258,'Stock Price'!$I$9)-1,"")</f>
        <v>-0.43120811581324736</v>
      </c>
      <c r="X570" s="19">
        <f ca="1">IF('Stock Price'!$I$11="OK",K570/INDEX(K$5:K$1258,'Stock Price'!$I$9)-1,"")</f>
        <v>-2.656191545080433E-2</v>
      </c>
      <c r="Y570" s="19">
        <f ca="1">IF('Stock Price'!$I$11="OK",L570/INDEX(L$5:L$1258,'Stock Price'!$I$9)-1,"")</f>
        <v>-0.22531950807812873</v>
      </c>
      <c r="Z570" s="19">
        <f ca="1">IF('Stock Price'!$I$11="OK",M570/INDEX(M$5:M$1258,'Stock Price'!$I$9)-1,"")</f>
        <v>-0.29588766298896685</v>
      </c>
    </row>
    <row r="571" spans="1:26" x14ac:dyDescent="0.2">
      <c r="A571" s="16">
        <f>'Stock Price'!A571</f>
        <v>45296</v>
      </c>
      <c r="B571" s="17">
        <f>'Stock Price'!E571</f>
        <v>117.22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0.1011742602160639</v>
      </c>
      <c r="P571" s="19">
        <f ca="1">IF('Stock Price'!$I$11="OK",C571/INDEX(C$5:C$1258,'Stock Price'!$I$9)-1,"")</f>
        <v>-0.23264039266637793</v>
      </c>
      <c r="Q571" s="19">
        <f ca="1">IF('Stock Price'!$I$11="OK",D571/INDEX(D$5:D$1258,'Stock Price'!$I$9)-1,"")</f>
        <v>-0.25736964554536756</v>
      </c>
      <c r="R571" s="19">
        <f ca="1">IF('Stock Price'!$I$11="OK",E571/INDEX(E$5:E$1258,'Stock Price'!$I$9)-1,"")</f>
        <v>-0.20995365706226077</v>
      </c>
      <c r="S571" s="19">
        <f ca="1">IF('Stock Price'!$I$11="OK",F571/INDEX(F$5:F$1258,'Stock Price'!$I$9)-1,"")</f>
        <v>-0.28027210884353748</v>
      </c>
      <c r="T571" s="19">
        <f ca="1">IF('Stock Price'!$I$11="OK",G571/INDEX(G$5:G$1258,'Stock Price'!$I$9)-1,"")</f>
        <v>6.1787269334439232E-2</v>
      </c>
      <c r="U571" s="19">
        <f ca="1">IF('Stock Price'!$I$11="OK",H571/INDEX(H$5:H$1258,'Stock Price'!$I$9)-1,"")</f>
        <v>-7.3157894736842088E-2</v>
      </c>
      <c r="V571" s="19">
        <f ca="1">IF('Stock Price'!$I$11="OK",I571/INDEX(I$5:I$1258,'Stock Price'!$I$9)-1,"")</f>
        <v>0.17037331215250195</v>
      </c>
      <c r="W571" s="19">
        <f ca="1">IF('Stock Price'!$I$11="OK",J571/INDEX(J$5:J$1258,'Stock Price'!$I$9)-1,"")</f>
        <v>-0.42745936539671958</v>
      </c>
      <c r="X571" s="19">
        <f ca="1">IF('Stock Price'!$I$11="OK",K571/INDEX(K$5:K$1258,'Stock Price'!$I$9)-1,"")</f>
        <v>-2.3007856341189736E-2</v>
      </c>
      <c r="Y571" s="19">
        <f ca="1">IF('Stock Price'!$I$11="OK",L571/INDEX(L$5:L$1258,'Stock Price'!$I$9)-1,"")</f>
        <v>-0.22290812635640223</v>
      </c>
      <c r="Z571" s="19">
        <f ca="1">IF('Stock Price'!$I$11="OK",M571/INDEX(M$5:M$1258,'Stock Price'!$I$9)-1,"")</f>
        <v>-0.29292224499585717</v>
      </c>
    </row>
    <row r="572" spans="1:26" x14ac:dyDescent="0.2">
      <c r="A572" s="16">
        <f>'Stock Price'!A572</f>
        <v>45299</v>
      </c>
      <c r="B572" s="17">
        <f>'Stock Price'!E572</f>
        <v>117.38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0.10267731329262553</v>
      </c>
      <c r="P572" s="19">
        <f ca="1">IF('Stock Price'!$I$11="OK",C572/INDEX(C$5:C$1258,'Stock Price'!$I$9)-1,"")</f>
        <v>-0.2270824310668399</v>
      </c>
      <c r="Q572" s="19">
        <f ca="1">IF('Stock Price'!$I$11="OK",D572/INDEX(D$5:D$1258,'Stock Price'!$I$9)-1,"")</f>
        <v>-0.23634870671958397</v>
      </c>
      <c r="R572" s="19">
        <f ca="1">IF('Stock Price'!$I$11="OK",E572/INDEX(E$5:E$1258,'Stock Price'!$I$9)-1,"")</f>
        <v>-0.2012895426153537</v>
      </c>
      <c r="S572" s="19">
        <f ca="1">IF('Stock Price'!$I$11="OK",F572/INDEX(F$5:F$1258,'Stock Price'!$I$9)-1,"")</f>
        <v>-0.27502429543245877</v>
      </c>
      <c r="T572" s="19">
        <f ca="1">IF('Stock Price'!$I$11="OK",G572/INDEX(G$5:G$1258,'Stock Price'!$I$9)-1,"")</f>
        <v>7.7959776072983766E-2</v>
      </c>
      <c r="U572" s="19">
        <f ca="1">IF('Stock Price'!$I$11="OK",H572/INDEX(H$5:H$1258,'Stock Price'!$I$9)-1,"")</f>
        <v>-7.263157894736838E-2</v>
      </c>
      <c r="V572" s="19">
        <f ca="1">IF('Stock Price'!$I$11="OK",I572/INDEX(I$5:I$1258,'Stock Price'!$I$9)-1,"")</f>
        <v>0.17474185861795077</v>
      </c>
      <c r="W572" s="19">
        <f ca="1">IF('Stock Price'!$I$11="OK",J572/INDEX(J$5:J$1258,'Stock Price'!$I$9)-1,"")</f>
        <v>-0.42053574734347809</v>
      </c>
      <c r="X572" s="19">
        <f ca="1">IF('Stock Price'!$I$11="OK",K572/INDEX(K$5:K$1258,'Stock Price'!$I$9)-1,"")</f>
        <v>-3.1238309016086818E-2</v>
      </c>
      <c r="Y572" s="19">
        <f ca="1">IF('Stock Price'!$I$11="OK",L572/INDEX(L$5:L$1258,'Stock Price'!$I$9)-1,"")</f>
        <v>-0.220979020979021</v>
      </c>
      <c r="Z572" s="19">
        <f ca="1">IF('Stock Price'!$I$11="OK",M572/INDEX(M$5:M$1258,'Stock Price'!$I$9)-1,"")</f>
        <v>-0.29601849025336879</v>
      </c>
    </row>
    <row r="573" spans="1:26" x14ac:dyDescent="0.2">
      <c r="A573" s="16">
        <f>'Stock Price'!A573</f>
        <v>45300</v>
      </c>
      <c r="B573" s="17">
        <f>'Stock Price'!E573</f>
        <v>118.43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0.11254109910756238</v>
      </c>
      <c r="P573" s="19">
        <f ca="1">IF('Stock Price'!$I$11="OK",C573/INDEX(C$5:C$1258,'Stock Price'!$I$9)-1,"")</f>
        <v>-0.23206294211058176</v>
      </c>
      <c r="Q573" s="19">
        <f ca="1">IF('Stock Price'!$I$11="OK",D573/INDEX(D$5:D$1258,'Stock Price'!$I$9)-1,"")</f>
        <v>-0.23602025455043107</v>
      </c>
      <c r="R573" s="19">
        <f ca="1">IF('Stock Price'!$I$11="OK",E573/INDEX(E$5:E$1258,'Stock Price'!$I$9)-1,"")</f>
        <v>-0.19887165021156572</v>
      </c>
      <c r="S573" s="19">
        <f ca="1">IF('Stock Price'!$I$11="OK",F573/INDEX(F$5:F$1258,'Stock Price'!$I$9)-1,"")</f>
        <v>-0.28202137998056376</v>
      </c>
      <c r="T573" s="19">
        <f ca="1">IF('Stock Price'!$I$11="OK",G573/INDEX(G$5:G$1258,'Stock Price'!$I$9)-1,"")</f>
        <v>7.3190959983412851E-2</v>
      </c>
      <c r="U573" s="19">
        <f ca="1">IF('Stock Price'!$I$11="OK",H573/INDEX(H$5:H$1258,'Stock Price'!$I$9)-1,"")</f>
        <v>-6.3289473684210562E-2</v>
      </c>
      <c r="V573" s="19">
        <f ca="1">IF('Stock Price'!$I$11="OK",I573/INDEX(I$5:I$1258,'Stock Price'!$I$9)-1,"")</f>
        <v>0.16759332803812543</v>
      </c>
      <c r="W573" s="19">
        <f ca="1">IF('Stock Price'!$I$11="OK",J573/INDEX(J$5:J$1258,'Stock Price'!$I$9)-1,"")</f>
        <v>-0.42104483690621641</v>
      </c>
      <c r="X573" s="19">
        <f ca="1">IF('Stock Price'!$I$11="OK",K573/INDEX(K$5:K$1258,'Stock Price'!$I$9)-1,"")</f>
        <v>-4.0778151889263037E-2</v>
      </c>
      <c r="Y573" s="19">
        <f ca="1">IF('Stock Price'!$I$11="OK",L573/INDEX(L$5:L$1258,'Stock Price'!$I$9)-1,"")</f>
        <v>-0.22049674463467572</v>
      </c>
      <c r="Z573" s="19">
        <f ca="1">IF('Stock Price'!$I$11="OK",M573/INDEX(M$5:M$1258,'Stock Price'!$I$9)-1,"")</f>
        <v>-0.29218089049757967</v>
      </c>
    </row>
    <row r="574" spans="1:26" x14ac:dyDescent="0.2">
      <c r="A574" s="16">
        <f>'Stock Price'!A574</f>
        <v>45301</v>
      </c>
      <c r="B574" s="17">
        <f>'Stock Price'!E574</f>
        <v>118.86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0.11658055425082203</v>
      </c>
      <c r="P574" s="19">
        <f ca="1">IF('Stock Price'!$I$11="OK",C574/INDEX(C$5:C$1258,'Stock Price'!$I$9)-1,"")</f>
        <v>-0.2244839035657572</v>
      </c>
      <c r="Q574" s="19">
        <f ca="1">IF('Stock Price'!$I$11="OK",D574/INDEX(D$5:D$1258,'Stock Price'!$I$9)-1,"")</f>
        <v>-0.24880306555357889</v>
      </c>
      <c r="R574" s="19">
        <f ca="1">IF('Stock Price'!$I$11="OK",E574/INDEX(E$5:E$1258,'Stock Price'!$I$9)-1,"")</f>
        <v>-0.19423735643763851</v>
      </c>
      <c r="S574" s="19">
        <f ca="1">IF('Stock Price'!$I$11="OK",F574/INDEX(F$5:F$1258,'Stock Price'!$I$9)-1,"")</f>
        <v>-0.27793974732750248</v>
      </c>
      <c r="T574" s="19">
        <f ca="1">IF('Stock Price'!$I$11="OK",G574/INDEX(G$5:G$1258,'Stock Price'!$I$9)-1,"")</f>
        <v>8.6668048932199815E-2</v>
      </c>
      <c r="U574" s="19">
        <f ca="1">IF('Stock Price'!$I$11="OK",H574/INDEX(H$5:H$1258,'Stock Price'!$I$9)-1,"")</f>
        <v>-8.526315789473693E-2</v>
      </c>
      <c r="V574" s="19">
        <f ca="1">IF('Stock Price'!$I$11="OK",I574/INDEX(I$5:I$1258,'Stock Price'!$I$9)-1,"")</f>
        <v>0.1513105639396346</v>
      </c>
      <c r="W574" s="19">
        <f ca="1">IF('Stock Price'!$I$11="OK",J574/INDEX(J$5:J$1258,'Stock Price'!$I$9)-1,"")</f>
        <v>-0.4166851790144025</v>
      </c>
      <c r="X574" s="19">
        <f ca="1">IF('Stock Price'!$I$11="OK",K574/INDEX(K$5:K$1258,'Stock Price'!$I$9)-1,"")</f>
        <v>-5.2375607931163581E-2</v>
      </c>
      <c r="Y574" s="19">
        <f ca="1">IF('Stock Price'!$I$11="OK",L574/INDEX(L$5:L$1258,'Stock Price'!$I$9)-1,"")</f>
        <v>-0.21933928140824688</v>
      </c>
      <c r="Z574" s="19">
        <f ca="1">IF('Stock Price'!$I$11="OK",M574/INDEX(M$5:M$1258,'Stock Price'!$I$9)-1,"")</f>
        <v>-0.28092974575901619</v>
      </c>
    </row>
    <row r="575" spans="1:26" x14ac:dyDescent="0.2">
      <c r="A575" s="16">
        <f>'Stock Price'!A575</f>
        <v>45302</v>
      </c>
      <c r="B575" s="17">
        <f>'Stock Price'!E575</f>
        <v>118.43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0.11254109910756238</v>
      </c>
      <c r="P575" s="19">
        <f ca="1">IF('Stock Price'!$I$11="OK",C575/INDEX(C$5:C$1258,'Stock Price'!$I$9)-1,"")</f>
        <v>-0.22332900245416487</v>
      </c>
      <c r="Q575" s="19">
        <f ca="1">IF('Stock Price'!$I$11="OK",D575/INDEX(D$5:D$1258,'Stock Price'!$I$9)-1,"")</f>
        <v>-0.2499247297112358</v>
      </c>
      <c r="R575" s="19">
        <f ca="1">IF('Stock Price'!$I$11="OK",E575/INDEX(E$5:E$1258,'Stock Price'!$I$9)-1,"")</f>
        <v>-0.2012895426153537</v>
      </c>
      <c r="S575" s="19">
        <f ca="1">IF('Stock Price'!$I$11="OK",F575/INDEX(F$5:F$1258,'Stock Price'!$I$9)-1,"")</f>
        <v>-0.28649173955296403</v>
      </c>
      <c r="T575" s="19">
        <f ca="1">IF('Stock Price'!$I$11="OK",G575/INDEX(G$5:G$1258,'Stock Price'!$I$9)-1,"")</f>
        <v>8.8119427742069156E-2</v>
      </c>
      <c r="U575" s="19">
        <f ca="1">IF('Stock Price'!$I$11="OK",H575/INDEX(H$5:H$1258,'Stock Price'!$I$9)-1,"")</f>
        <v>-0.11078947368421055</v>
      </c>
      <c r="V575" s="19">
        <f ca="1">IF('Stock Price'!$I$11="OK",I575/INDEX(I$5:I$1258,'Stock Price'!$I$9)-1,"")</f>
        <v>0.12787926926131843</v>
      </c>
      <c r="W575" s="19">
        <f ca="1">IF('Stock Price'!$I$11="OK",J575/INDEX(J$5:J$1258,'Stock Price'!$I$9)-1,"")</f>
        <v>-0.41156651486541518</v>
      </c>
      <c r="X575" s="19">
        <f ca="1">IF('Stock Price'!$I$11="OK",K575/INDEX(K$5:K$1258,'Stock Price'!$I$9)-1,"")</f>
        <v>-6.0606060606060663E-2</v>
      </c>
      <c r="Y575" s="19">
        <f ca="1">IF('Stock Price'!$I$11="OK",L575/INDEX(L$5:L$1258,'Stock Price'!$I$9)-1,"")</f>
        <v>-0.22281167108753308</v>
      </c>
      <c r="Z575" s="19">
        <f ca="1">IF('Stock Price'!$I$11="OK",M575/INDEX(M$5:M$1258,'Stock Price'!$I$9)-1,"")</f>
        <v>-0.28577035454188648</v>
      </c>
    </row>
    <row r="576" spans="1:26" x14ac:dyDescent="0.2">
      <c r="A576" s="16">
        <f>'Stock Price'!A576</f>
        <v>45303</v>
      </c>
      <c r="B576" s="17">
        <f>'Stock Price'!E576</f>
        <v>118.63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0.11441991545326435</v>
      </c>
      <c r="P576" s="19">
        <f ca="1">IF('Stock Price'!$I$11="OK",C576/INDEX(C$5:C$1258,'Stock Price'!$I$9)-1,"")</f>
        <v>-0.22441172224628259</v>
      </c>
      <c r="Q576" s="19">
        <f ca="1">IF('Stock Price'!$I$11="OK",D576/INDEX(D$5:D$1258,'Stock Price'!$I$9)-1,"")</f>
        <v>-0.23492541398658828</v>
      </c>
      <c r="R576" s="19">
        <f ca="1">IF('Stock Price'!$I$11="OK",E576/INDEX(E$5:E$1258,'Stock Price'!$I$9)-1,"")</f>
        <v>-0.1920209550674995</v>
      </c>
      <c r="S576" s="19">
        <f ca="1">IF('Stock Price'!$I$11="OK",F576/INDEX(F$5:F$1258,'Stock Price'!$I$9)-1,"")</f>
        <v>-0.28143828960155493</v>
      </c>
      <c r="T576" s="19">
        <f ca="1">IF('Stock Price'!$I$11="OK",G576/INDEX(G$5:G$1258,'Stock Price'!$I$9)-1,"")</f>
        <v>8.2521252332573125E-2</v>
      </c>
      <c r="U576" s="19">
        <f ca="1">IF('Stock Price'!$I$11="OK",H576/INDEX(H$5:H$1258,'Stock Price'!$I$9)-1,"")</f>
        <v>-9.8684210526315819E-2</v>
      </c>
      <c r="V576" s="19">
        <f ca="1">IF('Stock Price'!$I$11="OK",I576/INDEX(I$5:I$1258,'Stock Price'!$I$9)-1,"")</f>
        <v>0.13979348689436066</v>
      </c>
      <c r="W576" s="19">
        <f ca="1">IF('Stock Price'!$I$11="OK",J576/INDEX(J$5:J$1258,'Stock Price'!$I$9)-1,"")</f>
        <v>-0.40490206968047682</v>
      </c>
      <c r="X576" s="19">
        <f ca="1">IF('Stock Price'!$I$11="OK",K576/INDEX(K$5:K$1258,'Stock Price'!$I$9)-1,"")</f>
        <v>-5.8922558922558932E-2</v>
      </c>
      <c r="Y576" s="19">
        <f ca="1">IF('Stock Price'!$I$11="OK",L576/INDEX(L$5:L$1258,'Stock Price'!$I$9)-1,"")</f>
        <v>-0.21683144441765134</v>
      </c>
      <c r="Z576" s="19">
        <f ca="1">IF('Stock Price'!$I$11="OK",M576/INDEX(M$5:M$1258,'Stock Price'!$I$9)-1,"")</f>
        <v>-0.29178840870437395</v>
      </c>
    </row>
    <row r="577" spans="1:26" x14ac:dyDescent="0.2">
      <c r="A577" s="16">
        <f>'Stock Price'!A577</f>
        <v>45307</v>
      </c>
      <c r="B577" s="17">
        <f>'Stock Price'!E577</f>
        <v>118.49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0.11310474401127291</v>
      </c>
      <c r="P577" s="19">
        <f ca="1">IF('Stock Price'!$I$11="OK",C577/INDEX(C$5:C$1258,'Stock Price'!$I$9)-1,"")</f>
        <v>-0.2226793705788942</v>
      </c>
      <c r="Q577" s="19">
        <f ca="1">IF('Stock Price'!$I$11="OK",D577/INDEX(D$5:D$1258,'Stock Price'!$I$9)-1,"")</f>
        <v>-0.27214999315724653</v>
      </c>
      <c r="R577" s="19">
        <f ca="1">IF('Stock Price'!$I$11="OK",E577/INDEX(E$5:E$1258,'Stock Price'!$I$9)-1,"")</f>
        <v>-0.19645375780777752</v>
      </c>
      <c r="S577" s="19">
        <f ca="1">IF('Stock Price'!$I$11="OK",F577/INDEX(F$5:F$1258,'Stock Price'!$I$9)-1,"")</f>
        <v>-0.29446064139941697</v>
      </c>
      <c r="T577" s="19">
        <f ca="1">IF('Stock Price'!$I$11="OK",G577/INDEX(G$5:G$1258,'Stock Price'!$I$9)-1,"")</f>
        <v>6.9044163383786161E-2</v>
      </c>
      <c r="U577" s="19">
        <f ca="1">IF('Stock Price'!$I$11="OK",H577/INDEX(H$5:H$1258,'Stock Price'!$I$9)-1,"")</f>
        <v>-0.11763157894736842</v>
      </c>
      <c r="V577" s="19">
        <f ca="1">IF('Stock Price'!$I$11="OK",I577/INDEX(I$5:I$1258,'Stock Price'!$I$9)-1,"")</f>
        <v>0.12470214455917406</v>
      </c>
      <c r="W577" s="19">
        <f ca="1">IF('Stock Price'!$I$11="OK",J577/INDEX(J$5:J$1258,'Stock Price'!$I$9)-1,"")</f>
        <v>-0.4126309748602317</v>
      </c>
      <c r="X577" s="19">
        <f ca="1">IF('Stock Price'!$I$11="OK",K577/INDEX(K$5:K$1258,'Stock Price'!$I$9)-1,"")</f>
        <v>-6.4721286943509204E-2</v>
      </c>
      <c r="Y577" s="19">
        <f ca="1">IF('Stock Price'!$I$11="OK",L577/INDEX(L$5:L$1258,'Stock Price'!$I$9)-1,"")</f>
        <v>-0.22585001205690858</v>
      </c>
      <c r="Z577" s="19">
        <f ca="1">IF('Stock Price'!$I$11="OK",M577/INDEX(M$5:M$1258,'Stock Price'!$I$9)-1,"")</f>
        <v>-0.29580044481269907</v>
      </c>
    </row>
    <row r="578" spans="1:26" x14ac:dyDescent="0.2">
      <c r="A578" s="16">
        <f>'Stock Price'!A578</f>
        <v>45308</v>
      </c>
      <c r="B578" s="17">
        <f>'Stock Price'!E578</f>
        <v>118.13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0.10972287458900887</v>
      </c>
      <c r="P578" s="19">
        <f ca="1">IF('Stock Price'!$I$11="OK",C578/INDEX(C$5:C$1258,'Stock Price'!$I$9)-1,"")</f>
        <v>-0.21856503536884642</v>
      </c>
      <c r="Q578" s="19">
        <f ca="1">IF('Stock Price'!$I$11="OK",D578/INDEX(D$5:D$1258,'Stock Price'!$I$9)-1,"")</f>
        <v>-0.26645682222526346</v>
      </c>
      <c r="R578" s="19">
        <f ca="1">IF('Stock Price'!$I$11="OK",E578/INDEX(E$5:E$1258,'Stock Price'!$I$9)-1,"")</f>
        <v>-0.19846866814426756</v>
      </c>
      <c r="S578" s="19">
        <f ca="1">IF('Stock Price'!$I$11="OK",F578/INDEX(F$5:F$1258,'Stock Price'!$I$9)-1,"")</f>
        <v>-0.30806608357628762</v>
      </c>
      <c r="T578" s="19">
        <f ca="1">IF('Stock Price'!$I$11="OK",G578/INDEX(G$5:G$1258,'Stock Price'!$I$9)-1,"")</f>
        <v>7.0702882023636837E-2</v>
      </c>
      <c r="U578" s="19">
        <f ca="1">IF('Stock Price'!$I$11="OK",H578/INDEX(H$5:H$1258,'Stock Price'!$I$9)-1,"")</f>
        <v>-0.12618421052631579</v>
      </c>
      <c r="V578" s="19">
        <f ca="1">IF('Stock Price'!$I$11="OK",I578/INDEX(I$5:I$1258,'Stock Price'!$I$9)-1,"")</f>
        <v>0.11795075456711679</v>
      </c>
      <c r="W578" s="19">
        <f ca="1">IF('Stock Price'!$I$11="OK",J578/INDEX(J$5:J$1258,'Stock Price'!$I$9)-1,"")</f>
        <v>-0.41786996926950271</v>
      </c>
      <c r="X578" s="19">
        <f ca="1">IF('Stock Price'!$I$11="OK",K578/INDEX(K$5:K$1258,'Stock Price'!$I$9)-1,"")</f>
        <v>-6.5095398428731799E-2</v>
      </c>
      <c r="Y578" s="19">
        <f ca="1">IF('Stock Price'!$I$11="OK",L578/INDEX(L$5:L$1258,'Stock Price'!$I$9)-1,"")</f>
        <v>-0.22628406076681928</v>
      </c>
      <c r="Z578" s="19">
        <f ca="1">IF('Stock Price'!$I$11="OK",M578/INDEX(M$5:M$1258,'Stock Price'!$I$9)-1,"")</f>
        <v>-0.29335833587719684</v>
      </c>
    </row>
    <row r="579" spans="1:26" x14ac:dyDescent="0.2">
      <c r="A579" s="16">
        <f>'Stock Price'!A579</f>
        <v>45309</v>
      </c>
      <c r="B579" s="17">
        <f>'Stock Price'!E579</f>
        <v>118.54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0.11357444809769857</v>
      </c>
      <c r="P579" s="19">
        <f ca="1">IF('Stock Price'!$I$11="OK",C579/INDEX(C$5:C$1258,'Stock Price'!$I$9)-1,"")</f>
        <v>-0.22022520571676041</v>
      </c>
      <c r="Q579" s="19">
        <f ca="1">IF('Stock Price'!$I$11="OK",D579/INDEX(D$5:D$1258,'Stock Price'!$I$9)-1,"")</f>
        <v>-0.2760366771588888</v>
      </c>
      <c r="R579" s="19">
        <f ca="1">IF('Stock Price'!$I$11="OK",E579/INDEX(E$5:E$1258,'Stock Price'!$I$9)-1,"")</f>
        <v>-0.20330445295184374</v>
      </c>
      <c r="S579" s="19">
        <f ca="1">IF('Stock Price'!$I$11="OK",F579/INDEX(F$5:F$1258,'Stock Price'!$I$9)-1,"")</f>
        <v>-0.31137026239067056</v>
      </c>
      <c r="T579" s="19">
        <f ca="1">IF('Stock Price'!$I$11="OK",G579/INDEX(G$5:G$1258,'Stock Price'!$I$9)-1,"")</f>
        <v>7.5679037943189087E-2</v>
      </c>
      <c r="U579" s="19">
        <f ca="1">IF('Stock Price'!$I$11="OK",H579/INDEX(H$5:H$1258,'Stock Price'!$I$9)-1,"")</f>
        <v>-0.14421052631578934</v>
      </c>
      <c r="V579" s="19">
        <f ca="1">IF('Stock Price'!$I$11="OK",I579/INDEX(I$5:I$1258,'Stock Price'!$I$9)-1,"")</f>
        <v>0.11556791104050834</v>
      </c>
      <c r="W579" s="19">
        <f ca="1">IF('Stock Price'!$I$11="OK",J579/INDEX(J$5:J$1258,'Stock Price'!$I$9)-1,"")</f>
        <v>-0.42301640194009393</v>
      </c>
      <c r="X579" s="19">
        <f ca="1">IF('Stock Price'!$I$11="OK",K579/INDEX(K$5:K$1258,'Stock Price'!$I$9)-1,"")</f>
        <v>-6.3037785260007473E-2</v>
      </c>
      <c r="Y579" s="19">
        <f ca="1">IF('Stock Price'!$I$11="OK",L579/INDEX(L$5:L$1258,'Stock Price'!$I$9)-1,"")</f>
        <v>-0.22252230528092587</v>
      </c>
      <c r="Z579" s="19">
        <f ca="1">IF('Stock Price'!$I$11="OK",M579/INDEX(M$5:M$1258,'Stock Price'!$I$9)-1,"")</f>
        <v>-0.28786359077231694</v>
      </c>
    </row>
    <row r="580" spans="1:26" x14ac:dyDescent="0.2">
      <c r="A580" s="16">
        <f>'Stock Price'!A580</f>
        <v>45310</v>
      </c>
      <c r="B580" s="17">
        <f>'Stock Price'!E580</f>
        <v>118.89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0.1168623767026773</v>
      </c>
      <c r="P580" s="19">
        <f ca="1">IF('Stock Price'!$I$11="OK",C580/INDEX(C$5:C$1258,'Stock Price'!$I$9)-1,"")</f>
        <v>-0.21878157932727005</v>
      </c>
      <c r="Q580" s="19">
        <f ca="1">IF('Stock Price'!$I$11="OK",D580/INDEX(D$5:D$1258,'Stock Price'!$I$9)-1,"")</f>
        <v>-0.27850006842753527</v>
      </c>
      <c r="R580" s="19">
        <f ca="1">IF('Stock Price'!$I$11="OK",E580/INDEX(E$5:E$1258,'Stock Price'!$I$9)-1,"")</f>
        <v>-0.20048357848075771</v>
      </c>
      <c r="S580" s="19">
        <f ca="1">IF('Stock Price'!$I$11="OK",F580/INDEX(F$5:F$1258,'Stock Price'!$I$9)-1,"")</f>
        <v>-0.31311953352769673</v>
      </c>
      <c r="T580" s="19">
        <f ca="1">IF('Stock Price'!$I$11="OK",G580/INDEX(G$5:G$1258,'Stock Price'!$I$9)-1,"")</f>
        <v>5.8055152394775211E-2</v>
      </c>
      <c r="U580" s="19">
        <f ca="1">IF('Stock Price'!$I$11="OK",H580/INDEX(H$5:H$1258,'Stock Price'!$I$9)-1,"")</f>
        <v>-0.14763157894736845</v>
      </c>
      <c r="V580" s="19">
        <f ca="1">IF('Stock Price'!$I$11="OK",I580/INDEX(I$5:I$1258,'Stock Price'!$I$9)-1,"")</f>
        <v>0.12311358220810176</v>
      </c>
      <c r="W580" s="19">
        <f ca="1">IF('Stock Price'!$I$11="OK",J580/INDEX(J$5:J$1258,'Stock Price'!$I$9)-1,"")</f>
        <v>-0.41817542300714572</v>
      </c>
      <c r="X580" s="19">
        <f ca="1">IF('Stock Price'!$I$11="OK",K580/INDEX(K$5:K$1258,'Stock Price'!$I$9)-1,"")</f>
        <v>-6.2663673774784878E-2</v>
      </c>
      <c r="Y580" s="19">
        <f ca="1">IF('Stock Price'!$I$11="OK",L580/INDEX(L$5:L$1258,'Stock Price'!$I$9)-1,"")</f>
        <v>-0.22025560646250297</v>
      </c>
      <c r="Z580" s="19">
        <f ca="1">IF('Stock Price'!$I$11="OK",M580/INDEX(M$5:M$1258,'Stock Price'!$I$9)-1,"")</f>
        <v>-0.28145305481662375</v>
      </c>
    </row>
    <row r="581" spans="1:26" x14ac:dyDescent="0.2">
      <c r="A581" s="16">
        <f>'Stock Price'!A581</f>
        <v>45313</v>
      </c>
      <c r="B581" s="17">
        <f>'Stock Price'!E581</f>
        <v>119.43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0.12193518083607335</v>
      </c>
      <c r="P581" s="19">
        <f ca="1">IF('Stock Price'!$I$11="OK",C581/INDEX(C$5:C$1258,'Stock Price'!$I$9)-1,"")</f>
        <v>-0.21704922765988155</v>
      </c>
      <c r="Q581" s="19">
        <f ca="1">IF('Stock Price'!$I$11="OK",D581/INDEX(D$5:D$1258,'Stock Price'!$I$9)-1,"")</f>
        <v>-0.25397563979745452</v>
      </c>
      <c r="R581" s="19">
        <f ca="1">IF('Stock Price'!$I$11="OK",E581/INDEX(E$5:E$1258,'Stock Price'!$I$9)-1,"")</f>
        <v>-0.20350594398549271</v>
      </c>
      <c r="S581" s="19">
        <f ca="1">IF('Stock Price'!$I$11="OK",F581/INDEX(F$5:F$1258,'Stock Price'!$I$9)-1,"")</f>
        <v>-0.30942662779397478</v>
      </c>
      <c r="T581" s="19">
        <f ca="1">IF('Stock Price'!$I$11="OK",G581/INDEX(G$5:G$1258,'Stock Price'!$I$9)-1,"")</f>
        <v>5.3908355795148299E-2</v>
      </c>
      <c r="U581" s="19">
        <f ca="1">IF('Stock Price'!$I$11="OK",H581/INDEX(H$5:H$1258,'Stock Price'!$I$9)-1,"")</f>
        <v>-0.13539473684210535</v>
      </c>
      <c r="V581" s="19">
        <f ca="1">IF('Stock Price'!$I$11="OK",I581/INDEX(I$5:I$1258,'Stock Price'!$I$9)-1,"")</f>
        <v>0.12430500397140576</v>
      </c>
      <c r="W581" s="19">
        <f ca="1">IF('Stock Price'!$I$11="OK",J581/INDEX(J$5:J$1258,'Stock Price'!$I$9)-1,"")</f>
        <v>-0.41604650301751267</v>
      </c>
      <c r="X581" s="19">
        <f ca="1">IF('Stock Price'!$I$11="OK",K581/INDEX(K$5:K$1258,'Stock Price'!$I$9)-1,"")</f>
        <v>-7.2764683875795044E-2</v>
      </c>
      <c r="Y581" s="19">
        <f ca="1">IF('Stock Price'!$I$11="OK",L581/INDEX(L$5:L$1258,'Stock Price'!$I$9)-1,"")</f>
        <v>-0.2164456233421751</v>
      </c>
      <c r="Z581" s="19">
        <f ca="1">IF('Stock Price'!$I$11="OK",M581/INDEX(M$5:M$1258,'Stock Price'!$I$9)-1,"")</f>
        <v>-0.27874929135231785</v>
      </c>
    </row>
    <row r="582" spans="1:26" x14ac:dyDescent="0.2">
      <c r="A582" s="16">
        <f>'Stock Price'!A582</f>
        <v>45314</v>
      </c>
      <c r="B582" s="17">
        <f>'Stock Price'!E582</f>
        <v>119.84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0.12578675434476283</v>
      </c>
      <c r="P582" s="19">
        <f ca="1">IF('Stock Price'!$I$11="OK",C582/INDEX(C$5:C$1258,'Stock Price'!$I$9)-1,"")</f>
        <v>-0.22239064530099606</v>
      </c>
      <c r="Q582" s="19">
        <f ca="1">IF('Stock Price'!$I$11="OK",D582/INDEX(D$5:D$1258,'Stock Price'!$I$9)-1,"")</f>
        <v>-0.26153003968797051</v>
      </c>
      <c r="R582" s="19">
        <f ca="1">IF('Stock Price'!$I$11="OK",E582/INDEX(E$5:E$1258,'Stock Price'!$I$9)-1,"")</f>
        <v>-0.20854321982671775</v>
      </c>
      <c r="S582" s="19">
        <f ca="1">IF('Stock Price'!$I$11="OK",F582/INDEX(F$5:F$1258,'Stock Price'!$I$9)-1,"")</f>
        <v>-0.31778425655976672</v>
      </c>
      <c r="T582" s="19">
        <f ca="1">IF('Stock Price'!$I$11="OK",G582/INDEX(G$5:G$1258,'Stock Price'!$I$9)-1,"")</f>
        <v>3.4418411776902413E-2</v>
      </c>
      <c r="U582" s="19">
        <f ca="1">IF('Stock Price'!$I$11="OK",H582/INDEX(H$5:H$1258,'Stock Price'!$I$9)-1,"")</f>
        <v>-0.14421052631578934</v>
      </c>
      <c r="V582" s="19">
        <f ca="1">IF('Stock Price'!$I$11="OK",I582/INDEX(I$5:I$1258,'Stock Price'!$I$9)-1,"")</f>
        <v>0.12907069102462265</v>
      </c>
      <c r="W582" s="19">
        <f ca="1">IF('Stock Price'!$I$11="OK",J582/INDEX(J$5:J$1258,'Stock Price'!$I$9)-1,"")</f>
        <v>-0.41715724388166908</v>
      </c>
      <c r="X582" s="19">
        <f ca="1">IF('Stock Price'!$I$11="OK",K582/INDEX(K$5:K$1258,'Stock Price'!$I$9)-1,"")</f>
        <v>-6.2476618032173636E-2</v>
      </c>
      <c r="Y582" s="19">
        <f ca="1">IF('Stock Price'!$I$11="OK",L582/INDEX(L$5:L$1258,'Stock Price'!$I$9)-1,"")</f>
        <v>-0.22927417410176032</v>
      </c>
      <c r="Z582" s="19">
        <f ca="1">IF('Stock Price'!$I$11="OK",M582/INDEX(M$5:M$1258,'Stock Price'!$I$9)-1,"")</f>
        <v>-0.26954777375605077</v>
      </c>
    </row>
    <row r="583" spans="1:26" x14ac:dyDescent="0.2">
      <c r="A583" s="16">
        <f>'Stock Price'!A583</f>
        <v>45315</v>
      </c>
      <c r="B583" s="17">
        <f>'Stock Price'!E583</f>
        <v>118.88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0.11676843588539221</v>
      </c>
      <c r="P583" s="19">
        <f ca="1">IF('Stock Price'!$I$11="OK",C583/INDEX(C$5:C$1258,'Stock Price'!$I$9)-1,"")</f>
        <v>-0.22368990905153741</v>
      </c>
      <c r="Q583" s="19">
        <f ca="1">IF('Stock Price'!$I$11="OK",D583/INDEX(D$5:D$1258,'Stock Price'!$I$9)-1,"")</f>
        <v>-0.27784371150951137</v>
      </c>
      <c r="R583" s="19">
        <f ca="1">IF('Stock Price'!$I$11="OK",E583/INDEX(E$5:E$1258,'Stock Price'!$I$9)-1,"")</f>
        <v>-0.21358049566794279</v>
      </c>
      <c r="S583" s="19">
        <f ca="1">IF('Stock Price'!$I$11="OK",F583/INDEX(F$5:F$1258,'Stock Price'!$I$9)-1,"")</f>
        <v>-0.31428571428571428</v>
      </c>
      <c r="T583" s="19">
        <f ca="1">IF('Stock Price'!$I$11="OK",G583/INDEX(G$5:G$1258,'Stock Price'!$I$9)-1,"")</f>
        <v>3.4418411776902413E-2</v>
      </c>
      <c r="U583" s="19">
        <f ca="1">IF('Stock Price'!$I$11="OK",H583/INDEX(H$5:H$1258,'Stock Price'!$I$9)-1,"")</f>
        <v>-0.14144736842105265</v>
      </c>
      <c r="V583" s="19">
        <f ca="1">IF('Stock Price'!$I$11="OK",I583/INDEX(I$5:I$1258,'Stock Price'!$I$9)-1,"")</f>
        <v>0.12509928514694191</v>
      </c>
      <c r="W583" s="19">
        <f ca="1">IF('Stock Price'!$I$11="OK",J583/INDEX(J$5:J$1258,'Stock Price'!$I$9)-1,"")</f>
        <v>-0.4134362619867451</v>
      </c>
      <c r="X583" s="19">
        <f ca="1">IF('Stock Price'!$I$11="OK",K583/INDEX(K$5:K$1258,'Stock Price'!$I$9)-1,"")</f>
        <v>-6.0231949120837958E-2</v>
      </c>
      <c r="Y583" s="19">
        <f ca="1">IF('Stock Price'!$I$11="OK",L583/INDEX(L$5:L$1258,'Stock Price'!$I$9)-1,"")</f>
        <v>-0.23337352302869541</v>
      </c>
      <c r="Z583" s="19">
        <f ca="1">IF('Stock Price'!$I$11="OK",M583/INDEX(M$5:M$1258,'Stock Price'!$I$9)-1,"")</f>
        <v>-0.28385155466399203</v>
      </c>
    </row>
    <row r="584" spans="1:26" x14ac:dyDescent="0.2">
      <c r="A584" s="16">
        <f>'Stock Price'!A584</f>
        <v>45316</v>
      </c>
      <c r="B584" s="17">
        <f>'Stock Price'!E584</f>
        <v>120.13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0.12851103804603103</v>
      </c>
      <c r="P584" s="19">
        <f ca="1">IF('Stock Price'!$I$11="OK",C584/INDEX(C$5:C$1258,'Stock Price'!$I$9)-1,"")</f>
        <v>-0.22773206294211057</v>
      </c>
      <c r="Q584" s="19">
        <f ca="1">IF('Stock Price'!$I$11="OK",D584/INDEX(D$5:D$1258,'Stock Price'!$I$9)-1,"")</f>
        <v>-0.27718680717120581</v>
      </c>
      <c r="R584" s="19">
        <f ca="1">IF('Stock Price'!$I$11="OK",E584/INDEX(E$5:E$1258,'Stock Price'!$I$9)-1,"")</f>
        <v>-0.21740882530727379</v>
      </c>
      <c r="S584" s="19">
        <f ca="1">IF('Stock Price'!$I$11="OK",F584/INDEX(F$5:F$1258,'Stock Price'!$I$9)-1,"")</f>
        <v>-0.32244897959183683</v>
      </c>
      <c r="T584" s="19">
        <f ca="1">IF('Stock Price'!$I$11="OK",G584/INDEX(G$5:G$1258,'Stock Price'!$I$9)-1,"")</f>
        <v>3.4211071946921079E-2</v>
      </c>
      <c r="U584" s="19">
        <f ca="1">IF('Stock Price'!$I$11="OK",H584/INDEX(H$5:H$1258,'Stock Price'!$I$9)-1,"")</f>
        <v>-0.14144736842105265</v>
      </c>
      <c r="V584" s="19">
        <f ca="1">IF('Stock Price'!$I$11="OK",I584/INDEX(I$5:I$1258,'Stock Price'!$I$9)-1,"")</f>
        <v>9.0945194598887946E-2</v>
      </c>
      <c r="W584" s="19">
        <f ca="1">IF('Stock Price'!$I$11="OK",J584/INDEX(J$5:J$1258,'Stock Price'!$I$9)-1,"")</f>
        <v>-0.41906401569847085</v>
      </c>
      <c r="X584" s="19">
        <f ca="1">IF('Stock Price'!$I$11="OK",K584/INDEX(K$5:K$1258,'Stock Price'!$I$9)-1,"")</f>
        <v>-7.2016460905349855E-2</v>
      </c>
      <c r="Y584" s="19">
        <f ca="1">IF('Stock Price'!$I$11="OK",L584/INDEX(L$5:L$1258,'Stock Price'!$I$9)-1,"")</f>
        <v>-0.23047986496262352</v>
      </c>
      <c r="Z584" s="19">
        <f ca="1">IF('Stock Price'!$I$11="OK",M584/INDEX(M$5:M$1258,'Stock Price'!$I$9)-1,"")</f>
        <v>-0.27988312764380097</v>
      </c>
    </row>
    <row r="585" spans="1:26" x14ac:dyDescent="0.2">
      <c r="A585" s="16">
        <f>'Stock Price'!A585</f>
        <v>45317</v>
      </c>
      <c r="B585" s="17">
        <f>'Stock Price'!E585</f>
        <v>120.82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0.13499295443870363</v>
      </c>
      <c r="P585" s="19">
        <f ca="1">IF('Stock Price'!$I$11="OK",C585/INDEX(C$5:C$1258,'Stock Price'!$I$9)-1,"")</f>
        <v>-0.22650498051104373</v>
      </c>
      <c r="Q585" s="19">
        <f ca="1">IF('Stock Price'!$I$11="OK",D585/INDEX(D$5:D$1258,'Stock Price'!$I$9)-1,"")</f>
        <v>-0.27877377856849606</v>
      </c>
      <c r="R585" s="19">
        <f ca="1">IF('Stock Price'!$I$11="OK",E585/INDEX(E$5:E$1258,'Stock Price'!$I$9)-1,"")</f>
        <v>-0.2127745315333468</v>
      </c>
      <c r="S585" s="19">
        <f ca="1">IF('Stock Price'!$I$11="OK",F585/INDEX(F$5:F$1258,'Stock Price'!$I$9)-1,"")</f>
        <v>-0.3072886297376094</v>
      </c>
      <c r="T585" s="19">
        <f ca="1">IF('Stock Price'!$I$11="OK",G585/INDEX(G$5:G$1258,'Stock Price'!$I$9)-1,"")</f>
        <v>3.9601907526435998E-2</v>
      </c>
      <c r="U585" s="19">
        <f ca="1">IF('Stock Price'!$I$11="OK",H585/INDEX(H$5:H$1258,'Stock Price'!$I$9)-1,"")</f>
        <v>-0.1496052631578948</v>
      </c>
      <c r="V585" s="19">
        <f ca="1">IF('Stock Price'!$I$11="OK",I585/INDEX(I$5:I$1258,'Stock Price'!$I$9)-1,"")</f>
        <v>9.0945194598887946E-2</v>
      </c>
      <c r="W585" s="19">
        <f ca="1">IF('Stock Price'!$I$11="OK",J585/INDEX(J$5:J$1258,'Stock Price'!$I$9)-1,"")</f>
        <v>-0.40829908549002181</v>
      </c>
      <c r="X585" s="19">
        <f ca="1">IF('Stock Price'!$I$11="OK",K585/INDEX(K$5:K$1258,'Stock Price'!$I$9)-1,"")</f>
        <v>-7.0332959221848124E-2</v>
      </c>
      <c r="Y585" s="19">
        <f ca="1">IF('Stock Price'!$I$11="OK",L585/INDEX(L$5:L$1258,'Stock Price'!$I$9)-1,"")</f>
        <v>-0.23076923076923073</v>
      </c>
      <c r="Z585" s="19">
        <f ca="1">IF('Stock Price'!$I$11="OK",M585/INDEX(M$5:M$1258,'Stock Price'!$I$9)-1,"")</f>
        <v>-0.28306659107758059</v>
      </c>
    </row>
    <row r="586" spans="1:26" x14ac:dyDescent="0.2">
      <c r="A586" s="16">
        <f>'Stock Price'!A586</f>
        <v>45320</v>
      </c>
      <c r="B586" s="17">
        <f>'Stock Price'!E586</f>
        <v>121.28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0.13931423203381876</v>
      </c>
      <c r="P586" s="19">
        <f ca="1">IF('Stock Price'!$I$11="OK",C586/INDEX(C$5:C$1258,'Stock Price'!$I$9)-1,"")</f>
        <v>-0.22080265627255657</v>
      </c>
      <c r="Q586" s="19">
        <f ca="1">IF('Stock Price'!$I$11="OK",D586/INDEX(D$5:D$1258,'Stock Price'!$I$9)-1,"")</f>
        <v>-0.27477815793075144</v>
      </c>
      <c r="R586" s="19">
        <f ca="1">IF('Stock Price'!$I$11="OK",E586/INDEX(E$5:E$1258,'Stock Price'!$I$9)-1,"")</f>
        <v>-0.21297602256699577</v>
      </c>
      <c r="S586" s="19">
        <f ca="1">IF('Stock Price'!$I$11="OK",F586/INDEX(F$5:F$1258,'Stock Price'!$I$9)-1,"")</f>
        <v>-0.30379008746355685</v>
      </c>
      <c r="T586" s="19">
        <f ca="1">IF('Stock Price'!$I$11="OK",G586/INDEX(G$5:G$1258,'Stock Price'!$I$9)-1,"")</f>
        <v>4.2504665146174681E-2</v>
      </c>
      <c r="U586" s="19">
        <f ca="1">IF('Stock Price'!$I$11="OK",H586/INDEX(H$5:H$1258,'Stock Price'!$I$9)-1,"")</f>
        <v>-0.19092105263157888</v>
      </c>
      <c r="V586" s="19">
        <f ca="1">IF('Stock Price'!$I$11="OK",I586/INDEX(I$5:I$1258,'Stock Price'!$I$9)-1,"")</f>
        <v>9.1342335186656021E-2</v>
      </c>
      <c r="W586" s="19">
        <f ca="1">IF('Stock Price'!$I$11="OK",J586/INDEX(J$5:J$1258,'Stock Price'!$I$9)-1,"")</f>
        <v>-0.40297678551593907</v>
      </c>
      <c r="X586" s="19">
        <f ca="1">IF('Stock Price'!$I$11="OK",K586/INDEX(K$5:K$1258,'Stock Price'!$I$9)-1,"")</f>
        <v>-6.7153011597456125E-2</v>
      </c>
      <c r="Y586" s="19">
        <f ca="1">IF('Stock Price'!$I$11="OK",L586/INDEX(L$5:L$1258,'Stock Price'!$I$9)-1,"")</f>
        <v>-0.23144441765131407</v>
      </c>
      <c r="Z586" s="19">
        <f ca="1">IF('Stock Price'!$I$11="OK",M586/INDEX(M$5:M$1258,'Stock Price'!$I$9)-1,"")</f>
        <v>-0.28520343639614498</v>
      </c>
    </row>
    <row r="587" spans="1:26" x14ac:dyDescent="0.2">
      <c r="A587" s="16">
        <f>'Stock Price'!A587</f>
        <v>45321</v>
      </c>
      <c r="B587" s="17">
        <f>'Stock Price'!E587</f>
        <v>121.66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0.14288398309065276</v>
      </c>
      <c r="P587" s="19">
        <f ca="1">IF('Stock Price'!$I$11="OK",C587/INDEX(C$5:C$1258,'Stock Price'!$I$9)-1,"")</f>
        <v>-0.22224628266204705</v>
      </c>
      <c r="Q587" s="19">
        <f ca="1">IF('Stock Price'!$I$11="OK",D587/INDEX(D$5:D$1258,'Stock Price'!$I$9)-1,"")</f>
        <v>-0.2815108799781032</v>
      </c>
      <c r="R587" s="19">
        <f ca="1">IF('Stock Price'!$I$11="OK",E587/INDEX(E$5:E$1258,'Stock Price'!$I$9)-1,"")</f>
        <v>-0.21237154946604875</v>
      </c>
      <c r="S587" s="19">
        <f ca="1">IF('Stock Price'!$I$11="OK",F587/INDEX(F$5:F$1258,'Stock Price'!$I$9)-1,"")</f>
        <v>-0.3026239067055394</v>
      </c>
      <c r="T587" s="19">
        <f ca="1">IF('Stock Price'!$I$11="OK",G587/INDEX(G$5:G$1258,'Stock Price'!$I$9)-1,"")</f>
        <v>4.1882645656230677E-2</v>
      </c>
      <c r="U587" s="19">
        <f ca="1">IF('Stock Price'!$I$11="OK",H587/INDEX(H$5:H$1258,'Stock Price'!$I$9)-1,"")</f>
        <v>-0.20842105263157895</v>
      </c>
      <c r="V587" s="19">
        <f ca="1">IF('Stock Price'!$I$11="OK",I587/INDEX(I$5:I$1258,'Stock Price'!$I$9)-1,"")</f>
        <v>7.3073868149324817E-2</v>
      </c>
      <c r="W587" s="19">
        <f ca="1">IF('Stock Price'!$I$11="OK",J587/INDEX(J$5:J$1258,'Stock Price'!$I$9)-1,"")</f>
        <v>-0.40299529786367505</v>
      </c>
      <c r="X587" s="19">
        <f ca="1">IF('Stock Price'!$I$11="OK",K587/INDEX(K$5:K$1258,'Stock Price'!$I$9)-1,"")</f>
        <v>-7.6131687242798396E-2</v>
      </c>
      <c r="Y587" s="19">
        <f ca="1">IF('Stock Price'!$I$11="OK",L587/INDEX(L$5:L$1258,'Stock Price'!$I$9)-1,"")</f>
        <v>-0.2342898480829515</v>
      </c>
      <c r="Z587" s="19">
        <f ca="1">IF('Stock Price'!$I$11="OK",M587/INDEX(M$5:M$1258,'Stock Price'!$I$9)-1,"")</f>
        <v>-0.28079891849461436</v>
      </c>
    </row>
    <row r="588" spans="1:26" x14ac:dyDescent="0.2">
      <c r="A588" s="16">
        <f>'Stock Price'!A588</f>
        <v>45322</v>
      </c>
      <c r="B588" s="17">
        <f>'Stock Price'!E588</f>
        <v>120.78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0.13461719116956306</v>
      </c>
      <c r="P588" s="19">
        <f ca="1">IF('Stock Price'!$I$11="OK",C588/INDEX(C$5:C$1258,'Stock Price'!$I$9)-1,"")</f>
        <v>-0.25313988739714155</v>
      </c>
      <c r="Q588" s="19">
        <f ca="1">IF('Stock Price'!$I$11="OK",D588/INDEX(D$5:D$1258,'Stock Price'!$I$9)-1,"")</f>
        <v>-0.27521554673600657</v>
      </c>
      <c r="R588" s="19">
        <f ca="1">IF('Stock Price'!$I$11="OK",E588/INDEX(E$5:E$1258,'Stock Price'!$I$9)-1,"")</f>
        <v>-0.20531936328833378</v>
      </c>
      <c r="S588" s="19">
        <f ca="1">IF('Stock Price'!$I$11="OK",F588/INDEX(F$5:F$1258,'Stock Price'!$I$9)-1,"")</f>
        <v>-0.3170068027210885</v>
      </c>
      <c r="T588" s="19">
        <f ca="1">IF('Stock Price'!$I$11="OK",G588/INDEX(G$5:G$1258,'Stock Price'!$I$9)-1,"")</f>
        <v>3.4625751606883748E-2</v>
      </c>
      <c r="U588" s="19">
        <f ca="1">IF('Stock Price'!$I$11="OK",H588/INDEX(H$5:H$1258,'Stock Price'!$I$9)-1,"")</f>
        <v>-0.23947368421052639</v>
      </c>
      <c r="V588" s="19">
        <f ca="1">IF('Stock Price'!$I$11="OK",I588/INDEX(I$5:I$1258,'Stock Price'!$I$9)-1,"")</f>
        <v>7.5456711675933263E-2</v>
      </c>
      <c r="W588" s="19">
        <f ca="1">IF('Stock Price'!$I$11="OK",J588/INDEX(J$5:J$1258,'Stock Price'!$I$9)-1,"")</f>
        <v>-0.40241215890999293</v>
      </c>
      <c r="X588" s="19">
        <f ca="1">IF('Stock Price'!$I$11="OK",K588/INDEX(K$5:K$1258,'Stock Price'!$I$9)-1,"")</f>
        <v>-8.5858585858585967E-2</v>
      </c>
      <c r="Y588" s="19">
        <f ca="1">IF('Stock Price'!$I$11="OK",L588/INDEX(L$5:L$1258,'Stock Price'!$I$9)-1,"")</f>
        <v>-0.23366288883530262</v>
      </c>
      <c r="Z588" s="19">
        <f ca="1">IF('Stock Price'!$I$11="OK",M588/INDEX(M$5:M$1258,'Stock Price'!$I$9)-1,"")</f>
        <v>-0.28306659107758059</v>
      </c>
    </row>
    <row r="589" spans="1:26" x14ac:dyDescent="0.2">
      <c r="A589" s="16">
        <f>'Stock Price'!A589</f>
        <v>45323</v>
      </c>
      <c r="B589" s="17">
        <f>'Stock Price'!E589</f>
        <v>126.38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0.18722404884922494</v>
      </c>
      <c r="P589" s="19">
        <f ca="1">IF('Stock Price'!$I$11="OK",C589/INDEX(C$5:C$1258,'Stock Price'!$I$9)-1,"")</f>
        <v>-0.23971416197488082</v>
      </c>
      <c r="Q589" s="19">
        <f ca="1">IF('Stock Price'!$I$11="OK",D589/INDEX(D$5:D$1258,'Stock Price'!$I$9)-1,"")</f>
        <v>-0.27674832352538659</v>
      </c>
      <c r="R589" s="19">
        <f ca="1">IF('Stock Price'!$I$11="OK",E589/INDEX(E$5:E$1258,'Stock Price'!$I$9)-1,"")</f>
        <v>-0.18134193028410239</v>
      </c>
      <c r="S589" s="19">
        <f ca="1">IF('Stock Price'!$I$11="OK",F589/INDEX(F$5:F$1258,'Stock Price'!$I$9)-1,"")</f>
        <v>-0.33294460641399415</v>
      </c>
      <c r="T589" s="19">
        <f ca="1">IF('Stock Price'!$I$11="OK",G589/INDEX(G$5:G$1258,'Stock Price'!$I$9)-1,"")</f>
        <v>3.7321169396640208E-3</v>
      </c>
      <c r="U589" s="19">
        <f ca="1">IF('Stock Price'!$I$11="OK",H589/INDEX(H$5:H$1258,'Stock Price'!$I$9)-1,"")</f>
        <v>-0.25592105263157894</v>
      </c>
      <c r="V589" s="19">
        <f ca="1">IF('Stock Price'!$I$11="OK",I589/INDEX(I$5:I$1258,'Stock Price'!$I$9)-1,"")</f>
        <v>8.3796664019062828E-2</v>
      </c>
      <c r="W589" s="19">
        <f ca="1">IF('Stock Price'!$I$11="OK",J589/INDEX(J$5:J$1258,'Stock Price'!$I$9)-1,"")</f>
        <v>-0.38869450923766147</v>
      </c>
      <c r="X589" s="19">
        <f ca="1">IF('Stock Price'!$I$11="OK",K589/INDEX(K$5:K$1258,'Stock Price'!$I$9)-1,"")</f>
        <v>-8.9599700710811803E-2</v>
      </c>
      <c r="Y589" s="19">
        <f ca="1">IF('Stock Price'!$I$11="OK",L589/INDEX(L$5:L$1258,'Stock Price'!$I$9)-1,"")</f>
        <v>-0.23626718109476719</v>
      </c>
      <c r="Z589" s="19">
        <f ca="1">IF('Stock Price'!$I$11="OK",M589/INDEX(M$5:M$1258,'Stock Price'!$I$9)-1,"")</f>
        <v>-0.26915529196284504</v>
      </c>
    </row>
    <row r="590" spans="1:26" x14ac:dyDescent="0.2">
      <c r="A590" s="16">
        <f>'Stock Price'!A590</f>
        <v>45324</v>
      </c>
      <c r="B590" s="17">
        <f>'Stock Price'!E590</f>
        <v>126.41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0.18750587130108021</v>
      </c>
      <c r="P590" s="19">
        <f ca="1">IF('Stock Price'!$I$11="OK",C590/INDEX(C$5:C$1258,'Stock Price'!$I$9)-1,"")</f>
        <v>-0.25133535441027854</v>
      </c>
      <c r="Q590" s="19">
        <f ca="1">IF('Stock Price'!$I$11="OK",D590/INDEX(D$5:D$1258,'Stock Price'!$I$9)-1,"")</f>
        <v>-0.27795264814561382</v>
      </c>
      <c r="R590" s="19">
        <f ca="1">IF('Stock Price'!$I$11="OK",E590/INDEX(E$5:E$1258,'Stock Price'!$I$9)-1,"")</f>
        <v>-0.17952851098126144</v>
      </c>
      <c r="S590" s="19">
        <f ca="1">IF('Stock Price'!$I$11="OK",F590/INDEX(F$5:F$1258,'Stock Price'!$I$9)-1,"")</f>
        <v>-0.34013605442176864</v>
      </c>
      <c r="T590" s="19">
        <f ca="1">IF('Stock Price'!$I$11="OK",G590/INDEX(G$5:G$1258,'Stock Price'!$I$9)-1,"")</f>
        <v>-2.0733982998133893E-2</v>
      </c>
      <c r="U590" s="19">
        <f ca="1">IF('Stock Price'!$I$11="OK",H590/INDEX(H$5:H$1258,'Stock Price'!$I$9)-1,"")</f>
        <v>-0.245</v>
      </c>
      <c r="V590" s="19">
        <f ca="1">IF('Stock Price'!$I$11="OK",I590/INDEX(I$5:I$1258,'Stock Price'!$I$9)-1,"")</f>
        <v>6.9499602859412146E-2</v>
      </c>
      <c r="W590" s="19">
        <f ca="1">IF('Stock Price'!$I$11="OK",J590/INDEX(J$5:J$1258,'Stock Price'!$I$9)-1,"")</f>
        <v>-0.38201155170498724</v>
      </c>
      <c r="X590" s="19">
        <f ca="1">IF('Stock Price'!$I$11="OK",K590/INDEX(K$5:K$1258,'Stock Price'!$I$9)-1,"")</f>
        <v>-8.8851477740366613E-2</v>
      </c>
      <c r="Y590" s="19">
        <f ca="1">IF('Stock Price'!$I$11="OK",L590/INDEX(L$5:L$1258,'Stock Price'!$I$9)-1,"")</f>
        <v>-0.24470701712081011</v>
      </c>
      <c r="Z590" s="19">
        <f ca="1">IF('Stock Price'!$I$11="OK",M590/INDEX(M$5:M$1258,'Stock Price'!$I$9)-1,"")</f>
        <v>-0.2644455104443767</v>
      </c>
    </row>
    <row r="591" spans="1:26" x14ac:dyDescent="0.2">
      <c r="A591" s="16">
        <f>'Stock Price'!A591</f>
        <v>45327</v>
      </c>
      <c r="B591" s="17">
        <f>'Stock Price'!E591</f>
        <v>126.18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0.18534523250352275</v>
      </c>
      <c r="P591" s="19">
        <f ca="1">IF('Stock Price'!$I$11="OK",C591/INDEX(C$5:C$1258,'Stock Price'!$I$9)-1,"")</f>
        <v>-0.25313988739714155</v>
      </c>
      <c r="Q591" s="19">
        <f ca="1">IF('Stock Price'!$I$11="OK",D591/INDEX(D$5:D$1258,'Stock Price'!$I$9)-1,"")</f>
        <v>-0.29908307102778164</v>
      </c>
      <c r="R591" s="19">
        <f ca="1">IF('Stock Price'!$I$11="OK",E591/INDEX(E$5:E$1258,'Stock Price'!$I$9)-1,"")</f>
        <v>-0.16240177312109616</v>
      </c>
      <c r="S591" s="19">
        <f ca="1">IF('Stock Price'!$I$11="OK",F591/INDEX(F$5:F$1258,'Stock Price'!$I$9)-1,"")</f>
        <v>-0.35549076773566579</v>
      </c>
      <c r="T591" s="19">
        <f ca="1">IF('Stock Price'!$I$11="OK",G591/INDEX(G$5:G$1258,'Stock Price'!$I$9)-1,"")</f>
        <v>-2.653949823761137E-2</v>
      </c>
      <c r="U591" s="19">
        <f ca="1">IF('Stock Price'!$I$11="OK",H591/INDEX(H$5:H$1258,'Stock Price'!$I$9)-1,"")</f>
        <v>-0.24763157894736842</v>
      </c>
      <c r="V591" s="19">
        <f ca="1">IF('Stock Price'!$I$11="OK",I591/INDEX(I$5:I$1258,'Stock Price'!$I$9)-1,"")</f>
        <v>5.5202541699761687E-2</v>
      </c>
      <c r="W591" s="19">
        <f ca="1">IF('Stock Price'!$I$11="OK",J591/INDEX(J$5:J$1258,'Stock Price'!$I$9)-1,"")</f>
        <v>-0.34632900144396306</v>
      </c>
      <c r="X591" s="19">
        <f ca="1">IF('Stock Price'!$I$11="OK",K591/INDEX(K$5:K$1258,'Stock Price'!$I$9)-1,"")</f>
        <v>-0.10250654695099148</v>
      </c>
      <c r="Y591" s="19">
        <f ca="1">IF('Stock Price'!$I$11="OK",L591/INDEX(L$5:L$1258,'Stock Price'!$I$9)-1,"")</f>
        <v>-0.24861345551000713</v>
      </c>
      <c r="Z591" s="19">
        <f ca="1">IF('Stock Price'!$I$11="OK",M591/INDEX(M$5:M$1258,'Stock Price'!$I$9)-1,"")</f>
        <v>-0.25315075661767916</v>
      </c>
    </row>
    <row r="592" spans="1:26" x14ac:dyDescent="0.2">
      <c r="A592" s="16">
        <f>'Stock Price'!A592</f>
        <v>45328</v>
      </c>
      <c r="B592" s="17">
        <f>'Stock Price'!E592</f>
        <v>126.88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0.19192108971348043</v>
      </c>
      <c r="P592" s="19">
        <f ca="1">IF('Stock Price'!$I$11="OK",C592/INDEX(C$5:C$1258,'Stock Price'!$I$9)-1,"")</f>
        <v>-0.25119099177132953</v>
      </c>
      <c r="Q592" s="19">
        <f ca="1">IF('Stock Price'!$I$11="OK",D592/INDEX(D$5:D$1258,'Stock Price'!$I$9)-1,"")</f>
        <v>-0.2673326946763378</v>
      </c>
      <c r="R592" s="19">
        <f ca="1">IF('Stock Price'!$I$11="OK",E592/INDEX(E$5:E$1258,'Stock Price'!$I$9)-1,"")</f>
        <v>-0.15877493451541413</v>
      </c>
      <c r="S592" s="19">
        <f ca="1">IF('Stock Price'!$I$11="OK",F592/INDEX(F$5:F$1258,'Stock Price'!$I$9)-1,"")</f>
        <v>-0.35335276967930029</v>
      </c>
      <c r="T592" s="19">
        <f ca="1">IF('Stock Price'!$I$11="OK",G592/INDEX(G$5:G$1258,'Stock Price'!$I$9)-1,"")</f>
        <v>-2.4258760107816579E-2</v>
      </c>
      <c r="U592" s="19">
        <f ca="1">IF('Stock Price'!$I$11="OK",H592/INDEX(H$5:H$1258,'Stock Price'!$I$9)-1,"")</f>
        <v>-0.23144736842105262</v>
      </c>
      <c r="V592" s="19">
        <f ca="1">IF('Stock Price'!$I$11="OK",I592/INDEX(I$5:I$1258,'Stock Price'!$I$9)-1,"")</f>
        <v>9.213661636219217E-2</v>
      </c>
      <c r="W592" s="19">
        <f ca="1">IF('Stock Price'!$I$11="OK",J592/INDEX(J$5:J$1258,'Stock Price'!$I$9)-1,"")</f>
        <v>-0.34741197378651556</v>
      </c>
      <c r="X592" s="19">
        <f ca="1">IF('Stock Price'!$I$11="OK",K592/INDEX(K$5:K$1258,'Stock Price'!$I$9)-1,"")</f>
        <v>-7.8563411896745317E-2</v>
      </c>
      <c r="Y592" s="19">
        <f ca="1">IF('Stock Price'!$I$11="OK",L592/INDEX(L$5:L$1258,'Stock Price'!$I$9)-1,"")</f>
        <v>-0.23771401012780324</v>
      </c>
      <c r="Z592" s="19">
        <f ca="1">IF('Stock Price'!$I$11="OK",M592/INDEX(M$5:M$1258,'Stock Price'!$I$9)-1,"")</f>
        <v>-0.24429811172648386</v>
      </c>
    </row>
    <row r="593" spans="1:26" x14ac:dyDescent="0.2">
      <c r="A593" s="16">
        <f>'Stock Price'!A593</f>
        <v>45329</v>
      </c>
      <c r="B593" s="17">
        <f>'Stock Price'!E593</f>
        <v>127.47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0.19746359793330193</v>
      </c>
      <c r="P593" s="19">
        <f ca="1">IF('Stock Price'!$I$11="OK",C593/INDEX(C$5:C$1258,'Stock Price'!$I$9)-1,"")</f>
        <v>-0.25321206871661617</v>
      </c>
      <c r="Q593" s="19">
        <f ca="1">IF('Stock Price'!$I$11="OK",D593/INDEX(D$5:D$1258,'Stock Price'!$I$9)-1,"")</f>
        <v>-0.27006979608594506</v>
      </c>
      <c r="R593" s="19">
        <f ca="1">IF('Stock Price'!$I$11="OK",E593/INDEX(E$5:E$1258,'Stock Price'!$I$9)-1,"")</f>
        <v>-0.15333467660689093</v>
      </c>
      <c r="S593" s="19">
        <f ca="1">IF('Stock Price'!$I$11="OK",F593/INDEX(F$5:F$1258,'Stock Price'!$I$9)-1,"")</f>
        <v>-0.36734693877551028</v>
      </c>
      <c r="T593" s="19">
        <f ca="1">IF('Stock Price'!$I$11="OK",G593/INDEX(G$5:G$1258,'Stock Price'!$I$9)-1,"")</f>
        <v>-2.7161517727555373E-2</v>
      </c>
      <c r="U593" s="19">
        <f ca="1">IF('Stock Price'!$I$11="OK",H593/INDEX(H$5:H$1258,'Stock Price'!$I$9)-1,"")</f>
        <v>-0.24473684210526314</v>
      </c>
      <c r="V593" s="19">
        <f ca="1">IF('Stock Price'!$I$11="OK",I593/INDEX(I$5:I$1258,'Stock Price'!$I$9)-1,"")</f>
        <v>9.4519459888800617E-2</v>
      </c>
      <c r="W593" s="19">
        <f ca="1">IF('Stock Price'!$I$11="OK",J593/INDEX(J$5:J$1258,'Stock Price'!$I$9)-1,"")</f>
        <v>-0.32857565996519678</v>
      </c>
      <c r="X593" s="19">
        <f ca="1">IF('Stock Price'!$I$11="OK",K593/INDEX(K$5:K$1258,'Stock Price'!$I$9)-1,"")</f>
        <v>-9.016086793864575E-2</v>
      </c>
      <c r="Y593" s="19">
        <f ca="1">IF('Stock Price'!$I$11="OK",L593/INDEX(L$5:L$1258,'Stock Price'!$I$9)-1,"")</f>
        <v>-0.23809983120327949</v>
      </c>
      <c r="Z593" s="19">
        <f ca="1">IF('Stock Price'!$I$11="OK",M593/INDEX(M$5:M$1258,'Stock Price'!$I$9)-1,"")</f>
        <v>-0.2367973485674415</v>
      </c>
    </row>
    <row r="594" spans="1:26" x14ac:dyDescent="0.2">
      <c r="A594" s="16">
        <f>'Stock Price'!A594</f>
        <v>45330</v>
      </c>
      <c r="B594" s="17">
        <f>'Stock Price'!E594</f>
        <v>126.61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0.1893846876467824</v>
      </c>
      <c r="P594" s="19">
        <f ca="1">IF('Stock Price'!$I$11="OK",C594/INDEX(C$5:C$1258,'Stock Price'!$I$9)-1,"")</f>
        <v>-0.26837014580626528</v>
      </c>
      <c r="Q594" s="19">
        <f ca="1">IF('Stock Price'!$I$11="OK",D594/INDEX(D$5:D$1258,'Stock Price'!$I$9)-1,"")</f>
        <v>-0.31572464759819352</v>
      </c>
      <c r="R594" s="19">
        <f ca="1">IF('Stock Price'!$I$11="OK",E594/INDEX(E$5:E$1258,'Stock Price'!$I$9)-1,"")</f>
        <v>-0.15736449727987112</v>
      </c>
      <c r="S594" s="19">
        <f ca="1">IF('Stock Price'!$I$11="OK",F594/INDEX(F$5:F$1258,'Stock Price'!$I$9)-1,"")</f>
        <v>-0.37609329446064144</v>
      </c>
      <c r="T594" s="19">
        <f ca="1">IF('Stock Price'!$I$11="OK",G594/INDEX(G$5:G$1258,'Stock Price'!$I$9)-1,"")</f>
        <v>-3.4625751606883526E-2</v>
      </c>
      <c r="U594" s="19">
        <f ca="1">IF('Stock Price'!$I$11="OK",H594/INDEX(H$5:H$1258,'Stock Price'!$I$9)-1,"")</f>
        <v>-0.26986842105263154</v>
      </c>
      <c r="V594" s="19">
        <f ca="1">IF('Stock Price'!$I$11="OK",I594/INDEX(I$5:I$1258,'Stock Price'!$I$9)-1,"")</f>
        <v>9.4916600476568691E-2</v>
      </c>
      <c r="W594" s="19">
        <f ca="1">IF('Stock Price'!$I$11="OK",J594/INDEX(J$5:J$1258,'Stock Price'!$I$9)-1,"")</f>
        <v>-0.31904180088118772</v>
      </c>
      <c r="X594" s="19">
        <f ca="1">IF('Stock Price'!$I$11="OK",K594/INDEX(K$5:K$1258,'Stock Price'!$I$9)-1,"")</f>
        <v>-8.8851477740366613E-2</v>
      </c>
      <c r="Y594" s="19">
        <f ca="1">IF('Stock Price'!$I$11="OK",L594/INDEX(L$5:L$1258,'Stock Price'!$I$9)-1,"")</f>
        <v>-0.24571979744393535</v>
      </c>
      <c r="Z594" s="19">
        <f ca="1">IF('Stock Price'!$I$11="OK",M594/INDEX(M$5:M$1258,'Stock Price'!$I$9)-1,"")</f>
        <v>-0.23775674850638873</v>
      </c>
    </row>
    <row r="595" spans="1:26" x14ac:dyDescent="0.2">
      <c r="A595" s="16">
        <f>'Stock Price'!A595</f>
        <v>45331</v>
      </c>
      <c r="B595" s="17">
        <f>'Stock Price'!E595</f>
        <v>125.45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0.17848755284170981</v>
      </c>
      <c r="P595" s="19">
        <f ca="1">IF('Stock Price'!$I$11="OK",C595/INDEX(C$5:C$1258,'Stock Price'!$I$9)-1,"")</f>
        <v>-0.27075212934892445</v>
      </c>
      <c r="Q595" s="19">
        <f ca="1">IF('Stock Price'!$I$11="OK",D595/INDEX(D$5:D$1258,'Stock Price'!$I$9)-1,"")</f>
        <v>-0.32393595182701518</v>
      </c>
      <c r="R595" s="19">
        <f ca="1">IF('Stock Price'!$I$11="OK",E595/INDEX(E$5:E$1258,'Stock Price'!$I$9)-1,"")</f>
        <v>-0.15555107797703016</v>
      </c>
      <c r="S595" s="19">
        <f ca="1">IF('Stock Price'!$I$11="OK",F595/INDEX(F$5:F$1258,'Stock Price'!$I$9)-1,"")</f>
        <v>-0.37201166180758016</v>
      </c>
      <c r="T595" s="19">
        <f ca="1">IF('Stock Price'!$I$11="OK",G595/INDEX(G$5:G$1258,'Stock Price'!$I$9)-1,"")</f>
        <v>-3.5869790586771644E-2</v>
      </c>
      <c r="U595" s="19">
        <f ca="1">IF('Stock Price'!$I$11="OK",H595/INDEX(H$5:H$1258,'Stock Price'!$I$9)-1,"")</f>
        <v>-0.26881578947368423</v>
      </c>
      <c r="V595" s="19">
        <f ca="1">IF('Stock Price'!$I$11="OK",I595/INDEX(I$5:I$1258,'Stock Price'!$I$9)-1,"")</f>
        <v>9.4519459888800617E-2</v>
      </c>
      <c r="W595" s="19">
        <f ca="1">IF('Stock Price'!$I$11="OK",J595/INDEX(J$5:J$1258,'Stock Price'!$I$9)-1,"")</f>
        <v>-0.31489503498833715</v>
      </c>
      <c r="X595" s="19">
        <f ca="1">IF('Stock Price'!$I$11="OK",K595/INDEX(K$5:K$1258,'Stock Price'!$I$9)-1,"")</f>
        <v>-6.8275346053123798E-2</v>
      </c>
      <c r="Y595" s="19">
        <f ca="1">IF('Stock Price'!$I$11="OK",L595/INDEX(L$5:L$1258,'Stock Price'!$I$9)-1,"")</f>
        <v>-0.2439836026042923</v>
      </c>
      <c r="Z595" s="19">
        <f ca="1">IF('Stock Price'!$I$11="OK",M595/INDEX(M$5:M$1258,'Stock Price'!$I$9)-1,"")</f>
        <v>-0.24085299376390035</v>
      </c>
    </row>
    <row r="596" spans="1:26" x14ac:dyDescent="0.2">
      <c r="A596" s="16">
        <f>'Stock Price'!A596</f>
        <v>45334</v>
      </c>
      <c r="B596" s="17">
        <f>'Stock Price'!E596</f>
        <v>125.34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0.1774542038515734</v>
      </c>
      <c r="P596" s="19">
        <f ca="1">IF('Stock Price'!$I$11="OK",C596/INDEX(C$5:C$1258,'Stock Price'!$I$9)-1,"")</f>
        <v>-0.27436119532265046</v>
      </c>
      <c r="Q596" s="19">
        <f ca="1">IF('Stock Price'!$I$11="OK",D596/INDEX(D$5:D$1258,'Stock Price'!$I$9)-1,"")</f>
        <v>-0.33945586423977014</v>
      </c>
      <c r="R596" s="19">
        <f ca="1">IF('Stock Price'!$I$11="OK",E596/INDEX(E$5:E$1258,'Stock Price'!$I$9)-1,"")</f>
        <v>-0.17247632480354624</v>
      </c>
      <c r="S596" s="19">
        <f ca="1">IF('Stock Price'!$I$11="OK",F596/INDEX(F$5:F$1258,'Stock Price'!$I$9)-1,"")</f>
        <v>-0.36637512147716234</v>
      </c>
      <c r="T596" s="19">
        <f ca="1">IF('Stock Price'!$I$11="OK",G596/INDEX(G$5:G$1258,'Stock Price'!$I$9)-1,"")</f>
        <v>-3.9187227866472996E-2</v>
      </c>
      <c r="U596" s="19">
        <f ca="1">IF('Stock Price'!$I$11="OK",H596/INDEX(H$5:H$1258,'Stock Price'!$I$9)-1,"")</f>
        <v>-0.25460526315789478</v>
      </c>
      <c r="V596" s="19">
        <f ca="1">IF('Stock Price'!$I$11="OK",I596/INDEX(I$5:I$1258,'Stock Price'!$I$9)-1,"")</f>
        <v>9.8490865766481361E-2</v>
      </c>
      <c r="W596" s="19">
        <f ca="1">IF('Stock Price'!$I$11="OK",J596/INDEX(J$5:J$1258,'Stock Price'!$I$9)-1,"")</f>
        <v>-0.31757932541004841</v>
      </c>
      <c r="X596" s="19">
        <f ca="1">IF('Stock Price'!$I$11="OK",K596/INDEX(K$5:K$1258,'Stock Price'!$I$9)-1,"")</f>
        <v>-6.9397680508791582E-2</v>
      </c>
      <c r="Y596" s="19">
        <f ca="1">IF('Stock Price'!$I$11="OK",L596/INDEX(L$5:L$1258,'Stock Price'!$I$9)-1,"")</f>
        <v>-0.23872679045092837</v>
      </c>
      <c r="Z596" s="19">
        <f ca="1">IF('Stock Price'!$I$11="OK",M596/INDEX(M$5:M$1258,'Stock Price'!$I$9)-1,"")</f>
        <v>-0.24525751166543108</v>
      </c>
    </row>
    <row r="597" spans="1:26" x14ac:dyDescent="0.2">
      <c r="A597" s="16">
        <f>'Stock Price'!A597</f>
        <v>45335</v>
      </c>
      <c r="B597" s="17">
        <f>'Stock Price'!E597</f>
        <v>125.43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0.17829967120713963</v>
      </c>
      <c r="P597" s="19">
        <f ca="1">IF('Stock Price'!$I$11="OK",C597/INDEX(C$5:C$1258,'Stock Price'!$I$9)-1,"")</f>
        <v>-0.28497184928540487</v>
      </c>
      <c r="Q597" s="19">
        <f ca="1">IF('Stock Price'!$I$11="OK",D597/INDEX(D$5:D$1258,'Stock Price'!$I$9)-1,"")</f>
        <v>-0.32393595182701518</v>
      </c>
      <c r="R597" s="19">
        <f ca="1">IF('Stock Price'!$I$11="OK",E597/INDEX(E$5:E$1258,'Stock Price'!$I$9)-1,"")</f>
        <v>-0.16602861172677819</v>
      </c>
      <c r="S597" s="19">
        <f ca="1">IF('Stock Price'!$I$11="OK",F597/INDEX(F$5:F$1258,'Stock Price'!$I$9)-1,"")</f>
        <v>-0.3755102040816326</v>
      </c>
      <c r="T597" s="19">
        <f ca="1">IF('Stock Price'!$I$11="OK",G597/INDEX(G$5:G$1258,'Stock Price'!$I$9)-1,"")</f>
        <v>-5.1420277835372064E-2</v>
      </c>
      <c r="U597" s="19">
        <f ca="1">IF('Stock Price'!$I$11="OK",H597/INDEX(H$5:H$1258,'Stock Price'!$I$9)-1,"")</f>
        <v>-0.26552631578947372</v>
      </c>
      <c r="V597" s="19">
        <f ca="1">IF('Stock Price'!$I$11="OK",I597/INDEX(I$5:I$1258,'Stock Price'!$I$9)-1,"")</f>
        <v>7.1088165210484444E-2</v>
      </c>
      <c r="W597" s="19">
        <f ca="1">IF('Stock Price'!$I$11="OK",J597/INDEX(J$5:J$1258,'Stock Price'!$I$9)-1,"")</f>
        <v>-0.31229405013143763</v>
      </c>
      <c r="X597" s="19">
        <f ca="1">IF('Stock Price'!$I$11="OK",K597/INDEX(K$5:K$1258,'Stock Price'!$I$9)-1,"")</f>
        <v>-8.8851477740366613E-2</v>
      </c>
      <c r="Y597" s="19">
        <f ca="1">IF('Stock Price'!$I$11="OK",L597/INDEX(L$5:L$1258,'Stock Price'!$I$9)-1,"")</f>
        <v>-0.24538220400289368</v>
      </c>
      <c r="Z597" s="19">
        <f ca="1">IF('Stock Price'!$I$11="OK",M597/INDEX(M$5:M$1258,'Stock Price'!$I$9)-1,"")</f>
        <v>-0.24429811172648386</v>
      </c>
    </row>
    <row r="598" spans="1:26" x14ac:dyDescent="0.2">
      <c r="A598" s="16">
        <f>'Stock Price'!A598</f>
        <v>45336</v>
      </c>
      <c r="B598" s="17">
        <f>'Stock Price'!E598</f>
        <v>125.82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0.18196336308125871</v>
      </c>
      <c r="P598" s="19">
        <f ca="1">IF('Stock Price'!$I$11="OK",C598/INDEX(C$5:C$1258,'Stock Price'!$I$9)-1,"")</f>
        <v>-0.28504403060487948</v>
      </c>
      <c r="Q598" s="19">
        <f ca="1">IF('Stock Price'!$I$11="OK",D598/INDEX(D$5:D$1258,'Stock Price'!$I$9)-1,"")</f>
        <v>-0.33324209661967985</v>
      </c>
      <c r="R598" s="19">
        <f ca="1">IF('Stock Price'!$I$11="OK",E598/INDEX(E$5:E$1258,'Stock Price'!$I$9)-1,"")</f>
        <v>-0.15776747934716917</v>
      </c>
      <c r="S598" s="19">
        <f ca="1">IF('Stock Price'!$I$11="OK",F598/INDEX(F$5:F$1258,'Stock Price'!$I$9)-1,"")</f>
        <v>-0.37764820213799799</v>
      </c>
      <c r="T598" s="19">
        <f ca="1">IF('Stock Price'!$I$11="OK",G598/INDEX(G$5:G$1258,'Stock Price'!$I$9)-1,"")</f>
        <v>-5.0383578685465502E-2</v>
      </c>
      <c r="U598" s="19">
        <f ca="1">IF('Stock Price'!$I$11="OK",H598/INDEX(H$5:H$1258,'Stock Price'!$I$9)-1,"")</f>
        <v>-0.26131578947368417</v>
      </c>
      <c r="V598" s="19">
        <f ca="1">IF('Stock Price'!$I$11="OK",I598/INDEX(I$5:I$1258,'Stock Price'!$I$9)-1,"")</f>
        <v>7.6648133439237487E-2</v>
      </c>
      <c r="W598" s="19">
        <f ca="1">IF('Stock Price'!$I$11="OK",J598/INDEX(J$5:J$1258,'Stock Price'!$I$9)-1,"")</f>
        <v>-0.29902069680476873</v>
      </c>
      <c r="X598" s="19">
        <f ca="1">IF('Stock Price'!$I$11="OK",K598/INDEX(K$5:K$1258,'Stock Price'!$I$9)-1,"")</f>
        <v>-8.5484474373363262E-2</v>
      </c>
      <c r="Y598" s="19">
        <f ca="1">IF('Stock Price'!$I$11="OK",L598/INDEX(L$5:L$1258,'Stock Price'!$I$9)-1,"")</f>
        <v>-0.24890282131661434</v>
      </c>
      <c r="Z598" s="19">
        <f ca="1">IF('Stock Price'!$I$11="OK",M598/INDEX(M$5:M$1258,'Stock Price'!$I$9)-1,"")</f>
        <v>-0.23937028476734556</v>
      </c>
    </row>
    <row r="599" spans="1:26" x14ac:dyDescent="0.2">
      <c r="A599" s="16">
        <f>'Stock Price'!A599</f>
        <v>45337</v>
      </c>
      <c r="B599" s="17">
        <f>'Stock Price'!E599</f>
        <v>126.54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0.18872710192578679</v>
      </c>
      <c r="P599" s="19">
        <f ca="1">IF('Stock Price'!$I$11="OK",C599/INDEX(C$5:C$1258,'Stock Price'!$I$9)-1,"")</f>
        <v>-0.28085751407535731</v>
      </c>
      <c r="Q599" s="19">
        <f ca="1">IF('Stock Price'!$I$11="OK",D599/INDEX(D$5:D$1258,'Stock Price'!$I$9)-1,"")</f>
        <v>-0.32119885041740803</v>
      </c>
      <c r="R599" s="19">
        <f ca="1">IF('Stock Price'!$I$11="OK",E599/INDEX(E$5:E$1258,'Stock Price'!$I$9)-1,"")</f>
        <v>-0.15837195244811608</v>
      </c>
      <c r="S599" s="19">
        <f ca="1">IF('Stock Price'!$I$11="OK",F599/INDEX(F$5:F$1258,'Stock Price'!$I$9)-1,"")</f>
        <v>-0.37609329446064144</v>
      </c>
      <c r="T599" s="19">
        <f ca="1">IF('Stock Price'!$I$11="OK",G599/INDEX(G$5:G$1258,'Stock Price'!$I$9)-1,"")</f>
        <v>-3.8150528716566323E-2</v>
      </c>
      <c r="U599" s="19">
        <f ca="1">IF('Stock Price'!$I$11="OK",H599/INDEX(H$5:H$1258,'Stock Price'!$I$9)-1,"")</f>
        <v>-0.2617105263157895</v>
      </c>
      <c r="V599" s="19">
        <f ca="1">IF('Stock Price'!$I$11="OK",I599/INDEX(I$5:I$1258,'Stock Price'!$I$9)-1,"")</f>
        <v>9.2533756949960466E-2</v>
      </c>
      <c r="W599" s="19">
        <f ca="1">IF('Stock Price'!$I$11="OK",J599/INDEX(J$5:J$1258,'Stock Price'!$I$9)-1,"")</f>
        <v>-0.29858565663297421</v>
      </c>
      <c r="X599" s="19">
        <f ca="1">IF('Stock Price'!$I$11="OK",K599/INDEX(K$5:K$1258,'Stock Price'!$I$9)-1,"")</f>
        <v>-7.5196408529741965E-2</v>
      </c>
      <c r="Y599" s="19">
        <f ca="1">IF('Stock Price'!$I$11="OK",L599/INDEX(L$5:L$1258,'Stock Price'!$I$9)-1,"")</f>
        <v>-0.2383891970098867</v>
      </c>
      <c r="Z599" s="19">
        <f ca="1">IF('Stock Price'!$I$11="OK",M599/INDEX(M$5:M$1258,'Stock Price'!$I$9)-1,"")</f>
        <v>-0.22990711264227459</v>
      </c>
    </row>
    <row r="600" spans="1:26" x14ac:dyDescent="0.2">
      <c r="A600" s="16">
        <f>'Stock Price'!A600</f>
        <v>45338</v>
      </c>
      <c r="B600" s="17">
        <f>'Stock Price'!E600</f>
        <v>127.79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0.20046970408642562</v>
      </c>
      <c r="P600" s="19">
        <f ca="1">IF('Stock Price'!$I$11="OK",C600/INDEX(C$5:C$1258,'Stock Price'!$I$9)-1,"")</f>
        <v>-0.27681536018478414</v>
      </c>
      <c r="Q600" s="19">
        <f ca="1">IF('Stock Price'!$I$11="OK",D600/INDEX(D$5:D$1258,'Stock Price'!$I$9)-1,"")</f>
        <v>-0.30269604488846313</v>
      </c>
      <c r="R600" s="19">
        <f ca="1">IF('Stock Price'!$I$11="OK",E600/INDEX(E$5:E$1258,'Stock Price'!$I$9)-1,"")</f>
        <v>-0.15494660487608314</v>
      </c>
      <c r="S600" s="19">
        <f ca="1">IF('Stock Price'!$I$11="OK",F600/INDEX(F$5:F$1258,'Stock Price'!$I$9)-1,"")</f>
        <v>-0.37259475218658888</v>
      </c>
      <c r="T600" s="19">
        <f ca="1">IF('Stock Price'!$I$11="OK",G600/INDEX(G$5:G$1258,'Stock Price'!$I$9)-1,"")</f>
        <v>-4.2504665146174569E-2</v>
      </c>
      <c r="U600" s="19">
        <f ca="1">IF('Stock Price'!$I$11="OK",H600/INDEX(H$5:H$1258,'Stock Price'!$I$9)-1,"")</f>
        <v>-0.24710526315789472</v>
      </c>
      <c r="V600" s="19">
        <f ca="1">IF('Stock Price'!$I$11="OK",I600/INDEX(I$5:I$1258,'Stock Price'!$I$9)-1,"")</f>
        <v>9.6902303415409063E-2</v>
      </c>
      <c r="W600" s="19">
        <f ca="1">IF('Stock Price'!$I$11="OK",J600/INDEX(J$5:J$1258,'Stock Price'!$I$9)-1,"")</f>
        <v>-0.27611166648154317</v>
      </c>
      <c r="X600" s="19">
        <f ca="1">IF('Stock Price'!$I$11="OK",K600/INDEX(K$5:K$1258,'Stock Price'!$I$9)-1,"")</f>
        <v>-6.7340067340067367E-2</v>
      </c>
      <c r="Y600" s="19">
        <f ca="1">IF('Stock Price'!$I$11="OK",L600/INDEX(L$5:L$1258,'Stock Price'!$I$9)-1,"")</f>
        <v>-0.24499638292741732</v>
      </c>
      <c r="Z600" s="19">
        <f ca="1">IF('Stock Price'!$I$11="OK",M600/INDEX(M$5:M$1258,'Stock Price'!$I$9)-1,"")</f>
        <v>-0.22598229471021758</v>
      </c>
    </row>
    <row r="601" spans="1:26" x14ac:dyDescent="0.2">
      <c r="A601" s="16">
        <f>'Stock Price'!A601</f>
        <v>45342</v>
      </c>
      <c r="B601" s="17">
        <f>'Stock Price'!E601</f>
        <v>127.37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0.19652418976045083</v>
      </c>
      <c r="P601" s="19">
        <f ca="1">IF('Stock Price'!$I$11="OK",C601/INDEX(C$5:C$1258,'Stock Price'!$I$9)-1,"")</f>
        <v>-0.25855348635773057</v>
      </c>
      <c r="Q601" s="19">
        <f ca="1">IF('Stock Price'!$I$11="OK",D601/INDEX(D$5:D$1258,'Stock Price'!$I$9)-1,"")</f>
        <v>-0.29656493773094295</v>
      </c>
      <c r="R601" s="19">
        <f ca="1">IF('Stock Price'!$I$11="OK",E601/INDEX(E$5:E$1258,'Stock Price'!$I$9)-1,"")</f>
        <v>-0.15333467660689093</v>
      </c>
      <c r="S601" s="19">
        <f ca="1">IF('Stock Price'!$I$11="OK",F601/INDEX(F$5:F$1258,'Stock Price'!$I$9)-1,"")</f>
        <v>-0.36365403304178812</v>
      </c>
      <c r="T601" s="19">
        <f ca="1">IF('Stock Price'!$I$11="OK",G601/INDEX(G$5:G$1258,'Stock Price'!$I$9)-1,"")</f>
        <v>-2.8612896537424715E-2</v>
      </c>
      <c r="U601" s="19">
        <f ca="1">IF('Stock Price'!$I$11="OK",H601/INDEX(H$5:H$1258,'Stock Price'!$I$9)-1,"")</f>
        <v>-0.24302631578947365</v>
      </c>
      <c r="V601" s="19">
        <f ca="1">IF('Stock Price'!$I$11="OK",I601/INDEX(I$5:I$1258,'Stock Price'!$I$9)-1,"")</f>
        <v>9.571088165210484E-2</v>
      </c>
      <c r="W601" s="19">
        <f ca="1">IF('Stock Price'!$I$11="OK",J601/INDEX(J$5:J$1258,'Stock Price'!$I$9)-1,"")</f>
        <v>-0.30054796549298379</v>
      </c>
      <c r="X601" s="19">
        <f ca="1">IF('Stock Price'!$I$11="OK",K601/INDEX(K$5:K$1258,'Stock Price'!$I$9)-1,"")</f>
        <v>-6.7340067340067367E-2</v>
      </c>
      <c r="Y601" s="19">
        <f ca="1">IF('Stock Price'!$I$11="OK",L601/INDEX(L$5:L$1258,'Stock Price'!$I$9)-1,"")</f>
        <v>-0.2386785628164938</v>
      </c>
      <c r="Z601" s="19">
        <f ca="1">IF('Stock Price'!$I$11="OK",M601/INDEX(M$5:M$1258,'Stock Price'!$I$9)-1,"")</f>
        <v>-0.23357027604552794</v>
      </c>
    </row>
    <row r="602" spans="1:26" x14ac:dyDescent="0.2">
      <c r="A602" s="16">
        <f>'Stock Price'!A602</f>
        <v>45343</v>
      </c>
      <c r="B602" s="17">
        <f>'Stock Price'!E602</f>
        <v>128.12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0.20356975105683417</v>
      </c>
      <c r="P602" s="19">
        <f ca="1">IF('Stock Price'!$I$11="OK",C602/INDEX(C$5:C$1258,'Stock Price'!$I$9)-1,"")</f>
        <v>-0.2597083874693229</v>
      </c>
      <c r="Q602" s="19">
        <f ca="1">IF('Stock Price'!$I$11="OK",D602/INDEX(D$5:D$1258,'Stock Price'!$I$9)-1,"")</f>
        <v>-0.3047762419597646</v>
      </c>
      <c r="R602" s="19">
        <f ca="1">IF('Stock Price'!$I$11="OK",E602/INDEX(E$5:E$1258,'Stock Price'!$I$9)-1,"")</f>
        <v>-0.15494660487608314</v>
      </c>
      <c r="S602" s="19">
        <f ca="1">IF('Stock Price'!$I$11="OK",F602/INDEX(F$5:F$1258,'Stock Price'!$I$9)-1,"")</f>
        <v>-0.3603498542274054</v>
      </c>
      <c r="T602" s="19">
        <f ca="1">IF('Stock Price'!$I$11="OK",G602/INDEX(G$5:G$1258,'Stock Price'!$I$9)-1,"")</f>
        <v>-6.4275347294213692E-3</v>
      </c>
      <c r="U602" s="19">
        <f ca="1">IF('Stock Price'!$I$11="OK",H602/INDEX(H$5:H$1258,'Stock Price'!$I$9)-1,"")</f>
        <v>-0.23868421052631583</v>
      </c>
      <c r="V602" s="19">
        <f ca="1">IF('Stock Price'!$I$11="OK",I602/INDEX(I$5:I$1258,'Stock Price'!$I$9)-1,"")</f>
        <v>9.8888006354249436E-2</v>
      </c>
      <c r="W602" s="19">
        <f ca="1">IF('Stock Price'!$I$11="OK",J602/INDEX(J$5:J$1258,'Stock Price'!$I$9)-1,"")</f>
        <v>-0.30957273501425442</v>
      </c>
      <c r="X602" s="19">
        <f ca="1">IF('Stock Price'!$I$11="OK",K602/INDEX(K$5:K$1258,'Stock Price'!$I$9)-1,"")</f>
        <v>-4.7699214365881093E-2</v>
      </c>
      <c r="Y602" s="19">
        <f ca="1">IF('Stock Price'!$I$11="OK",L602/INDEX(L$5:L$1258,'Stock Price'!$I$9)-1,"")</f>
        <v>-0.23472389679286221</v>
      </c>
      <c r="Z602" s="19">
        <f ca="1">IF('Stock Price'!$I$11="OK",M602/INDEX(M$5:M$1258,'Stock Price'!$I$9)-1,"")</f>
        <v>-0.2362304304217</v>
      </c>
    </row>
    <row r="603" spans="1:26" x14ac:dyDescent="0.2">
      <c r="A603" s="16">
        <f>'Stock Price'!A603</f>
        <v>45344</v>
      </c>
      <c r="B603" s="17">
        <f>'Stock Price'!E603</f>
        <v>129.26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0.21427900422733659</v>
      </c>
      <c r="P603" s="19">
        <f ca="1">IF('Stock Price'!$I$11="OK",C603/INDEX(C$5:C$1258,'Stock Price'!$I$9)-1,"")</f>
        <v>-0.2579760358019344</v>
      </c>
      <c r="Q603" s="19">
        <f ca="1">IF('Stock Price'!$I$11="OK",D603/INDEX(D$5:D$1258,'Stock Price'!$I$9)-1,"")</f>
        <v>-0.30768632817845909</v>
      </c>
      <c r="R603" s="19">
        <f ca="1">IF('Stock Price'!$I$11="OK",E603/INDEX(E$5:E$1258,'Stock Price'!$I$9)-1,"")</f>
        <v>-0.15051380213580512</v>
      </c>
      <c r="S603" s="19">
        <f ca="1">IF('Stock Price'!$I$11="OK",F603/INDEX(F$5:F$1258,'Stock Price'!$I$9)-1,"")</f>
        <v>-0.36851311953352772</v>
      </c>
      <c r="T603" s="19">
        <f ca="1">IF('Stock Price'!$I$11="OK",G603/INDEX(G$5:G$1258,'Stock Price'!$I$9)-1,"")</f>
        <v>-8.9156126891976051E-3</v>
      </c>
      <c r="U603" s="19">
        <f ca="1">IF('Stock Price'!$I$11="OK",H603/INDEX(H$5:H$1258,'Stock Price'!$I$9)-1,"")</f>
        <v>-0.23921052631578943</v>
      </c>
      <c r="V603" s="19">
        <f ca="1">IF('Stock Price'!$I$11="OK",I603/INDEX(I$5:I$1258,'Stock Price'!$I$9)-1,"")</f>
        <v>9.4122319301032542E-2</v>
      </c>
      <c r="W603" s="19">
        <f ca="1">IF('Stock Price'!$I$11="OK",J603/INDEX(J$5:J$1258,'Stock Price'!$I$9)-1,"")</f>
        <v>-0.28760783442556181</v>
      </c>
      <c r="X603" s="19">
        <f ca="1">IF('Stock Price'!$I$11="OK",K603/INDEX(K$5:K$1258,'Stock Price'!$I$9)-1,"")</f>
        <v>-3.9842873176206606E-2</v>
      </c>
      <c r="Y603" s="19">
        <f ca="1">IF('Stock Price'!$I$11="OK",L603/INDEX(L$5:L$1258,'Stock Price'!$I$9)-1,"")</f>
        <v>-0.22618760549795036</v>
      </c>
      <c r="Z603" s="19">
        <f ca="1">IF('Stock Price'!$I$11="OK",M603/INDEX(M$5:M$1258,'Stock Price'!$I$9)-1,"")</f>
        <v>-0.22920936723213114</v>
      </c>
    </row>
    <row r="604" spans="1:26" x14ac:dyDescent="0.2">
      <c r="A604" s="16">
        <f>'Stock Price'!A604</f>
        <v>45345</v>
      </c>
      <c r="B604" s="17">
        <f>'Stock Price'!E604</f>
        <v>129.44999999999999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0.2160638797557537</v>
      </c>
      <c r="P604" s="19">
        <f ca="1">IF('Stock Price'!$I$11="OK",C604/INDEX(C$5:C$1258,'Stock Price'!$I$9)-1,"")</f>
        <v>-0.2500360906597372</v>
      </c>
      <c r="Q604" s="19">
        <f ca="1">IF('Stock Price'!$I$11="OK",D604/INDEX(D$5:D$1258,'Stock Price'!$I$9)-1,"")</f>
        <v>-0.29300670589845357</v>
      </c>
      <c r="R604" s="19">
        <f ca="1">IF('Stock Price'!$I$11="OK",E604/INDEX(E$5:E$1258,'Stock Price'!$I$9)-1,"")</f>
        <v>-0.14930485593391096</v>
      </c>
      <c r="S604" s="19">
        <f ca="1">IF('Stock Price'!$I$11="OK",F604/INDEX(F$5:F$1258,'Stock Price'!$I$9)-1,"")</f>
        <v>-0.35937803692905734</v>
      </c>
      <c r="T604" s="19">
        <f ca="1">IF('Stock Price'!$I$11="OK",G604/INDEX(G$5:G$1258,'Stock Price'!$I$9)-1,"")</f>
        <v>1.1196350818992507E-2</v>
      </c>
      <c r="U604" s="19">
        <f ca="1">IF('Stock Price'!$I$11="OK",H604/INDEX(H$5:H$1258,'Stock Price'!$I$9)-1,"")</f>
        <v>-0.24171052631578949</v>
      </c>
      <c r="V604" s="19">
        <f ca="1">IF('Stock Price'!$I$11="OK",I604/INDEX(I$5:I$1258,'Stock Price'!$I$9)-1,"")</f>
        <v>0.10246227164416211</v>
      </c>
      <c r="W604" s="19">
        <f ca="1">IF('Stock Price'!$I$11="OK",J604/INDEX(J$5:J$1258,'Stock Price'!$I$9)-1,"")</f>
        <v>-0.28770039616424148</v>
      </c>
      <c r="X604" s="19">
        <f ca="1">IF('Stock Price'!$I$11="OK",K604/INDEX(K$5:K$1258,'Stock Price'!$I$9)-1,"")</f>
        <v>-3.3670033670033739E-2</v>
      </c>
      <c r="Y604" s="19">
        <f ca="1">IF('Stock Price'!$I$11="OK",L604/INDEX(L$5:L$1258,'Stock Price'!$I$9)-1,"")</f>
        <v>-0.21948396431155048</v>
      </c>
      <c r="Z604" s="19">
        <f ca="1">IF('Stock Price'!$I$11="OK",M604/INDEX(M$5:M$1258,'Stock Price'!$I$9)-1,"")</f>
        <v>-0.22336574942217957</v>
      </c>
    </row>
    <row r="605" spans="1:26" x14ac:dyDescent="0.2">
      <c r="A605" s="16">
        <f>'Stock Price'!A605</f>
        <v>45348</v>
      </c>
      <c r="B605" s="17">
        <f>'Stock Price'!E605</f>
        <v>128.84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0.21033348990136225</v>
      </c>
      <c r="P605" s="19">
        <f ca="1">IF('Stock Price'!$I$11="OK",C605/INDEX(C$5:C$1258,'Stock Price'!$I$9)-1,"")</f>
        <v>-0.25472787642558103</v>
      </c>
      <c r="Q605" s="19">
        <f ca="1">IF('Stock Price'!$I$11="OK",D605/INDEX(D$5:D$1258,'Stock Price'!$I$9)-1,"")</f>
        <v>-0.2884083755303134</v>
      </c>
      <c r="R605" s="19">
        <f ca="1">IF('Stock Price'!$I$11="OK",E605/INDEX(E$5:E$1258,'Stock Price'!$I$9)-1,"")</f>
        <v>-0.14688696353012287</v>
      </c>
      <c r="S605" s="19">
        <f ca="1">IF('Stock Price'!$I$11="OK",F605/INDEX(F$5:F$1258,'Stock Price'!$I$9)-1,"")</f>
        <v>-0.36793002915451889</v>
      </c>
      <c r="T605" s="19">
        <f ca="1">IF('Stock Price'!$I$11="OK",G605/INDEX(G$5:G$1258,'Stock Price'!$I$9)-1,"")</f>
        <v>-6.2201948994389245E-4</v>
      </c>
      <c r="U605" s="19">
        <f ca="1">IF('Stock Price'!$I$11="OK",H605/INDEX(H$5:H$1258,'Stock Price'!$I$9)-1,"")</f>
        <v>-0.2477631578947368</v>
      </c>
      <c r="V605" s="19">
        <f ca="1">IF('Stock Price'!$I$11="OK",I605/INDEX(I$5:I$1258,'Stock Price'!$I$9)-1,"")</f>
        <v>7.9428117553614008E-2</v>
      </c>
      <c r="W605" s="19">
        <f ca="1">IF('Stock Price'!$I$11="OK",J605/INDEX(J$5:J$1258,'Stock Price'!$I$9)-1,"")</f>
        <v>-0.28549742678366463</v>
      </c>
      <c r="X605" s="19">
        <f ca="1">IF('Stock Price'!$I$11="OK",K605/INDEX(K$5:K$1258,'Stock Price'!$I$9)-1,"")</f>
        <v>-5.4994388327721633E-2</v>
      </c>
      <c r="Y605" s="19">
        <f ca="1">IF('Stock Price'!$I$11="OK",L605/INDEX(L$5:L$1258,'Stock Price'!$I$9)-1,"")</f>
        <v>-0.22454786592717624</v>
      </c>
      <c r="Z605" s="19">
        <f ca="1">IF('Stock Price'!$I$11="OK",M605/INDEX(M$5:M$1258,'Stock Price'!$I$9)-1,"")</f>
        <v>-0.2202258950765339</v>
      </c>
    </row>
    <row r="606" spans="1:26" x14ac:dyDescent="0.2">
      <c r="A606" s="16">
        <f>'Stock Price'!A606</f>
        <v>45349</v>
      </c>
      <c r="B606" s="17">
        <f>'Stock Price'!E606</f>
        <v>129.03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0.21211836542977913</v>
      </c>
      <c r="P606" s="19">
        <f ca="1">IF('Stock Price'!$I$11="OK",C606/INDEX(C$5:C$1258,'Stock Price'!$I$9)-1,"")</f>
        <v>-0.25544968962032621</v>
      </c>
      <c r="Q606" s="19">
        <f ca="1">IF('Stock Price'!$I$11="OK",D606/INDEX(D$5:D$1258,'Stock Price'!$I$9)-1,"")</f>
        <v>-0.28287943068290688</v>
      </c>
      <c r="R606" s="19">
        <f ca="1">IF('Stock Price'!$I$11="OK",E606/INDEX(E$5:E$1258,'Stock Price'!$I$9)-1,"")</f>
        <v>-0.14608099939552688</v>
      </c>
      <c r="S606" s="19">
        <f ca="1">IF('Stock Price'!$I$11="OK",F606/INDEX(F$5:F$1258,'Stock Price'!$I$9)-1,"")</f>
        <v>-0.35801749271137029</v>
      </c>
      <c r="T606" s="19">
        <f ca="1">IF('Stock Price'!$I$11="OK",G606/INDEX(G$5:G$1258,'Stock Price'!$I$9)-1,"")</f>
        <v>-4.1467965996255796E-4</v>
      </c>
      <c r="U606" s="19">
        <f ca="1">IF('Stock Price'!$I$11="OK",H606/INDEX(H$5:H$1258,'Stock Price'!$I$9)-1,"")</f>
        <v>-0.23328947368421049</v>
      </c>
      <c r="V606" s="19">
        <f ca="1">IF('Stock Price'!$I$11="OK",I606/INDEX(I$5:I$1258,'Stock Price'!$I$9)-1,"")</f>
        <v>6.791104050834007E-2</v>
      </c>
      <c r="W606" s="19">
        <f ca="1">IF('Stock Price'!$I$11="OK",J606/INDEX(J$5:J$1258,'Stock Price'!$I$9)-1,"")</f>
        <v>-0.29190269910029987</v>
      </c>
      <c r="X606" s="19">
        <f ca="1">IF('Stock Price'!$I$11="OK",K606/INDEX(K$5:K$1258,'Stock Price'!$I$9)-1,"")</f>
        <v>-5.5181444070332986E-2</v>
      </c>
      <c r="Y606" s="19">
        <f ca="1">IF('Stock Price'!$I$11="OK",L606/INDEX(L$5:L$1258,'Stock Price'!$I$9)-1,"")</f>
        <v>-0.22363154087292025</v>
      </c>
      <c r="Z606" s="19">
        <f ca="1">IF('Stock Price'!$I$11="OK",M606/INDEX(M$5:M$1258,'Stock Price'!$I$9)-1,"")</f>
        <v>-0.21944093149012256</v>
      </c>
    </row>
    <row r="607" spans="1:26" x14ac:dyDescent="0.2">
      <c r="A607" s="16">
        <f>'Stock Price'!A607</f>
        <v>45350</v>
      </c>
      <c r="B607" s="17">
        <f>'Stock Price'!E607</f>
        <v>128.19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0.20422733677783</v>
      </c>
      <c r="P607" s="19">
        <f ca="1">IF('Stock Price'!$I$11="OK",C607/INDEX(C$5:C$1258,'Stock Price'!$I$9)-1,"")</f>
        <v>-0.26216255233145658</v>
      </c>
      <c r="Q607" s="19">
        <f ca="1">IF('Stock Price'!$I$11="OK",D607/INDEX(D$5:D$1258,'Stock Price'!$I$9)-1,"")</f>
        <v>-0.28287943068290688</v>
      </c>
      <c r="R607" s="19">
        <f ca="1">IF('Stock Price'!$I$11="OK",E607/INDEX(E$5:E$1258,'Stock Price'!$I$9)-1,"")</f>
        <v>-0.14688696353012287</v>
      </c>
      <c r="S607" s="19">
        <f ca="1">IF('Stock Price'!$I$11="OK",F607/INDEX(F$5:F$1258,'Stock Price'!$I$9)-1,"")</f>
        <v>-0.35996112730806618</v>
      </c>
      <c r="T607" s="19">
        <f ca="1">IF('Stock Price'!$I$11="OK",G607/INDEX(G$5:G$1258,'Stock Price'!$I$9)-1,"")</f>
        <v>-4.7688160895706933E-3</v>
      </c>
      <c r="U607" s="19">
        <f ca="1">IF('Stock Price'!$I$11="OK",H607/INDEX(H$5:H$1258,'Stock Price'!$I$9)-1,"")</f>
        <v>-0.24842105263157899</v>
      </c>
      <c r="V607" s="19">
        <f ca="1">IF('Stock Price'!$I$11="OK",I607/INDEX(I$5:I$1258,'Stock Price'!$I$9)-1,"")</f>
        <v>7.3868149324860966E-2</v>
      </c>
      <c r="W607" s="19">
        <f ca="1">IF('Stock Price'!$I$11="OK",J607/INDEX(J$5:J$1258,'Stock Price'!$I$9)-1,"")</f>
        <v>-0.29871524306712571</v>
      </c>
      <c r="X607" s="19">
        <f ca="1">IF('Stock Price'!$I$11="OK",K607/INDEX(K$5:K$1258,'Stock Price'!$I$9)-1,"")</f>
        <v>-4.751215862326974E-2</v>
      </c>
      <c r="Y607" s="19">
        <f ca="1">IF('Stock Price'!$I$11="OK",L607/INDEX(L$5:L$1258,'Stock Price'!$I$9)-1,"")</f>
        <v>-0.22088256571015186</v>
      </c>
      <c r="Z607" s="19">
        <f ca="1">IF('Stock Price'!$I$11="OK",M607/INDEX(M$5:M$1258,'Stock Price'!$I$9)-1,"")</f>
        <v>-0.22375823121538529</v>
      </c>
    </row>
    <row r="608" spans="1:26" x14ac:dyDescent="0.2">
      <c r="A608" s="16">
        <f>'Stock Price'!A608</f>
        <v>45351</v>
      </c>
      <c r="B608" s="17">
        <f>'Stock Price'!E608</f>
        <v>127.15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0.19445749178017846</v>
      </c>
      <c r="P608" s="19">
        <f ca="1">IF('Stock Price'!$I$11="OK",C608/INDEX(C$5:C$1258,'Stock Price'!$I$9)-1,"")</f>
        <v>-0.27118521726577161</v>
      </c>
      <c r="Q608" s="19">
        <f ca="1">IF('Stock Price'!$I$11="OK",D608/INDEX(D$5:D$1258,'Stock Price'!$I$9)-1,"")</f>
        <v>-0.30682906801697007</v>
      </c>
      <c r="R608" s="19">
        <f ca="1">IF('Stock Price'!$I$11="OK",E608/INDEX(E$5:E$1258,'Stock Price'!$I$9)-1,"")</f>
        <v>-0.15575256901067913</v>
      </c>
      <c r="S608" s="19">
        <f ca="1">IF('Stock Price'!$I$11="OK",F608/INDEX(F$5:F$1258,'Stock Price'!$I$9)-1,"")</f>
        <v>-0.36384839650145784</v>
      </c>
      <c r="T608" s="19">
        <f ca="1">IF('Stock Price'!$I$11="OK",G608/INDEX(G$5:G$1258,'Stock Price'!$I$9)-1,"")</f>
        <v>-7.8789135392908216E-3</v>
      </c>
      <c r="U608" s="19">
        <f ca="1">IF('Stock Price'!$I$11="OK",H608/INDEX(H$5:H$1258,'Stock Price'!$I$9)-1,"")</f>
        <v>-0.26078947368421057</v>
      </c>
      <c r="V608" s="19">
        <f ca="1">IF('Stock Price'!$I$11="OK",I608/INDEX(I$5:I$1258,'Stock Price'!$I$9)-1,"")</f>
        <v>5.4805401111993612E-2</v>
      </c>
      <c r="W608" s="19">
        <f ca="1">IF('Stock Price'!$I$11="OK",J608/INDEX(J$5:J$1258,'Stock Price'!$I$9)-1,"")</f>
        <v>-0.30238068791884187</v>
      </c>
      <c r="X608" s="19">
        <f ca="1">IF('Stock Price'!$I$11="OK",K608/INDEX(K$5:K$1258,'Stock Price'!$I$9)-1,"")</f>
        <v>-5.069210624766185E-2</v>
      </c>
      <c r="Y608" s="19">
        <f ca="1">IF('Stock Price'!$I$11="OK",L608/INDEX(L$5:L$1258,'Stock Price'!$I$9)-1,"")</f>
        <v>-0.22170243549553892</v>
      </c>
      <c r="Z608" s="19">
        <f ca="1">IF('Stock Price'!$I$11="OK",M608/INDEX(M$5:M$1258,'Stock Price'!$I$9)-1,"")</f>
        <v>-0.23226200340150882</v>
      </c>
    </row>
    <row r="609" spans="1:26" x14ac:dyDescent="0.2">
      <c r="A609" s="16">
        <f>'Stock Price'!A609</f>
        <v>45352</v>
      </c>
      <c r="B609" s="17">
        <f>'Stock Price'!E609</f>
        <v>126.96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0.19267261625176135</v>
      </c>
      <c r="P609" s="19">
        <f ca="1">IF('Stock Price'!$I$11="OK",C609/INDEX(C$5:C$1258,'Stock Price'!$I$9)-1,"")</f>
        <v>-0.26331745344304891</v>
      </c>
      <c r="Q609" s="19">
        <f ca="1">IF('Stock Price'!$I$11="OK",D609/INDEX(D$5:D$1258,'Stock Price'!$I$9)-1,"")</f>
        <v>-0.28835363350212129</v>
      </c>
      <c r="R609" s="19">
        <f ca="1">IF('Stock Price'!$I$11="OK",E609/INDEX(E$5:E$1258,'Stock Price'!$I$9)-1,"")</f>
        <v>-0.15313318557324196</v>
      </c>
      <c r="S609" s="19">
        <f ca="1">IF('Stock Price'!$I$11="OK",F609/INDEX(F$5:F$1258,'Stock Price'!$I$9)-1,"")</f>
        <v>-0.35704567541302246</v>
      </c>
      <c r="T609" s="19">
        <f ca="1">IF('Stock Price'!$I$11="OK",G609/INDEX(G$5:G$1258,'Stock Price'!$I$9)-1,"")</f>
        <v>-1.9489944018245886E-2</v>
      </c>
      <c r="U609" s="19">
        <f ca="1">IF('Stock Price'!$I$11="OK",H609/INDEX(H$5:H$1258,'Stock Price'!$I$9)-1,"")</f>
        <v>-0.25447368421052641</v>
      </c>
      <c r="V609" s="19">
        <f ca="1">IF('Stock Price'!$I$11="OK",I609/INDEX(I$5:I$1258,'Stock Price'!$I$9)-1,"")</f>
        <v>5.5996822875297836E-2</v>
      </c>
      <c r="W609" s="19">
        <f ca="1">IF('Stock Price'!$I$11="OK",J609/INDEX(J$5:J$1258,'Stock Price'!$I$9)-1,"")</f>
        <v>-0.27605612943833535</v>
      </c>
      <c r="X609" s="19">
        <f ca="1">IF('Stock Price'!$I$11="OK",K609/INDEX(K$5:K$1258,'Stock Price'!$I$9)-1,"")</f>
        <v>-4.8073325851103688E-2</v>
      </c>
      <c r="Y609" s="19">
        <f ca="1">IF('Stock Price'!$I$11="OK",L609/INDEX(L$5:L$1258,'Stock Price'!$I$9)-1,"")</f>
        <v>-0.21813359054738357</v>
      </c>
      <c r="Z609" s="19">
        <f ca="1">IF('Stock Price'!$I$11="OK",M609/INDEX(M$5:M$1258,'Stock Price'!$I$9)-1,"")</f>
        <v>-0.21978980419519434</v>
      </c>
    </row>
    <row r="610" spans="1:26" x14ac:dyDescent="0.2">
      <c r="A610" s="16">
        <f>'Stock Price'!A610</f>
        <v>45355</v>
      </c>
      <c r="B610" s="17">
        <f>'Stock Price'!E610</f>
        <v>124.05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0.16533583842179422</v>
      </c>
      <c r="P610" s="19">
        <f ca="1">IF('Stock Price'!$I$11="OK",C610/INDEX(C$5:C$1258,'Stock Price'!$I$9)-1,"")</f>
        <v>-0.26396708531831958</v>
      </c>
      <c r="Q610" s="19">
        <f ca="1">IF('Stock Price'!$I$11="OK",D610/INDEX(D$5:D$1258,'Stock Price'!$I$9)-1,"")</f>
        <v>-0.29026960448884631</v>
      </c>
      <c r="R610" s="19">
        <f ca="1">IF('Stock Price'!$I$11="OK",E610/INDEX(E$5:E$1258,'Stock Price'!$I$9)-1,"")</f>
        <v>-0.14487205319363294</v>
      </c>
      <c r="S610" s="19">
        <f ca="1">IF('Stock Price'!$I$11="OK",F610/INDEX(F$5:F$1258,'Stock Price'!$I$9)-1,"")</f>
        <v>-0.36093294460641401</v>
      </c>
      <c r="T610" s="19">
        <f ca="1">IF('Stock Price'!$I$11="OK",G610/INDEX(G$5:G$1258,'Stock Price'!$I$9)-1,"")</f>
        <v>-2.2392701637984569E-2</v>
      </c>
      <c r="U610" s="19">
        <f ca="1">IF('Stock Price'!$I$11="OK",H610/INDEX(H$5:H$1258,'Stock Price'!$I$9)-1,"")</f>
        <v>-0.26105263157894742</v>
      </c>
      <c r="V610" s="19">
        <f ca="1">IF('Stock Price'!$I$11="OK",I610/INDEX(I$5:I$1258,'Stock Price'!$I$9)-1,"")</f>
        <v>2.8196981731533066E-2</v>
      </c>
      <c r="W610" s="19">
        <f ca="1">IF('Stock Price'!$I$11="OK",J610/INDEX(J$5:J$1258,'Stock Price'!$I$9)-1,"")</f>
        <v>-0.26665185678847791</v>
      </c>
      <c r="X610" s="19">
        <f ca="1">IF('Stock Price'!$I$11="OK",K610/INDEX(K$5:K$1258,'Stock Price'!$I$9)-1,"")</f>
        <v>-4.751215862326974E-2</v>
      </c>
      <c r="Y610" s="19">
        <f ca="1">IF('Stock Price'!$I$11="OK",L610/INDEX(L$5:L$1258,'Stock Price'!$I$9)-1,"")</f>
        <v>-0.22912949119845671</v>
      </c>
      <c r="Z610" s="19">
        <f ca="1">IF('Stock Price'!$I$11="OK",M610/INDEX(M$5:M$1258,'Stock Price'!$I$9)-1,"")</f>
        <v>-0.22790109458811214</v>
      </c>
    </row>
    <row r="611" spans="1:26" x14ac:dyDescent="0.2">
      <c r="A611" s="16">
        <f>'Stock Price'!A611</f>
        <v>45356</v>
      </c>
      <c r="B611" s="17">
        <f>'Stock Price'!E611</f>
        <v>122.83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0.15387505871301066</v>
      </c>
      <c r="P611" s="19">
        <f ca="1">IF('Stock Price'!$I$11="OK",C611/INDEX(C$5:C$1258,'Stock Price'!$I$9)-1,"")</f>
        <v>-0.26302872816515088</v>
      </c>
      <c r="Q611" s="19">
        <f ca="1">IF('Stock Price'!$I$11="OK",D611/INDEX(D$5:D$1258,'Stock Price'!$I$9)-1,"")</f>
        <v>-0.31025044477897912</v>
      </c>
      <c r="R611" s="19">
        <f ca="1">IF('Stock Price'!$I$11="OK",E611/INDEX(E$5:E$1258,'Stock Price'!$I$9)-1,"")</f>
        <v>-0.14164819665524886</v>
      </c>
      <c r="S611" s="19">
        <f ca="1">IF('Stock Price'!$I$11="OK",F611/INDEX(F$5:F$1258,'Stock Price'!$I$9)-1,"")</f>
        <v>-0.35568513119533529</v>
      </c>
      <c r="T611" s="19">
        <f ca="1">IF('Stock Price'!$I$11="OK",G611/INDEX(G$5:G$1258,'Stock Price'!$I$9)-1,"")</f>
        <v>-1.5135807588637751E-2</v>
      </c>
      <c r="U611" s="19">
        <f ca="1">IF('Stock Price'!$I$11="OK",H611/INDEX(H$5:H$1258,'Stock Price'!$I$9)-1,"")</f>
        <v>-0.31697368421052641</v>
      </c>
      <c r="V611" s="19">
        <f ca="1">IF('Stock Price'!$I$11="OK",I611/INDEX(I$5:I$1258,'Stock Price'!$I$9)-1,"")</f>
        <v>3.5742652899126259E-2</v>
      </c>
      <c r="W611" s="19">
        <f ca="1">IF('Stock Price'!$I$11="OK",J611/INDEX(J$5:J$1258,'Stock Price'!$I$9)-1,"")</f>
        <v>-0.2802491762005257</v>
      </c>
      <c r="X611" s="19">
        <f ca="1">IF('Stock Price'!$I$11="OK",K611/INDEX(K$5:K$1258,'Stock Price'!$I$9)-1,"")</f>
        <v>-3.0677141788252871E-2</v>
      </c>
      <c r="Y611" s="19">
        <f ca="1">IF('Stock Price'!$I$11="OK",L611/INDEX(L$5:L$1258,'Stock Price'!$I$9)-1,"")</f>
        <v>-0.22850253195080783</v>
      </c>
      <c r="Z611" s="19">
        <f ca="1">IF('Stock Price'!$I$11="OK",M611/INDEX(M$5:M$1258,'Stock Price'!$I$9)-1,"")</f>
        <v>-0.21869957699184517</v>
      </c>
    </row>
    <row r="612" spans="1:26" x14ac:dyDescent="0.2">
      <c r="A612" s="16">
        <f>'Stock Price'!A612</f>
        <v>45357</v>
      </c>
      <c r="B612" s="17">
        <f>'Stock Price'!E612</f>
        <v>123.75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0.16251761390324093</v>
      </c>
      <c r="P612" s="19">
        <f ca="1">IF('Stock Price'!$I$11="OK",C612/INDEX(C$5:C$1258,'Stock Price'!$I$9)-1,"")</f>
        <v>-0.25913093691352673</v>
      </c>
      <c r="Q612" s="19">
        <f ca="1">IF('Stock Price'!$I$11="OK",D612/INDEX(D$5:D$1258,'Stock Price'!$I$9)-1,"")</f>
        <v>-0.29437525660325714</v>
      </c>
      <c r="R612" s="19">
        <f ca="1">IF('Stock Price'!$I$11="OK",E612/INDEX(E$5:E$1258,'Stock Price'!$I$9)-1,"")</f>
        <v>-0.14124521458795092</v>
      </c>
      <c r="S612" s="19">
        <f ca="1">IF('Stock Price'!$I$11="OK",F612/INDEX(F$5:F$1258,'Stock Price'!$I$9)-1,"")</f>
        <v>-0.34946550048590874</v>
      </c>
      <c r="T612" s="19">
        <f ca="1">IF('Stock Price'!$I$11="OK",G612/INDEX(G$5:G$1258,'Stock Price'!$I$9)-1,"")</f>
        <v>-1.1403690648973619E-2</v>
      </c>
      <c r="U612" s="19">
        <f ca="1">IF('Stock Price'!$I$11="OK",H612/INDEX(H$5:H$1258,'Stock Price'!$I$9)-1,"")</f>
        <v>-0.29881578947368426</v>
      </c>
      <c r="V612" s="19">
        <f ca="1">IF('Stock Price'!$I$11="OK",I612/INDEX(I$5:I$1258,'Stock Price'!$I$9)-1,"")</f>
        <v>7.9825258141382083E-2</v>
      </c>
      <c r="W612" s="19">
        <f ca="1">IF('Stock Price'!$I$11="OK",J612/INDEX(J$5:J$1258,'Stock Price'!$I$9)-1,"")</f>
        <v>-0.27823133029730829</v>
      </c>
      <c r="X612" s="19">
        <f ca="1">IF('Stock Price'!$I$11="OK",K612/INDEX(K$5:K$1258,'Stock Price'!$I$9)-1,"")</f>
        <v>-1.4964459408903785E-3</v>
      </c>
      <c r="Y612" s="19">
        <f ca="1">IF('Stock Price'!$I$11="OK",L612/INDEX(L$5:L$1258,'Stock Price'!$I$9)-1,"")</f>
        <v>-0.23154087292018322</v>
      </c>
      <c r="Z612" s="19">
        <f ca="1">IF('Stock Price'!$I$11="OK",M612/INDEX(M$5:M$1258,'Stock Price'!$I$9)-1,"")</f>
        <v>-0.21041385024639137</v>
      </c>
    </row>
    <row r="613" spans="1:26" x14ac:dyDescent="0.2">
      <c r="A613" s="16">
        <f>'Stock Price'!A613</f>
        <v>45358</v>
      </c>
      <c r="B613" s="17">
        <f>'Stock Price'!E613</f>
        <v>123.99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0.16477219351808348</v>
      </c>
      <c r="P613" s="19">
        <f ca="1">IF('Stock Price'!$I$11="OK",C613/INDEX(C$5:C$1258,'Stock Price'!$I$9)-1,"")</f>
        <v>-0.27869207449112166</v>
      </c>
      <c r="Q613" s="19">
        <f ca="1">IF('Stock Price'!$I$11="OK",D613/INDEX(D$5:D$1258,'Stock Price'!$I$9)-1,"")</f>
        <v>-0.29245928561653212</v>
      </c>
      <c r="R613" s="19">
        <f ca="1">IF('Stock Price'!$I$11="OK",E613/INDEX(E$5:E$1258,'Stock Price'!$I$9)-1,"")</f>
        <v>-0.12190207535764663</v>
      </c>
      <c r="S613" s="19">
        <f ca="1">IF('Stock Price'!$I$11="OK",F613/INDEX(F$5:F$1258,'Stock Price'!$I$9)-1,"")</f>
        <v>-0.34363459669582119</v>
      </c>
      <c r="T613" s="19">
        <f ca="1">IF('Stock Price'!$I$11="OK",G613/INDEX(G$5:G$1258,'Stock Price'!$I$9)-1,"")</f>
        <v>-3.5247771096826863E-3</v>
      </c>
      <c r="U613" s="19">
        <f ca="1">IF('Stock Price'!$I$11="OK",H613/INDEX(H$5:H$1258,'Stock Price'!$I$9)-1,"")</f>
        <v>-0.30513157894736842</v>
      </c>
      <c r="V613" s="19">
        <f ca="1">IF('Stock Price'!$I$11="OK",I613/INDEX(I$5:I$1258,'Stock Price'!$I$9)-1,"")</f>
        <v>6.3939634630659326E-2</v>
      </c>
      <c r="W613" s="19">
        <f ca="1">IF('Stock Price'!$I$11="OK",J613/INDEX(J$5:J$1258,'Stock Price'!$I$9)-1,"")</f>
        <v>-0.27787033951645745</v>
      </c>
      <c r="X613" s="19">
        <f ca="1">IF('Stock Price'!$I$11="OK",K613/INDEX(K$5:K$1258,'Stock Price'!$I$9)-1,"")</f>
        <v>-3.3670033670033517E-3</v>
      </c>
      <c r="Y613" s="19">
        <f ca="1">IF('Stock Price'!$I$11="OK",L613/INDEX(L$5:L$1258,'Stock Price'!$I$9)-1,"")</f>
        <v>-0.23380757173860622</v>
      </c>
      <c r="Z613" s="19">
        <f ca="1">IF('Stock Price'!$I$11="OK",M613/INDEX(M$5:M$1258,'Stock Price'!$I$9)-1,"")</f>
        <v>-0.21255069556495576</v>
      </c>
    </row>
    <row r="614" spans="1:26" x14ac:dyDescent="0.2">
      <c r="A614" s="16">
        <f>'Stock Price'!A614</f>
        <v>45359</v>
      </c>
      <c r="B614" s="17">
        <f>'Stock Price'!E614</f>
        <v>123.5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0.16016909347111308</v>
      </c>
      <c r="P614" s="19">
        <f ca="1">IF('Stock Price'!$I$11="OK",C614/INDEX(C$5:C$1258,'Stock Price'!$I$9)-1,"")</f>
        <v>-0.27306193157210912</v>
      </c>
      <c r="Q614" s="19">
        <f ca="1">IF('Stock Price'!$I$11="OK",D614/INDEX(D$5:D$1258,'Stock Price'!$I$9)-1,"")</f>
        <v>-0.28219515533050499</v>
      </c>
      <c r="R614" s="19">
        <f ca="1">IF('Stock Price'!$I$11="OK",E614/INDEX(E$5:E$1258,'Stock Price'!$I$9)-1,"")</f>
        <v>-0.13076768083820278</v>
      </c>
      <c r="S614" s="19">
        <f ca="1">IF('Stock Price'!$I$11="OK",F614/INDEX(F$5:F$1258,'Stock Price'!$I$9)-1,"")</f>
        <v>-0.3411078717201167</v>
      </c>
      <c r="T614" s="19">
        <f ca="1">IF('Stock Price'!$I$11="OK",G614/INDEX(G$5:G$1258,'Stock Price'!$I$9)-1,"")</f>
        <v>4.1467965996266898E-4</v>
      </c>
      <c r="U614" s="19">
        <f ca="1">IF('Stock Price'!$I$11="OK",H614/INDEX(H$5:H$1258,'Stock Price'!$I$9)-1,"")</f>
        <v>-0.30855263157894741</v>
      </c>
      <c r="V614" s="19">
        <f ca="1">IF('Stock Price'!$I$11="OK",I614/INDEX(I$5:I$1258,'Stock Price'!$I$9)-1,"")</f>
        <v>8.1016679904686306E-2</v>
      </c>
      <c r="W614" s="19">
        <f ca="1">IF('Stock Price'!$I$11="OK",J614/INDEX(J$5:J$1258,'Stock Price'!$I$9)-1,"")</f>
        <v>-0.29454996482653928</v>
      </c>
      <c r="X614" s="19">
        <f ca="1">IF('Stock Price'!$I$11="OK",K614/INDEX(K$5:K$1258,'Stock Price'!$I$9)-1,"")</f>
        <v>6.1728395061728669E-3</v>
      </c>
      <c r="Y614" s="19">
        <f ca="1">IF('Stock Price'!$I$11="OK",L614/INDEX(L$5:L$1258,'Stock Price'!$I$9)-1,"")</f>
        <v>-0.23067277550036158</v>
      </c>
      <c r="Z614" s="19">
        <f ca="1">IF('Stock Price'!$I$11="OK",M614/INDEX(M$5:M$1258,'Stock Price'!$I$9)-1,"")</f>
        <v>-0.22005145872399812</v>
      </c>
    </row>
    <row r="615" spans="1:26" x14ac:dyDescent="0.2">
      <c r="A615" s="16">
        <f>'Stock Price'!A615</f>
        <v>45362</v>
      </c>
      <c r="B615" s="17">
        <f>'Stock Price'!E615</f>
        <v>122.77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0.15331141380930013</v>
      </c>
      <c r="P615" s="19">
        <f ca="1">IF('Stock Price'!$I$11="OK",C615/INDEX(C$5:C$1258,'Stock Price'!$I$9)-1,"")</f>
        <v>-0.26829796448679077</v>
      </c>
      <c r="Q615" s="19">
        <f ca="1">IF('Stock Price'!$I$11="OK",D615/INDEX(D$5:D$1258,'Stock Price'!$I$9)-1,"")</f>
        <v>-0.2698781989872725</v>
      </c>
      <c r="R615" s="19">
        <f ca="1">IF('Stock Price'!$I$11="OK",E615/INDEX(E$5:E$1258,'Stock Price'!$I$9)-1,"")</f>
        <v>-0.1352004835784808</v>
      </c>
      <c r="S615" s="19">
        <f ca="1">IF('Stock Price'!$I$11="OK",F615/INDEX(F$5:F$1258,'Stock Price'!$I$9)-1,"")</f>
        <v>-0.32730806608357632</v>
      </c>
      <c r="T615" s="19">
        <f ca="1">IF('Stock Price'!$I$11="OK",G615/INDEX(G$5:G$1258,'Stock Price'!$I$9)-1,"")</f>
        <v>2.4880779597762359E-3</v>
      </c>
      <c r="U615" s="19">
        <f ca="1">IF('Stock Price'!$I$11="OK",H615/INDEX(H$5:H$1258,'Stock Price'!$I$9)-1,"")</f>
        <v>-0.29421052631578948</v>
      </c>
      <c r="V615" s="19">
        <f ca="1">IF('Stock Price'!$I$11="OK",I615/INDEX(I$5:I$1258,'Stock Price'!$I$9)-1,"")</f>
        <v>0.12668784749801443</v>
      </c>
      <c r="W615" s="19">
        <f ca="1">IF('Stock Price'!$I$11="OK",J615/INDEX(J$5:J$1258,'Stock Price'!$I$9)-1,"")</f>
        <v>-0.32025435965789173</v>
      </c>
      <c r="X615" s="19">
        <f ca="1">IF('Stock Price'!$I$11="OK",K615/INDEX(K$5:K$1258,'Stock Price'!$I$9)-1,"")</f>
        <v>1.6835016835016869E-2</v>
      </c>
      <c r="Y615" s="19">
        <f ca="1">IF('Stock Price'!$I$11="OK",L615/INDEX(L$5:L$1258,'Stock Price'!$I$9)-1,"")</f>
        <v>-0.22242585001205695</v>
      </c>
      <c r="Z615" s="19">
        <f ca="1">IF('Stock Price'!$I$11="OK",M615/INDEX(M$5:M$1258,'Stock Price'!$I$9)-1,"")</f>
        <v>-0.21664994984954866</v>
      </c>
    </row>
    <row r="616" spans="1:26" x14ac:dyDescent="0.2">
      <c r="A616" s="16">
        <f>'Stock Price'!A616</f>
        <v>45363</v>
      </c>
      <c r="B616" s="17">
        <f>'Stock Price'!E616</f>
        <v>122.66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0.15227806481916395</v>
      </c>
      <c r="P616" s="19">
        <f ca="1">IF('Stock Price'!$I$11="OK",C616/INDEX(C$5:C$1258,'Stock Price'!$I$9)-1,"")</f>
        <v>-0.27984697560271399</v>
      </c>
      <c r="Q616" s="19">
        <f ca="1">IF('Stock Price'!$I$11="OK",D616/INDEX(D$5:D$1258,'Stock Price'!$I$9)-1,"")</f>
        <v>-0.27017982756261127</v>
      </c>
      <c r="R616" s="19">
        <f ca="1">IF('Stock Price'!$I$11="OK",E616/INDEX(E$5:E$1258,'Stock Price'!$I$9)-1,"")</f>
        <v>-0.12814829740076561</v>
      </c>
      <c r="S616" s="19">
        <f ca="1">IF('Stock Price'!$I$11="OK",F616/INDEX(F$5:F$1258,'Stock Price'!$I$9)-1,"")</f>
        <v>-0.31681243926141889</v>
      </c>
      <c r="T616" s="19">
        <f ca="1">IF('Stock Price'!$I$11="OK",G616/INDEX(G$5:G$1258,'Stock Price'!$I$9)-1,"")</f>
        <v>4.7688160895709153E-3</v>
      </c>
      <c r="U616" s="19">
        <f ca="1">IF('Stock Price'!$I$11="OK",H616/INDEX(H$5:H$1258,'Stock Price'!$I$9)-1,"")</f>
        <v>-0.30289473684210533</v>
      </c>
      <c r="V616" s="19">
        <f ca="1">IF('Stock Price'!$I$11="OK",I616/INDEX(I$5:I$1258,'Stock Price'!$I$9)-1,"")</f>
        <v>0.11239078633836375</v>
      </c>
      <c r="W616" s="19">
        <f ca="1">IF('Stock Price'!$I$11="OK",J616/INDEX(J$5:J$1258,'Stock Price'!$I$9)-1,"")</f>
        <v>-0.3012051538376096</v>
      </c>
      <c r="X616" s="19">
        <f ca="1">IF('Stock Price'!$I$11="OK",K616/INDEX(K$5:K$1258,'Stock Price'!$I$9)-1,"")</f>
        <v>1.7583239805462059E-2</v>
      </c>
      <c r="Y616" s="19">
        <f ca="1">IF('Stock Price'!$I$11="OK",L616/INDEX(L$5:L$1258,'Stock Price'!$I$9)-1,"")</f>
        <v>-0.21514347721244265</v>
      </c>
      <c r="Z616" s="19">
        <f ca="1">IF('Stock Price'!$I$11="OK",M616/INDEX(M$5:M$1258,'Stock Price'!$I$9)-1,"")</f>
        <v>-0.21102437748026692</v>
      </c>
    </row>
    <row r="617" spans="1:26" x14ac:dyDescent="0.2">
      <c r="A617" s="16">
        <f>'Stock Price'!A617</f>
        <v>45364</v>
      </c>
      <c r="B617" s="17">
        <f>'Stock Price'!E617</f>
        <v>122.16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0.14758102395490824</v>
      </c>
      <c r="P617" s="19">
        <f ca="1">IF('Stock Price'!$I$11="OK",C617/INDEX(C$5:C$1258,'Stock Price'!$I$9)-1,"")</f>
        <v>-0.28540493720225202</v>
      </c>
      <c r="Q617" s="19">
        <f ca="1">IF('Stock Price'!$I$11="OK",D617/INDEX(D$5:D$1258,'Stock Price'!$I$9)-1,"")</f>
        <v>-0.25331873545914874</v>
      </c>
      <c r="R617" s="19">
        <f ca="1">IF('Stock Price'!$I$11="OK",E617/INDEX(E$5:E$1258,'Stock Price'!$I$9)-1,"")</f>
        <v>-0.12633487809792465</v>
      </c>
      <c r="S617" s="19">
        <f ca="1">IF('Stock Price'!$I$11="OK",F617/INDEX(F$5:F$1258,'Stock Price'!$I$9)-1,"")</f>
        <v>-0.33488824101069004</v>
      </c>
      <c r="T617" s="19">
        <f ca="1">IF('Stock Price'!$I$11="OK",G617/INDEX(G$5:G$1258,'Stock Price'!$I$9)-1,"")</f>
        <v>2.0733982998155653E-4</v>
      </c>
      <c r="U617" s="19">
        <f ca="1">IF('Stock Price'!$I$11="OK",H617/INDEX(H$5:H$1258,'Stock Price'!$I$9)-1,"")</f>
        <v>-0.30631578947368421</v>
      </c>
      <c r="V617" s="19">
        <f ca="1">IF('Stock Price'!$I$11="OK",I617/INDEX(I$5:I$1258,'Stock Price'!$I$9)-1,"")</f>
        <v>0.12073073868149331</v>
      </c>
      <c r="W617" s="19">
        <f ca="1">IF('Stock Price'!$I$11="OK",J617/INDEX(J$5:J$1258,'Stock Price'!$I$9)-1,"")</f>
        <v>-0.29853011958976627</v>
      </c>
      <c r="X617" s="19">
        <f ca="1">IF('Stock Price'!$I$11="OK",K617/INDEX(K$5:K$1258,'Stock Price'!$I$9)-1,"")</f>
        <v>-1.5151515151515249E-2</v>
      </c>
      <c r="Y617" s="19">
        <f ca="1">IF('Stock Price'!$I$11="OK",L617/INDEX(L$5:L$1258,'Stock Price'!$I$9)-1,"")</f>
        <v>-0.22305280925970583</v>
      </c>
      <c r="Z617" s="19">
        <f ca="1">IF('Stock Price'!$I$11="OK",M617/INDEX(M$5:M$1258,'Stock Price'!$I$9)-1,"")</f>
        <v>-0.21564694082246738</v>
      </c>
    </row>
    <row r="618" spans="1:26" x14ac:dyDescent="0.2">
      <c r="A618" s="16">
        <f>'Stock Price'!A618</f>
        <v>45365</v>
      </c>
      <c r="B618" s="17">
        <f>'Stock Price'!E618</f>
        <v>120.51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0.13208078910286525</v>
      </c>
      <c r="P618" s="19">
        <f ca="1">IF('Stock Price'!$I$11="OK",C618/INDEX(C$5:C$1258,'Stock Price'!$I$9)-1,"")</f>
        <v>-0.29168471199653534</v>
      </c>
      <c r="Q618" s="19">
        <f ca="1">IF('Stock Price'!$I$11="OK",D618/INDEX(D$5:D$1258,'Stock Price'!$I$9)-1,"")</f>
        <v>-0.26577254687286167</v>
      </c>
      <c r="R618" s="19">
        <f ca="1">IF('Stock Price'!$I$11="OK",E618/INDEX(E$5:E$1258,'Stock Price'!$I$9)-1,"")</f>
        <v>-0.13197662704009683</v>
      </c>
      <c r="S618" s="19">
        <f ca="1">IF('Stock Price'!$I$11="OK",F618/INDEX(F$5:F$1258,'Stock Price'!$I$9)-1,"")</f>
        <v>-0.3607385811467444</v>
      </c>
      <c r="T618" s="19">
        <f ca="1">IF('Stock Price'!$I$11="OK",G618/INDEX(G$5:G$1258,'Stock Price'!$I$9)-1,"")</f>
        <v>-2.9027576197385718E-3</v>
      </c>
      <c r="U618" s="19">
        <f ca="1">IF('Stock Price'!$I$11="OK",H618/INDEX(H$5:H$1258,'Stock Price'!$I$9)-1,"")</f>
        <v>-0.31513157894736843</v>
      </c>
      <c r="V618" s="19">
        <f ca="1">IF('Stock Price'!$I$11="OK",I618/INDEX(I$5:I$1258,'Stock Price'!$I$9)-1,"")</f>
        <v>0.11715647339158064</v>
      </c>
      <c r="W618" s="19">
        <f ca="1">IF('Stock Price'!$I$11="OK",J618/INDEX(J$5:J$1258,'Stock Price'!$I$9)-1,"")</f>
        <v>-0.29585508534192295</v>
      </c>
      <c r="X618" s="19">
        <f ca="1">IF('Stock Price'!$I$11="OK",K618/INDEX(K$5:K$1258,'Stock Price'!$I$9)-1,"")</f>
        <v>-1.8144407033295895E-2</v>
      </c>
      <c r="Y618" s="19">
        <f ca="1">IF('Stock Price'!$I$11="OK",L618/INDEX(L$5:L$1258,'Stock Price'!$I$9)-1,"")</f>
        <v>-0.2321678321678321</v>
      </c>
      <c r="Z618" s="19">
        <f ca="1">IF('Stock Price'!$I$11="OK",M618/INDEX(M$5:M$1258,'Stock Price'!$I$9)-1,"")</f>
        <v>-0.20980332301251592</v>
      </c>
    </row>
    <row r="619" spans="1:26" x14ac:dyDescent="0.2">
      <c r="A619" s="16">
        <f>'Stock Price'!A619</f>
        <v>45366</v>
      </c>
      <c r="B619" s="17">
        <f>'Stock Price'!E619</f>
        <v>121.52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0.14156881164866131</v>
      </c>
      <c r="P619" s="19">
        <f ca="1">IF('Stock Price'!$I$11="OK",C619/INDEX(C$5:C$1258,'Stock Price'!$I$9)-1,"")</f>
        <v>-0.29789230547134404</v>
      </c>
      <c r="Q619" s="19">
        <f ca="1">IF('Stock Price'!$I$11="OK",D619/INDEX(D$5:D$1258,'Stock Price'!$I$9)-1,"")</f>
        <v>-0.28058081291911863</v>
      </c>
      <c r="R619" s="19">
        <f ca="1">IF('Stock Price'!$I$11="OK",E619/INDEX(E$5:E$1258,'Stock Price'!$I$9)-1,"")</f>
        <v>-0.14990932903485799</v>
      </c>
      <c r="S619" s="19">
        <f ca="1">IF('Stock Price'!$I$11="OK",F619/INDEX(F$5:F$1258,'Stock Price'!$I$9)-1,"")</f>
        <v>-0.365597667638484</v>
      </c>
      <c r="T619" s="19">
        <f ca="1">IF('Stock Price'!$I$11="OK",G619/INDEX(G$5:G$1258,'Stock Price'!$I$9)-1,"")</f>
        <v>1.2440389798880069E-3</v>
      </c>
      <c r="U619" s="19">
        <f ca="1">IF('Stock Price'!$I$11="OK",H619/INDEX(H$5:H$1258,'Stock Price'!$I$9)-1,"")</f>
        <v>-0.30960526315789472</v>
      </c>
      <c r="V619" s="19">
        <f ca="1">IF('Stock Price'!$I$11="OK",I619/INDEX(I$5:I$1258,'Stock Price'!$I$9)-1,"")</f>
        <v>0.10961080222398745</v>
      </c>
      <c r="W619" s="19">
        <f ca="1">IF('Stock Price'!$I$11="OK",J619/INDEX(J$5:J$1258,'Stock Price'!$I$9)-1,"")</f>
        <v>-0.30192713539931126</v>
      </c>
      <c r="X619" s="19">
        <f ca="1">IF('Stock Price'!$I$11="OK",K619/INDEX(K$5:K$1258,'Stock Price'!$I$9)-1,"")</f>
        <v>-2.0950243172465299E-2</v>
      </c>
      <c r="Y619" s="19">
        <f ca="1">IF('Stock Price'!$I$11="OK",L619/INDEX(L$5:L$1258,'Stock Price'!$I$9)-1,"")</f>
        <v>-0.23713527851458882</v>
      </c>
      <c r="Z619" s="19">
        <f ca="1">IF('Stock Price'!$I$11="OK",M619/INDEX(M$5:M$1258,'Stock Price'!$I$9)-1,"")</f>
        <v>-0.22428154027299296</v>
      </c>
    </row>
    <row r="620" spans="1:26" x14ac:dyDescent="0.2">
      <c r="A620" s="16">
        <f>'Stock Price'!A620</f>
        <v>45369</v>
      </c>
      <c r="B620" s="17">
        <f>'Stock Price'!E620</f>
        <v>121.44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0.14081728511038039</v>
      </c>
      <c r="P620" s="19">
        <f ca="1">IF('Stock Price'!$I$11="OK",C620/INDEX(C$5:C$1258,'Stock Price'!$I$9)-1,"")</f>
        <v>-0.30763678360040414</v>
      </c>
      <c r="Q620" s="19">
        <f ca="1">IF('Stock Price'!$I$11="OK",D620/INDEX(D$5:D$1258,'Stock Price'!$I$9)-1,"")</f>
        <v>-0.28337210893663611</v>
      </c>
      <c r="R620" s="19">
        <f ca="1">IF('Stock Price'!$I$11="OK",E620/INDEX(E$5:E$1258,'Stock Price'!$I$9)-1,"")</f>
        <v>-0.15091678420310295</v>
      </c>
      <c r="S620" s="19">
        <f ca="1">IF('Stock Price'!$I$11="OK",F620/INDEX(F$5:F$1258,'Stock Price'!$I$9)-1,"")</f>
        <v>-0.37453838678328477</v>
      </c>
      <c r="T620" s="19">
        <f ca="1">IF('Stock Price'!$I$11="OK",G620/INDEX(G$5:G$1258,'Stock Price'!$I$9)-1,"")</f>
        <v>-8.2935931992536016E-3</v>
      </c>
      <c r="U620" s="19">
        <f ca="1">IF('Stock Price'!$I$11="OK",H620/INDEX(H$5:H$1258,'Stock Price'!$I$9)-1,"")</f>
        <v>-0.31013157894736842</v>
      </c>
      <c r="V620" s="19">
        <f ca="1">IF('Stock Price'!$I$11="OK",I620/INDEX(I$5:I$1258,'Stock Price'!$I$9)-1,"")</f>
        <v>0.10087370929308981</v>
      </c>
      <c r="W620" s="19">
        <f ca="1">IF('Stock Price'!$I$11="OK",J620/INDEX(J$5:J$1258,'Stock Price'!$I$9)-1,"")</f>
        <v>-0.29406864378540487</v>
      </c>
      <c r="X620" s="19">
        <f ca="1">IF('Stock Price'!$I$11="OK",K620/INDEX(K$5:K$1258,'Stock Price'!$I$9)-1,"")</f>
        <v>-3.4979423868312653E-2</v>
      </c>
      <c r="Y620" s="19">
        <f ca="1">IF('Stock Price'!$I$11="OK",L620/INDEX(L$5:L$1258,'Stock Price'!$I$9)-1,"")</f>
        <v>-0.2439836026042923</v>
      </c>
      <c r="Z620" s="19">
        <f ca="1">IF('Stock Price'!$I$11="OK",M620/INDEX(M$5:M$1258,'Stock Price'!$I$9)-1,"")</f>
        <v>-0.2216213858968209</v>
      </c>
    </row>
    <row r="621" spans="1:26" x14ac:dyDescent="0.2">
      <c r="A621" s="16">
        <f>'Stock Price'!A621</f>
        <v>45370</v>
      </c>
      <c r="B621" s="17">
        <f>'Stock Price'!E621</f>
        <v>122.2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0.14795678722404881</v>
      </c>
      <c r="P621" s="19">
        <f ca="1">IF('Stock Price'!$I$11="OK",C621/INDEX(C$5:C$1258,'Stock Price'!$I$9)-1,"")</f>
        <v>-0.30474953082142342</v>
      </c>
      <c r="Q621" s="19">
        <f ca="1">IF('Stock Price'!$I$11="OK",D621/INDEX(D$5:D$1258,'Stock Price'!$I$9)-1,"")</f>
        <v>-0.28868208567127418</v>
      </c>
      <c r="R621" s="19">
        <f ca="1">IF('Stock Price'!$I$11="OK",E621/INDEX(E$5:E$1258,'Stock Price'!$I$9)-1,"")</f>
        <v>-0.14728994559742092</v>
      </c>
      <c r="S621" s="19">
        <f ca="1">IF('Stock Price'!$I$11="OK",F621/INDEX(F$5:F$1258,'Stock Price'!$I$9)-1,"")</f>
        <v>-0.37570456754130233</v>
      </c>
      <c r="T621" s="19">
        <f ca="1">IF('Stock Price'!$I$11="OK",G621/INDEX(G$5:G$1258,'Stock Price'!$I$9)-1,"")</f>
        <v>-1.555048724860042E-2</v>
      </c>
      <c r="U621" s="19">
        <f ca="1">IF('Stock Price'!$I$11="OK",H621/INDEX(H$5:H$1258,'Stock Price'!$I$9)-1,"")</f>
        <v>-0.3192105263157895</v>
      </c>
      <c r="V621" s="19">
        <f ca="1">IF('Stock Price'!$I$11="OK",I621/INDEX(I$5:I$1258,'Stock Price'!$I$9)-1,"")</f>
        <v>9.7299444003177138E-2</v>
      </c>
      <c r="W621" s="19">
        <f ca="1">IF('Stock Price'!$I$11="OK",J621/INDEX(J$5:J$1258,'Stock Price'!$I$9)-1,"")</f>
        <v>-0.28470139583101928</v>
      </c>
      <c r="X621" s="19">
        <f ca="1">IF('Stock Price'!$I$11="OK",K621/INDEX(K$5:K$1258,'Stock Price'!$I$9)-1,"")</f>
        <v>-3.1051253273475576E-2</v>
      </c>
      <c r="Y621" s="19">
        <f ca="1">IF('Stock Price'!$I$11="OK",L621/INDEX(L$5:L$1258,'Stock Price'!$I$9)-1,"")</f>
        <v>-0.24663612249819145</v>
      </c>
      <c r="Z621" s="19">
        <f ca="1">IF('Stock Price'!$I$11="OK",M621/INDEX(M$5:M$1258,'Stock Price'!$I$9)-1,"")</f>
        <v>-0.21651912258514672</v>
      </c>
    </row>
    <row r="622" spans="1:26" x14ac:dyDescent="0.2">
      <c r="A622" s="16">
        <f>'Stock Price'!A622</f>
        <v>45371</v>
      </c>
      <c r="B622" s="17">
        <f>'Stock Price'!E622</f>
        <v>123.85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0.16345702207609203</v>
      </c>
      <c r="P622" s="19">
        <f ca="1">IF('Stock Price'!$I$11="OK",C622/INDEX(C$5:C$1258,'Stock Price'!$I$9)-1,"")</f>
        <v>-0.30669842644723544</v>
      </c>
      <c r="Q622" s="19">
        <f ca="1">IF('Stock Price'!$I$11="OK",D622/INDEX(D$5:D$1258,'Stock Price'!$I$9)-1,"")</f>
        <v>-0.28293417271109889</v>
      </c>
      <c r="R622" s="19">
        <f ca="1">IF('Stock Price'!$I$11="OK",E622/INDEX(E$5:E$1258,'Stock Price'!$I$9)-1,"")</f>
        <v>-0.15514809590973211</v>
      </c>
      <c r="S622" s="19">
        <f ca="1">IF('Stock Price'!$I$11="OK",F622/INDEX(F$5:F$1258,'Stock Price'!$I$9)-1,"")</f>
        <v>-0.36598639455782322</v>
      </c>
      <c r="T622" s="19">
        <f ca="1">IF('Stock Price'!$I$11="OK",G622/INDEX(G$5:G$1258,'Stock Price'!$I$9)-1,"")</f>
        <v>0</v>
      </c>
      <c r="U622" s="19">
        <f ca="1">IF('Stock Price'!$I$11="OK",H622/INDEX(H$5:H$1258,'Stock Price'!$I$9)-1,"")</f>
        <v>-0.31013157894736842</v>
      </c>
      <c r="V622" s="19">
        <f ca="1">IF('Stock Price'!$I$11="OK",I622/INDEX(I$5:I$1258,'Stock Price'!$I$9)-1,"")</f>
        <v>0.10007942811755366</v>
      </c>
      <c r="W622" s="19">
        <f ca="1">IF('Stock Price'!$I$11="OK",J622/INDEX(J$5:J$1258,'Stock Price'!$I$9)-1,"")</f>
        <v>-0.28462734644007548</v>
      </c>
      <c r="X622" s="19">
        <f ca="1">IF('Stock Price'!$I$11="OK",K622/INDEX(K$5:K$1258,'Stock Price'!$I$9)-1,"")</f>
        <v>-2.9554807332585087E-2</v>
      </c>
      <c r="Y622" s="19">
        <f ca="1">IF('Stock Price'!$I$11="OK",L622/INDEX(L$5:L$1258,'Stock Price'!$I$9)-1,"")</f>
        <v>-0.24880636604774542</v>
      </c>
      <c r="Z622" s="19">
        <f ca="1">IF('Stock Price'!$I$11="OK",M622/INDEX(M$5:M$1258,'Stock Price'!$I$9)-1,"")</f>
        <v>-0.2313026034625616</v>
      </c>
    </row>
    <row r="623" spans="1:26" x14ac:dyDescent="0.2">
      <c r="A623" s="16">
        <f>'Stock Price'!A623</f>
        <v>45372</v>
      </c>
      <c r="B623" s="17">
        <f>'Stock Price'!E623</f>
        <v>123.62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0.16129638327853457</v>
      </c>
      <c r="P623" s="19">
        <f ca="1">IF('Stock Price'!$I$11="OK",C623/INDEX(C$5:C$1258,'Stock Price'!$I$9)-1,"")</f>
        <v>-0.30648188248881192</v>
      </c>
      <c r="Q623" s="19">
        <f ca="1">IF('Stock Price'!$I$11="OK",D623/INDEX(D$5:D$1258,'Stock Price'!$I$9)-1,"")</f>
        <v>-0.28287943068290688</v>
      </c>
      <c r="R623" s="19">
        <f ca="1">IF('Stock Price'!$I$11="OK",E623/INDEX(E$5:E$1258,'Stock Price'!$I$9)-1,"")</f>
        <v>-0.14628249042917596</v>
      </c>
      <c r="S623" s="19">
        <f ca="1">IF('Stock Price'!$I$11="OK",F623/INDEX(F$5:F$1258,'Stock Price'!$I$9)-1,"")</f>
        <v>-0.39125364431486886</v>
      </c>
      <c r="T623" s="19">
        <f ca="1">IF('Stock Price'!$I$11="OK",G623/INDEX(G$5:G$1258,'Stock Price'!$I$9)-1,"")</f>
        <v>-1.0366991499066947E-2</v>
      </c>
      <c r="U623" s="19">
        <f ca="1">IF('Stock Price'!$I$11="OK",H623/INDEX(H$5:H$1258,'Stock Price'!$I$9)-1,"")</f>
        <v>-0.30315789473684207</v>
      </c>
      <c r="V623" s="19">
        <f ca="1">IF('Stock Price'!$I$11="OK",I623/INDEX(I$5:I$1258,'Stock Price'!$I$9)-1,"")</f>
        <v>9.8490865766481361E-2</v>
      </c>
      <c r="W623" s="19">
        <f ca="1">IF('Stock Price'!$I$11="OK",J623/INDEX(J$5:J$1258,'Stock Price'!$I$9)-1,"")</f>
        <v>-0.28703395164574763</v>
      </c>
      <c r="X623" s="19">
        <f ca="1">IF('Stock Price'!$I$11="OK",K623/INDEX(K$5:K$1258,'Stock Price'!$I$9)-1,"")</f>
        <v>-3.4979423868312653E-2</v>
      </c>
      <c r="Y623" s="19">
        <f ca="1">IF('Stock Price'!$I$11="OK",L623/INDEX(L$5:L$1258,'Stock Price'!$I$9)-1,"")</f>
        <v>-0.24885459368217988</v>
      </c>
      <c r="Z623" s="19">
        <f ca="1">IF('Stock Price'!$I$11="OK",M623/INDEX(M$5:M$1258,'Stock Price'!$I$9)-1,"")</f>
        <v>-0.22593868562208363</v>
      </c>
    </row>
    <row r="624" spans="1:26" x14ac:dyDescent="0.2">
      <c r="A624" s="16">
        <f>'Stock Price'!A624</f>
        <v>45373</v>
      </c>
      <c r="B624" s="17">
        <f>'Stock Price'!E624</f>
        <v>123.85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0.16345702207609203</v>
      </c>
      <c r="P624" s="19">
        <f ca="1">IF('Stock Price'!$I$11="OK",C624/INDEX(C$5:C$1258,'Stock Price'!$I$9)-1,"")</f>
        <v>-0.30539916269669398</v>
      </c>
      <c r="Q624" s="19">
        <f ca="1">IF('Stock Price'!$I$11="OK",D624/INDEX(D$5:D$1258,'Stock Price'!$I$9)-1,"")</f>
        <v>-0.27537977282058301</v>
      </c>
      <c r="R624" s="19">
        <f ca="1">IF('Stock Price'!$I$11="OK",E624/INDEX(E$5:E$1258,'Stock Price'!$I$9)-1,"")</f>
        <v>-0.1466854724964739</v>
      </c>
      <c r="S624" s="19">
        <f ca="1">IF('Stock Price'!$I$11="OK",F624/INDEX(F$5:F$1258,'Stock Price'!$I$9)-1,"")</f>
        <v>-0.39125364431486886</v>
      </c>
      <c r="T624" s="19">
        <f ca="1">IF('Stock Price'!$I$11="OK",G624/INDEX(G$5:G$1258,'Stock Price'!$I$9)-1,"")</f>
        <v>-3.3174372797013518E-3</v>
      </c>
      <c r="U624" s="19">
        <f ca="1">IF('Stock Price'!$I$11="OK",H624/INDEX(H$5:H$1258,'Stock Price'!$I$9)-1,"")</f>
        <v>-0.29618421052631572</v>
      </c>
      <c r="V624" s="19">
        <f ca="1">IF('Stock Price'!$I$11="OK",I624/INDEX(I$5:I$1258,'Stock Price'!$I$9)-1,"")</f>
        <v>8.6576648133439127E-2</v>
      </c>
      <c r="W624" s="19">
        <f ca="1">IF('Stock Price'!$I$11="OK",J624/INDEX(J$5:J$1258,'Stock Price'!$I$9)-1,"")</f>
        <v>-0.28670998556036864</v>
      </c>
      <c r="X624" s="19">
        <f ca="1">IF('Stock Price'!$I$11="OK",K624/INDEX(K$5:K$1258,'Stock Price'!$I$9)-1,"")</f>
        <v>-2.8619528619528656E-2</v>
      </c>
      <c r="Y624" s="19">
        <f ca="1">IF('Stock Price'!$I$11="OK",L624/INDEX(L$5:L$1258,'Stock Price'!$I$9)-1,"")</f>
        <v>-0.25136243067277553</v>
      </c>
      <c r="Z624" s="19">
        <f ca="1">IF('Stock Price'!$I$11="OK",M624/INDEX(M$5:M$1258,'Stock Price'!$I$9)-1,"")</f>
        <v>-0.22179582224935679</v>
      </c>
    </row>
    <row r="625" spans="1:26" x14ac:dyDescent="0.2">
      <c r="A625" s="16">
        <f>'Stock Price'!A625</f>
        <v>45376</v>
      </c>
      <c r="B625" s="17">
        <f>'Stock Price'!E625</f>
        <v>125.31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0.17717238139971814</v>
      </c>
      <c r="P625" s="19">
        <f ca="1">IF('Stock Price'!$I$11="OK",C625/INDEX(C$5:C$1258,'Stock Price'!$I$9)-1,"")</f>
        <v>-0.30900822867041999</v>
      </c>
      <c r="Q625" s="19">
        <f ca="1">IF('Stock Price'!$I$11="OK",D625/INDEX(D$5:D$1258,'Stock Price'!$I$9)-1,"")</f>
        <v>-0.27072670042425073</v>
      </c>
      <c r="R625" s="19">
        <f ca="1">IF('Stock Price'!$I$11="OK",E625/INDEX(E$5:E$1258,'Stock Price'!$I$9)-1,"")</f>
        <v>-0.13701390288132187</v>
      </c>
      <c r="S625" s="19">
        <f ca="1">IF('Stock Price'!$I$11="OK",F625/INDEX(F$5:F$1258,'Stock Price'!$I$9)-1,"")</f>
        <v>-0.39183673469387759</v>
      </c>
      <c r="T625" s="19">
        <f ca="1">IF('Stock Price'!$I$11="OK",G625/INDEX(G$5:G$1258,'Stock Price'!$I$9)-1,"")</f>
        <v>2.5088119427742139E-2</v>
      </c>
      <c r="U625" s="19">
        <f ca="1">IF('Stock Price'!$I$11="OK",H625/INDEX(H$5:H$1258,'Stock Price'!$I$9)-1,"")</f>
        <v>-0.29368421052631577</v>
      </c>
      <c r="V625" s="19">
        <f ca="1">IF('Stock Price'!$I$11="OK",I625/INDEX(I$5:I$1258,'Stock Price'!$I$9)-1,"")</f>
        <v>8.9356632247815648E-2</v>
      </c>
      <c r="W625" s="19">
        <f ca="1">IF('Stock Price'!$I$11="OK",J625/INDEX(J$5:J$1258,'Stock Price'!$I$9)-1,"")</f>
        <v>-0.28436817357177235</v>
      </c>
      <c r="X625" s="19">
        <f ca="1">IF('Stock Price'!$I$11="OK",K625/INDEX(K$5:K$1258,'Stock Price'!$I$9)-1,"")</f>
        <v>-2.2633744855967142E-2</v>
      </c>
      <c r="Y625" s="19">
        <f ca="1">IF('Stock Price'!$I$11="OK",L625/INDEX(L$5:L$1258,'Stock Price'!$I$9)-1,"")</f>
        <v>-0.25141065830720999</v>
      </c>
      <c r="Z625" s="19">
        <f ca="1">IF('Stock Price'!$I$11="OK",M625/INDEX(M$5:M$1258,'Stock Price'!$I$9)-1,"")</f>
        <v>-0.22144694954428501</v>
      </c>
    </row>
    <row r="626" spans="1:26" x14ac:dyDescent="0.2">
      <c r="A626" s="16">
        <f>'Stock Price'!A626</f>
        <v>45377</v>
      </c>
      <c r="B626" s="17">
        <f>'Stock Price'!E626</f>
        <v>125.52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0.17914513856270542</v>
      </c>
      <c r="P626" s="19">
        <f ca="1">IF('Stock Price'!$I$11="OK",C626/INDEX(C$5:C$1258,'Stock Price'!$I$9)-1,"")</f>
        <v>-0.31232856936624798</v>
      </c>
      <c r="Q626" s="19">
        <f ca="1">IF('Stock Price'!$I$11="OK",D626/INDEX(D$5:D$1258,'Stock Price'!$I$9)-1,"")</f>
        <v>-0.28534282195155325</v>
      </c>
      <c r="R626" s="19">
        <f ca="1">IF('Stock Price'!$I$11="OK",E626/INDEX(E$5:E$1258,'Stock Price'!$I$9)-1,"")</f>
        <v>-0.13781986701591786</v>
      </c>
      <c r="S626" s="19">
        <f ca="1">IF('Stock Price'!$I$11="OK",F626/INDEX(F$5:F$1258,'Stock Price'!$I$9)-1,"")</f>
        <v>-0.39144800777453848</v>
      </c>
      <c r="T626" s="19">
        <f ca="1">IF('Stock Price'!$I$11="OK",G626/INDEX(G$5:G$1258,'Stock Price'!$I$9)-1,"")</f>
        <v>3.1515654157163731E-2</v>
      </c>
      <c r="U626" s="19">
        <f ca="1">IF('Stock Price'!$I$11="OK",H626/INDEX(H$5:H$1258,'Stock Price'!$I$9)-1,"")</f>
        <v>-0.2811842105263157</v>
      </c>
      <c r="V626" s="19">
        <f ca="1">IF('Stock Price'!$I$11="OK",I626/INDEX(I$5:I$1258,'Stock Price'!$I$9)-1,"")</f>
        <v>9.571088165210484E-2</v>
      </c>
      <c r="W626" s="19">
        <f ca="1">IF('Stock Price'!$I$11="OK",J626/INDEX(J$5:J$1258,'Stock Price'!$I$9)-1,"")</f>
        <v>-0.28273908697100958</v>
      </c>
      <c r="X626" s="19">
        <f ca="1">IF('Stock Price'!$I$11="OK",K626/INDEX(K$5:K$1258,'Stock Price'!$I$9)-1,"")</f>
        <v>-1.7022072577628222E-2</v>
      </c>
      <c r="Y626" s="19">
        <f ca="1">IF('Stock Price'!$I$11="OK",L626/INDEX(L$5:L$1258,'Stock Price'!$I$9)-1,"")</f>
        <v>-0.24875813841331074</v>
      </c>
      <c r="Z626" s="19">
        <f ca="1">IF('Stock Price'!$I$11="OK",M626/INDEX(M$5:M$1258,'Stock Price'!$I$9)-1,"")</f>
        <v>-0.21856874972744322</v>
      </c>
    </row>
    <row r="627" spans="1:26" x14ac:dyDescent="0.2">
      <c r="A627" s="16">
        <f>'Stock Price'!A627</f>
        <v>45378</v>
      </c>
      <c r="B627" s="17">
        <f>'Stock Price'!E627</f>
        <v>131.75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0.23767026773132915</v>
      </c>
      <c r="P627" s="19">
        <f ca="1">IF('Stock Price'!$I$11="OK",C627/INDEX(C$5:C$1258,'Stock Price'!$I$9)-1,"")</f>
        <v>-0.30792550887830228</v>
      </c>
      <c r="Q627" s="19">
        <f ca="1">IF('Stock Price'!$I$11="OK",D627/INDEX(D$5:D$1258,'Stock Price'!$I$9)-1,"")</f>
        <v>-0.26259805665799918</v>
      </c>
      <c r="R627" s="19">
        <f ca="1">IF('Stock Price'!$I$11="OK",E627/INDEX(E$5:E$1258,'Stock Price'!$I$9)-1,"")</f>
        <v>-0.13379004634293779</v>
      </c>
      <c r="S627" s="19">
        <f ca="1">IF('Stock Price'!$I$11="OK",F627/INDEX(F$5:F$1258,'Stock Price'!$I$9)-1,"")</f>
        <v>-0.39144800777453848</v>
      </c>
      <c r="T627" s="19">
        <f ca="1">IF('Stock Price'!$I$11="OK",G627/INDEX(G$5:G$1258,'Stock Price'!$I$9)-1,"")</f>
        <v>2.7161517727555484E-2</v>
      </c>
      <c r="U627" s="19">
        <f ca="1">IF('Stock Price'!$I$11="OK",H627/INDEX(H$5:H$1258,'Stock Price'!$I$9)-1,"")</f>
        <v>-0.25210526315789472</v>
      </c>
      <c r="V627" s="19">
        <f ca="1">IF('Stock Price'!$I$11="OK",I627/INDEX(I$5:I$1258,'Stock Price'!$I$9)-1,"")</f>
        <v>0.10325655281969826</v>
      </c>
      <c r="W627" s="19">
        <f ca="1">IF('Stock Price'!$I$11="OK",J627/INDEX(J$5:J$1258,'Stock Price'!$I$9)-1,"")</f>
        <v>-0.27970306194231553</v>
      </c>
      <c r="X627" s="19">
        <f ca="1">IF('Stock Price'!$I$11="OK",K627/INDEX(K$5:K$1258,'Stock Price'!$I$9)-1,"")</f>
        <v>-3.9281705948372991E-3</v>
      </c>
      <c r="Y627" s="19">
        <f ca="1">IF('Stock Price'!$I$11="OK",L627/INDEX(L$5:L$1258,'Stock Price'!$I$9)-1,"")</f>
        <v>-0.23819628647214852</v>
      </c>
      <c r="Z627" s="19">
        <f ca="1">IF('Stock Price'!$I$11="OK",M627/INDEX(M$5:M$1258,'Stock Price'!$I$9)-1,"")</f>
        <v>-0.2135100955039031</v>
      </c>
    </row>
    <row r="628" spans="1:26" x14ac:dyDescent="0.2">
      <c r="A628" s="16">
        <f>'Stock Price'!A628</f>
        <v>45379</v>
      </c>
      <c r="B628" s="17">
        <f>'Stock Price'!E628</f>
        <v>131.94999999999999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0.23954908407703135</v>
      </c>
      <c r="P628" s="19">
        <f ca="1">IF('Stock Price'!$I$11="OK",C628/INDEX(C$5:C$1258,'Stock Price'!$I$9)-1,"")</f>
        <v>-0.30179009672296808</v>
      </c>
      <c r="Q628" s="19">
        <f ca="1">IF('Stock Price'!$I$11="OK",D628/INDEX(D$5:D$1258,'Stock Price'!$I$9)-1,"")</f>
        <v>-0.2502531818803887</v>
      </c>
      <c r="R628" s="19">
        <f ca="1">IF('Stock Price'!$I$11="OK",E628/INDEX(E$5:E$1258,'Stock Price'!$I$9)-1,"")</f>
        <v>-0.13620793874672588</v>
      </c>
      <c r="S628" s="19">
        <f ca="1">IF('Stock Price'!$I$11="OK",F628/INDEX(F$5:F$1258,'Stock Price'!$I$9)-1,"")</f>
        <v>-0.37959183673469388</v>
      </c>
      <c r="T628" s="19">
        <f ca="1">IF('Stock Price'!$I$11="OK",G628/INDEX(G$5:G$1258,'Stock Price'!$I$9)-1,"")</f>
        <v>7.6715737093095981E-3</v>
      </c>
      <c r="U628" s="19">
        <f ca="1">IF('Stock Price'!$I$11="OK",H628/INDEX(H$5:H$1258,'Stock Price'!$I$9)-1,"")</f>
        <v>-0.25184210526315787</v>
      </c>
      <c r="V628" s="19">
        <f ca="1">IF('Stock Price'!$I$11="OK",I628/INDEX(I$5:I$1258,'Stock Price'!$I$9)-1,"")</f>
        <v>0.10206513105639403</v>
      </c>
      <c r="W628" s="19">
        <f ca="1">IF('Stock Price'!$I$11="OK",J628/INDEX(J$5:J$1258,'Stock Price'!$I$9)-1,"")</f>
        <v>-0.27990669776741073</v>
      </c>
      <c r="X628" s="19">
        <f ca="1">IF('Stock Price'!$I$11="OK",K628/INDEX(K$5:K$1258,'Stock Price'!$I$9)-1,"")</f>
        <v>1.4403292181069949E-2</v>
      </c>
      <c r="Y628" s="19">
        <f ca="1">IF('Stock Price'!$I$11="OK",L628/INDEX(L$5:L$1258,'Stock Price'!$I$9)-1,"")</f>
        <v>-0.23708705088015436</v>
      </c>
      <c r="Z628" s="19">
        <f ca="1">IF('Stock Price'!$I$11="OK",M628/INDEX(M$5:M$1258,'Stock Price'!$I$9)-1,"")</f>
        <v>-0.2058785050804588</v>
      </c>
    </row>
    <row r="629" spans="1:26" x14ac:dyDescent="0.2">
      <c r="A629" s="16">
        <f>'Stock Price'!A629</f>
        <v>45383</v>
      </c>
      <c r="B629" s="17">
        <f>'Stock Price'!E629</f>
        <v>130.99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0.23053076561766095</v>
      </c>
      <c r="P629" s="19">
        <f ca="1">IF('Stock Price'!$I$11="OK",C629/INDEX(C$5:C$1258,'Stock Price'!$I$9)-1,"")</f>
        <v>-0.30799769019777679</v>
      </c>
      <c r="Q629" s="19">
        <f ca="1">IF('Stock Price'!$I$11="OK",D629/INDEX(D$5:D$1258,'Stock Price'!$I$9)-1,"")</f>
        <v>-0.25660325715067744</v>
      </c>
      <c r="R629" s="19">
        <f ca="1">IF('Stock Price'!$I$11="OK",E629/INDEX(E$5:E$1258,'Stock Price'!$I$9)-1,"")</f>
        <v>-0.14527503526093088</v>
      </c>
      <c r="S629" s="19">
        <f ca="1">IF('Stock Price'!$I$11="OK",F629/INDEX(F$5:F$1258,'Stock Price'!$I$9)-1,"")</f>
        <v>-0.37900874635568516</v>
      </c>
      <c r="T629" s="19">
        <f ca="1">IF('Stock Price'!$I$11="OK",G629/INDEX(G$5:G$1258,'Stock Price'!$I$9)-1,"")</f>
        <v>1.2440389798880069E-3</v>
      </c>
      <c r="U629" s="19">
        <f ca="1">IF('Stock Price'!$I$11="OK",H629/INDEX(H$5:H$1258,'Stock Price'!$I$9)-1,"")</f>
        <v>-0.25184210526315787</v>
      </c>
      <c r="V629" s="19">
        <f ca="1">IF('Stock Price'!$I$11="OK",I629/INDEX(I$5:I$1258,'Stock Price'!$I$9)-1,"")</f>
        <v>0.10087370929308981</v>
      </c>
      <c r="W629" s="19">
        <f ca="1">IF('Stock Price'!$I$11="OK",J629/INDEX(J$5:J$1258,'Stock Price'!$I$9)-1,"")</f>
        <v>-0.29602169647154652</v>
      </c>
      <c r="X629" s="19">
        <f ca="1">IF('Stock Price'!$I$11="OK",K629/INDEX(K$5:K$1258,'Stock Price'!$I$9)-1,"")</f>
        <v>-8.7916199027310293E-3</v>
      </c>
      <c r="Y629" s="19">
        <f ca="1">IF('Stock Price'!$I$11="OK",L629/INDEX(L$5:L$1258,'Stock Price'!$I$9)-1,"")</f>
        <v>-0.23906438389197004</v>
      </c>
      <c r="Z629" s="19">
        <f ca="1">IF('Stock Price'!$I$11="OK",M629/INDEX(M$5:M$1258,'Stock Price'!$I$9)-1,"")</f>
        <v>-0.21172212289041037</v>
      </c>
    </row>
    <row r="630" spans="1:26" x14ac:dyDescent="0.2">
      <c r="A630" s="16">
        <f>'Stock Price'!A630</f>
        <v>45384</v>
      </c>
      <c r="B630" s="17">
        <f>'Stock Price'!E630</f>
        <v>130.35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0.22451855331141379</v>
      </c>
      <c r="P630" s="19">
        <f ca="1">IF('Stock Price'!$I$11="OK",C630/INDEX(C$5:C$1258,'Stock Price'!$I$9)-1,"")</f>
        <v>-0.31853616284105668</v>
      </c>
      <c r="Q630" s="19">
        <f ca="1">IF('Stock Price'!$I$11="OK",D630/INDEX(D$5:D$1258,'Stock Price'!$I$9)-1,"")</f>
        <v>-0.27926645682222528</v>
      </c>
      <c r="R630" s="19">
        <f ca="1">IF('Stock Price'!$I$11="OK",E630/INDEX(E$5:E$1258,'Stock Price'!$I$9)-1,"")</f>
        <v>-0.15796897038081814</v>
      </c>
      <c r="S630" s="19">
        <f ca="1">IF('Stock Price'!$I$11="OK",F630/INDEX(F$5:F$1258,'Stock Price'!$I$9)-1,"")</f>
        <v>-0.39008746355685131</v>
      </c>
      <c r="T630" s="19">
        <f ca="1">IF('Stock Price'!$I$11="OK",G630/INDEX(G$5:G$1258,'Stock Price'!$I$9)-1,"")</f>
        <v>-1.0989010989010839E-2</v>
      </c>
      <c r="U630" s="19">
        <f ca="1">IF('Stock Price'!$I$11="OK",H630/INDEX(H$5:H$1258,'Stock Price'!$I$9)-1,"")</f>
        <v>-0.26328947368421052</v>
      </c>
      <c r="V630" s="19">
        <f ca="1">IF('Stock Price'!$I$11="OK",I630/INDEX(I$5:I$1258,'Stock Price'!$I$9)-1,"")</f>
        <v>9.4122319301032542E-2</v>
      </c>
      <c r="W630" s="19">
        <f ca="1">IF('Stock Price'!$I$11="OK",J630/INDEX(J$5:J$1258,'Stock Price'!$I$9)-1,"")</f>
        <v>-0.29286534118256868</v>
      </c>
      <c r="X630" s="19">
        <f ca="1">IF('Stock Price'!$I$11="OK",K630/INDEX(K$5:K$1258,'Stock Price'!$I$9)-1,"")</f>
        <v>-1.3468013468013407E-2</v>
      </c>
      <c r="Y630" s="19">
        <f ca="1">IF('Stock Price'!$I$11="OK",L630/INDEX(L$5:L$1258,'Stock Price'!$I$9)-1,"")</f>
        <v>-0.23930552206414279</v>
      </c>
      <c r="Z630" s="19">
        <f ca="1">IF('Stock Price'!$I$11="OK",M630/INDEX(M$5:M$1258,'Stock Price'!$I$9)-1,"")</f>
        <v>-0.2120273865073482</v>
      </c>
    </row>
    <row r="631" spans="1:26" x14ac:dyDescent="0.2">
      <c r="A631" s="16">
        <f>'Stock Price'!A631</f>
        <v>45385</v>
      </c>
      <c r="B631" s="17">
        <f>'Stock Price'!E631</f>
        <v>129.9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0.22029121653358397</v>
      </c>
      <c r="P631" s="19">
        <f ca="1">IF('Stock Price'!$I$11="OK",C631/INDEX(C$5:C$1258,'Stock Price'!$I$9)-1,"")</f>
        <v>-0.31882488811895471</v>
      </c>
      <c r="Q631" s="19">
        <f ca="1">IF('Stock Price'!$I$11="OK",D631/INDEX(D$5:D$1258,'Stock Price'!$I$9)-1,"")</f>
        <v>-0.2786922129464896</v>
      </c>
      <c r="R631" s="19">
        <f ca="1">IF('Stock Price'!$I$11="OK",E631/INDEX(E$5:E$1258,'Stock Price'!$I$9)-1,"")</f>
        <v>-0.16300624622204318</v>
      </c>
      <c r="S631" s="19">
        <f ca="1">IF('Stock Price'!$I$11="OK",F631/INDEX(F$5:F$1258,'Stock Price'!$I$9)-1,"")</f>
        <v>-0.39164237123420798</v>
      </c>
      <c r="T631" s="19">
        <f ca="1">IF('Stock Price'!$I$11="OK",G631/INDEX(G$5:G$1258,'Stock Price'!$I$9)-1,"")</f>
        <v>-5.5981754094960312E-3</v>
      </c>
      <c r="U631" s="19">
        <f ca="1">IF('Stock Price'!$I$11="OK",H631/INDEX(H$5:H$1258,'Stock Price'!$I$9)-1,"")</f>
        <v>-0.24302631578947365</v>
      </c>
      <c r="V631" s="19">
        <f ca="1">IF('Stock Price'!$I$11="OK",I631/INDEX(I$5:I$1258,'Stock Price'!$I$9)-1,"")</f>
        <v>8.1016679904686306E-2</v>
      </c>
      <c r="W631" s="19">
        <f ca="1">IF('Stock Price'!$I$11="OK",J631/INDEX(J$5:J$1258,'Stock Price'!$I$9)-1,"")</f>
        <v>-0.28173016401940087</v>
      </c>
      <c r="X631" s="19">
        <f ca="1">IF('Stock Price'!$I$11="OK",K631/INDEX(K$5:K$1258,'Stock Price'!$I$9)-1,"")</f>
        <v>-2.3943135054246167E-2</v>
      </c>
      <c r="Y631" s="19">
        <f ca="1">IF('Stock Price'!$I$11="OK",L631/INDEX(L$5:L$1258,'Stock Price'!$I$9)-1,"")</f>
        <v>-0.25604051121292504</v>
      </c>
      <c r="Z631" s="19">
        <f ca="1">IF('Stock Price'!$I$11="OK",M631/INDEX(M$5:M$1258,'Stock Price'!$I$9)-1,"")</f>
        <v>-0.22668004012036103</v>
      </c>
    </row>
    <row r="632" spans="1:26" x14ac:dyDescent="0.2">
      <c r="A632" s="16">
        <f>'Stock Price'!A632</f>
        <v>45386</v>
      </c>
      <c r="B632" s="17">
        <f>'Stock Price'!E632</f>
        <v>127.66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0.19924847346171903</v>
      </c>
      <c r="P632" s="19">
        <f ca="1">IF('Stock Price'!$I$11="OK",C632/INDEX(C$5:C$1258,'Stock Price'!$I$9)-1,"")</f>
        <v>-0.30063519561137575</v>
      </c>
      <c r="Q632" s="19">
        <f ca="1">IF('Stock Price'!$I$11="OK",D632/INDEX(D$5:D$1258,'Stock Price'!$I$9)-1,"")</f>
        <v>-0.24811824278089512</v>
      </c>
      <c r="R632" s="19">
        <f ca="1">IF('Stock Price'!$I$11="OK",E632/INDEX(E$5:E$1258,'Stock Price'!$I$9)-1,"")</f>
        <v>-0.1767076365101754</v>
      </c>
      <c r="S632" s="19">
        <f ca="1">IF('Stock Price'!$I$11="OK",F632/INDEX(F$5:F$1258,'Stock Price'!$I$9)-1,"")</f>
        <v>-0.40233236151603502</v>
      </c>
      <c r="T632" s="19">
        <f ca="1">IF('Stock Price'!$I$11="OK",G632/INDEX(G$5:G$1258,'Stock Price'!$I$9)-1,"")</f>
        <v>-8.9156126891976051E-3</v>
      </c>
      <c r="U632" s="19">
        <f ca="1">IF('Stock Price'!$I$11="OK",H632/INDEX(H$5:H$1258,'Stock Price'!$I$9)-1,"")</f>
        <v>-0.24842105263157899</v>
      </c>
      <c r="V632" s="19">
        <f ca="1">IF('Stock Price'!$I$11="OK",I632/INDEX(I$5:I$1258,'Stock Price'!$I$9)-1,"")</f>
        <v>5.8379666401906283E-2</v>
      </c>
      <c r="W632" s="19">
        <f ca="1">IF('Stock Price'!$I$11="OK",J632/INDEX(J$5:J$1258,'Stock Price'!$I$9)-1,"")</f>
        <v>-0.28905179754896504</v>
      </c>
      <c r="X632" s="19">
        <f ca="1">IF('Stock Price'!$I$11="OK",K632/INDEX(K$5:K$1258,'Stock Price'!$I$9)-1,"")</f>
        <v>-3.8533482977927469E-2</v>
      </c>
      <c r="Y632" s="19">
        <f ca="1">IF('Stock Price'!$I$11="OK",L632/INDEX(L$5:L$1258,'Stock Price'!$I$9)-1,"")</f>
        <v>-0.26452857487340242</v>
      </c>
      <c r="Z632" s="19">
        <f ca="1">IF('Stock Price'!$I$11="OK",M632/INDEX(M$5:M$1258,'Stock Price'!$I$9)-1,"")</f>
        <v>-0.2678034102306921</v>
      </c>
    </row>
    <row r="633" spans="1:26" x14ac:dyDescent="0.2">
      <c r="A633" s="16">
        <f>'Stock Price'!A633</f>
        <v>45387</v>
      </c>
      <c r="B633" s="17">
        <f>'Stock Price'!E633</f>
        <v>127.99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0.20234852043212759</v>
      </c>
      <c r="P633" s="19">
        <f ca="1">IF('Stock Price'!$I$11="OK",C633/INDEX(C$5:C$1258,'Stock Price'!$I$9)-1,"")</f>
        <v>-0.30857514075357284</v>
      </c>
      <c r="Q633" s="19">
        <f ca="1">IF('Stock Price'!$I$11="OK",D633/INDEX(D$5:D$1258,'Stock Price'!$I$9)-1,"")</f>
        <v>-0.27072670042425073</v>
      </c>
      <c r="R633" s="19">
        <f ca="1">IF('Stock Price'!$I$11="OK",E633/INDEX(E$5:E$1258,'Stock Price'!$I$9)-1,"")</f>
        <v>-0.17005843239975826</v>
      </c>
      <c r="S633" s="19">
        <f ca="1">IF('Stock Price'!$I$11="OK",F633/INDEX(F$5:F$1258,'Stock Price'!$I$9)-1,"")</f>
        <v>-0.41224489795918373</v>
      </c>
      <c r="T633" s="19">
        <f ca="1">IF('Stock Price'!$I$11="OK",G633/INDEX(G$5:G$1258,'Stock Price'!$I$9)-1,"")</f>
        <v>-2.0319303338171224E-2</v>
      </c>
      <c r="U633" s="19">
        <f ca="1">IF('Stock Price'!$I$11="OK",H633/INDEX(H$5:H$1258,'Stock Price'!$I$9)-1,"")</f>
        <v>-0.27802631578947368</v>
      </c>
      <c r="V633" s="19">
        <f ca="1">IF('Stock Price'!$I$11="OK",I633/INDEX(I$5:I$1258,'Stock Price'!$I$9)-1,"")</f>
        <v>5.8776806989674357E-2</v>
      </c>
      <c r="W633" s="19">
        <f ca="1">IF('Stock Price'!$I$11="OK",J633/INDEX(J$5:J$1258,'Stock Price'!$I$9)-1,"")</f>
        <v>-0.27412158909992956</v>
      </c>
      <c r="X633" s="19">
        <f ca="1">IF('Stock Price'!$I$11="OK",K633/INDEX(K$5:K$1258,'Stock Price'!$I$9)-1,"")</f>
        <v>-4.0029928918817848E-2</v>
      </c>
      <c r="Y633" s="19">
        <f ca="1">IF('Stock Price'!$I$11="OK",L633/INDEX(L$5:L$1258,'Stock Price'!$I$9)-1,"")</f>
        <v>-0.26505907885218238</v>
      </c>
      <c r="Z633" s="19">
        <f ca="1">IF('Stock Price'!$I$11="OK",M633/INDEX(M$5:M$1258,'Stock Price'!$I$9)-1,"")</f>
        <v>-0.25864550172255896</v>
      </c>
    </row>
    <row r="634" spans="1:26" x14ac:dyDescent="0.2">
      <c r="A634" s="16">
        <f>'Stock Price'!A634</f>
        <v>45390</v>
      </c>
      <c r="B634" s="17">
        <f>'Stock Price'!E634</f>
        <v>126.56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0.18891498356035696</v>
      </c>
      <c r="P634" s="19">
        <f ca="1">IF('Stock Price'!$I$11="OK",C634/INDEX(C$5:C$1258,'Stock Price'!$I$9)-1,"")</f>
        <v>-0.310812761657283</v>
      </c>
      <c r="Q634" s="19">
        <f ca="1">IF('Stock Price'!$I$11="OK",D634/INDEX(D$5:D$1258,'Stock Price'!$I$9)-1,"")</f>
        <v>-0.25200492678253739</v>
      </c>
      <c r="R634" s="19">
        <f ca="1">IF('Stock Price'!$I$11="OK",E634/INDEX(E$5:E$1258,'Stock Price'!$I$9)-1,"")</f>
        <v>-0.17690912754382426</v>
      </c>
      <c r="S634" s="19">
        <f ca="1">IF('Stock Price'!$I$11="OK",F634/INDEX(F$5:F$1258,'Stock Price'!$I$9)-1,"")</f>
        <v>-0.41321671525753156</v>
      </c>
      <c r="T634" s="19">
        <f ca="1">IF('Stock Price'!$I$11="OK",G634/INDEX(G$5:G$1258,'Stock Price'!$I$9)-1,"")</f>
        <v>-2.2392701637984569E-2</v>
      </c>
      <c r="U634" s="19">
        <f ca="1">IF('Stock Price'!$I$11="OK",H634/INDEX(H$5:H$1258,'Stock Price'!$I$9)-1,"")</f>
        <v>-0.28092105263157896</v>
      </c>
      <c r="V634" s="19">
        <f ca="1">IF('Stock Price'!$I$11="OK",I634/INDEX(I$5:I$1258,'Stock Price'!$I$9)-1,"")</f>
        <v>5.5599682287529761E-2</v>
      </c>
      <c r="W634" s="19">
        <f ca="1">IF('Stock Price'!$I$11="OK",J634/INDEX(J$5:J$1258,'Stock Price'!$I$9)-1,"")</f>
        <v>-0.2805268614165648</v>
      </c>
      <c r="X634" s="19">
        <f ca="1">IF('Stock Price'!$I$11="OK",K634/INDEX(K$5:K$1258,'Stock Price'!$I$9)-1,"")</f>
        <v>-4.4145155256266388E-2</v>
      </c>
      <c r="Y634" s="19">
        <f ca="1">IF('Stock Price'!$I$11="OK",L634/INDEX(L$5:L$1258,'Stock Price'!$I$9)-1,"")</f>
        <v>-0.26891728960694472</v>
      </c>
      <c r="Z634" s="19">
        <f ca="1">IF('Stock Price'!$I$11="OK",M634/INDEX(M$5:M$1258,'Stock Price'!$I$9)-1,"")</f>
        <v>-0.25951768348523829</v>
      </c>
    </row>
    <row r="635" spans="1:26" x14ac:dyDescent="0.2">
      <c r="A635" s="16">
        <f>'Stock Price'!A635</f>
        <v>45391</v>
      </c>
      <c r="B635" s="17">
        <f>'Stock Price'!E635</f>
        <v>126.71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0.1903240958196335</v>
      </c>
      <c r="P635" s="19">
        <f ca="1">IF('Stock Price'!$I$11="OK",C635/INDEX(C$5:C$1258,'Stock Price'!$I$9)-1,"")</f>
        <v>-0.30843077811462383</v>
      </c>
      <c r="Q635" s="19">
        <f ca="1">IF('Stock Price'!$I$11="OK",D635/INDEX(D$5:D$1258,'Stock Price'!$I$9)-1,"")</f>
        <v>-0.26229697550294251</v>
      </c>
      <c r="R635" s="19">
        <f ca="1">IF('Stock Price'!$I$11="OK",E635/INDEX(E$5:E$1258,'Stock Price'!$I$9)-1,"")</f>
        <v>-0.17630465444287724</v>
      </c>
      <c r="S635" s="19">
        <f ca="1">IF('Stock Price'!$I$11="OK",F635/INDEX(F$5:F$1258,'Stock Price'!$I$9)-1,"")</f>
        <v>-0.4040816326530613</v>
      </c>
      <c r="T635" s="19">
        <f ca="1">IF('Stock Price'!$I$11="OK",G635/INDEX(G$5:G$1258,'Stock Price'!$I$9)-1,"")</f>
        <v>-1.4513788098693636E-2</v>
      </c>
      <c r="U635" s="19">
        <f ca="1">IF('Stock Price'!$I$11="OK",H635/INDEX(H$5:H$1258,'Stock Price'!$I$9)-1,"")</f>
        <v>-0.27907894736842109</v>
      </c>
      <c r="V635" s="19">
        <f ca="1">IF('Stock Price'!$I$11="OK",I635/INDEX(I$5:I$1258,'Stock Price'!$I$9)-1,"")</f>
        <v>6.3542494042891251E-2</v>
      </c>
      <c r="W635" s="19">
        <f ca="1">IF('Stock Price'!$I$11="OK",J635/INDEX(J$5:J$1258,'Stock Price'!$I$9)-1,"")</f>
        <v>-0.29908549002184448</v>
      </c>
      <c r="X635" s="19">
        <f ca="1">IF('Stock Price'!$I$11="OK",K635/INDEX(K$5:K$1258,'Stock Price'!$I$9)-1,"")</f>
        <v>-3.4792368125701412E-2</v>
      </c>
      <c r="Y635" s="19">
        <f ca="1">IF('Stock Price'!$I$11="OK",L635/INDEX(L$5:L$1258,'Stock Price'!$I$9)-1,"")</f>
        <v>-0.26554135519652766</v>
      </c>
      <c r="Z635" s="19">
        <f ca="1">IF('Stock Price'!$I$11="OK",M635/INDEX(M$5:M$1258,'Stock Price'!$I$9)-1,"")</f>
        <v>-0.25803497448868351</v>
      </c>
    </row>
    <row r="636" spans="1:26" x14ac:dyDescent="0.2">
      <c r="A636" s="16">
        <f>'Stock Price'!A636</f>
        <v>45392</v>
      </c>
      <c r="B636" s="17">
        <f>'Stock Price'!E636</f>
        <v>126.75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0.19069985908877407</v>
      </c>
      <c r="P636" s="19">
        <f ca="1">IF('Stock Price'!$I$11="OK",C636/INDEX(C$5:C$1258,'Stock Price'!$I$9)-1,"")</f>
        <v>-0.31875270679948031</v>
      </c>
      <c r="Q636" s="19">
        <f ca="1">IF('Stock Price'!$I$11="OK",D636/INDEX(D$5:D$1258,'Stock Price'!$I$9)-1,"")</f>
        <v>-0.25413986588203097</v>
      </c>
      <c r="R636" s="19">
        <f ca="1">IF('Stock Price'!$I$11="OK",E636/INDEX(E$5:E$1258,'Stock Price'!$I$9)-1,"")</f>
        <v>-0.18013298408220846</v>
      </c>
      <c r="S636" s="19">
        <f ca="1">IF('Stock Price'!$I$11="OK",F636/INDEX(F$5:F$1258,'Stock Price'!$I$9)-1,"")</f>
        <v>-0.40544217687074835</v>
      </c>
      <c r="T636" s="19">
        <f ca="1">IF('Stock Price'!$I$11="OK",G636/INDEX(G$5:G$1258,'Stock Price'!$I$9)-1,"")</f>
        <v>-2.2807381297947238E-2</v>
      </c>
      <c r="U636" s="19">
        <f ca="1">IF('Stock Price'!$I$11="OK",H636/INDEX(H$5:H$1258,'Stock Price'!$I$9)-1,"")</f>
        <v>-0.27434210526315794</v>
      </c>
      <c r="V636" s="19">
        <f ca="1">IF('Stock Price'!$I$11="OK",I636/INDEX(I$5:I$1258,'Stock Price'!$I$9)-1,"")</f>
        <v>4.5274027005560047E-2</v>
      </c>
      <c r="W636" s="19">
        <f ca="1">IF('Stock Price'!$I$11="OK",J636/INDEX(J$5:J$1258,'Stock Price'!$I$9)-1,"")</f>
        <v>-0.29469806360842676</v>
      </c>
      <c r="X636" s="19">
        <f ca="1">IF('Stock Price'!$I$11="OK",K636/INDEX(K$5:K$1258,'Stock Price'!$I$9)-1,"")</f>
        <v>-5.9296670407781527E-2</v>
      </c>
      <c r="Y636" s="19">
        <f ca="1">IF('Stock Price'!$I$11="OK",L636/INDEX(L$5:L$1258,'Stock Price'!$I$9)-1,"")</f>
        <v>-0.2756209307933446</v>
      </c>
      <c r="Z636" s="19">
        <f ca="1">IF('Stock Price'!$I$11="OK",M636/INDEX(M$5:M$1258,'Stock Price'!$I$9)-1,"")</f>
        <v>-0.2628755832715538</v>
      </c>
    </row>
    <row r="637" spans="1:26" x14ac:dyDescent="0.2">
      <c r="A637" s="16">
        <f>'Stock Price'!A637</f>
        <v>45393</v>
      </c>
      <c r="B637" s="17">
        <f>'Stock Price'!E637</f>
        <v>126.15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0.18506341005166749</v>
      </c>
      <c r="P637" s="19">
        <f ca="1">IF('Stock Price'!$I$11="OK",C637/INDEX(C$5:C$1258,'Stock Price'!$I$9)-1,"")</f>
        <v>-0.31904143207737834</v>
      </c>
      <c r="Q637" s="19">
        <f ca="1">IF('Stock Price'!$I$11="OK",D637/INDEX(D$5:D$1258,'Stock Price'!$I$9)-1,"")</f>
        <v>-0.2527713151772274</v>
      </c>
      <c r="R637" s="19">
        <f ca="1">IF('Stock Price'!$I$11="OK",E637/INDEX(E$5:E$1258,'Stock Price'!$I$9)-1,"")</f>
        <v>-0.17791658271206945</v>
      </c>
      <c r="S637" s="19">
        <f ca="1">IF('Stock Price'!$I$11="OK",F637/INDEX(F$5:F$1258,'Stock Price'!$I$9)-1,"")</f>
        <v>-0.39825072886297375</v>
      </c>
      <c r="T637" s="19">
        <f ca="1">IF('Stock Price'!$I$11="OK",G637/INDEX(G$5:G$1258,'Stock Price'!$I$9)-1,"")</f>
        <v>-3.3796392286958188E-2</v>
      </c>
      <c r="U637" s="19">
        <f ca="1">IF('Stock Price'!$I$11="OK",H637/INDEX(H$5:H$1258,'Stock Price'!$I$9)-1,"")</f>
        <v>-0.28894736842105262</v>
      </c>
      <c r="V637" s="19">
        <f ca="1">IF('Stock Price'!$I$11="OK",I637/INDEX(I$5:I$1258,'Stock Price'!$I$9)-1,"")</f>
        <v>4.6068308181096196E-2</v>
      </c>
      <c r="W637" s="19">
        <f ca="1">IF('Stock Price'!$I$11="OK",J637/INDEX(J$5:J$1258,'Stock Price'!$I$9)-1,"")</f>
        <v>-0.29691028916287154</v>
      </c>
      <c r="X637" s="19">
        <f ca="1">IF('Stock Price'!$I$11="OK",K637/INDEX(K$5:K$1258,'Stock Price'!$I$9)-1,"")</f>
        <v>-8.1182192293303479E-2</v>
      </c>
      <c r="Y637" s="19">
        <f ca="1">IF('Stock Price'!$I$11="OK",L637/INDEX(L$5:L$1258,'Stock Price'!$I$9)-1,"")</f>
        <v>-0.28242102724861351</v>
      </c>
      <c r="Z637" s="19">
        <f ca="1">IF('Stock Price'!$I$11="OK",M637/INDEX(M$5:M$1258,'Stock Price'!$I$9)-1,"")</f>
        <v>-0.26946055557978277</v>
      </c>
    </row>
    <row r="638" spans="1:26" x14ac:dyDescent="0.2">
      <c r="A638" s="16">
        <f>'Stock Price'!A638</f>
        <v>45394</v>
      </c>
      <c r="B638" s="17">
        <f>'Stock Price'!E638</f>
        <v>125.74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0.18121183654297779</v>
      </c>
      <c r="P638" s="19">
        <f ca="1">IF('Stock Price'!$I$11="OK",C638/INDEX(C$5:C$1258,'Stock Price'!$I$9)-1,"")</f>
        <v>-0.32496030027428902</v>
      </c>
      <c r="Q638" s="19">
        <f ca="1">IF('Stock Price'!$I$11="OK",D638/INDEX(D$5:D$1258,'Stock Price'!$I$9)-1,"")</f>
        <v>-0.23974271246749701</v>
      </c>
      <c r="R638" s="19">
        <f ca="1">IF('Stock Price'!$I$11="OK",E638/INDEX(E$5:E$1258,'Stock Price'!$I$9)-1,"")</f>
        <v>-0.18073745718315548</v>
      </c>
      <c r="S638" s="19">
        <f ca="1">IF('Stock Price'!$I$11="OK",F638/INDEX(F$5:F$1258,'Stock Price'!$I$9)-1,"")</f>
        <v>-0.40544217687074835</v>
      </c>
      <c r="T638" s="19">
        <f ca="1">IF('Stock Price'!$I$11="OK",G638/INDEX(G$5:G$1258,'Stock Price'!$I$9)-1,"")</f>
        <v>-4.7688160895708043E-2</v>
      </c>
      <c r="U638" s="19">
        <f ca="1">IF('Stock Price'!$I$11="OK",H638/INDEX(H$5:H$1258,'Stock Price'!$I$9)-1,"")</f>
        <v>-0.29039473684210526</v>
      </c>
      <c r="V638" s="19">
        <f ca="1">IF('Stock Price'!$I$11="OK",I638/INDEX(I$5:I$1258,'Stock Price'!$I$9)-1,"")</f>
        <v>2.7005559968228843E-2</v>
      </c>
      <c r="W638" s="19">
        <f ca="1">IF('Stock Price'!$I$11="OK",J638/INDEX(J$5:J$1258,'Stock Price'!$I$9)-1,"")</f>
        <v>-0.30426894738790766</v>
      </c>
      <c r="X638" s="19">
        <f ca="1">IF('Stock Price'!$I$11="OK",K638/INDEX(K$5:K$1258,'Stock Price'!$I$9)-1,"")</f>
        <v>-9.6894874672652453E-2</v>
      </c>
      <c r="Y638" s="19">
        <f ca="1">IF('Stock Price'!$I$11="OK",L638/INDEX(L$5:L$1258,'Stock Price'!$I$9)-1,"")</f>
        <v>-0.28854593682179885</v>
      </c>
      <c r="Z638" s="19">
        <f ca="1">IF('Stock Price'!$I$11="OK",M638/INDEX(M$5:M$1258,'Stock Price'!$I$9)-1,"")</f>
        <v>-0.29231171776198162</v>
      </c>
    </row>
    <row r="639" spans="1:26" x14ac:dyDescent="0.2">
      <c r="A639" s="16">
        <f>'Stock Price'!A639</f>
        <v>45397</v>
      </c>
      <c r="B639" s="17">
        <f>'Stock Price'!E639</f>
        <v>126.19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0.18543917332080784</v>
      </c>
      <c r="P639" s="19">
        <f ca="1">IF('Stock Price'!$I$11="OK",C639/INDEX(C$5:C$1258,'Stock Price'!$I$9)-1,"")</f>
        <v>-0.31853616284105668</v>
      </c>
      <c r="Q639" s="19">
        <f ca="1">IF('Stock Price'!$I$11="OK",D639/INDEX(D$5:D$1258,'Stock Price'!$I$9)-1,"")</f>
        <v>-0.25583686875598743</v>
      </c>
      <c r="R639" s="19">
        <f ca="1">IF('Stock Price'!$I$11="OK",E639/INDEX(E$5:E$1258,'Stock Price'!$I$9)-1,"")</f>
        <v>-0.18396131372153945</v>
      </c>
      <c r="S639" s="19">
        <f ca="1">IF('Stock Price'!$I$11="OK",F639/INDEX(F$5:F$1258,'Stock Price'!$I$9)-1,"")</f>
        <v>-0.40563654033041796</v>
      </c>
      <c r="T639" s="19">
        <f ca="1">IF('Stock Price'!$I$11="OK",G639/INDEX(G$5:G$1258,'Stock Price'!$I$9)-1,"")</f>
        <v>-4.1260626166286452E-2</v>
      </c>
      <c r="U639" s="19">
        <f ca="1">IF('Stock Price'!$I$11="OK",H639/INDEX(H$5:H$1258,'Stock Price'!$I$9)-1,"")</f>
        <v>-0.30368421052631578</v>
      </c>
      <c r="V639" s="19">
        <f ca="1">IF('Stock Price'!$I$11="OK",I639/INDEX(I$5:I$1258,'Stock Price'!$I$9)-1,"")</f>
        <v>2.8991262907069215E-2</v>
      </c>
      <c r="W639" s="19">
        <f ca="1">IF('Stock Price'!$I$11="OK",J639/INDEX(J$5:J$1258,'Stock Price'!$I$9)-1,"")</f>
        <v>-0.30507423451442106</v>
      </c>
      <c r="X639" s="19">
        <f ca="1">IF('Stock Price'!$I$11="OK",K639/INDEX(K$5:K$1258,'Stock Price'!$I$9)-1,"")</f>
        <v>-9.2592592592592671E-2</v>
      </c>
      <c r="Y639" s="19">
        <f ca="1">IF('Stock Price'!$I$11="OK",L639/INDEX(L$5:L$1258,'Stock Price'!$I$9)-1,"")</f>
        <v>-0.28820834338075718</v>
      </c>
      <c r="Z639" s="19">
        <f ca="1">IF('Stock Price'!$I$11="OK",M639/INDEX(M$5:M$1258,'Stock Price'!$I$9)-1,"")</f>
        <v>-0.29497187213815368</v>
      </c>
    </row>
    <row r="640" spans="1:26" x14ac:dyDescent="0.2">
      <c r="A640" s="16">
        <f>'Stock Price'!A640</f>
        <v>45398</v>
      </c>
      <c r="B640" s="17">
        <f>'Stock Price'!E640</f>
        <v>125.06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0.17482386096759051</v>
      </c>
      <c r="P640" s="19">
        <f ca="1">IF('Stock Price'!$I$11="OK",C640/INDEX(C$5:C$1258,'Stock Price'!$I$9)-1,"")</f>
        <v>-0.32727010249747357</v>
      </c>
      <c r="Q640" s="19">
        <f ca="1">IF('Stock Price'!$I$11="OK",D640/INDEX(D$5:D$1258,'Stock Price'!$I$9)-1,"")</f>
        <v>-0.25931298754618859</v>
      </c>
      <c r="R640" s="19">
        <f ca="1">IF('Stock Price'!$I$11="OK",E640/INDEX(E$5:E$1258,'Stock Price'!$I$9)-1,"")</f>
        <v>-0.1950433205722345</v>
      </c>
      <c r="S640" s="19">
        <f ca="1">IF('Stock Price'!$I$11="OK",F640/INDEX(F$5:F$1258,'Stock Price'!$I$9)-1,"")</f>
        <v>-0.41243926141885323</v>
      </c>
      <c r="T640" s="19">
        <f ca="1">IF('Stock Price'!$I$11="OK",G640/INDEX(G$5:G$1258,'Stock Price'!$I$9)-1,"")</f>
        <v>-5.0383578685465502E-2</v>
      </c>
      <c r="U640" s="19">
        <f ca="1">IF('Stock Price'!$I$11="OK",H640/INDEX(H$5:H$1258,'Stock Price'!$I$9)-1,"")</f>
        <v>-0.31368421052631579</v>
      </c>
      <c r="V640" s="19">
        <f ca="1">IF('Stock Price'!$I$11="OK",I640/INDEX(I$5:I$1258,'Stock Price'!$I$9)-1,"")</f>
        <v>2.0254169976171577E-2</v>
      </c>
      <c r="W640" s="19">
        <f ca="1">IF('Stock Price'!$I$11="OK",J640/INDEX(J$5:J$1258,'Stock Price'!$I$9)-1,"")</f>
        <v>-0.30880447258321297</v>
      </c>
      <c r="X640" s="19">
        <f ca="1">IF('Stock Price'!$I$11="OK",K640/INDEX(K$5:K$1258,'Stock Price'!$I$9)-1,"")</f>
        <v>-9.7268986157875048E-2</v>
      </c>
      <c r="Y640" s="19">
        <f ca="1">IF('Stock Price'!$I$11="OK",L640/INDEX(L$5:L$1258,'Stock Price'!$I$9)-1,"")</f>
        <v>-0.30335182059319998</v>
      </c>
      <c r="Z640" s="19">
        <f ca="1">IF('Stock Price'!$I$11="OK",M640/INDEX(M$5:M$1258,'Stock Price'!$I$9)-1,"")</f>
        <v>-0.2911778814704985</v>
      </c>
    </row>
    <row r="641" spans="1:26" x14ac:dyDescent="0.2">
      <c r="A641" s="16">
        <f>'Stock Price'!A641</f>
        <v>45399</v>
      </c>
      <c r="B641" s="17">
        <f>'Stock Price'!E641</f>
        <v>125.37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0.17773602630342888</v>
      </c>
      <c r="P641" s="19">
        <f ca="1">IF('Stock Price'!$I$11="OK",C641/INDEX(C$5:C$1258,'Stock Price'!$I$9)-1,"")</f>
        <v>-0.32813627833116787</v>
      </c>
      <c r="Q641" s="19">
        <f ca="1">IF('Stock Price'!$I$11="OK",D641/INDEX(D$5:D$1258,'Stock Price'!$I$9)-1,"")</f>
        <v>-0.23279047488709459</v>
      </c>
      <c r="R641" s="19">
        <f ca="1">IF('Stock Price'!$I$11="OK",E641/INDEX(E$5:E$1258,'Stock Price'!$I$9)-1,"")</f>
        <v>-0.20209550674994969</v>
      </c>
      <c r="S641" s="19">
        <f ca="1">IF('Stock Price'!$I$11="OK",F641/INDEX(F$5:F$1258,'Stock Price'!$I$9)-1,"")</f>
        <v>-0.41535471331389706</v>
      </c>
      <c r="T641" s="19">
        <f ca="1">IF('Stock Price'!$I$11="OK",G641/INDEX(G$5:G$1258,'Stock Price'!$I$9)-1,"")</f>
        <v>-4.3956043956043911E-2</v>
      </c>
      <c r="U641" s="19">
        <f ca="1">IF('Stock Price'!$I$11="OK",H641/INDEX(H$5:H$1258,'Stock Price'!$I$9)-1,"")</f>
        <v>-0.30921052631578949</v>
      </c>
      <c r="V641" s="19">
        <f ca="1">IF('Stock Price'!$I$11="OK",I641/INDEX(I$5:I$1258,'Stock Price'!$I$9)-1,"")</f>
        <v>9.5313741064337876E-3</v>
      </c>
      <c r="W641" s="19">
        <f ca="1">IF('Stock Price'!$I$11="OK",J641/INDEX(J$5:J$1258,'Stock Price'!$I$9)-1,"")</f>
        <v>-0.30507423451442106</v>
      </c>
      <c r="X641" s="19">
        <f ca="1">IF('Stock Price'!$I$11="OK",K641/INDEX(K$5:K$1258,'Stock Price'!$I$9)-1,"")</f>
        <v>-0.10512532734754954</v>
      </c>
      <c r="Y641" s="19">
        <f ca="1">IF('Stock Price'!$I$11="OK",L641/INDEX(L$5:L$1258,'Stock Price'!$I$9)-1,"")</f>
        <v>-0.30180853629129489</v>
      </c>
      <c r="Z641" s="19">
        <f ca="1">IF('Stock Price'!$I$11="OK",M641/INDEX(M$5:M$1258,'Stock Price'!$I$9)-1,"")</f>
        <v>-0.28372072739959009</v>
      </c>
    </row>
    <row r="642" spans="1:26" x14ac:dyDescent="0.2">
      <c r="A642" s="16">
        <f>'Stock Price'!A642</f>
        <v>45400</v>
      </c>
      <c r="B642" s="17">
        <f>'Stock Price'!E642</f>
        <v>125.23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0.17642085486143722</v>
      </c>
      <c r="P642" s="19">
        <f ca="1">IF('Stock Price'!$I$11="OK",C642/INDEX(C$5:C$1258,'Stock Price'!$I$9)-1,"")</f>
        <v>-0.33181752562436839</v>
      </c>
      <c r="Q642" s="19">
        <f ca="1">IF('Stock Price'!$I$11="OK",D642/INDEX(D$5:D$1258,'Stock Price'!$I$9)-1,"")</f>
        <v>-0.24324620227179417</v>
      </c>
      <c r="R642" s="19">
        <f ca="1">IF('Stock Price'!$I$11="OK",E642/INDEX(E$5:E$1258,'Stock Price'!$I$9)-1,"")</f>
        <v>-0.20874471086036672</v>
      </c>
      <c r="S642" s="19">
        <f ca="1">IF('Stock Price'!$I$11="OK",F642/INDEX(F$5:F$1258,'Stock Price'!$I$9)-1,"")</f>
        <v>-0.41593780369290578</v>
      </c>
      <c r="T642" s="19">
        <f ca="1">IF('Stock Price'!$I$11="OK",G642/INDEX(G$5:G$1258,'Stock Price'!$I$9)-1,"")</f>
        <v>-5.8884511714700327E-2</v>
      </c>
      <c r="U642" s="19">
        <f ca="1">IF('Stock Price'!$I$11="OK",H642/INDEX(H$5:H$1258,'Stock Price'!$I$9)-1,"")</f>
        <v>-0.30947368421052635</v>
      </c>
      <c r="V642" s="19">
        <f ca="1">IF('Stock Price'!$I$11="OK",I642/INDEX(I$5:I$1258,'Stock Price'!$I$9)-1,"")</f>
        <v>8.3399523431295641E-3</v>
      </c>
      <c r="W642" s="19">
        <f ca="1">IF('Stock Price'!$I$11="OK",J642/INDEX(J$5:J$1258,'Stock Price'!$I$9)-1,"")</f>
        <v>-0.30953571031878258</v>
      </c>
      <c r="X642" s="19">
        <f ca="1">IF('Stock Price'!$I$11="OK",K642/INDEX(K$5:K$1258,'Stock Price'!$I$9)-1,"")</f>
        <v>-9.652076318742997E-2</v>
      </c>
      <c r="Y642" s="19">
        <f ca="1">IF('Stock Price'!$I$11="OK",L642/INDEX(L$5:L$1258,'Stock Price'!$I$9)-1,"")</f>
        <v>-0.29713045575114538</v>
      </c>
      <c r="Z642" s="19">
        <f ca="1">IF('Stock Price'!$I$11="OK",M642/INDEX(M$5:M$1258,'Stock Price'!$I$9)-1,"")</f>
        <v>-0.28193275478609747</v>
      </c>
    </row>
    <row r="643" spans="1:26" x14ac:dyDescent="0.2">
      <c r="A643" s="16">
        <f>'Stock Price'!A643</f>
        <v>45401</v>
      </c>
      <c r="B643" s="17">
        <f>'Stock Price'!E643</f>
        <v>125.78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0.18158759981211836</v>
      </c>
      <c r="P643" s="19">
        <f ca="1">IF('Stock Price'!$I$11="OK",C643/INDEX(C$5:C$1258,'Stock Price'!$I$9)-1,"")</f>
        <v>-0.31889706943842933</v>
      </c>
      <c r="Q643" s="19">
        <f ca="1">IF('Stock Price'!$I$11="OK",D643/INDEX(D$5:D$1258,'Stock Price'!$I$9)-1,"")</f>
        <v>-0.25441357602299175</v>
      </c>
      <c r="R643" s="19">
        <f ca="1">IF('Stock Price'!$I$11="OK",E643/INDEX(E$5:E$1258,'Stock Price'!$I$9)-1,"")</f>
        <v>-0.19907314124521458</v>
      </c>
      <c r="S643" s="19">
        <f ca="1">IF('Stock Price'!$I$11="OK",F643/INDEX(F$5:F$1258,'Stock Price'!$I$9)-1,"")</f>
        <v>-0.40894071914480079</v>
      </c>
      <c r="T643" s="19">
        <f ca="1">IF('Stock Price'!$I$11="OK",G643/INDEX(G$5:G$1258,'Stock Price'!$I$9)-1,"")</f>
        <v>-4.0016587186398556E-2</v>
      </c>
      <c r="U643" s="19">
        <f ca="1">IF('Stock Price'!$I$11="OK",H643/INDEX(H$5:H$1258,'Stock Price'!$I$9)-1,"")</f>
        <v>-0.30723684210526314</v>
      </c>
      <c r="V643" s="19">
        <f ca="1">IF('Stock Price'!$I$11="OK",I643/INDEX(I$5:I$1258,'Stock Price'!$I$9)-1,"")</f>
        <v>3.2565528196981663E-2</v>
      </c>
      <c r="W643" s="19">
        <f ca="1">IF('Stock Price'!$I$11="OK",J643/INDEX(J$5:J$1258,'Stock Price'!$I$9)-1,"")</f>
        <v>-0.32771483579547556</v>
      </c>
      <c r="X643" s="19">
        <f ca="1">IF('Stock Price'!$I$11="OK",K643/INDEX(K$5:K$1258,'Stock Price'!$I$9)-1,"")</f>
        <v>-8.4736251402918072E-2</v>
      </c>
      <c r="Y643" s="19">
        <f ca="1">IF('Stock Price'!$I$11="OK",L643/INDEX(L$5:L$1258,'Stock Price'!$I$9)-1,"")</f>
        <v>-0.2866650590788522</v>
      </c>
      <c r="Z643" s="19">
        <f ca="1">IF('Stock Price'!$I$11="OK",M643/INDEX(M$5:M$1258,'Stock Price'!$I$9)-1,"")</f>
        <v>-0.27430116436265317</v>
      </c>
    </row>
    <row r="644" spans="1:26" x14ac:dyDescent="0.2">
      <c r="A644" s="16">
        <f>'Stock Price'!A644</f>
        <v>45404</v>
      </c>
      <c r="B644" s="17">
        <f>'Stock Price'!E644</f>
        <v>126.94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0.19248473461719118</v>
      </c>
      <c r="P644" s="19">
        <f ca="1">IF('Stock Price'!$I$11="OK",C644/INDEX(C$5:C$1258,'Stock Price'!$I$9)-1,"")</f>
        <v>-0.31341128915836569</v>
      </c>
      <c r="Q644" s="19">
        <f ca="1">IF('Stock Price'!$I$11="OK",D644/INDEX(D$5:D$1258,'Stock Price'!$I$9)-1,"")</f>
        <v>-0.24056384289037924</v>
      </c>
      <c r="R644" s="19">
        <f ca="1">IF('Stock Price'!$I$11="OK",E644/INDEX(E$5:E$1258,'Stock Price'!$I$9)-1,"")</f>
        <v>-0.18214789441869839</v>
      </c>
      <c r="S644" s="19">
        <f ca="1">IF('Stock Price'!$I$11="OK",F644/INDEX(F$5:F$1258,'Stock Price'!$I$9)-1,"")</f>
        <v>-0.39922254616132169</v>
      </c>
      <c r="T644" s="19">
        <f ca="1">IF('Stock Price'!$I$11="OK",G644/INDEX(G$5:G$1258,'Stock Price'!$I$9)-1,"")</f>
        <v>-2.2392701637984569E-2</v>
      </c>
      <c r="U644" s="19">
        <f ca="1">IF('Stock Price'!$I$11="OK",H644/INDEX(H$5:H$1258,'Stock Price'!$I$9)-1,"")</f>
        <v>-0.2811842105263157</v>
      </c>
      <c r="V644" s="19">
        <f ca="1">IF('Stock Price'!$I$11="OK",I644/INDEX(I$5:I$1258,'Stock Price'!$I$9)-1,"")</f>
        <v>4.28911834789516E-2</v>
      </c>
      <c r="W644" s="19">
        <f ca="1">IF('Stock Price'!$I$11="OK",J644/INDEX(J$5:J$1258,'Stock Price'!$I$9)-1,"")</f>
        <v>-0.3230682365137546</v>
      </c>
      <c r="X644" s="19">
        <f ca="1">IF('Stock Price'!$I$11="OK",K644/INDEX(K$5:K$1258,'Stock Price'!$I$9)-1,"")</f>
        <v>-8.0808080808080773E-2</v>
      </c>
      <c r="Y644" s="19">
        <f ca="1">IF('Stock Price'!$I$11="OK",L644/INDEX(L$5:L$1258,'Stock Price'!$I$9)-1,"")</f>
        <v>-0.28082951531227385</v>
      </c>
      <c r="Z644" s="19">
        <f ca="1">IF('Stock Price'!$I$11="OK",M644/INDEX(M$5:M$1258,'Stock Price'!$I$9)-1,"")</f>
        <v>-0.26784701931882615</v>
      </c>
    </row>
    <row r="645" spans="1:26" x14ac:dyDescent="0.2">
      <c r="A645" s="16">
        <f>'Stock Price'!A645</f>
        <v>45405</v>
      </c>
      <c r="B645" s="17">
        <f>'Stock Price'!E645</f>
        <v>126.88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0.19192108971348043</v>
      </c>
      <c r="P645" s="19">
        <f ca="1">IF('Stock Price'!$I$11="OK",C645/INDEX(C$5:C$1258,'Stock Price'!$I$9)-1,"")</f>
        <v>-0.29782012415186943</v>
      </c>
      <c r="Q645" s="19">
        <f ca="1">IF('Stock Price'!$I$11="OK",D645/INDEX(D$5:D$1258,'Stock Price'!$I$9)-1,"")</f>
        <v>-0.23196934446421236</v>
      </c>
      <c r="R645" s="19">
        <f ca="1">IF('Stock Price'!$I$11="OK",E645/INDEX(E$5:E$1258,'Stock Price'!$I$9)-1,"")</f>
        <v>-0.16905097723151319</v>
      </c>
      <c r="S645" s="19">
        <f ca="1">IF('Stock Price'!$I$11="OK",F645/INDEX(F$5:F$1258,'Stock Price'!$I$9)-1,"")</f>
        <v>-0.39280855199222553</v>
      </c>
      <c r="T645" s="19">
        <f ca="1">IF('Stock Price'!$I$11="OK",G645/INDEX(G$5:G$1258,'Stock Price'!$I$9)-1,"")</f>
        <v>-1.1196350818992284E-2</v>
      </c>
      <c r="U645" s="19">
        <f ca="1">IF('Stock Price'!$I$11="OK",H645/INDEX(H$5:H$1258,'Stock Price'!$I$9)-1,"")</f>
        <v>-0.28039473684210525</v>
      </c>
      <c r="V645" s="19">
        <f ca="1">IF('Stock Price'!$I$11="OK",I645/INDEX(I$5:I$1258,'Stock Price'!$I$9)-1,"")</f>
        <v>4.5274027005560047E-2</v>
      </c>
      <c r="W645" s="19">
        <f ca="1">IF('Stock Price'!$I$11="OK",J645/INDEX(J$5:J$1258,'Stock Price'!$I$9)-1,"")</f>
        <v>-0.30977637083934972</v>
      </c>
      <c r="X645" s="19">
        <f ca="1">IF('Stock Price'!$I$11="OK",K645/INDEX(K$5:K$1258,'Stock Price'!$I$9)-1,"")</f>
        <v>-8.3613916947250289E-2</v>
      </c>
      <c r="Y645" s="19">
        <f ca="1">IF('Stock Price'!$I$11="OK",L645/INDEX(L$5:L$1258,'Stock Price'!$I$9)-1,"")</f>
        <v>-0.27870749939715456</v>
      </c>
      <c r="Z645" s="19">
        <f ca="1">IF('Stock Price'!$I$11="OK",M645/INDEX(M$5:M$1258,'Stock Price'!$I$9)-1,"")</f>
        <v>-0.26065151977672152</v>
      </c>
    </row>
    <row r="646" spans="1:26" x14ac:dyDescent="0.2">
      <c r="A646" s="16">
        <f>'Stock Price'!A646</f>
        <v>45406</v>
      </c>
      <c r="B646" s="17">
        <f>'Stock Price'!E646</f>
        <v>127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0.1930483795209017</v>
      </c>
      <c r="P646" s="19">
        <f ca="1">IF('Stock Price'!$I$11="OK",C646/INDEX(C$5:C$1258,'Stock Price'!$I$9)-1,"")</f>
        <v>-0.29009672296809585</v>
      </c>
      <c r="Q646" s="19">
        <f ca="1">IF('Stock Price'!$I$11="OK",D646/INDEX(D$5:D$1258,'Stock Price'!$I$9)-1,"")</f>
        <v>-0.25906664841932403</v>
      </c>
      <c r="R646" s="19">
        <f ca="1">IF('Stock Price'!$I$11="OK",E646/INDEX(E$5:E$1258,'Stock Price'!$I$9)-1,"")</f>
        <v>-0.1767076365101754</v>
      </c>
      <c r="S646" s="19">
        <f ca="1">IF('Stock Price'!$I$11="OK",F646/INDEX(F$5:F$1258,'Stock Price'!$I$9)-1,"")</f>
        <v>-0.40641399416909629</v>
      </c>
      <c r="T646" s="19">
        <f ca="1">IF('Stock Price'!$I$11="OK",G646/INDEX(G$5:G$1258,'Stock Price'!$I$9)-1,"")</f>
        <v>-3.3589052456976964E-2</v>
      </c>
      <c r="U646" s="19">
        <f ca="1">IF('Stock Price'!$I$11="OK",H646/INDEX(H$5:H$1258,'Stock Price'!$I$9)-1,"")</f>
        <v>-0.29026315789473689</v>
      </c>
      <c r="V646" s="19">
        <f ca="1">IF('Stock Price'!$I$11="OK",I646/INDEX(I$5:I$1258,'Stock Price'!$I$9)-1,"")</f>
        <v>4.3288324066719674E-2</v>
      </c>
      <c r="W646" s="19">
        <f ca="1">IF('Stock Price'!$I$11="OK",J646/INDEX(J$5:J$1258,'Stock Price'!$I$9)-1,"")</f>
        <v>-0.3222629493872412</v>
      </c>
      <c r="X646" s="19">
        <f ca="1">IF('Stock Price'!$I$11="OK",K646/INDEX(K$5:K$1258,'Stock Price'!$I$9)-1,"")</f>
        <v>-8.6045641601197209E-2</v>
      </c>
      <c r="Y646" s="19">
        <f ca="1">IF('Stock Price'!$I$11="OK",L646/INDEX(L$5:L$1258,'Stock Price'!$I$9)-1,"")</f>
        <v>-0.28367494574391128</v>
      </c>
      <c r="Z646" s="19">
        <f ca="1">IF('Stock Price'!$I$11="OK",M646/INDEX(M$5:M$1258,'Stock Price'!$I$9)-1,"")</f>
        <v>-0.26823950111203165</v>
      </c>
    </row>
    <row r="647" spans="1:26" x14ac:dyDescent="0.2">
      <c r="A647" s="16">
        <f>'Stock Price'!A647</f>
        <v>45407</v>
      </c>
      <c r="B647" s="17">
        <f>'Stock Price'!E647</f>
        <v>130.72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0.22799436355096292</v>
      </c>
      <c r="P647" s="19">
        <f ca="1">IF('Stock Price'!$I$11="OK",C647/INDEX(C$5:C$1258,'Stock Price'!$I$9)-1,"")</f>
        <v>-0.28497184928540487</v>
      </c>
      <c r="Q647" s="19">
        <f ca="1">IF('Stock Price'!$I$11="OK",D647/INDEX(D$5:D$1258,'Stock Price'!$I$9)-1,"")</f>
        <v>-0.20046585465991518</v>
      </c>
      <c r="R647" s="19">
        <f ca="1">IF('Stock Price'!$I$11="OK",E647/INDEX(E$5:E$1258,'Stock Price'!$I$9)-1,"")</f>
        <v>-0.17570018134193044</v>
      </c>
      <c r="S647" s="19">
        <f ca="1">IF('Stock Price'!$I$11="OK",F647/INDEX(F$5:F$1258,'Stock Price'!$I$9)-1,"")</f>
        <v>-0.4165208940719145</v>
      </c>
      <c r="T647" s="19">
        <f ca="1">IF('Stock Price'!$I$11="OK",G647/INDEX(G$5:G$1258,'Stock Price'!$I$9)-1,"")</f>
        <v>2.3429400787891463E-2</v>
      </c>
      <c r="U647" s="19">
        <f ca="1">IF('Stock Price'!$I$11="OK",H647/INDEX(H$5:H$1258,'Stock Price'!$I$9)-1,"")</f>
        <v>-0.29223684210526313</v>
      </c>
      <c r="V647" s="19">
        <f ca="1">IF('Stock Price'!$I$11="OK",I647/INDEX(I$5:I$1258,'Stock Price'!$I$9)-1,"")</f>
        <v>3.1771247021445959E-3</v>
      </c>
      <c r="W647" s="19">
        <f ca="1">IF('Stock Price'!$I$11="OK",J647/INDEX(J$5:J$1258,'Stock Price'!$I$9)-1,"")</f>
        <v>-0.32904772483246314</v>
      </c>
      <c r="X647" s="19">
        <f ca="1">IF('Stock Price'!$I$11="OK",K647/INDEX(K$5:K$1258,'Stock Price'!$I$9)-1,"")</f>
        <v>-0.16386083052749711</v>
      </c>
      <c r="Y647" s="19">
        <f ca="1">IF('Stock Price'!$I$11="OK",L647/INDEX(L$5:L$1258,'Stock Price'!$I$9)-1,"")</f>
        <v>-0.29192187123221602</v>
      </c>
      <c r="Z647" s="19">
        <f ca="1">IF('Stock Price'!$I$11="OK",M647/INDEX(M$5:M$1258,'Stock Price'!$I$9)-1,"")</f>
        <v>-0.27046356460686416</v>
      </c>
    </row>
    <row r="648" spans="1:26" x14ac:dyDescent="0.2">
      <c r="A648" s="16">
        <f>'Stock Price'!A648</f>
        <v>45408</v>
      </c>
      <c r="B648" s="17">
        <f>'Stock Price'!E648</f>
        <v>131.19999999999999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0.23250352278064801</v>
      </c>
      <c r="P648" s="19">
        <f ca="1">IF('Stock Price'!$I$11="OK",C648/INDEX(C$5:C$1258,'Stock Price'!$I$9)-1,"")</f>
        <v>-0.2966652230402772</v>
      </c>
      <c r="Q648" s="19">
        <f ca="1">IF('Stock Price'!$I$11="OK",D648/INDEX(D$5:D$1258,'Stock Price'!$I$9)-1,"")</f>
        <v>-0.20569317093198314</v>
      </c>
      <c r="R648" s="19">
        <f ca="1">IF('Stock Price'!$I$11="OK",E648/INDEX(E$5:E$1258,'Stock Price'!$I$9)-1,"")</f>
        <v>-0.17167036066895025</v>
      </c>
      <c r="S648" s="19">
        <f ca="1">IF('Stock Price'!$I$11="OK",F648/INDEX(F$5:F$1258,'Stock Price'!$I$9)-1,"")</f>
        <v>-0.41205053449951412</v>
      </c>
      <c r="T648" s="19">
        <f ca="1">IF('Stock Price'!$I$11="OK",G648/INDEX(G$5:G$1258,'Stock Price'!$I$9)-1,"")</f>
        <v>1.866058469832077E-2</v>
      </c>
      <c r="U648" s="19">
        <f ca="1">IF('Stock Price'!$I$11="OK",H648/INDEX(H$5:H$1258,'Stock Price'!$I$9)-1,"")</f>
        <v>-0.27894736842105272</v>
      </c>
      <c r="V648" s="19">
        <f ca="1">IF('Stock Price'!$I$11="OK",I648/INDEX(I$5:I$1258,'Stock Price'!$I$9)-1,"")</f>
        <v>8.7370929308974166E-3</v>
      </c>
      <c r="W648" s="19">
        <f ca="1">IF('Stock Price'!$I$11="OK",J648/INDEX(J$5:J$1258,'Stock Price'!$I$9)-1,"")</f>
        <v>-0.3210503906105372</v>
      </c>
      <c r="X648" s="19">
        <f ca="1">IF('Stock Price'!$I$11="OK",K648/INDEX(K$5:K$1258,'Stock Price'!$I$9)-1,"")</f>
        <v>-0.16105499438832771</v>
      </c>
      <c r="Y648" s="19">
        <f ca="1">IF('Stock Price'!$I$11="OK",L648/INDEX(L$5:L$1258,'Stock Price'!$I$9)-1,"")</f>
        <v>-0.29520135037376416</v>
      </c>
      <c r="Z648" s="19">
        <f ca="1">IF('Stock Price'!$I$11="OK",M648/INDEX(M$5:M$1258,'Stock Price'!$I$9)-1,"")</f>
        <v>-0.30391173520561687</v>
      </c>
    </row>
    <row r="649" spans="1:26" x14ac:dyDescent="0.2">
      <c r="A649" s="16">
        <f>'Stock Price'!A649</f>
        <v>45411</v>
      </c>
      <c r="B649" s="17">
        <f>'Stock Price'!E649</f>
        <v>130.12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0.22235791451385634</v>
      </c>
      <c r="P649" s="19">
        <f ca="1">IF('Stock Price'!$I$11="OK",C649/INDEX(C$5:C$1258,'Stock Price'!$I$9)-1,"")</f>
        <v>-0.29919156922188528</v>
      </c>
      <c r="Q649" s="19">
        <f ca="1">IF('Stock Price'!$I$11="OK",D649/INDEX(D$5:D$1258,'Stock Price'!$I$9)-1,"")</f>
        <v>-0.1993978376898865</v>
      </c>
      <c r="R649" s="19">
        <f ca="1">IF('Stock Price'!$I$11="OK",E649/INDEX(E$5:E$1258,'Stock Price'!$I$9)-1,"")</f>
        <v>-0.16159580898650017</v>
      </c>
      <c r="S649" s="19">
        <f ca="1">IF('Stock Price'!$I$11="OK",F649/INDEX(F$5:F$1258,'Stock Price'!$I$9)-1,"")</f>
        <v>-0.41049562682215746</v>
      </c>
      <c r="T649" s="19">
        <f ca="1">IF('Stock Price'!$I$11="OK",G649/INDEX(G$5:G$1258,'Stock Price'!$I$9)-1,"")</f>
        <v>1.7831225378395432E-2</v>
      </c>
      <c r="U649" s="19">
        <f ca="1">IF('Stock Price'!$I$11="OK",H649/INDEX(H$5:H$1258,'Stock Price'!$I$9)-1,"")</f>
        <v>-0.27394736842105261</v>
      </c>
      <c r="V649" s="19">
        <f ca="1">IF('Stock Price'!$I$11="OK",I649/INDEX(I$5:I$1258,'Stock Price'!$I$9)-1,"")</f>
        <v>1.8268467037331204E-2</v>
      </c>
      <c r="W649" s="19">
        <f ca="1">IF('Stock Price'!$I$11="OK",J649/INDEX(J$5:J$1258,'Stock Price'!$I$9)-1,"")</f>
        <v>-0.31763486245325623</v>
      </c>
      <c r="X649" s="19">
        <f ca="1">IF('Stock Price'!$I$11="OK",K649/INDEX(K$5:K$1258,'Stock Price'!$I$9)-1,"")</f>
        <v>-0.16498316498316501</v>
      </c>
      <c r="Y649" s="19">
        <f ca="1">IF('Stock Price'!$I$11="OK",L649/INDEX(L$5:L$1258,'Stock Price'!$I$9)-1,"")</f>
        <v>-0.29192187123221602</v>
      </c>
      <c r="Z649" s="19">
        <f ca="1">IF('Stock Price'!$I$11="OK",M649/INDEX(M$5:M$1258,'Stock Price'!$I$9)-1,"")</f>
        <v>-0.29562600846016307</v>
      </c>
    </row>
    <row r="650" spans="1:26" x14ac:dyDescent="0.2">
      <c r="A650" s="16">
        <f>'Stock Price'!A650</f>
        <v>45412</v>
      </c>
      <c r="B650" s="17">
        <f>'Stock Price'!E650</f>
        <v>129.22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0.21390324095819624</v>
      </c>
      <c r="P650" s="19">
        <f ca="1">IF('Stock Price'!$I$11="OK",C650/INDEX(C$5:C$1258,'Stock Price'!$I$9)-1,"")</f>
        <v>-0.29890284394398725</v>
      </c>
      <c r="Q650" s="19">
        <f ca="1">IF('Stock Price'!$I$11="OK",D650/INDEX(D$5:D$1258,'Stock Price'!$I$9)-1,"")</f>
        <v>-0.17339537429861784</v>
      </c>
      <c r="R650" s="19">
        <f ca="1">IF('Stock Price'!$I$11="OK",E650/INDEX(E$5:E$1258,'Stock Price'!$I$9)-1,"")</f>
        <v>-0.16502115655853322</v>
      </c>
      <c r="S650" s="19">
        <f ca="1">IF('Stock Price'!$I$11="OK",F650/INDEX(F$5:F$1258,'Stock Price'!$I$9)-1,"")</f>
        <v>-0.42040816326530617</v>
      </c>
      <c r="T650" s="19">
        <f ca="1">IF('Stock Price'!$I$11="OK",G650/INDEX(G$5:G$1258,'Stock Price'!$I$9)-1,"")</f>
        <v>2.0733982998133893E-2</v>
      </c>
      <c r="U650" s="19">
        <f ca="1">IF('Stock Price'!$I$11="OK",H650/INDEX(H$5:H$1258,'Stock Price'!$I$9)-1,"")</f>
        <v>-0.28026315789473677</v>
      </c>
      <c r="V650" s="19">
        <f ca="1">IF('Stock Price'!$I$11="OK",I650/INDEX(I$5:I$1258,'Stock Price'!$I$9)-1,"")</f>
        <v>1.7474185861795055E-2</v>
      </c>
      <c r="W650" s="19">
        <f ca="1">IF('Stock Price'!$I$11="OK",J650/INDEX(J$5:J$1258,'Stock Price'!$I$9)-1,"")</f>
        <v>-0.27700025917286819</v>
      </c>
      <c r="X650" s="19">
        <f ca="1">IF('Stock Price'!$I$11="OK",K650/INDEX(K$5:K$1258,'Stock Price'!$I$9)-1,"")</f>
        <v>-0.17807706696595593</v>
      </c>
      <c r="Y650" s="19">
        <f ca="1">IF('Stock Price'!$I$11="OK",L650/INDEX(L$5:L$1258,'Stock Price'!$I$9)-1,"")</f>
        <v>-0.30267663371111642</v>
      </c>
      <c r="Z650" s="19">
        <f ca="1">IF('Stock Price'!$I$11="OK",M650/INDEX(M$5:M$1258,'Stock Price'!$I$9)-1,"")</f>
        <v>-0.29074179058915883</v>
      </c>
    </row>
    <row r="651" spans="1:26" x14ac:dyDescent="0.2">
      <c r="A651" s="16">
        <f>'Stock Price'!A651</f>
        <v>45413</v>
      </c>
      <c r="B651" s="17">
        <f>'Stock Price'!E651</f>
        <v>128.80000000000001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0.20995772663222168</v>
      </c>
      <c r="P651" s="19">
        <f ca="1">IF('Stock Price'!$I$11="OK",C651/INDEX(C$5:C$1258,'Stock Price'!$I$9)-1,"")</f>
        <v>-0.29623213512343005</v>
      </c>
      <c r="Q651" s="19">
        <f ca="1">IF('Stock Price'!$I$11="OK",D651/INDEX(D$5:D$1258,'Stock Price'!$I$9)-1,"")</f>
        <v>-0.17326399343095666</v>
      </c>
      <c r="R651" s="19">
        <f ca="1">IF('Stock Price'!$I$11="OK",E651/INDEX(E$5:E$1258,'Stock Price'!$I$9)-1,"")</f>
        <v>-0.14225266975619588</v>
      </c>
      <c r="S651" s="19">
        <f ca="1">IF('Stock Price'!$I$11="OK",F651/INDEX(F$5:F$1258,'Stock Price'!$I$9)-1,"")</f>
        <v>-0.42176870748299322</v>
      </c>
      <c r="T651" s="19">
        <f ca="1">IF('Stock Price'!$I$11="OK",G651/INDEX(G$5:G$1258,'Stock Price'!$I$9)-1,"")</f>
        <v>3.7321169396641096E-2</v>
      </c>
      <c r="U651" s="19">
        <f ca="1">IF('Stock Price'!$I$11="OK",H651/INDEX(H$5:H$1258,'Stock Price'!$I$9)-1,"")</f>
        <v>-0.28026315789473677</v>
      </c>
      <c r="V651" s="19">
        <f ca="1">IF('Stock Price'!$I$11="OK",I651/INDEX(I$5:I$1258,'Stock Price'!$I$9)-1,"")</f>
        <v>7.9428117553614008E-2</v>
      </c>
      <c r="W651" s="19">
        <f ca="1">IF('Stock Price'!$I$11="OK",J651/INDEX(J$5:J$1258,'Stock Price'!$I$9)-1,"")</f>
        <v>-0.28102669480543518</v>
      </c>
      <c r="X651" s="19">
        <f ca="1">IF('Stock Price'!$I$11="OK",K651/INDEX(K$5:K$1258,'Stock Price'!$I$9)-1,"")</f>
        <v>-0.17302656191545085</v>
      </c>
      <c r="Y651" s="19">
        <f ca="1">IF('Stock Price'!$I$11="OK",L651/INDEX(L$5:L$1258,'Stock Price'!$I$9)-1,"")</f>
        <v>-0.27089462261876052</v>
      </c>
      <c r="Z651" s="19">
        <f ca="1">IF('Stock Price'!$I$11="OK",M651/INDEX(M$5:M$1258,'Stock Price'!$I$9)-1,"")</f>
        <v>-0.29475382669748373</v>
      </c>
    </row>
    <row r="652" spans="1:26" x14ac:dyDescent="0.2">
      <c r="A652" s="16">
        <f>'Stock Price'!A652</f>
        <v>45414</v>
      </c>
      <c r="B652" s="17">
        <f>'Stock Price'!E652</f>
        <v>128.26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0.20488492249882562</v>
      </c>
      <c r="P652" s="19">
        <f ca="1">IF('Stock Price'!$I$11="OK",C652/INDEX(C$5:C$1258,'Stock Price'!$I$9)-1,"")</f>
        <v>-0.29738703623502227</v>
      </c>
      <c r="Q652" s="19">
        <f ca="1">IF('Stock Price'!$I$11="OK",D652/INDEX(D$5:D$1258,'Stock Price'!$I$9)-1,"")</f>
        <v>-0.15981935130696601</v>
      </c>
      <c r="R652" s="19">
        <f ca="1">IF('Stock Price'!$I$11="OK",E652/INDEX(E$5:E$1258,'Stock Price'!$I$9)-1,"")</f>
        <v>-0.12653636913157362</v>
      </c>
      <c r="S652" s="19">
        <f ca="1">IF('Stock Price'!$I$11="OK",F652/INDEX(F$5:F$1258,'Stock Price'!$I$9)-1,"")</f>
        <v>-0.43129251700680271</v>
      </c>
      <c r="T652" s="19">
        <f ca="1">IF('Stock Price'!$I$11="OK",G652/INDEX(G$5:G$1258,'Stock Price'!$I$9)-1,"")</f>
        <v>2.5502799087704808E-2</v>
      </c>
      <c r="U652" s="19">
        <f ca="1">IF('Stock Price'!$I$11="OK",H652/INDEX(H$5:H$1258,'Stock Price'!$I$9)-1,"")</f>
        <v>-0.25973684210526315</v>
      </c>
      <c r="V652" s="19">
        <f ca="1">IF('Stock Price'!$I$11="OK",I652/INDEX(I$5:I$1258,'Stock Price'!$I$9)-1,"")</f>
        <v>0.10007942811755366</v>
      </c>
      <c r="W652" s="19">
        <f ca="1">IF('Stock Price'!$I$11="OK",J652/INDEX(J$5:J$1258,'Stock Price'!$I$9)-1,"")</f>
        <v>-0.30031656114628458</v>
      </c>
      <c r="X652" s="19">
        <f ca="1">IF('Stock Price'!$I$11="OK",K652/INDEX(K$5:K$1258,'Stock Price'!$I$9)-1,"")</f>
        <v>-0.18256640478862696</v>
      </c>
      <c r="Y652" s="19">
        <f ca="1">IF('Stock Price'!$I$11="OK",L652/INDEX(L$5:L$1258,'Stock Price'!$I$9)-1,"")</f>
        <v>-0.27697130455751151</v>
      </c>
      <c r="Z652" s="19">
        <f ca="1">IF('Stock Price'!$I$11="OK",M652/INDEX(M$5:M$1258,'Stock Price'!$I$9)-1,"")</f>
        <v>-0.2987222537176748</v>
      </c>
    </row>
    <row r="653" spans="1:26" x14ac:dyDescent="0.2">
      <c r="A653" s="16">
        <f>'Stock Price'!A653</f>
        <v>45415</v>
      </c>
      <c r="B653" s="17">
        <f>'Stock Price'!E653</f>
        <v>127.51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0.1978393612024425</v>
      </c>
      <c r="P653" s="19">
        <f ca="1">IF('Stock Price'!$I$11="OK",C653/INDEX(C$5:C$1258,'Stock Price'!$I$9)-1,"")</f>
        <v>-0.29789230547134404</v>
      </c>
      <c r="Q653" s="19">
        <f ca="1">IF('Stock Price'!$I$11="OK",D653/INDEX(D$5:D$1258,'Stock Price'!$I$9)-1,"")</f>
        <v>-0.18300260024633919</v>
      </c>
      <c r="R653" s="19">
        <f ca="1">IF('Stock Price'!$I$11="OK",E653/INDEX(E$5:E$1258,'Stock Price'!$I$9)-1,"")</f>
        <v>-0.12351400362683862</v>
      </c>
      <c r="S653" s="19">
        <f ca="1">IF('Stock Price'!$I$11="OK",F653/INDEX(F$5:F$1258,'Stock Price'!$I$9)-1,"")</f>
        <v>-0.42021379980563656</v>
      </c>
      <c r="T653" s="19">
        <f ca="1">IF('Stock Price'!$I$11="OK",G653/INDEX(G$5:G$1258,'Stock Price'!$I$9)-1,"")</f>
        <v>1.6172506738544534E-2</v>
      </c>
      <c r="U653" s="19">
        <f ca="1">IF('Stock Price'!$I$11="OK",H653/INDEX(H$5:H$1258,'Stock Price'!$I$9)-1,"")</f>
        <v>-0.26263157894736844</v>
      </c>
      <c r="V653" s="19">
        <f ca="1">IF('Stock Price'!$I$11="OK",I653/INDEX(I$5:I$1258,'Stock Price'!$I$9)-1,"")</f>
        <v>0.10444797458300226</v>
      </c>
      <c r="W653" s="19">
        <f ca="1">IF('Stock Price'!$I$11="OK",J653/INDEX(J$5:J$1258,'Stock Price'!$I$9)-1,"")</f>
        <v>-0.31969898922581352</v>
      </c>
      <c r="X653" s="19">
        <f ca="1">IF('Stock Price'!$I$11="OK",K653/INDEX(K$5:K$1258,'Stock Price'!$I$9)-1,"")</f>
        <v>-0.17714178825289939</v>
      </c>
      <c r="Y653" s="19">
        <f ca="1">IF('Stock Price'!$I$11="OK",L653/INDEX(L$5:L$1258,'Stock Price'!$I$9)-1,"")</f>
        <v>-0.28010610079575593</v>
      </c>
      <c r="Z653" s="19">
        <f ca="1">IF('Stock Price'!$I$11="OK",M653/INDEX(M$5:M$1258,'Stock Price'!$I$9)-1,"")</f>
        <v>-0.28572674545375265</v>
      </c>
    </row>
    <row r="654" spans="1:26" x14ac:dyDescent="0.2">
      <c r="A654" s="16">
        <f>'Stock Price'!A654</f>
        <v>45418</v>
      </c>
      <c r="B654" s="17">
        <f>'Stock Price'!E654</f>
        <v>127.57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0.19840300610615302</v>
      </c>
      <c r="P654" s="19">
        <f ca="1">IF('Stock Price'!$I$11="OK",C654/INDEX(C$5:C$1258,'Stock Price'!$I$9)-1,"")</f>
        <v>-0.29457196477551606</v>
      </c>
      <c r="Q654" s="19">
        <f ca="1">IF('Stock Price'!$I$11="OK",D654/INDEX(D$5:D$1258,'Stock Price'!$I$9)-1,"")</f>
        <v>-0.18855891610784192</v>
      </c>
      <c r="R654" s="19">
        <f ca="1">IF('Stock Price'!$I$11="OK",E654/INDEX(E$5:E$1258,'Stock Price'!$I$9)-1,"")</f>
        <v>-0.12452145879508358</v>
      </c>
      <c r="S654" s="19">
        <f ca="1">IF('Stock Price'!$I$11="OK",F654/INDEX(F$5:F$1258,'Stock Price'!$I$9)-1,"")</f>
        <v>-0.41516034985422745</v>
      </c>
      <c r="T654" s="19">
        <f ca="1">IF('Stock Price'!$I$11="OK",G654/INDEX(G$5:G$1258,'Stock Price'!$I$9)-1,"")</f>
        <v>2.280738129794746E-2</v>
      </c>
      <c r="U654" s="19">
        <f ca="1">IF('Stock Price'!$I$11="OK",H654/INDEX(H$5:H$1258,'Stock Price'!$I$9)-1,"")</f>
        <v>-0.26157894736842113</v>
      </c>
      <c r="V654" s="19">
        <f ca="1">IF('Stock Price'!$I$11="OK",I654/INDEX(I$5:I$1258,'Stock Price'!$I$9)-1,"")</f>
        <v>0.11834789515488486</v>
      </c>
      <c r="W654" s="19">
        <f ca="1">IF('Stock Price'!$I$11="OK",J654/INDEX(J$5:J$1258,'Stock Price'!$I$9)-1,"")</f>
        <v>-0.29034766189048089</v>
      </c>
      <c r="X654" s="19">
        <f ca="1">IF('Stock Price'!$I$11="OK",K654/INDEX(K$5:K$1258,'Stock Price'!$I$9)-1,"")</f>
        <v>-0.17882528993640112</v>
      </c>
      <c r="Y654" s="19">
        <f ca="1">IF('Stock Price'!$I$11="OK",L654/INDEX(L$5:L$1258,'Stock Price'!$I$9)-1,"")</f>
        <v>-0.28343380757173853</v>
      </c>
      <c r="Z654" s="19">
        <f ca="1">IF('Stock Price'!$I$11="OK",M654/INDEX(M$5:M$1258,'Stock Price'!$I$9)-1,"")</f>
        <v>-0.29034930879595311</v>
      </c>
    </row>
    <row r="655" spans="1:26" x14ac:dyDescent="0.2">
      <c r="A655" s="16">
        <f>'Stock Price'!A655</f>
        <v>45419</v>
      </c>
      <c r="B655" s="17">
        <f>'Stock Price'!E655</f>
        <v>130.38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0.22480037576326906</v>
      </c>
      <c r="P655" s="19">
        <f ca="1">IF('Stock Price'!$I$11="OK",C655/INDEX(C$5:C$1258,'Stock Price'!$I$9)-1,"")</f>
        <v>-0.28489966796593047</v>
      </c>
      <c r="Q655" s="19">
        <f ca="1">IF('Stock Price'!$I$11="OK",D655/INDEX(D$5:D$1258,'Stock Price'!$I$9)-1,"")</f>
        <v>-0.1972081565622007</v>
      </c>
      <c r="R655" s="19">
        <f ca="1">IF('Stock Price'!$I$11="OK",E655/INDEX(E$5:E$1258,'Stock Price'!$I$9)-1,"")</f>
        <v>-0.11041708643965353</v>
      </c>
      <c r="S655" s="19">
        <f ca="1">IF('Stock Price'!$I$11="OK",F655/INDEX(F$5:F$1258,'Stock Price'!$I$9)-1,"")</f>
        <v>-0.40758017492711374</v>
      </c>
      <c r="T655" s="19">
        <f ca="1">IF('Stock Price'!$I$11="OK",G655/INDEX(G$5:G$1258,'Stock Price'!$I$9)-1,"")</f>
        <v>2.7783537217499488E-2</v>
      </c>
      <c r="U655" s="19">
        <f ca="1">IF('Stock Price'!$I$11="OK",H655/INDEX(H$5:H$1258,'Stock Price'!$I$9)-1,"")</f>
        <v>-0.25039473684210523</v>
      </c>
      <c r="V655" s="19">
        <f ca="1">IF('Stock Price'!$I$11="OK",I655/INDEX(I$5:I$1258,'Stock Price'!$I$9)-1,"")</f>
        <v>0.10285941223193018</v>
      </c>
      <c r="W655" s="19">
        <f ca="1">IF('Stock Price'!$I$11="OK",J655/INDEX(J$5:J$1258,'Stock Price'!$I$9)-1,"")</f>
        <v>-0.28008256507090223</v>
      </c>
      <c r="X655" s="19">
        <f ca="1">IF('Stock Price'!$I$11="OK",K655/INDEX(K$5:K$1258,'Stock Price'!$I$9)-1,"")</f>
        <v>-0.17620650953984285</v>
      </c>
      <c r="Y655" s="19">
        <f ca="1">IF('Stock Price'!$I$11="OK",L655/INDEX(L$5:L$1258,'Stock Price'!$I$9)-1,"")</f>
        <v>-0.28275862068965518</v>
      </c>
      <c r="Z655" s="19">
        <f ca="1">IF('Stock Price'!$I$11="OK",M655/INDEX(M$5:M$1258,'Stock Price'!$I$9)-1,"")</f>
        <v>-0.29113427238236445</v>
      </c>
    </row>
    <row r="656" spans="1:26" x14ac:dyDescent="0.2">
      <c r="A656" s="16">
        <f>'Stock Price'!A656</f>
        <v>45420</v>
      </c>
      <c r="B656" s="17">
        <f>'Stock Price'!E656</f>
        <v>129.55000000000001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0.21700328792860502</v>
      </c>
      <c r="P656" s="19">
        <f ca="1">IF('Stock Price'!$I$11="OK",C656/INDEX(C$5:C$1258,'Stock Price'!$I$9)-1,"")</f>
        <v>-0.28107405803378083</v>
      </c>
      <c r="Q656" s="19">
        <f ca="1">IF('Stock Price'!$I$11="OK",D656/INDEX(D$5:D$1258,'Stock Price'!$I$9)-1,"")</f>
        <v>-0.16573149035171753</v>
      </c>
      <c r="R656" s="19">
        <f ca="1">IF('Stock Price'!$I$11="OK",E656/INDEX(E$5:E$1258,'Stock Price'!$I$9)-1,"")</f>
        <v>-0.1106185774733025</v>
      </c>
      <c r="S656" s="19">
        <f ca="1">IF('Stock Price'!$I$11="OK",F656/INDEX(F$5:F$1258,'Stock Price'!$I$9)-1,"")</f>
        <v>-0.40874635568513118</v>
      </c>
      <c r="T656" s="19">
        <f ca="1">IF('Stock Price'!$I$11="OK",G656/INDEX(G$5:G$1258,'Stock Price'!$I$9)-1,"")</f>
        <v>3.877254820651066E-2</v>
      </c>
      <c r="U656" s="19">
        <f ca="1">IF('Stock Price'!$I$11="OK",H656/INDEX(H$5:H$1258,'Stock Price'!$I$9)-1,"")</f>
        <v>-0.25065789473684208</v>
      </c>
      <c r="V656" s="19">
        <f ca="1">IF('Stock Price'!$I$11="OK",I656/INDEX(I$5:I$1258,'Stock Price'!$I$9)-1,"")</f>
        <v>0.12271644162033368</v>
      </c>
      <c r="W656" s="19">
        <f ca="1">IF('Stock Price'!$I$11="OK",J656/INDEX(J$5:J$1258,'Stock Price'!$I$9)-1,"")</f>
        <v>-0.28264652523232991</v>
      </c>
      <c r="X656" s="19">
        <f ca="1">IF('Stock Price'!$I$11="OK",K656/INDEX(K$5:K$1258,'Stock Price'!$I$9)-1,"")</f>
        <v>-0.1831275720164609</v>
      </c>
      <c r="Y656" s="19">
        <f ca="1">IF('Stock Price'!$I$11="OK",L656/INDEX(L$5:L$1258,'Stock Price'!$I$9)-1,"")</f>
        <v>-0.28164938509766102</v>
      </c>
      <c r="Z656" s="19">
        <f ca="1">IF('Stock Price'!$I$11="OK",M656/INDEX(M$5:M$1258,'Stock Price'!$I$9)-1,"")</f>
        <v>-0.30029218089049758</v>
      </c>
    </row>
    <row r="657" spans="1:26" x14ac:dyDescent="0.2">
      <c r="A657" s="16">
        <f>'Stock Price'!A657</f>
        <v>45421</v>
      </c>
      <c r="B657" s="17">
        <f>'Stock Price'!E657</f>
        <v>130.22999999999999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0.2233912635039923</v>
      </c>
      <c r="P657" s="19">
        <f ca="1">IF('Stock Price'!$I$11="OK",C657/INDEX(C$5:C$1258,'Stock Price'!$I$9)-1,"")</f>
        <v>-0.27667099754583513</v>
      </c>
      <c r="Q657" s="19">
        <f ca="1">IF('Stock Price'!$I$11="OK",D657/INDEX(D$5:D$1258,'Stock Price'!$I$9)-1,"")</f>
        <v>-0.16611468454906253</v>
      </c>
      <c r="R657" s="19">
        <f ca="1">IF('Stock Price'!$I$11="OK",E657/INDEX(E$5:E$1258,'Stock Price'!$I$9)-1,"")</f>
        <v>-9.9939552689905287E-2</v>
      </c>
      <c r="S657" s="19">
        <f ca="1">IF('Stock Price'!$I$11="OK",F657/INDEX(F$5:F$1258,'Stock Price'!$I$9)-1,"")</f>
        <v>-0.3994169096209913</v>
      </c>
      <c r="T657" s="19">
        <f ca="1">IF('Stock Price'!$I$11="OK",G657/INDEX(G$5:G$1258,'Stock Price'!$I$9)-1,"")</f>
        <v>9.5376321791416085E-3</v>
      </c>
      <c r="U657" s="19">
        <f ca="1">IF('Stock Price'!$I$11="OK",H657/INDEX(H$5:H$1258,'Stock Price'!$I$9)-1,"")</f>
        <v>-0.245</v>
      </c>
      <c r="V657" s="19">
        <f ca="1">IF('Stock Price'!$I$11="OK",I657/INDEX(I$5:I$1258,'Stock Price'!$I$9)-1,"")</f>
        <v>0.11914217633042101</v>
      </c>
      <c r="W657" s="19">
        <f ca="1">IF('Stock Price'!$I$11="OK",J657/INDEX(J$5:J$1258,'Stock Price'!$I$9)-1,"")</f>
        <v>-0.2858399052167796</v>
      </c>
      <c r="X657" s="19">
        <f ca="1">IF('Stock Price'!$I$11="OK",K657/INDEX(K$5:K$1258,'Stock Price'!$I$9)-1,"")</f>
        <v>-0.16311260755705193</v>
      </c>
      <c r="Y657" s="19">
        <f ca="1">IF('Stock Price'!$I$11="OK",L657/INDEX(L$5:L$1258,'Stock Price'!$I$9)-1,"")</f>
        <v>-0.27730889799855318</v>
      </c>
      <c r="Z657" s="19">
        <f ca="1">IF('Stock Price'!$I$11="OK",M657/INDEX(M$5:M$1258,'Stock Price'!$I$9)-1,"")</f>
        <v>-0.30051022633116742</v>
      </c>
    </row>
    <row r="658" spans="1:26" x14ac:dyDescent="0.2">
      <c r="A658" s="16">
        <f>'Stock Price'!A658</f>
        <v>45422</v>
      </c>
      <c r="B658" s="17">
        <f>'Stock Price'!E658</f>
        <v>130.06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0.22179426961014559</v>
      </c>
      <c r="P658" s="19">
        <f ca="1">IF('Stock Price'!$I$11="OK",C658/INDEX(C$5:C$1258,'Stock Price'!$I$9)-1,"")</f>
        <v>-0.26302872816515088</v>
      </c>
      <c r="Q658" s="19">
        <f ca="1">IF('Stock Price'!$I$11="OK",D658/INDEX(D$5:D$1258,'Stock Price'!$I$9)-1,"")</f>
        <v>-0.14598439852196532</v>
      </c>
      <c r="R658" s="19">
        <f ca="1">IF('Stock Price'!$I$11="OK",E658/INDEX(E$5:E$1258,'Stock Price'!$I$9)-1,"")</f>
        <v>-9.1879911343945242E-2</v>
      </c>
      <c r="S658" s="19">
        <f ca="1">IF('Stock Price'!$I$11="OK",F658/INDEX(F$5:F$1258,'Stock Price'!$I$9)-1,"")</f>
        <v>-0.39844509232264336</v>
      </c>
      <c r="T658" s="19">
        <f ca="1">IF('Stock Price'!$I$11="OK",G658/INDEX(G$5:G$1258,'Stock Price'!$I$9)-1,"")</f>
        <v>2.1770682148040787E-2</v>
      </c>
      <c r="U658" s="19">
        <f ca="1">IF('Stock Price'!$I$11="OK",H658/INDEX(H$5:H$1258,'Stock Price'!$I$9)-1,"")</f>
        <v>-0.23802631578947375</v>
      </c>
      <c r="V658" s="19">
        <f ca="1">IF('Stock Price'!$I$11="OK",I658/INDEX(I$5:I$1258,'Stock Price'!$I$9)-1,"")</f>
        <v>0.11239078633836375</v>
      </c>
      <c r="W658" s="19">
        <f ca="1">IF('Stock Price'!$I$11="OK",J658/INDEX(J$5:J$1258,'Stock Price'!$I$9)-1,"")</f>
        <v>-0.29653078603428484</v>
      </c>
      <c r="X658" s="19">
        <f ca="1">IF('Stock Price'!$I$11="OK",K658/INDEX(K$5:K$1258,'Stock Price'!$I$9)-1,"")</f>
        <v>-0.15937149270482609</v>
      </c>
      <c r="Y658" s="19">
        <f ca="1">IF('Stock Price'!$I$11="OK",L658/INDEX(L$5:L$1258,'Stock Price'!$I$9)-1,"")</f>
        <v>-0.27701953219194597</v>
      </c>
      <c r="Z658" s="19">
        <f ca="1">IF('Stock Price'!$I$11="OK",M658/INDEX(M$5:M$1258,'Stock Price'!$I$9)-1,"")</f>
        <v>-0.29898390824647858</v>
      </c>
    </row>
    <row r="659" spans="1:26" x14ac:dyDescent="0.2">
      <c r="A659" s="16">
        <f>'Stock Price'!A659</f>
        <v>45425</v>
      </c>
      <c r="B659" s="17">
        <f>'Stock Price'!E659</f>
        <v>129.29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0.21456082667919207</v>
      </c>
      <c r="P659" s="19">
        <f ca="1">IF('Stock Price'!$I$11="OK",C659/INDEX(C$5:C$1258,'Stock Price'!$I$9)-1,"")</f>
        <v>-0.26187382705355844</v>
      </c>
      <c r="Q659" s="19">
        <f ca="1">IF('Stock Price'!$I$11="OK",D659/INDEX(D$5:D$1258,'Stock Price'!$I$9)-1,"")</f>
        <v>-0.14690023265361984</v>
      </c>
      <c r="R659" s="19">
        <f ca="1">IF('Stock Price'!$I$11="OK",E659/INDEX(E$5:E$1258,'Stock Price'!$I$9)-1,"")</f>
        <v>-8.9865001007455203E-2</v>
      </c>
      <c r="S659" s="19">
        <f ca="1">IF('Stock Price'!$I$11="OK",F659/INDEX(F$5:F$1258,'Stock Price'!$I$9)-1,"")</f>
        <v>-0.41010689990281823</v>
      </c>
      <c r="T659" s="19">
        <f ca="1">IF('Stock Price'!$I$11="OK",G659/INDEX(G$5:G$1258,'Stock Price'!$I$9)-1,"")</f>
        <v>4.1053286336305339E-2</v>
      </c>
      <c r="U659" s="19">
        <f ca="1">IF('Stock Price'!$I$11="OK",H659/INDEX(H$5:H$1258,'Stock Price'!$I$9)-1,"")</f>
        <v>-0.22684210526315796</v>
      </c>
      <c r="V659" s="19">
        <f ca="1">IF('Stock Price'!$I$11="OK",I659/INDEX(I$5:I$1258,'Stock Price'!$I$9)-1,"")</f>
        <v>0.12946783161239095</v>
      </c>
      <c r="W659" s="19">
        <f ca="1">IF('Stock Price'!$I$11="OK",J659/INDEX(J$5:J$1258,'Stock Price'!$I$9)-1,"")</f>
        <v>-0.29865970602391789</v>
      </c>
      <c r="X659" s="19">
        <f ca="1">IF('Stock Price'!$I$11="OK",K659/INDEX(K$5:K$1258,'Stock Price'!$I$9)-1,"")</f>
        <v>-0.15712682379349041</v>
      </c>
      <c r="Y659" s="19">
        <f ca="1">IF('Stock Price'!$I$11="OK",L659/INDEX(L$5:L$1258,'Stock Price'!$I$9)-1,"")</f>
        <v>-0.27070171208102245</v>
      </c>
      <c r="Z659" s="19">
        <f ca="1">IF('Stock Price'!$I$11="OK",M659/INDEX(M$5:M$1258,'Stock Price'!$I$9)-1,"")</f>
        <v>-0.2966726265753783</v>
      </c>
    </row>
    <row r="660" spans="1:26" x14ac:dyDescent="0.2">
      <c r="A660" s="16">
        <f>'Stock Price'!A660</f>
        <v>45426</v>
      </c>
      <c r="B660" s="17">
        <f>'Stock Price'!E660</f>
        <v>128.66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0.20864255519023001</v>
      </c>
      <c r="P660" s="19">
        <f ca="1">IF('Stock Price'!$I$11="OK",C660/INDEX(C$5:C$1258,'Stock Price'!$I$9)-1,"")</f>
        <v>-0.25429478850873388</v>
      </c>
      <c r="Q660" s="19">
        <f ca="1">IF('Stock Price'!$I$11="OK",D660/INDEX(D$5:D$1258,'Stock Price'!$I$9)-1,"")</f>
        <v>-0.1631044204187766</v>
      </c>
      <c r="R660" s="19">
        <f ca="1">IF('Stock Price'!$I$11="OK",E660/INDEX(E$5:E$1258,'Stock Price'!$I$9)-1,"")</f>
        <v>-7.9991940358654201E-2</v>
      </c>
      <c r="S660" s="19">
        <f ca="1">IF('Stock Price'!$I$11="OK",F660/INDEX(F$5:F$1258,'Stock Price'!$I$9)-1,"")</f>
        <v>-0.39844509232264336</v>
      </c>
      <c r="T660" s="19">
        <f ca="1">IF('Stock Price'!$I$11="OK",G660/INDEX(G$5:G$1258,'Stock Price'!$I$9)-1,"")</f>
        <v>2.6332158407630146E-2</v>
      </c>
      <c r="U660" s="19">
        <f ca="1">IF('Stock Price'!$I$11="OK",H660/INDEX(H$5:H$1258,'Stock Price'!$I$9)-1,"")</f>
        <v>-0.2310526315789474</v>
      </c>
      <c r="V660" s="19">
        <f ca="1">IF('Stock Price'!$I$11="OK",I660/INDEX(I$5:I$1258,'Stock Price'!$I$9)-1,"")</f>
        <v>0.12708498808578228</v>
      </c>
      <c r="W660" s="19">
        <f ca="1">IF('Stock Price'!$I$11="OK",J660/INDEX(J$5:J$1258,'Stock Price'!$I$9)-1,"")</f>
        <v>-0.29284682883483271</v>
      </c>
      <c r="X660" s="19">
        <f ca="1">IF('Stock Price'!$I$11="OK",K660/INDEX(K$5:K$1258,'Stock Price'!$I$9)-1,"")</f>
        <v>-0.16367377478488587</v>
      </c>
      <c r="Y660" s="19">
        <f ca="1">IF('Stock Price'!$I$11="OK",L660/INDEX(L$5:L$1258,'Stock Price'!$I$9)-1,"")</f>
        <v>-0.26993006993006996</v>
      </c>
      <c r="Z660" s="19">
        <f ca="1">IF('Stock Price'!$I$11="OK",M660/INDEX(M$5:M$1258,'Stock Price'!$I$9)-1,"")</f>
        <v>-0.29532074484322535</v>
      </c>
    </row>
    <row r="661" spans="1:26" x14ac:dyDescent="0.2">
      <c r="A661" s="16">
        <f>'Stock Price'!A661</f>
        <v>45427</v>
      </c>
      <c r="B661" s="17">
        <f>'Stock Price'!E661</f>
        <v>131.72999999999999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0.23748238609675898</v>
      </c>
      <c r="P661" s="19">
        <f ca="1">IF('Stock Price'!$I$11="OK",C661/INDEX(C$5:C$1258,'Stock Price'!$I$9)-1,"")</f>
        <v>-0.25494442038400456</v>
      </c>
      <c r="Q661" s="19">
        <f ca="1">IF('Stock Price'!$I$11="OK",D661/INDEX(D$5:D$1258,'Stock Price'!$I$9)-1,"")</f>
        <v>-0.16244696866018893</v>
      </c>
      <c r="R661" s="19">
        <f ca="1">IF('Stock Price'!$I$11="OK",E661/INDEX(E$5:E$1258,'Stock Price'!$I$9)-1,"")</f>
        <v>-7.9185976224057986E-2</v>
      </c>
      <c r="S661" s="19">
        <f ca="1">IF('Stock Price'!$I$11="OK",F661/INDEX(F$5:F$1258,'Stock Price'!$I$9)-1,"")</f>
        <v>-0.3896987366375122</v>
      </c>
      <c r="T661" s="19">
        <f ca="1">IF('Stock Price'!$I$11="OK",G661/INDEX(G$5:G$1258,'Stock Price'!$I$9)-1,"")</f>
        <v>1.6172506738544534E-2</v>
      </c>
      <c r="U661" s="19">
        <f ca="1">IF('Stock Price'!$I$11="OK",H661/INDEX(H$5:H$1258,'Stock Price'!$I$9)-1,"")</f>
        <v>-0.2282894736842106</v>
      </c>
      <c r="V661" s="19">
        <f ca="1">IF('Stock Price'!$I$11="OK",I661/INDEX(I$5:I$1258,'Stock Price'!$I$9)-1,"")</f>
        <v>0.14455917394757756</v>
      </c>
      <c r="W661" s="19">
        <f ca="1">IF('Stock Price'!$I$11="OK",J661/INDEX(J$5:J$1258,'Stock Price'!$I$9)-1,"")</f>
        <v>-0.27152060424303004</v>
      </c>
      <c r="X661" s="19">
        <f ca="1">IF('Stock Price'!$I$11="OK",K661/INDEX(K$5:K$1258,'Stock Price'!$I$9)-1,"")</f>
        <v>-0.16666666666666674</v>
      </c>
      <c r="Y661" s="19">
        <f ca="1">IF('Stock Price'!$I$11="OK",L661/INDEX(L$5:L$1258,'Stock Price'!$I$9)-1,"")</f>
        <v>-0.26370870508801547</v>
      </c>
      <c r="Z661" s="19">
        <f ca="1">IF('Stock Price'!$I$11="OK",M661/INDEX(M$5:M$1258,'Stock Price'!$I$9)-1,"")</f>
        <v>-0.28572674545375265</v>
      </c>
    </row>
    <row r="662" spans="1:26" x14ac:dyDescent="0.2">
      <c r="A662" s="16">
        <f>'Stock Price'!A662</f>
        <v>45428</v>
      </c>
      <c r="B662" s="17">
        <f>'Stock Price'!E662</f>
        <v>130.88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0.22949741662752454</v>
      </c>
      <c r="P662" s="19">
        <f ca="1">IF('Stock Price'!$I$11="OK",C662/INDEX(C$5:C$1258,'Stock Price'!$I$9)-1,"")</f>
        <v>-0.2587700303161542</v>
      </c>
      <c r="Q662" s="19">
        <f ca="1">IF('Stock Price'!$I$11="OK",D662/INDEX(D$5:D$1258,'Stock Price'!$I$9)-1,"")</f>
        <v>-0.14755713699192563</v>
      </c>
      <c r="R662" s="19">
        <f ca="1">IF('Stock Price'!$I$11="OK",E662/INDEX(E$5:E$1258,'Stock Price'!$I$9)-1,"")</f>
        <v>-9.5708240983276238E-2</v>
      </c>
      <c r="S662" s="19">
        <f ca="1">IF('Stock Price'!$I$11="OK",F662/INDEX(F$5:F$1258,'Stock Price'!$I$9)-1,"")</f>
        <v>-0.36540330417881439</v>
      </c>
      <c r="T662" s="19">
        <f ca="1">IF('Stock Price'!$I$11="OK",G662/INDEX(G$5:G$1258,'Stock Price'!$I$9)-1,"")</f>
        <v>1.2233049968899179E-2</v>
      </c>
      <c r="U662" s="19">
        <f ca="1">IF('Stock Price'!$I$11="OK",H662/INDEX(H$5:H$1258,'Stock Price'!$I$9)-1,"")</f>
        <v>-0.24605263157894741</v>
      </c>
      <c r="V662" s="19">
        <f ca="1">IF('Stock Price'!$I$11="OK",I662/INDEX(I$5:I$1258,'Stock Price'!$I$9)-1,"")</f>
        <v>0.1485305798252583</v>
      </c>
      <c r="W662" s="19">
        <f ca="1">IF('Stock Price'!$I$11="OK",J662/INDEX(J$5:J$1258,'Stock Price'!$I$9)-1,"")</f>
        <v>-0.28623792069310228</v>
      </c>
      <c r="X662" s="19">
        <f ca="1">IF('Stock Price'!$I$11="OK",K662/INDEX(K$5:K$1258,'Stock Price'!$I$9)-1,"")</f>
        <v>-0.17489711934156382</v>
      </c>
      <c r="Y662" s="19">
        <f ca="1">IF('Stock Price'!$I$11="OK",L662/INDEX(L$5:L$1258,'Stock Price'!$I$9)-1,"")</f>
        <v>-0.25594405594405589</v>
      </c>
      <c r="Z662" s="19">
        <f ca="1">IF('Stock Price'!$I$11="OK",M662/INDEX(M$5:M$1258,'Stock Price'!$I$9)-1,"")</f>
        <v>-0.28328463651825042</v>
      </c>
    </row>
    <row r="663" spans="1:26" x14ac:dyDescent="0.2">
      <c r="A663" s="16">
        <f>'Stock Price'!A663</f>
        <v>45429</v>
      </c>
      <c r="B663" s="17">
        <f>'Stock Price'!E663</f>
        <v>131.19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0.23240958196336292</v>
      </c>
      <c r="P663" s="19">
        <f ca="1">IF('Stock Price'!$I$11="OK",C663/INDEX(C$5:C$1258,'Stock Price'!$I$9)-1,"")</f>
        <v>-0.25963620614984839</v>
      </c>
      <c r="Q663" s="19">
        <f ca="1">IF('Stock Price'!$I$11="OK",D663/INDEX(D$5:D$1258,'Stock Price'!$I$9)-1,"")</f>
        <v>-0.15007527028876433</v>
      </c>
      <c r="R663" s="19">
        <f ca="1">IF('Stock Price'!$I$11="OK",E663/INDEX(E$5:E$1258,'Stock Price'!$I$9)-1,"")</f>
        <v>-9.369333064678631E-2</v>
      </c>
      <c r="S663" s="19">
        <f ca="1">IF('Stock Price'!$I$11="OK",F663/INDEX(F$5:F$1258,'Stock Price'!$I$9)-1,"")</f>
        <v>-0.36229348882410106</v>
      </c>
      <c r="T663" s="19">
        <f ca="1">IF('Stock Price'!$I$11="OK",G663/INDEX(G$5:G$1258,'Stock Price'!$I$9)-1,"")</f>
        <v>9.1229525191789396E-3</v>
      </c>
      <c r="U663" s="19">
        <f ca="1">IF('Stock Price'!$I$11="OK",H663/INDEX(H$5:H$1258,'Stock Price'!$I$9)-1,"")</f>
        <v>-0.24789473684210528</v>
      </c>
      <c r="V663" s="19">
        <f ca="1">IF('Stock Price'!$I$11="OK",I663/INDEX(I$5:I$1258,'Stock Price'!$I$9)-1,"")</f>
        <v>0.13741064336775222</v>
      </c>
      <c r="W663" s="19">
        <f ca="1">IF('Stock Price'!$I$11="OK",J663/INDEX(J$5:J$1258,'Stock Price'!$I$9)-1,"")</f>
        <v>-0.28727461216631489</v>
      </c>
      <c r="X663" s="19">
        <f ca="1">IF('Stock Price'!$I$11="OK",K663/INDEX(K$5:K$1258,'Stock Price'!$I$9)-1,"")</f>
        <v>-0.1763935652824542</v>
      </c>
      <c r="Y663" s="19">
        <f ca="1">IF('Stock Price'!$I$11="OK",L663/INDEX(L$5:L$1258,'Stock Price'!$I$9)-1,"")</f>
        <v>-0.25420786110441285</v>
      </c>
      <c r="Z663" s="19">
        <f ca="1">IF('Stock Price'!$I$11="OK",M663/INDEX(M$5:M$1258,'Stock Price'!$I$9)-1,"")</f>
        <v>-0.27425755527451923</v>
      </c>
    </row>
    <row r="664" spans="1:26" x14ac:dyDescent="0.2">
      <c r="A664" s="16">
        <f>'Stock Price'!A664</f>
        <v>45432</v>
      </c>
      <c r="B664" s="17">
        <f>'Stock Price'!E664</f>
        <v>130.99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0.23053076561766095</v>
      </c>
      <c r="P664" s="19">
        <f ca="1">IF('Stock Price'!$I$11="OK",C664/INDEX(C$5:C$1258,'Stock Price'!$I$9)-1,"")</f>
        <v>-0.25768731052403626</v>
      </c>
      <c r="Q664" s="19">
        <f ca="1">IF('Stock Price'!$I$11="OK",D664/INDEX(D$5:D$1258,'Stock Price'!$I$9)-1,"")</f>
        <v>-0.1536335021212536</v>
      </c>
      <c r="R664" s="19">
        <f ca="1">IF('Stock Price'!$I$11="OK",E664/INDEX(E$5:E$1258,'Stock Price'!$I$9)-1,"")</f>
        <v>-0.10155148095909727</v>
      </c>
      <c r="S664" s="19">
        <f ca="1">IF('Stock Price'!$I$11="OK",F664/INDEX(F$5:F$1258,'Stock Price'!$I$9)-1,"")</f>
        <v>-0.36307094266277939</v>
      </c>
      <c r="T664" s="19">
        <f ca="1">IF('Stock Price'!$I$11="OK",G664/INDEX(G$5:G$1258,'Stock Price'!$I$9)-1,"")</f>
        <v>3.9394567696455773E-3</v>
      </c>
      <c r="U664" s="19">
        <f ca="1">IF('Stock Price'!$I$11="OK",H664/INDEX(H$5:H$1258,'Stock Price'!$I$9)-1,"")</f>
        <v>-0.24565789473684208</v>
      </c>
      <c r="V664" s="19">
        <f ca="1">IF('Stock Price'!$I$11="OK",I664/INDEX(I$5:I$1258,'Stock Price'!$I$9)-1,"")</f>
        <v>0.1330420969023034</v>
      </c>
      <c r="W664" s="19">
        <f ca="1">IF('Stock Price'!$I$11="OK",J664/INDEX(J$5:J$1258,'Stock Price'!$I$9)-1,"")</f>
        <v>-0.27507497500833056</v>
      </c>
      <c r="X664" s="19">
        <f ca="1">IF('Stock Price'!$I$11="OK",K664/INDEX(K$5:K$1258,'Stock Price'!$I$9)-1,"")</f>
        <v>-0.18892630003741118</v>
      </c>
      <c r="Y664" s="19">
        <f ca="1">IF('Stock Price'!$I$11="OK",L664/INDEX(L$5:L$1258,'Stock Price'!$I$9)-1,"")</f>
        <v>-0.2704605739088497</v>
      </c>
      <c r="Z664" s="19">
        <f ca="1">IF('Stock Price'!$I$11="OK",M664/INDEX(M$5:M$1258,'Stock Price'!$I$9)-1,"")</f>
        <v>-0.28236884566743714</v>
      </c>
    </row>
    <row r="665" spans="1:26" x14ac:dyDescent="0.2">
      <c r="A665" s="16">
        <f>'Stock Price'!A665</f>
        <v>45433</v>
      </c>
      <c r="B665" s="17">
        <f>'Stock Price'!E665</f>
        <v>130.76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0.22837012682010327</v>
      </c>
      <c r="P665" s="19">
        <f ca="1">IF('Stock Price'!$I$11="OK",C665/INDEX(C$5:C$1258,'Stock Price'!$I$9)-1,"")</f>
        <v>-0.25768731052403626</v>
      </c>
      <c r="Q665" s="19">
        <f ca="1">IF('Stock Price'!$I$11="OK",D665/INDEX(D$5:D$1258,'Stock Price'!$I$9)-1,"")</f>
        <v>-0.12927329957574929</v>
      </c>
      <c r="R665" s="19">
        <f ca="1">IF('Stock Price'!$I$11="OK",E665/INDEX(E$5:E$1258,'Stock Price'!$I$9)-1,"")</f>
        <v>-0.10417086439653434</v>
      </c>
      <c r="S665" s="19">
        <f ca="1">IF('Stock Price'!$I$11="OK",F665/INDEX(F$5:F$1258,'Stock Price'!$I$9)-1,"")</f>
        <v>-0.37181729834791066</v>
      </c>
      <c r="T665" s="19">
        <f ca="1">IF('Stock Price'!$I$11="OK",G665/INDEX(G$5:G$1258,'Stock Price'!$I$9)-1,"")</f>
        <v>1.4928467758656527E-2</v>
      </c>
      <c r="U665" s="19">
        <f ca="1">IF('Stock Price'!$I$11="OK",H665/INDEX(H$5:H$1258,'Stock Price'!$I$9)-1,"")</f>
        <v>-0.25486842105263152</v>
      </c>
      <c r="V665" s="19">
        <f ca="1">IF('Stock Price'!$I$11="OK",I665/INDEX(I$5:I$1258,'Stock Price'!$I$9)-1,"")</f>
        <v>0.13423351866560762</v>
      </c>
      <c r="W665" s="19">
        <f ca="1">IF('Stock Price'!$I$11="OK",J665/INDEX(J$5:J$1258,'Stock Price'!$I$9)-1,"")</f>
        <v>-0.25657188344625859</v>
      </c>
      <c r="X665" s="19">
        <f ca="1">IF('Stock Price'!$I$11="OK",K665/INDEX(K$5:K$1258,'Stock Price'!$I$9)-1,"")</f>
        <v>-0.20931537598204264</v>
      </c>
      <c r="Y665" s="19">
        <f ca="1">IF('Stock Price'!$I$11="OK",L665/INDEX(L$5:L$1258,'Stock Price'!$I$9)-1,"")</f>
        <v>-0.27060525681215331</v>
      </c>
      <c r="Z665" s="19">
        <f ca="1">IF('Stock Price'!$I$11="OK",M665/INDEX(M$5:M$1258,'Stock Price'!$I$9)-1,"")</f>
        <v>-0.28947712703327366</v>
      </c>
    </row>
    <row r="666" spans="1:26" x14ac:dyDescent="0.2">
      <c r="A666" s="16">
        <f>'Stock Price'!A666</f>
        <v>45434</v>
      </c>
      <c r="B666" s="17">
        <f>'Stock Price'!E666</f>
        <v>131.1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0.23156411460779691</v>
      </c>
      <c r="P666" s="19">
        <f ca="1">IF('Stock Price'!$I$11="OK",C666/INDEX(C$5:C$1258,'Stock Price'!$I$9)-1,"")</f>
        <v>-0.26403926663779409</v>
      </c>
      <c r="Q666" s="19">
        <f ca="1">IF('Stock Price'!$I$11="OK",D666/INDEX(D$5:D$1258,'Stock Price'!$I$9)-1,"")</f>
        <v>-0.13102504447789787</v>
      </c>
      <c r="R666" s="19">
        <f ca="1">IF('Stock Price'!$I$11="OK",E666/INDEX(E$5:E$1258,'Stock Price'!$I$9)-1,"")</f>
        <v>-7.7574047954865999E-2</v>
      </c>
      <c r="S666" s="19">
        <f ca="1">IF('Stock Price'!$I$11="OK",F666/INDEX(F$5:F$1258,'Stock Price'!$I$9)-1,"")</f>
        <v>-0.38445092322643348</v>
      </c>
      <c r="T666" s="19">
        <f ca="1">IF('Stock Price'!$I$11="OK",G666/INDEX(G$5:G$1258,'Stock Price'!$I$9)-1,"")</f>
        <v>4.4163383786025356E-2</v>
      </c>
      <c r="U666" s="19">
        <f ca="1">IF('Stock Price'!$I$11="OK",H666/INDEX(H$5:H$1258,'Stock Price'!$I$9)-1,"")</f>
        <v>-0.2527631578947368</v>
      </c>
      <c r="V666" s="19">
        <f ca="1">IF('Stock Price'!$I$11="OK",I666/INDEX(I$5:I$1258,'Stock Price'!$I$9)-1,"")</f>
        <v>0.17553613979348692</v>
      </c>
      <c r="W666" s="19">
        <f ca="1">IF('Stock Price'!$I$11="OK",J666/INDEX(J$5:J$1258,'Stock Price'!$I$9)-1,"")</f>
        <v>-0.25681254396682585</v>
      </c>
      <c r="X666" s="19">
        <f ca="1">IF('Stock Price'!$I$11="OK",K666/INDEX(K$5:K$1258,'Stock Price'!$I$9)-1,"")</f>
        <v>-0.2080059857837635</v>
      </c>
      <c r="Y666" s="19">
        <f ca="1">IF('Stock Price'!$I$11="OK",L666/INDEX(L$5:L$1258,'Stock Price'!$I$9)-1,"")</f>
        <v>-0.25970581142994931</v>
      </c>
      <c r="Z666" s="19">
        <f ca="1">IF('Stock Price'!$I$11="OK",M666/INDEX(M$5:M$1258,'Stock Price'!$I$9)-1,"")</f>
        <v>-0.30395534429375082</v>
      </c>
    </row>
    <row r="667" spans="1:26" x14ac:dyDescent="0.2">
      <c r="A667" s="16">
        <f>'Stock Price'!A667</f>
        <v>45435</v>
      </c>
      <c r="B667" s="17">
        <f>'Stock Price'!E667</f>
        <v>131.09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0.23147017379051205</v>
      </c>
      <c r="P667" s="19">
        <f ca="1">IF('Stock Price'!$I$11="OK",C667/INDEX(C$5:C$1258,'Stock Price'!$I$9)-1,"")</f>
        <v>-0.27017467879312829</v>
      </c>
      <c r="Q667" s="19">
        <f ca="1">IF('Stock Price'!$I$11="OK",D667/INDEX(D$5:D$1258,'Stock Price'!$I$9)-1,"")</f>
        <v>-0.12763103872998494</v>
      </c>
      <c r="R667" s="19">
        <f ca="1">IF('Stock Price'!$I$11="OK",E667/INDEX(E$5:E$1258,'Stock Price'!$I$9)-1,"")</f>
        <v>-9.0267983074753255E-2</v>
      </c>
      <c r="S667" s="19">
        <f ca="1">IF('Stock Price'!$I$11="OK",F667/INDEX(F$5:F$1258,'Stock Price'!$I$9)-1,"")</f>
        <v>-0.38211856171039849</v>
      </c>
      <c r="T667" s="19">
        <f ca="1">IF('Stock Price'!$I$11="OK",G667/INDEX(G$5:G$1258,'Stock Price'!$I$9)-1,"")</f>
        <v>1.59651669085632E-2</v>
      </c>
      <c r="U667" s="19">
        <f ca="1">IF('Stock Price'!$I$11="OK",H667/INDEX(H$5:H$1258,'Stock Price'!$I$9)-1,"")</f>
        <v>-0.27407894736842098</v>
      </c>
      <c r="V667" s="19">
        <f ca="1">IF('Stock Price'!$I$11="OK",I667/INDEX(I$5:I$1258,'Stock Price'!$I$9)-1,"")</f>
        <v>0.13939634630659259</v>
      </c>
      <c r="W667" s="19">
        <f ca="1">IF('Stock Price'!$I$11="OK",J667/INDEX(J$5:J$1258,'Stock Price'!$I$9)-1,"")</f>
        <v>-0.25168462364397037</v>
      </c>
      <c r="X667" s="19">
        <f ca="1">IF('Stock Price'!$I$11="OK",K667/INDEX(K$5:K$1258,'Stock Price'!$I$9)-1,"")</f>
        <v>-0.2229704451926674</v>
      </c>
      <c r="Y667" s="19">
        <f ca="1">IF('Stock Price'!$I$11="OK",L667/INDEX(L$5:L$1258,'Stock Price'!$I$9)-1,"")</f>
        <v>-0.27803231251507121</v>
      </c>
      <c r="Z667" s="19">
        <f ca="1">IF('Stock Price'!$I$11="OK",M667/INDEX(M$5:M$1258,'Stock Price'!$I$9)-1,"")</f>
        <v>-0.30984257119183645</v>
      </c>
    </row>
    <row r="668" spans="1:26" x14ac:dyDescent="0.2">
      <c r="A668" s="16">
        <f>'Stock Price'!A668</f>
        <v>45436</v>
      </c>
      <c r="B668" s="17">
        <f>'Stock Price'!E668</f>
        <v>129.49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0.21643964302489427</v>
      </c>
      <c r="P668" s="19">
        <f ca="1">IF('Stock Price'!$I$11="OK",C668/INDEX(C$5:C$1258,'Stock Price'!$I$9)-1,"")</f>
        <v>-0.27436119532265046</v>
      </c>
      <c r="Q668" s="19">
        <f ca="1">IF('Stock Price'!$I$11="OK",D668/INDEX(D$5:D$1258,'Stock Price'!$I$9)-1,"")</f>
        <v>-0.1289448474065964</v>
      </c>
      <c r="R668" s="19">
        <f ca="1">IF('Stock Price'!$I$11="OK",E668/INDEX(E$5:E$1258,'Stock Price'!$I$9)-1,"")</f>
        <v>-9.0872456175700278E-2</v>
      </c>
      <c r="S668" s="19">
        <f ca="1">IF('Stock Price'!$I$11="OK",F668/INDEX(F$5:F$1258,'Stock Price'!$I$9)-1,"")</f>
        <v>-0.38581146744412054</v>
      </c>
      <c r="T668" s="19">
        <f ca="1">IF('Stock Price'!$I$11="OK",G668/INDEX(G$5:G$1258,'Stock Price'!$I$9)-1,"")</f>
        <v>6.4275347294215912E-3</v>
      </c>
      <c r="U668" s="19">
        <f ca="1">IF('Stock Price'!$I$11="OK",H668/INDEX(H$5:H$1258,'Stock Price'!$I$9)-1,"")</f>
        <v>-0.2728947368421053</v>
      </c>
      <c r="V668" s="19">
        <f ca="1">IF('Stock Price'!$I$11="OK",I668/INDEX(I$5:I$1258,'Stock Price'!$I$9)-1,"")</f>
        <v>0.14694201747418578</v>
      </c>
      <c r="W668" s="19">
        <f ca="1">IF('Stock Price'!$I$11="OK",J668/INDEX(J$5:J$1258,'Stock Price'!$I$9)-1,"")</f>
        <v>-0.25262875337850343</v>
      </c>
      <c r="X668" s="19">
        <f ca="1">IF('Stock Price'!$I$11="OK",K668/INDEX(K$5:K$1258,'Stock Price'!$I$9)-1,"")</f>
        <v>-0.22858211747100632</v>
      </c>
      <c r="Y668" s="19">
        <f ca="1">IF('Stock Price'!$I$11="OK",L668/INDEX(L$5:L$1258,'Stock Price'!$I$9)-1,"")</f>
        <v>-0.29119845671569811</v>
      </c>
      <c r="Z668" s="19">
        <f ca="1">IF('Stock Price'!$I$11="OK",M668/INDEX(M$5:M$1258,'Stock Price'!$I$9)-1,"")</f>
        <v>-0.31507566176791246</v>
      </c>
    </row>
    <row r="669" spans="1:26" x14ac:dyDescent="0.2">
      <c r="A669" s="16">
        <f>'Stock Price'!A669</f>
        <v>45440</v>
      </c>
      <c r="B669" s="17">
        <f>'Stock Price'!E669</f>
        <v>126.09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0.18449976514795674</v>
      </c>
      <c r="P669" s="19">
        <f ca="1">IF('Stock Price'!$I$11="OK",C669/INDEX(C$5:C$1258,'Stock Price'!$I$9)-1,"")</f>
        <v>-0.28049660747798466</v>
      </c>
      <c r="Q669" s="19">
        <f ca="1">IF('Stock Price'!$I$11="OK",D669/INDEX(D$5:D$1258,'Stock Price'!$I$9)-1,"")</f>
        <v>-0.13233885315450944</v>
      </c>
      <c r="R669" s="19">
        <f ca="1">IF('Stock Price'!$I$11="OK",E669/INDEX(E$5:E$1258,'Stock Price'!$I$9)-1,"")</f>
        <v>-0.10860366713681247</v>
      </c>
      <c r="S669" s="19">
        <f ca="1">IF('Stock Price'!$I$11="OK",F669/INDEX(F$5:F$1258,'Stock Price'!$I$9)-1,"")</f>
        <v>-0.39164237123420798</v>
      </c>
      <c r="T669" s="19">
        <f ca="1">IF('Stock Price'!$I$11="OK",G669/INDEX(G$5:G$1258,'Stock Price'!$I$9)-1,"")</f>
        <v>-6.0128550694588112E-3</v>
      </c>
      <c r="U669" s="19">
        <f ca="1">IF('Stock Price'!$I$11="OK",H669/INDEX(H$5:H$1258,'Stock Price'!$I$9)-1,"")</f>
        <v>-0.26842105263157889</v>
      </c>
      <c r="V669" s="19">
        <f ca="1">IF('Stock Price'!$I$11="OK",I669/INDEX(I$5:I$1258,'Stock Price'!$I$9)-1,"")</f>
        <v>0.12390786338363791</v>
      </c>
      <c r="W669" s="19">
        <f ca="1">IF('Stock Price'!$I$11="OK",J669/INDEX(J$5:J$1258,'Stock Price'!$I$9)-1,"")</f>
        <v>-0.25223073790218065</v>
      </c>
      <c r="X669" s="19">
        <f ca="1">IF('Stock Price'!$I$11="OK",K669/INDEX(K$5:K$1258,'Stock Price'!$I$9)-1,"")</f>
        <v>-0.24261129816685367</v>
      </c>
      <c r="Y669" s="19">
        <f ca="1">IF('Stock Price'!$I$11="OK",L669/INDEX(L$5:L$1258,'Stock Price'!$I$9)-1,"")</f>
        <v>-0.30368941403424166</v>
      </c>
      <c r="Z669" s="19">
        <f ca="1">IF('Stock Price'!$I$11="OK",M669/INDEX(M$5:M$1258,'Stock Price'!$I$9)-1,"")</f>
        <v>-0.32257642492695482</v>
      </c>
    </row>
    <row r="670" spans="1:26" x14ac:dyDescent="0.2">
      <c r="A670" s="16">
        <f>'Stock Price'!A670</f>
        <v>45441</v>
      </c>
      <c r="B670" s="17">
        <f>'Stock Price'!E670</f>
        <v>125.9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0.18271488961953963</v>
      </c>
      <c r="P670" s="19">
        <f ca="1">IF('Stock Price'!$I$11="OK",C670/INDEX(C$5:C$1258,'Stock Price'!$I$9)-1,"")</f>
        <v>-0.28280640970116933</v>
      </c>
      <c r="Q670" s="19">
        <f ca="1">IF('Stock Price'!$I$11="OK",D670/INDEX(D$5:D$1258,'Stock Price'!$I$9)-1,"")</f>
        <v>-0.19967154783084728</v>
      </c>
      <c r="R670" s="19">
        <f ca="1">IF('Stock Price'!$I$11="OK",E670/INDEX(E$5:E$1258,'Stock Price'!$I$9)-1,"")</f>
        <v>-0.10779770300221647</v>
      </c>
      <c r="S670" s="19">
        <f ca="1">IF('Stock Price'!$I$11="OK",F670/INDEX(F$5:F$1258,'Stock Price'!$I$9)-1,"")</f>
        <v>-0.39105928085519925</v>
      </c>
      <c r="T670" s="19">
        <f ca="1">IF('Stock Price'!$I$11="OK",G670/INDEX(G$5:G$1258,'Stock Price'!$I$9)-1,"")</f>
        <v>-1.3684428778768298E-2</v>
      </c>
      <c r="U670" s="19">
        <f ca="1">IF('Stock Price'!$I$11="OK",H670/INDEX(H$5:H$1258,'Stock Price'!$I$9)-1,"")</f>
        <v>-0.29144736842105257</v>
      </c>
      <c r="V670" s="19">
        <f ca="1">IF('Stock Price'!$I$11="OK",I670/INDEX(I$5:I$1258,'Stock Price'!$I$9)-1,"")</f>
        <v>0.10484511517077055</v>
      </c>
      <c r="W670" s="19">
        <f ca="1">IF('Stock Price'!$I$11="OK",J670/INDEX(J$5:J$1258,'Stock Price'!$I$9)-1,"")</f>
        <v>-0.24883372209263577</v>
      </c>
      <c r="X670" s="19">
        <f ca="1">IF('Stock Price'!$I$11="OK",K670/INDEX(K$5:K$1258,'Stock Price'!$I$9)-1,"")</f>
        <v>-0.24710063598952492</v>
      </c>
      <c r="Y670" s="19">
        <f ca="1">IF('Stock Price'!$I$11="OK",L670/INDEX(L$5:L$1258,'Stock Price'!$I$9)-1,"")</f>
        <v>-0.30340004822763444</v>
      </c>
      <c r="Z670" s="19">
        <f ca="1">IF('Stock Price'!$I$11="OK",M670/INDEX(M$5:M$1258,'Stock Price'!$I$9)-1,"")</f>
        <v>-0.32497492477432299</v>
      </c>
    </row>
    <row r="671" spans="1:26" x14ac:dyDescent="0.2">
      <c r="A671" s="16">
        <f>'Stock Price'!A671</f>
        <v>45442</v>
      </c>
      <c r="B671" s="17">
        <f>'Stock Price'!E671</f>
        <v>124.53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0.16984499765147953</v>
      </c>
      <c r="P671" s="19">
        <f ca="1">IF('Stock Price'!$I$11="OK",C671/INDEX(C$5:C$1258,'Stock Price'!$I$9)-1,"")</f>
        <v>-0.27313411289158362</v>
      </c>
      <c r="Q671" s="19">
        <f ca="1">IF('Stock Price'!$I$11="OK",D671/INDEX(D$5:D$1258,'Stock Price'!$I$9)-1,"")</f>
        <v>-0.19967154783084728</v>
      </c>
      <c r="R671" s="19">
        <f ca="1">IF('Stock Price'!$I$11="OK",E671/INDEX(E$5:E$1258,'Stock Price'!$I$9)-1,"")</f>
        <v>-0.11303646987709048</v>
      </c>
      <c r="S671" s="19">
        <f ca="1">IF('Stock Price'!$I$11="OK",F671/INDEX(F$5:F$1258,'Stock Price'!$I$9)-1,"")</f>
        <v>-0.38639455782312926</v>
      </c>
      <c r="T671" s="19">
        <f ca="1">IF('Stock Price'!$I$11="OK",G671/INDEX(G$5:G$1258,'Stock Price'!$I$9)-1,"")</f>
        <v>-8.2935931992536016E-3</v>
      </c>
      <c r="U671" s="19">
        <f ca="1">IF('Stock Price'!$I$11="OK",H671/INDEX(H$5:H$1258,'Stock Price'!$I$9)-1,"")</f>
        <v>-0.2617105263157895</v>
      </c>
      <c r="V671" s="19">
        <f ca="1">IF('Stock Price'!$I$11="OK",I671/INDEX(I$5:I$1258,'Stock Price'!$I$9)-1,"")</f>
        <v>0.11993645750595716</v>
      </c>
      <c r="W671" s="19">
        <f ca="1">IF('Stock Price'!$I$11="OK",J671/INDEX(J$5:J$1258,'Stock Price'!$I$9)-1,"")</f>
        <v>-0.2455662927172424</v>
      </c>
      <c r="X671" s="19">
        <f ca="1">IF('Stock Price'!$I$11="OK",K671/INDEX(K$5:K$1258,'Stock Price'!$I$9)-1,"")</f>
        <v>-0.24710063598952492</v>
      </c>
      <c r="Y671" s="19">
        <f ca="1">IF('Stock Price'!$I$11="OK",L671/INDEX(L$5:L$1258,'Stock Price'!$I$9)-1,"")</f>
        <v>-0.29934892693513382</v>
      </c>
      <c r="Z671" s="19">
        <f ca="1">IF('Stock Price'!$I$11="OK",M671/INDEX(M$5:M$1258,'Stock Price'!$I$9)-1,"")</f>
        <v>-0.31834634337795997</v>
      </c>
    </row>
    <row r="672" spans="1:26" x14ac:dyDescent="0.2">
      <c r="A672" s="16">
        <f>'Stock Price'!A672</f>
        <v>45443</v>
      </c>
      <c r="B672" s="17">
        <f>'Stock Price'!E672</f>
        <v>125.54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0.17933302019727582</v>
      </c>
      <c r="P672" s="19">
        <f ca="1">IF('Stock Price'!$I$11="OK",C672/INDEX(C$5:C$1258,'Stock Price'!$I$9)-1,"")</f>
        <v>-0.25559405225927534</v>
      </c>
      <c r="Q672" s="19">
        <f ca="1">IF('Stock Price'!$I$11="OK",D672/INDEX(D$5:D$1258,'Stock Price'!$I$9)-1,"")</f>
        <v>-0.15817709046120165</v>
      </c>
      <c r="R672" s="19">
        <f ca="1">IF('Stock Price'!$I$11="OK",E672/INDEX(E$5:E$1258,'Stock Price'!$I$9)-1,"")</f>
        <v>-9.7924642353415248E-2</v>
      </c>
      <c r="S672" s="19">
        <f ca="1">IF('Stock Price'!$I$11="OK",F672/INDEX(F$5:F$1258,'Stock Price'!$I$9)-1,"")</f>
        <v>-0.37784256559766771</v>
      </c>
      <c r="T672" s="19">
        <f ca="1">IF('Stock Price'!$I$11="OK",G672/INDEX(G$5:G$1258,'Stock Price'!$I$9)-1,"")</f>
        <v>1.6587186398507203E-2</v>
      </c>
      <c r="U672" s="19">
        <f ca="1">IF('Stock Price'!$I$11="OK",H672/INDEX(H$5:H$1258,'Stock Price'!$I$9)-1,"")</f>
        <v>-0.25684210526315798</v>
      </c>
      <c r="V672" s="19">
        <f ca="1">IF('Stock Price'!$I$11="OK",I672/INDEX(I$5:I$1258,'Stock Price'!$I$9)-1,"")</f>
        <v>0.13820492454328837</v>
      </c>
      <c r="W672" s="19">
        <f ca="1">IF('Stock Price'!$I$11="OK",J672/INDEX(J$5:J$1258,'Stock Price'!$I$9)-1,"")</f>
        <v>-0.24067903291495418</v>
      </c>
      <c r="X672" s="19">
        <f ca="1">IF('Stock Price'!$I$11="OK",K672/INDEX(K$5:K$1258,'Stock Price'!$I$9)-1,"")</f>
        <v>-0.23138795361017583</v>
      </c>
      <c r="Y672" s="19">
        <f ca="1">IF('Stock Price'!$I$11="OK",L672/INDEX(L$5:L$1258,'Stock Price'!$I$9)-1,"")</f>
        <v>-0.29264528574873405</v>
      </c>
      <c r="Z672" s="19">
        <f ca="1">IF('Stock Price'!$I$11="OK",M672/INDEX(M$5:M$1258,'Stock Price'!$I$9)-1,"")</f>
        <v>-0.29684706292791418</v>
      </c>
    </row>
    <row r="673" spans="1:26" x14ac:dyDescent="0.2">
      <c r="A673" s="16">
        <f>'Stock Price'!A673</f>
        <v>45446</v>
      </c>
      <c r="B673" s="17">
        <f>'Stock Price'!E673</f>
        <v>128.41999999999999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0.20638797557538746</v>
      </c>
      <c r="P673" s="19">
        <f ca="1">IF('Stock Price'!$I$11="OK",C673/INDEX(C$5:C$1258,'Stock Price'!$I$9)-1,"")</f>
        <v>-0.25826476107983243</v>
      </c>
      <c r="Q673" s="19">
        <f ca="1">IF('Stock Price'!$I$11="OK",D673/INDEX(D$5:D$1258,'Stock Price'!$I$9)-1,"")</f>
        <v>-0.13272204735185444</v>
      </c>
      <c r="R673" s="19">
        <f ca="1">IF('Stock Price'!$I$11="OK",E673/INDEX(E$5:E$1258,'Stock Price'!$I$9)-1,"")</f>
        <v>-0.17630465444287724</v>
      </c>
      <c r="S673" s="19">
        <f ca="1">IF('Stock Price'!$I$11="OK",F673/INDEX(F$5:F$1258,'Stock Price'!$I$9)-1,"")</f>
        <v>-0.37142857142857144</v>
      </c>
      <c r="T673" s="19">
        <f ca="1">IF('Stock Price'!$I$11="OK",G673/INDEX(G$5:G$1258,'Stock Price'!$I$9)-1,"")</f>
        <v>2.1148662658096784E-2</v>
      </c>
      <c r="U673" s="19">
        <f ca="1">IF('Stock Price'!$I$11="OK",H673/INDEX(H$5:H$1258,'Stock Price'!$I$9)-1,"")</f>
        <v>-0.24671052631578949</v>
      </c>
      <c r="V673" s="19">
        <f ca="1">IF('Stock Price'!$I$11="OK",I673/INDEX(I$5:I$1258,'Stock Price'!$I$9)-1,"")</f>
        <v>0.16401906274821276</v>
      </c>
      <c r="W673" s="19">
        <f ca="1">IF('Stock Price'!$I$11="OK",J673/INDEX(J$5:J$1258,'Stock Price'!$I$9)-1,"")</f>
        <v>-0.23057129105113106</v>
      </c>
      <c r="X673" s="19">
        <f ca="1">IF('Stock Price'!$I$11="OK",K673/INDEX(K$5:K$1258,'Stock Price'!$I$9)-1,"")</f>
        <v>-0.21866816311260751</v>
      </c>
      <c r="Y673" s="19">
        <f ca="1">IF('Stock Price'!$I$11="OK",L673/INDEX(L$5:L$1258,'Stock Price'!$I$9)-1,"")</f>
        <v>-0.28748492886423915</v>
      </c>
      <c r="Z673" s="19">
        <f ca="1">IF('Stock Price'!$I$11="OK",M673/INDEX(M$5:M$1258,'Stock Price'!$I$9)-1,"")</f>
        <v>-0.3014260171819807</v>
      </c>
    </row>
    <row r="674" spans="1:26" x14ac:dyDescent="0.2">
      <c r="A674" s="16">
        <f>'Stock Price'!A674</f>
        <v>45447</v>
      </c>
      <c r="B674" s="17">
        <f>'Stock Price'!E674</f>
        <v>128.71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0.20911225927665567</v>
      </c>
      <c r="P674" s="19">
        <f ca="1">IF('Stock Price'!$I$11="OK",C674/INDEX(C$5:C$1258,'Stock Price'!$I$9)-1,"")</f>
        <v>-0.24267359607333616</v>
      </c>
      <c r="Q674" s="19">
        <f ca="1">IF('Stock Price'!$I$11="OK",D674/INDEX(D$5:D$1258,'Stock Price'!$I$9)-1,"")</f>
        <v>-0.14410838921582048</v>
      </c>
      <c r="R674" s="19">
        <f ca="1">IF('Stock Price'!$I$11="OK",E674/INDEX(E$5:E$1258,'Stock Price'!$I$9)-1,"")</f>
        <v>-0.16683457586137418</v>
      </c>
      <c r="S674" s="19">
        <f ca="1">IF('Stock Price'!$I$11="OK",F674/INDEX(F$5:F$1258,'Stock Price'!$I$9)-1,"")</f>
        <v>-0.3607385811467444</v>
      </c>
      <c r="T674" s="19">
        <f ca="1">IF('Stock Price'!$I$11="OK",G674/INDEX(G$5:G$1258,'Stock Price'!$I$9)-1,"")</f>
        <v>2.0319303338171446E-2</v>
      </c>
      <c r="U674" s="19">
        <f ca="1">IF('Stock Price'!$I$11="OK",H674/INDEX(H$5:H$1258,'Stock Price'!$I$9)-1,"")</f>
        <v>-0.25434210526315792</v>
      </c>
      <c r="V674" s="19">
        <f ca="1">IF('Stock Price'!$I$11="OK",I674/INDEX(I$5:I$1258,'Stock Price'!$I$9)-1,"")</f>
        <v>0.1711675933280381</v>
      </c>
      <c r="W674" s="19">
        <f ca="1">IF('Stock Price'!$I$11="OK",J674/INDEX(J$5:J$1258,'Stock Price'!$I$9)-1,"")</f>
        <v>-0.22934021992669096</v>
      </c>
      <c r="X674" s="19">
        <f ca="1">IF('Stock Price'!$I$11="OK",K674/INDEX(K$5:K$1258,'Stock Price'!$I$9)-1,"")</f>
        <v>-0.21904227459783021</v>
      </c>
      <c r="Y674" s="19">
        <f ca="1">IF('Stock Price'!$I$11="OK",L674/INDEX(L$5:L$1258,'Stock Price'!$I$9)-1,"")</f>
        <v>-0.28719556305763194</v>
      </c>
      <c r="Z674" s="19">
        <f ca="1">IF('Stock Price'!$I$11="OK",M674/INDEX(M$5:M$1258,'Stock Price'!$I$9)-1,"")</f>
        <v>-0.29292224499585717</v>
      </c>
    </row>
    <row r="675" spans="1:26" x14ac:dyDescent="0.2">
      <c r="A675" s="16">
        <f>'Stock Price'!A675</f>
        <v>45448</v>
      </c>
      <c r="B675" s="17">
        <f>'Stock Price'!E675</f>
        <v>129.44999999999999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0.2160638797557537</v>
      </c>
      <c r="P675" s="19">
        <f ca="1">IF('Stock Price'!$I$11="OK",C675/INDEX(C$5:C$1258,'Stock Price'!$I$9)-1,"")</f>
        <v>-0.2394976180164573</v>
      </c>
      <c r="Q675" s="19">
        <f ca="1">IF('Stock Price'!$I$11="OK",D675/INDEX(D$5:D$1258,'Stock Price'!$I$9)-1,"")</f>
        <v>-0.12358012864376633</v>
      </c>
      <c r="R675" s="19">
        <f ca="1">IF('Stock Price'!$I$11="OK",E675/INDEX(E$5:E$1258,'Stock Price'!$I$9)-1,"")</f>
        <v>-0.15434213177513612</v>
      </c>
      <c r="S675" s="19">
        <f ca="1">IF('Stock Price'!$I$11="OK",F675/INDEX(F$5:F$1258,'Stock Price'!$I$9)-1,"")</f>
        <v>-0.35782312925170068</v>
      </c>
      <c r="T675" s="19">
        <f ca="1">IF('Stock Price'!$I$11="OK",G675/INDEX(G$5:G$1258,'Stock Price'!$I$9)-1,"")</f>
        <v>1.866058469832077E-2</v>
      </c>
      <c r="U675" s="19">
        <f ca="1">IF('Stock Price'!$I$11="OK",H675/INDEX(H$5:H$1258,'Stock Price'!$I$9)-1,"")</f>
        <v>-0.24750000000000005</v>
      </c>
      <c r="V675" s="19">
        <f ca="1">IF('Stock Price'!$I$11="OK",I675/INDEX(I$5:I$1258,'Stock Price'!$I$9)-1,"")</f>
        <v>0.17355043685464655</v>
      </c>
      <c r="W675" s="19">
        <f ca="1">IF('Stock Price'!$I$11="OK",J675/INDEX(J$5:J$1258,'Stock Price'!$I$9)-1,"")</f>
        <v>-0.23010848235773251</v>
      </c>
      <c r="X675" s="19">
        <f ca="1">IF('Stock Price'!$I$11="OK",K675/INDEX(K$5:K$1258,'Stock Price'!$I$9)-1,"")</f>
        <v>-0.22858211747100632</v>
      </c>
      <c r="Y675" s="19">
        <f ca="1">IF('Stock Price'!$I$11="OK",L675/INDEX(L$5:L$1258,'Stock Price'!$I$9)-1,"")</f>
        <v>-0.29602122015915122</v>
      </c>
      <c r="Z675" s="19">
        <f ca="1">IF('Stock Price'!$I$11="OK",M675/INDEX(M$5:M$1258,'Stock Price'!$I$9)-1,"")</f>
        <v>-0.27853124591164802</v>
      </c>
    </row>
    <row r="676" spans="1:26" x14ac:dyDescent="0.2">
      <c r="A676" s="16">
        <f>'Stock Price'!A676</f>
        <v>45449</v>
      </c>
      <c r="B676" s="17">
        <f>'Stock Price'!E676</f>
        <v>130.52000000000001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0.22611554720526073</v>
      </c>
      <c r="P676" s="19">
        <f ca="1">IF('Stock Price'!$I$11="OK",C676/INDEX(C$5:C$1258,'Stock Price'!$I$9)-1,"")</f>
        <v>-0.23393965641691927</v>
      </c>
      <c r="Q676" s="19">
        <f ca="1">IF('Stock Price'!$I$11="OK",D676/INDEX(D$5:D$1258,'Stock Price'!$I$9)-1,"")</f>
        <v>-0.12434651703845634</v>
      </c>
      <c r="R676" s="19">
        <f ca="1">IF('Stock Price'!$I$11="OK",E676/INDEX(E$5:E$1258,'Stock Price'!$I$9)-1,"")</f>
        <v>-0.16300624622204318</v>
      </c>
      <c r="S676" s="19">
        <f ca="1">IF('Stock Price'!$I$11="OK",F676/INDEX(F$5:F$1258,'Stock Price'!$I$9)-1,"")</f>
        <v>-0.34927113702623913</v>
      </c>
      <c r="T676" s="19">
        <f ca="1">IF('Stock Price'!$I$11="OK",G676/INDEX(G$5:G$1258,'Stock Price'!$I$9)-1,"")</f>
        <v>2.6539498237611481E-2</v>
      </c>
      <c r="U676" s="19">
        <f ca="1">IF('Stock Price'!$I$11="OK",H676/INDEX(H$5:H$1258,'Stock Price'!$I$9)-1,"")</f>
        <v>-0.25302631578947365</v>
      </c>
      <c r="V676" s="19">
        <f ca="1">IF('Stock Price'!$I$11="OK",I676/INDEX(I$5:I$1258,'Stock Price'!$I$9)-1,"")</f>
        <v>0.14376489277204141</v>
      </c>
      <c r="W676" s="19">
        <f ca="1">IF('Stock Price'!$I$11="OK",J676/INDEX(J$5:J$1258,'Stock Price'!$I$9)-1,"")</f>
        <v>-0.2249898182087452</v>
      </c>
      <c r="X676" s="19">
        <f ca="1">IF('Stock Price'!$I$11="OK",K676/INDEX(K$5:K$1258,'Stock Price'!$I$9)-1,"")</f>
        <v>-0.23531612420501302</v>
      </c>
      <c r="Y676" s="19">
        <f ca="1">IF('Stock Price'!$I$11="OK",L676/INDEX(L$5:L$1258,'Stock Price'!$I$9)-1,"")</f>
        <v>-0.29385097660959736</v>
      </c>
      <c r="Z676" s="19">
        <f ca="1">IF('Stock Price'!$I$11="OK",M676/INDEX(M$5:M$1258,'Stock Price'!$I$9)-1,"")</f>
        <v>-0.26488160132571636</v>
      </c>
    </row>
    <row r="677" spans="1:26" x14ac:dyDescent="0.2">
      <c r="A677" s="16">
        <f>'Stock Price'!A677</f>
        <v>45450</v>
      </c>
      <c r="B677" s="17">
        <f>'Stock Price'!E677</f>
        <v>130.66999999999999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0.22752465946453726</v>
      </c>
      <c r="P677" s="19">
        <f ca="1">IF('Stock Price'!$I$11="OK",C677/INDEX(C$5:C$1258,'Stock Price'!$I$9)-1,"")</f>
        <v>-0.23971416197488082</v>
      </c>
      <c r="Q677" s="19">
        <f ca="1">IF('Stock Price'!$I$11="OK",D677/INDEX(D$5:D$1258,'Stock Price'!$I$9)-1,"")</f>
        <v>-0.12434651703845634</v>
      </c>
      <c r="R677" s="19">
        <f ca="1">IF('Stock Price'!$I$11="OK",E677/INDEX(E$5:E$1258,'Stock Price'!$I$9)-1,"")</f>
        <v>-0.16965545033246021</v>
      </c>
      <c r="S677" s="19">
        <f ca="1">IF('Stock Price'!$I$11="OK",F677/INDEX(F$5:F$1258,'Stock Price'!$I$9)-1,"")</f>
        <v>-0.34791059280855208</v>
      </c>
      <c r="T677" s="19">
        <f ca="1">IF('Stock Price'!$I$11="OK",G677/INDEX(G$5:G$1258,'Stock Price'!$I$9)-1,"")</f>
        <v>1.5550487248600531E-2</v>
      </c>
      <c r="U677" s="19">
        <f ca="1">IF('Stock Price'!$I$11="OK",H677/INDEX(H$5:H$1258,'Stock Price'!$I$9)-1,"")</f>
        <v>-0.26078947368421057</v>
      </c>
      <c r="V677" s="19">
        <f ca="1">IF('Stock Price'!$I$11="OK",I677/INDEX(I$5:I$1258,'Stock Price'!$I$9)-1,"")</f>
        <v>0.13502779984114377</v>
      </c>
      <c r="W677" s="19">
        <f ca="1">IF('Stock Price'!$I$11="OK",J677/INDEX(J$5:J$1258,'Stock Price'!$I$9)-1,"")</f>
        <v>-0.21323447739642332</v>
      </c>
      <c r="X677" s="19">
        <f ca="1">IF('Stock Price'!$I$11="OK",K677/INDEX(K$5:K$1258,'Stock Price'!$I$9)-1,"")</f>
        <v>-0.22409277964833529</v>
      </c>
      <c r="Y677" s="19">
        <f ca="1">IF('Stock Price'!$I$11="OK",L677/INDEX(L$5:L$1258,'Stock Price'!$I$9)-1,"")</f>
        <v>-0.29066795273691814</v>
      </c>
      <c r="Z677" s="19">
        <f ca="1">IF('Stock Price'!$I$11="OK",M677/INDEX(M$5:M$1258,'Stock Price'!$I$9)-1,"")</f>
        <v>-0.26117482883432919</v>
      </c>
    </row>
    <row r="678" spans="1:26" x14ac:dyDescent="0.2">
      <c r="A678" s="16">
        <f>'Stock Price'!A678</f>
        <v>45453</v>
      </c>
      <c r="B678" s="17">
        <f>'Stock Price'!E678</f>
        <v>131.49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0.23522780648191643</v>
      </c>
      <c r="P678" s="19">
        <f ca="1">IF('Stock Price'!$I$11="OK",C678/INDEX(C$5:C$1258,'Stock Price'!$I$9)-1,"")</f>
        <v>-0.23920889273855916</v>
      </c>
      <c r="Q678" s="19">
        <f ca="1">IF('Stock Price'!$I$11="OK",D678/INDEX(D$5:D$1258,'Stock Price'!$I$9)-1,"")</f>
        <v>-0.12752210209388271</v>
      </c>
      <c r="R678" s="19">
        <f ca="1">IF('Stock Price'!$I$11="OK",E678/INDEX(E$5:E$1258,'Stock Price'!$I$9)-1,"")</f>
        <v>-0.16804352206326822</v>
      </c>
      <c r="S678" s="19">
        <f ca="1">IF('Stock Price'!$I$11="OK",F678/INDEX(F$5:F$1258,'Stock Price'!$I$9)-1,"")</f>
        <v>-0.34965986394557824</v>
      </c>
      <c r="T678" s="19">
        <f ca="1">IF('Stock Price'!$I$11="OK",G678/INDEX(G$5:G$1258,'Stock Price'!$I$9)-1,"")</f>
        <v>1.3062409288824517E-2</v>
      </c>
      <c r="U678" s="19">
        <f ca="1">IF('Stock Price'!$I$11="OK",H678/INDEX(H$5:H$1258,'Stock Price'!$I$9)-1,"")</f>
        <v>-0.27697368421052626</v>
      </c>
      <c r="V678" s="19">
        <f ca="1">IF('Stock Price'!$I$11="OK",I678/INDEX(I$5:I$1258,'Stock Price'!$I$9)-1,"")</f>
        <v>0.11477362986497219</v>
      </c>
      <c r="W678" s="19">
        <f ca="1">IF('Stock Price'!$I$11="OK",J678/INDEX(J$5:J$1258,'Stock Price'!$I$9)-1,"")</f>
        <v>-0.19934096042060045</v>
      </c>
      <c r="X678" s="19">
        <f ca="1">IF('Stock Price'!$I$11="OK",K678/INDEX(K$5:K$1258,'Stock Price'!$I$9)-1,"")</f>
        <v>-0.20370370370370372</v>
      </c>
      <c r="Y678" s="19">
        <f ca="1">IF('Stock Price'!$I$11="OK",L678/INDEX(L$5:L$1258,'Stock Price'!$I$9)-1,"")</f>
        <v>-0.29042681456474562</v>
      </c>
      <c r="Z678" s="19">
        <f ca="1">IF('Stock Price'!$I$11="OK",M678/INDEX(M$5:M$1258,'Stock Price'!$I$9)-1,"")</f>
        <v>-0.25663948366839651</v>
      </c>
    </row>
    <row r="679" spans="1:26" x14ac:dyDescent="0.2">
      <c r="A679" s="16">
        <f>'Stock Price'!A679</f>
        <v>45454</v>
      </c>
      <c r="B679" s="17">
        <f>'Stock Price'!E679</f>
        <v>131.84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0.23851573508689516</v>
      </c>
      <c r="P679" s="19">
        <f ca="1">IF('Stock Price'!$I$11="OK",C679/INDEX(C$5:C$1258,'Stock Price'!$I$9)-1,"")</f>
        <v>-0.2456330301717915</v>
      </c>
      <c r="Q679" s="19">
        <f ca="1">IF('Stock Price'!$I$11="OK",D679/INDEX(D$5:D$1258,'Stock Price'!$I$9)-1,"")</f>
        <v>-0.11865334610647327</v>
      </c>
      <c r="R679" s="19">
        <f ca="1">IF('Stock Price'!$I$11="OK",E679/INDEX(E$5:E$1258,'Stock Price'!$I$9)-1,"")</f>
        <v>-0.17267781583719521</v>
      </c>
      <c r="S679" s="19">
        <f ca="1">IF('Stock Price'!$I$11="OK",F679/INDEX(F$5:F$1258,'Stock Price'!$I$9)-1,"")</f>
        <v>-0.34868804664723041</v>
      </c>
      <c r="T679" s="19">
        <f ca="1">IF('Stock Price'!$I$11="OK",G679/INDEX(G$5:G$1258,'Stock Price'!$I$9)-1,"")</f>
        <v>5.8055152394775877E-3</v>
      </c>
      <c r="U679" s="19">
        <f ca="1">IF('Stock Price'!$I$11="OK",H679/INDEX(H$5:H$1258,'Stock Price'!$I$9)-1,"")</f>
        <v>-0.28736842105263161</v>
      </c>
      <c r="V679" s="19">
        <f ca="1">IF('Stock Price'!$I$11="OK",I679/INDEX(I$5:I$1258,'Stock Price'!$I$9)-1,"")</f>
        <v>0.1131850675138999</v>
      </c>
      <c r="W679" s="19">
        <f ca="1">IF('Stock Price'!$I$11="OK",J679/INDEX(J$5:J$1258,'Stock Price'!$I$9)-1,"")</f>
        <v>-0.19858195416342683</v>
      </c>
      <c r="X679" s="19">
        <f ca="1">IF('Stock Price'!$I$11="OK",K679/INDEX(K$5:K$1258,'Stock Price'!$I$9)-1,"")</f>
        <v>-0.19528619528619529</v>
      </c>
      <c r="Y679" s="19">
        <f ca="1">IF('Stock Price'!$I$11="OK",L679/INDEX(L$5:L$1258,'Stock Price'!$I$9)-1,"")</f>
        <v>-0.29221123703882323</v>
      </c>
      <c r="Z679" s="19">
        <f ca="1">IF('Stock Price'!$I$11="OK",M679/INDEX(M$5:M$1258,'Stock Price'!$I$9)-1,"")</f>
        <v>-0.26867559199337143</v>
      </c>
    </row>
    <row r="680" spans="1:26" x14ac:dyDescent="0.2">
      <c r="A680" s="16">
        <f>'Stock Price'!A680</f>
        <v>45455</v>
      </c>
      <c r="B680" s="17">
        <f>'Stock Price'!E680</f>
        <v>130.19999999999999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0.22310944105213704</v>
      </c>
      <c r="P680" s="19">
        <f ca="1">IF('Stock Price'!$I$11="OK",C680/INDEX(C$5:C$1258,'Stock Price'!$I$9)-1,"")</f>
        <v>-0.23812617294644145</v>
      </c>
      <c r="Q680" s="19">
        <f ca="1">IF('Stock Price'!$I$11="OK",D680/INDEX(D$5:D$1258,'Stock Price'!$I$9)-1,"")</f>
        <v>-0.12166415765704131</v>
      </c>
      <c r="R680" s="19">
        <f ca="1">IF('Stock Price'!$I$11="OK",E680/INDEX(E$5:E$1258,'Stock Price'!$I$9)-1,"")</f>
        <v>-0.17167036066895025</v>
      </c>
      <c r="S680" s="19">
        <f ca="1">IF('Stock Price'!$I$11="OK",F680/INDEX(F$5:F$1258,'Stock Price'!$I$9)-1,"")</f>
        <v>-0.33741496598639453</v>
      </c>
      <c r="T680" s="19">
        <f ca="1">IF('Stock Price'!$I$11="OK",G680/INDEX(G$5:G$1258,'Stock Price'!$I$9)-1,"")</f>
        <v>4.3541364296082463E-3</v>
      </c>
      <c r="U680" s="19">
        <f ca="1">IF('Stock Price'!$I$11="OK",H680/INDEX(H$5:H$1258,'Stock Price'!$I$9)-1,"")</f>
        <v>-0.26776315789473681</v>
      </c>
      <c r="V680" s="19">
        <f ca="1">IF('Stock Price'!$I$11="OK",I680/INDEX(I$5:I$1258,'Stock Price'!$I$9)-1,"")</f>
        <v>9.8490865766481361E-2</v>
      </c>
      <c r="W680" s="19">
        <f ca="1">IF('Stock Price'!$I$11="OK",J680/INDEX(J$5:J$1258,'Stock Price'!$I$9)-1,"")</f>
        <v>-0.19721204043096741</v>
      </c>
      <c r="X680" s="19">
        <f ca="1">IF('Stock Price'!$I$11="OK",K680/INDEX(K$5:K$1258,'Stock Price'!$I$9)-1,"")</f>
        <v>-0.20669659558548459</v>
      </c>
      <c r="Y680" s="19">
        <f ca="1">IF('Stock Price'!$I$11="OK",L680/INDEX(L$5:L$1258,'Stock Price'!$I$9)-1,"")</f>
        <v>-0.29872196768748494</v>
      </c>
      <c r="Z680" s="19">
        <f ca="1">IF('Stock Price'!$I$11="OK",M680/INDEX(M$5:M$1258,'Stock Price'!$I$9)-1,"")</f>
        <v>-0.27569665518294006</v>
      </c>
    </row>
    <row r="681" spans="1:26" x14ac:dyDescent="0.2">
      <c r="A681" s="16">
        <f>'Stock Price'!A681</f>
        <v>45456</v>
      </c>
      <c r="B681" s="17">
        <f>'Stock Price'!E681</f>
        <v>129.37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0.215312353217473</v>
      </c>
      <c r="P681" s="19">
        <f ca="1">IF('Stock Price'!$I$11="OK",C681/INDEX(C$5:C$1258,'Stock Price'!$I$9)-1,"")</f>
        <v>-0.23473365093113896</v>
      </c>
      <c r="Q681" s="19">
        <f ca="1">IF('Stock Price'!$I$11="OK",D681/INDEX(D$5:D$1258,'Stock Price'!$I$9)-1,"")</f>
        <v>-0.12166415765704131</v>
      </c>
      <c r="R681" s="19">
        <f ca="1">IF('Stock Price'!$I$11="OK",E681/INDEX(E$5:E$1258,'Stock Price'!$I$9)-1,"")</f>
        <v>-0.17167036066895025</v>
      </c>
      <c r="S681" s="19">
        <f ca="1">IF('Stock Price'!$I$11="OK",F681/INDEX(F$5:F$1258,'Stock Price'!$I$9)-1,"")</f>
        <v>-0.32905733722060249</v>
      </c>
      <c r="T681" s="19">
        <f ca="1">IF('Stock Price'!$I$11="OK",G681/INDEX(G$5:G$1258,'Stock Price'!$I$9)-1,"")</f>
        <v>-1.4513788098693636E-2</v>
      </c>
      <c r="U681" s="19">
        <f ca="1">IF('Stock Price'!$I$11="OK",H681/INDEX(H$5:H$1258,'Stock Price'!$I$9)-1,"")</f>
        <v>-0.28039473684210525</v>
      </c>
      <c r="V681" s="19">
        <f ca="1">IF('Stock Price'!$I$11="OK",I681/INDEX(I$5:I$1258,'Stock Price'!$I$9)-1,"")</f>
        <v>9.8093725178713287E-2</v>
      </c>
      <c r="W681" s="19">
        <f ca="1">IF('Stock Price'!$I$11="OK",J681/INDEX(J$5:J$1258,'Stock Price'!$I$9)-1,"")</f>
        <v>-0.18237439372061148</v>
      </c>
      <c r="X681" s="19">
        <f ca="1">IF('Stock Price'!$I$11="OK",K681/INDEX(K$5:K$1258,'Stock Price'!$I$9)-1,"")</f>
        <v>-0.22409277964833529</v>
      </c>
      <c r="Y681" s="19">
        <f ca="1">IF('Stock Price'!$I$11="OK",L681/INDEX(L$5:L$1258,'Stock Price'!$I$9)-1,"")</f>
        <v>-0.29852905714974687</v>
      </c>
      <c r="Z681" s="19">
        <f ca="1">IF('Stock Price'!$I$11="OK",M681/INDEX(M$5:M$1258,'Stock Price'!$I$9)-1,"")</f>
        <v>-0.27364702804064367</v>
      </c>
    </row>
    <row r="682" spans="1:26" x14ac:dyDescent="0.2">
      <c r="A682" s="16">
        <f>'Stock Price'!A682</f>
        <v>45457</v>
      </c>
      <c r="B682" s="17">
        <f>'Stock Price'!E682</f>
        <v>129.47999999999999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0.21634570220760918</v>
      </c>
      <c r="P682" s="19">
        <f ca="1">IF('Stock Price'!$I$11="OK",C682/INDEX(C$5:C$1258,'Stock Price'!$I$9)-1,"")</f>
        <v>-0.23689909051537461</v>
      </c>
      <c r="Q682" s="19">
        <f ca="1">IF('Stock Price'!$I$11="OK",D682/INDEX(D$5:D$1258,'Stock Price'!$I$9)-1,"")</f>
        <v>-0.12182838374161775</v>
      </c>
      <c r="R682" s="19">
        <f ca="1">IF('Stock Price'!$I$11="OK",E682/INDEX(E$5:E$1258,'Stock Price'!$I$9)-1,"")</f>
        <v>-0.18093894821680445</v>
      </c>
      <c r="S682" s="19">
        <f ca="1">IF('Stock Price'!$I$11="OK",F682/INDEX(F$5:F$1258,'Stock Price'!$I$9)-1,"")</f>
        <v>-0.32614188532555877</v>
      </c>
      <c r="T682" s="19">
        <f ca="1">IF('Stock Price'!$I$11="OK",G682/INDEX(G$5:G$1258,'Stock Price'!$I$9)-1,"")</f>
        <v>-4.1053286336305117E-2</v>
      </c>
      <c r="U682" s="19">
        <f ca="1">IF('Stock Price'!$I$11="OK",H682/INDEX(H$5:H$1258,'Stock Price'!$I$9)-1,"")</f>
        <v>-0.28776315789473683</v>
      </c>
      <c r="V682" s="19">
        <f ca="1">IF('Stock Price'!$I$11="OK",I682/INDEX(I$5:I$1258,'Stock Price'!$I$9)-1,"")</f>
        <v>9.3328038125496393E-2</v>
      </c>
      <c r="W682" s="19">
        <f ca="1">IF('Stock Price'!$I$11="OK",J682/INDEX(J$5:J$1258,'Stock Price'!$I$9)-1,"")</f>
        <v>-0.18689140656818082</v>
      </c>
      <c r="X682" s="19">
        <f ca="1">IF('Stock Price'!$I$11="OK",K682/INDEX(K$5:K$1258,'Stock Price'!$I$9)-1,"")</f>
        <v>-0.22933034044145151</v>
      </c>
      <c r="Y682" s="19">
        <f ca="1">IF('Stock Price'!$I$11="OK",L682/INDEX(L$5:L$1258,'Stock Price'!$I$9)-1,"")</f>
        <v>-0.29809500843983605</v>
      </c>
      <c r="Z682" s="19">
        <f ca="1">IF('Stock Price'!$I$11="OK",M682/INDEX(M$5:M$1258,'Stock Price'!$I$9)-1,"")</f>
        <v>-0.26479438314944836</v>
      </c>
    </row>
    <row r="683" spans="1:26" x14ac:dyDescent="0.2">
      <c r="A683" s="16">
        <f>'Stock Price'!A683</f>
        <v>45460</v>
      </c>
      <c r="B683" s="17">
        <f>'Stock Price'!E683</f>
        <v>127.5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0.19774542038515741</v>
      </c>
      <c r="P683" s="19">
        <f ca="1">IF('Stock Price'!$I$11="OK",C683/INDEX(C$5:C$1258,'Stock Price'!$I$9)-1,"")</f>
        <v>-0.24260141475386165</v>
      </c>
      <c r="Q683" s="19">
        <f ca="1">IF('Stock Price'!$I$11="OK",D683/INDEX(D$5:D$1258,'Stock Price'!$I$9)-1,"")</f>
        <v>-0.12182838374161775</v>
      </c>
      <c r="R683" s="19">
        <f ca="1">IF('Stock Price'!$I$11="OK",E683/INDEX(E$5:E$1258,'Stock Price'!$I$9)-1,"")</f>
        <v>-0.18073745718315548</v>
      </c>
      <c r="S683" s="19">
        <f ca="1">IF('Stock Price'!$I$11="OK",F683/INDEX(F$5:F$1258,'Stock Price'!$I$9)-1,"")</f>
        <v>-0.32789115646258515</v>
      </c>
      <c r="T683" s="19">
        <f ca="1">IF('Stock Price'!$I$11="OK",G683/INDEX(G$5:G$1258,'Stock Price'!$I$9)-1,"")</f>
        <v>-1.9489944018245886E-2</v>
      </c>
      <c r="U683" s="19">
        <f ca="1">IF('Stock Price'!$I$11="OK",H683/INDEX(H$5:H$1258,'Stock Price'!$I$9)-1,"")</f>
        <v>-0.31236842105263163</v>
      </c>
      <c r="V683" s="19">
        <f ca="1">IF('Stock Price'!$I$11="OK",I683/INDEX(I$5:I$1258,'Stock Price'!$I$9)-1,"")</f>
        <v>7.1485305798252519E-2</v>
      </c>
      <c r="W683" s="19">
        <f ca="1">IF('Stock Price'!$I$11="OK",J683/INDEX(J$5:J$1258,'Stock Price'!$I$9)-1,"")</f>
        <v>-0.18081935651079262</v>
      </c>
      <c r="X683" s="19">
        <f ca="1">IF('Stock Price'!$I$11="OK",K683/INDEX(K$5:K$1258,'Stock Price'!$I$9)-1,"")</f>
        <v>-0.2336326225215114</v>
      </c>
      <c r="Y683" s="19">
        <f ca="1">IF('Stock Price'!$I$11="OK",L683/INDEX(L$5:L$1258,'Stock Price'!$I$9)-1,"")</f>
        <v>-0.29611767542802025</v>
      </c>
      <c r="Z683" s="19">
        <f ca="1">IF('Stock Price'!$I$11="OK",M683/INDEX(M$5:M$1258,'Stock Price'!$I$9)-1,"")</f>
        <v>-0.26004099254284596</v>
      </c>
    </row>
    <row r="684" spans="1:26" x14ac:dyDescent="0.2">
      <c r="A684" s="16">
        <f>'Stock Price'!A684</f>
        <v>45461</v>
      </c>
      <c r="B684" s="17">
        <f>'Stock Price'!E684</f>
        <v>127.99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0.20234852043212759</v>
      </c>
      <c r="P684" s="19">
        <f ca="1">IF('Stock Price'!$I$11="OK",C684/INDEX(C$5:C$1258,'Stock Price'!$I$9)-1,"")</f>
        <v>-0.24252923343438715</v>
      </c>
      <c r="Q684" s="19">
        <f ca="1">IF('Stock Price'!$I$11="OK",D684/INDEX(D$5:D$1258,'Stock Price'!$I$9)-1,"")</f>
        <v>-0.13069659230874509</v>
      </c>
      <c r="R684" s="19">
        <f ca="1">IF('Stock Price'!$I$11="OK",E684/INDEX(E$5:E$1258,'Stock Price'!$I$9)-1,"")</f>
        <v>-0.17489421720733422</v>
      </c>
      <c r="S684" s="19">
        <f ca="1">IF('Stock Price'!$I$11="OK",F684/INDEX(F$5:F$1258,'Stock Price'!$I$9)-1,"")</f>
        <v>-0.32011661807580183</v>
      </c>
      <c r="T684" s="19">
        <f ca="1">IF('Stock Price'!$I$11="OK",G684/INDEX(G$5:G$1258,'Stock Price'!$I$9)-1,"")</f>
        <v>-2.0941322828115227E-2</v>
      </c>
      <c r="U684" s="19">
        <f ca="1">IF('Stock Price'!$I$11="OK",H684/INDEX(H$5:H$1258,'Stock Price'!$I$9)-1,"")</f>
        <v>-0.31210526315789477</v>
      </c>
      <c r="V684" s="19">
        <f ca="1">IF('Stock Price'!$I$11="OK",I684/INDEX(I$5:I$1258,'Stock Price'!$I$9)-1,"")</f>
        <v>8.8562351072279499E-2</v>
      </c>
      <c r="W684" s="19">
        <f ca="1">IF('Stock Price'!$I$11="OK",J684/INDEX(J$5:J$1258,'Stock Price'!$I$9)-1,"")</f>
        <v>-0.17484912436595201</v>
      </c>
      <c r="X684" s="19">
        <f ca="1">IF('Stock Price'!$I$11="OK",K684/INDEX(K$5:K$1258,'Stock Price'!$I$9)-1,"")</f>
        <v>-0.23662551440329216</v>
      </c>
      <c r="Y684" s="19">
        <f ca="1">IF('Stock Price'!$I$11="OK",L684/INDEX(L$5:L$1258,'Stock Price'!$I$9)-1,"")</f>
        <v>-0.29756450446105609</v>
      </c>
      <c r="Z684" s="19">
        <f ca="1">IF('Stock Price'!$I$11="OK",M684/INDEX(M$5:M$1258,'Stock Price'!$I$9)-1,"")</f>
        <v>-0.25271466573633938</v>
      </c>
    </row>
    <row r="685" spans="1:26" x14ac:dyDescent="0.2">
      <c r="A685" s="16">
        <f>'Stock Price'!A685</f>
        <v>45463</v>
      </c>
      <c r="B685" s="17">
        <f>'Stock Price'!E685</f>
        <v>129.66999999999999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0.21813057773602607</v>
      </c>
      <c r="P685" s="19">
        <f ca="1">IF('Stock Price'!$I$11="OK",C685/INDEX(C$5:C$1258,'Stock Price'!$I$9)-1,"")</f>
        <v>-0.2367547278764256</v>
      </c>
      <c r="Q685" s="19">
        <f ca="1">IF('Stock Price'!$I$11="OK",D685/INDEX(D$5:D$1258,'Stock Price'!$I$9)-1,"")</f>
        <v>-0.16792117147940333</v>
      </c>
      <c r="R685" s="19">
        <f ca="1">IF('Stock Price'!$I$11="OK",E685/INDEX(E$5:E$1258,'Stock Price'!$I$9)-1,"")</f>
        <v>-0.17872254684666544</v>
      </c>
      <c r="S685" s="19">
        <f ca="1">IF('Stock Price'!$I$11="OK",F685/INDEX(F$5:F$1258,'Stock Price'!$I$9)-1,"")</f>
        <v>-0.31545189504373183</v>
      </c>
      <c r="T685" s="19">
        <f ca="1">IF('Stock Price'!$I$11="OK",G685/INDEX(G$5:G$1258,'Stock Price'!$I$9)-1,"")</f>
        <v>-2.8612896537424715E-2</v>
      </c>
      <c r="U685" s="19">
        <f ca="1">IF('Stock Price'!$I$11="OK",H685/INDEX(H$5:H$1258,'Stock Price'!$I$9)-1,"")</f>
        <v>-0.31578947368421051</v>
      </c>
      <c r="V685" s="19">
        <f ca="1">IF('Stock Price'!$I$11="OK",I685/INDEX(I$5:I$1258,'Stock Price'!$I$9)-1,"")</f>
        <v>0.10166799046862574</v>
      </c>
      <c r="W685" s="19">
        <f ca="1">IF('Stock Price'!$I$11="OK",J685/INDEX(J$5:J$1258,'Stock Price'!$I$9)-1,"")</f>
        <v>-0.17991225147173151</v>
      </c>
      <c r="X685" s="19">
        <f ca="1">IF('Stock Price'!$I$11="OK",K685/INDEX(K$5:K$1258,'Stock Price'!$I$9)-1,"")</f>
        <v>-0.23232323232323238</v>
      </c>
      <c r="Y685" s="19">
        <f ca="1">IF('Stock Price'!$I$11="OK",L685/INDEX(L$5:L$1258,'Stock Price'!$I$9)-1,"")</f>
        <v>-0.28729201832650109</v>
      </c>
      <c r="Z685" s="19">
        <f ca="1">IF('Stock Price'!$I$11="OK",M685/INDEX(M$5:M$1258,'Stock Price'!$I$9)-1,"")</f>
        <v>-0.24935676595002398</v>
      </c>
    </row>
    <row r="686" spans="1:26" x14ac:dyDescent="0.2">
      <c r="A686" s="16">
        <f>'Stock Price'!A686</f>
        <v>45464</v>
      </c>
      <c r="B686" s="17">
        <f>'Stock Price'!E686</f>
        <v>130.72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0.22799436355096292</v>
      </c>
      <c r="P686" s="19">
        <f ca="1">IF('Stock Price'!$I$11="OK",C686/INDEX(C$5:C$1258,'Stock Price'!$I$9)-1,"")</f>
        <v>-0.24050815648910062</v>
      </c>
      <c r="Q686" s="19">
        <f ca="1">IF('Stock Price'!$I$11="OK",D686/INDEX(D$5:D$1258,'Stock Price'!$I$9)-1,"")</f>
        <v>-0.16792117147940333</v>
      </c>
      <c r="R686" s="19">
        <f ca="1">IF('Stock Price'!$I$11="OK",E686/INDEX(E$5:E$1258,'Stock Price'!$I$9)-1,"")</f>
        <v>-0.18436429578883751</v>
      </c>
      <c r="S686" s="19">
        <f ca="1">IF('Stock Price'!$I$11="OK",F686/INDEX(F$5:F$1258,'Stock Price'!$I$9)-1,"")</f>
        <v>-0.30826044703595723</v>
      </c>
      <c r="T686" s="19">
        <f ca="1">IF('Stock Price'!$I$11="OK",G686/INDEX(G$5:G$1258,'Stock Price'!$I$9)-1,"")</f>
        <v>-2.1148662658096562E-2</v>
      </c>
      <c r="U686" s="19">
        <f ca="1">IF('Stock Price'!$I$11="OK",H686/INDEX(H$5:H$1258,'Stock Price'!$I$9)-1,"")</f>
        <v>-0.31578947368421051</v>
      </c>
      <c r="V686" s="19">
        <f ca="1">IF('Stock Price'!$I$11="OK",I686/INDEX(I$5:I$1258,'Stock Price'!$I$9)-1,"")</f>
        <v>0.10166799046862574</v>
      </c>
      <c r="W686" s="19">
        <f ca="1">IF('Stock Price'!$I$11="OK",J686/INDEX(J$5:J$1258,'Stock Price'!$I$9)-1,"")</f>
        <v>-0.18186530415787328</v>
      </c>
      <c r="X686" s="19">
        <f ca="1">IF('Stock Price'!$I$11="OK",K686/INDEX(K$5:K$1258,'Stock Price'!$I$9)-1,"")</f>
        <v>-0.21567527123082686</v>
      </c>
      <c r="Y686" s="19">
        <f ca="1">IF('Stock Price'!$I$11="OK",L686/INDEX(L$5:L$1258,'Stock Price'!$I$9)-1,"")</f>
        <v>-0.28261393778635158</v>
      </c>
      <c r="Z686" s="19">
        <f ca="1">IF('Stock Price'!$I$11="OK",M686/INDEX(M$5:M$1258,'Stock Price'!$I$9)-1,"")</f>
        <v>-0.25694474728533434</v>
      </c>
    </row>
    <row r="687" spans="1:26" x14ac:dyDescent="0.2">
      <c r="A687" s="16">
        <f>'Stock Price'!A687</f>
        <v>45467</v>
      </c>
      <c r="B687" s="17">
        <f>'Stock Price'!E687</f>
        <v>132.96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0.24903710662282763</v>
      </c>
      <c r="P687" s="19">
        <f ca="1">IF('Stock Price'!$I$11="OK",C687/INDEX(C$5:C$1258,'Stock Price'!$I$9)-1,"")</f>
        <v>-0.2280207882200086</v>
      </c>
      <c r="Q687" s="19">
        <f ca="1">IF('Stock Price'!$I$11="OK",D687/INDEX(D$5:D$1258,'Stock Price'!$I$9)-1,"")</f>
        <v>-0.16731900916928966</v>
      </c>
      <c r="R687" s="19">
        <f ca="1">IF('Stock Price'!$I$11="OK",E687/INDEX(E$5:E$1258,'Stock Price'!$I$9)-1,"")</f>
        <v>-0.18295385855329449</v>
      </c>
      <c r="S687" s="19">
        <f ca="1">IF('Stock Price'!$I$11="OK",F687/INDEX(F$5:F$1258,'Stock Price'!$I$9)-1,"")</f>
        <v>-0.30592808551992223</v>
      </c>
      <c r="T687" s="19">
        <f ca="1">IF('Stock Price'!$I$11="OK",G687/INDEX(G$5:G$1258,'Stock Price'!$I$9)-1,"")</f>
        <v>1.5343147418619196E-2</v>
      </c>
      <c r="U687" s="19">
        <f ca="1">IF('Stock Price'!$I$11="OK",H687/INDEX(H$5:H$1258,'Stock Price'!$I$9)-1,"")</f>
        <v>-0.29855263157894729</v>
      </c>
      <c r="V687" s="19">
        <f ca="1">IF('Stock Price'!$I$11="OK",I687/INDEX(I$5:I$1258,'Stock Price'!$I$9)-1,"")</f>
        <v>0.12629070691024613</v>
      </c>
      <c r="W687" s="19">
        <f ca="1">IF('Stock Price'!$I$11="OK",J687/INDEX(J$5:J$1258,'Stock Price'!$I$9)-1,"")</f>
        <v>-0.17609870783812798</v>
      </c>
      <c r="X687" s="19">
        <f ca="1">IF('Stock Price'!$I$11="OK",K687/INDEX(K$5:K$1258,'Stock Price'!$I$9)-1,"")</f>
        <v>-0.21006359895248794</v>
      </c>
      <c r="Y687" s="19">
        <f ca="1">IF('Stock Price'!$I$11="OK",L687/INDEX(L$5:L$1258,'Stock Price'!$I$9)-1,"")</f>
        <v>-0.28082951531227385</v>
      </c>
      <c r="Z687" s="19">
        <f ca="1">IF('Stock Price'!$I$11="OK",M687/INDEX(M$5:M$1258,'Stock Price'!$I$9)-1,"")</f>
        <v>-0.24669661157385192</v>
      </c>
    </row>
    <row r="688" spans="1:26" x14ac:dyDescent="0.2">
      <c r="A688" s="16">
        <f>'Stock Price'!A688</f>
        <v>45468</v>
      </c>
      <c r="B688" s="17">
        <f>'Stock Price'!E688</f>
        <v>132.91999999999999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0.24866134335368706</v>
      </c>
      <c r="P688" s="19">
        <f ca="1">IF('Stock Price'!$I$11="OK",C688/INDEX(C$5:C$1258,'Stock Price'!$I$9)-1,"")</f>
        <v>-0.22498917280207875</v>
      </c>
      <c r="Q688" s="19">
        <f ca="1">IF('Stock Price'!$I$11="OK",D688/INDEX(D$5:D$1258,'Stock Price'!$I$9)-1,"")</f>
        <v>-0.13573340632270436</v>
      </c>
      <c r="R688" s="19">
        <f ca="1">IF('Stock Price'!$I$11="OK",E688/INDEX(E$5:E$1258,'Stock Price'!$I$9)-1,"")</f>
        <v>-0.18778964336087045</v>
      </c>
      <c r="S688" s="19">
        <f ca="1">IF('Stock Price'!$I$11="OK",F688/INDEX(F$5:F$1258,'Stock Price'!$I$9)-1,"")</f>
        <v>-0.30864917395529645</v>
      </c>
      <c r="T688" s="19">
        <f ca="1">IF('Stock Price'!$I$11="OK",G688/INDEX(G$5:G$1258,'Stock Price'!$I$9)-1,"")</f>
        <v>3.8979888036491772E-2</v>
      </c>
      <c r="U688" s="19">
        <f ca="1">IF('Stock Price'!$I$11="OK",H688/INDEX(H$5:H$1258,'Stock Price'!$I$9)-1,"")</f>
        <v>-0.31184210526315792</v>
      </c>
      <c r="V688" s="19">
        <f ca="1">IF('Stock Price'!$I$11="OK",I688/INDEX(I$5:I$1258,'Stock Price'!$I$9)-1,"")</f>
        <v>0.1115965051628276</v>
      </c>
      <c r="W688" s="19">
        <f ca="1">IF('Stock Price'!$I$11="OK",J688/INDEX(J$5:J$1258,'Stock Price'!$I$9)-1,"")</f>
        <v>-0.16267725572957148</v>
      </c>
      <c r="X688" s="19">
        <f ca="1">IF('Stock Price'!$I$11="OK",K688/INDEX(K$5:K$1258,'Stock Price'!$I$9)-1,"")</f>
        <v>-0.21081182192293313</v>
      </c>
      <c r="Y688" s="19">
        <f ca="1">IF('Stock Price'!$I$11="OK",L688/INDEX(L$5:L$1258,'Stock Price'!$I$9)-1,"")</f>
        <v>-0.29013744875813841</v>
      </c>
      <c r="Z688" s="19">
        <f ca="1">IF('Stock Price'!$I$11="OK",M688/INDEX(M$5:M$1258,'Stock Price'!$I$9)-1,"")</f>
        <v>-0.25537482011251145</v>
      </c>
    </row>
    <row r="689" spans="1:26" x14ac:dyDescent="0.2">
      <c r="A689" s="16">
        <f>'Stock Price'!A689</f>
        <v>45469</v>
      </c>
      <c r="B689" s="17">
        <f>'Stock Price'!E689</f>
        <v>131.5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0.23532174729920152</v>
      </c>
      <c r="P689" s="19">
        <f ca="1">IF('Stock Price'!$I$11="OK",C689/INDEX(C$5:C$1258,'Stock Price'!$I$9)-1,"")</f>
        <v>-0.2271546123863144</v>
      </c>
      <c r="Q689" s="19">
        <f ca="1">IF('Stock Price'!$I$11="OK",D689/INDEX(D$5:D$1258,'Stock Price'!$I$9)-1,"")</f>
        <v>-0.13573340632270436</v>
      </c>
      <c r="R689" s="19">
        <f ca="1">IF('Stock Price'!$I$11="OK",E689/INDEX(E$5:E$1258,'Stock Price'!$I$9)-1,"")</f>
        <v>-0.21680435220632688</v>
      </c>
      <c r="S689" s="19">
        <f ca="1">IF('Stock Price'!$I$11="OK",F689/INDEX(F$5:F$1258,'Stock Price'!$I$9)-1,"")</f>
        <v>-0.32633624878522849</v>
      </c>
      <c r="T689" s="19">
        <f ca="1">IF('Stock Price'!$I$11="OK",G689/INDEX(G$5:G$1258,'Stock Price'!$I$9)-1,"")</f>
        <v>2.0733982998133449E-3</v>
      </c>
      <c r="U689" s="19">
        <f ca="1">IF('Stock Price'!$I$11="OK",H689/INDEX(H$5:H$1258,'Stock Price'!$I$9)-1,"")</f>
        <v>-0.31618421052631585</v>
      </c>
      <c r="V689" s="19">
        <f ca="1">IF('Stock Price'!$I$11="OK",I689/INDEX(I$5:I$1258,'Stock Price'!$I$9)-1,"")</f>
        <v>8.8959491660047796E-2</v>
      </c>
      <c r="W689" s="19">
        <f ca="1">IF('Stock Price'!$I$11="OK",J689/INDEX(J$5:J$1258,'Stock Price'!$I$9)-1,"")</f>
        <v>-0.1657780739753415</v>
      </c>
      <c r="X689" s="19">
        <f ca="1">IF('Stock Price'!$I$11="OK",K689/INDEX(K$5:K$1258,'Stock Price'!$I$9)-1,"")</f>
        <v>-0.20501309390198286</v>
      </c>
      <c r="Y689" s="19">
        <f ca="1">IF('Stock Price'!$I$11="OK",L689/INDEX(L$5:L$1258,'Stock Price'!$I$9)-1,"")</f>
        <v>-0.29192187123221602</v>
      </c>
      <c r="Z689" s="19">
        <f ca="1">IF('Stock Price'!$I$11="OK",M689/INDEX(M$5:M$1258,'Stock Price'!$I$9)-1,"")</f>
        <v>-0.25363045658715277</v>
      </c>
    </row>
    <row r="690" spans="1:26" x14ac:dyDescent="0.2">
      <c r="A690" s="16">
        <f>'Stock Price'!A690</f>
        <v>45470</v>
      </c>
      <c r="B690" s="17">
        <f>'Stock Price'!E690</f>
        <v>129.82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0.21953968999530282</v>
      </c>
      <c r="P690" s="19">
        <f ca="1">IF('Stock Price'!$I$11="OK",C690/INDEX(C$5:C$1258,'Stock Price'!$I$9)-1,"")</f>
        <v>-0.23090804099898943</v>
      </c>
      <c r="Q690" s="19">
        <f ca="1">IF('Stock Price'!$I$11="OK",D690/INDEX(D$5:D$1258,'Stock Price'!$I$9)-1,"")</f>
        <v>-0.13157246475981943</v>
      </c>
      <c r="R690" s="19">
        <f ca="1">IF('Stock Price'!$I$11="OK",E690/INDEX(E$5:E$1258,'Stock Price'!$I$9)-1,"")</f>
        <v>-0.22143864598025387</v>
      </c>
      <c r="S690" s="19">
        <f ca="1">IF('Stock Price'!$I$11="OK",F690/INDEX(F$5:F$1258,'Stock Price'!$I$9)-1,"")</f>
        <v>-0.32147716229348888</v>
      </c>
      <c r="T690" s="19">
        <f ca="1">IF('Stock Price'!$I$11="OK",G690/INDEX(G$5:G$1258,'Stock Price'!$I$9)-1,"")</f>
        <v>-3.1100974497200173E-3</v>
      </c>
      <c r="U690" s="19">
        <f ca="1">IF('Stock Price'!$I$11="OK",H690/INDEX(H$5:H$1258,'Stock Price'!$I$9)-1,"")</f>
        <v>-0.31289473684210523</v>
      </c>
      <c r="V690" s="19">
        <f ca="1">IF('Stock Price'!$I$11="OK",I690/INDEX(I$5:I$1258,'Stock Price'!$I$9)-1,"")</f>
        <v>0.1040508339952344</v>
      </c>
      <c r="W690" s="19">
        <f ca="1">IF('Stock Price'!$I$11="OK",J690/INDEX(J$5:J$1258,'Stock Price'!$I$9)-1,"")</f>
        <v>-0.15857677070606091</v>
      </c>
      <c r="X690" s="19">
        <f ca="1">IF('Stock Price'!$I$11="OK",K690/INDEX(K$5:K$1258,'Stock Price'!$I$9)-1,"")</f>
        <v>-0.22353161242050135</v>
      </c>
      <c r="Y690" s="19">
        <f ca="1">IF('Stock Price'!$I$11="OK",L690/INDEX(L$5:L$1258,'Stock Price'!$I$9)-1,"")</f>
        <v>-0.29684108994453817</v>
      </c>
      <c r="Z690" s="19">
        <f ca="1">IF('Stock Price'!$I$11="OK",M690/INDEX(M$5:M$1258,'Stock Price'!$I$9)-1,"")</f>
        <v>-0.26305001962408958</v>
      </c>
    </row>
    <row r="691" spans="1:26" x14ac:dyDescent="0.2">
      <c r="A691" s="16">
        <f>'Stock Price'!A691</f>
        <v>45471</v>
      </c>
      <c r="B691" s="17">
        <f>'Stock Price'!E691</f>
        <v>123.8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0.16298731798966637</v>
      </c>
      <c r="P691" s="19">
        <f ca="1">IF('Stock Price'!$I$11="OK",C691/INDEX(C$5:C$1258,'Stock Price'!$I$9)-1,"")</f>
        <v>-0.2315576728742601</v>
      </c>
      <c r="Q691" s="19">
        <f ca="1">IF('Stock Price'!$I$11="OK",D691/INDEX(D$5:D$1258,'Stock Price'!$I$9)-1,"")</f>
        <v>-0.14456001094840565</v>
      </c>
      <c r="R691" s="19">
        <f ca="1">IF('Stock Price'!$I$11="OK",E691/INDEX(E$5:E$1258,'Stock Price'!$I$9)-1,"")</f>
        <v>-0.22425952045134001</v>
      </c>
      <c r="S691" s="19">
        <f ca="1">IF('Stock Price'!$I$11="OK",F691/INDEX(F$5:F$1258,'Stock Price'!$I$9)-1,"")</f>
        <v>-0.32614188532555877</v>
      </c>
      <c r="T691" s="19">
        <f ca="1">IF('Stock Price'!$I$11="OK",G691/INDEX(G$5:G$1258,'Stock Price'!$I$9)-1,"")</f>
        <v>6.0128550694589222E-3</v>
      </c>
      <c r="U691" s="19">
        <f ca="1">IF('Stock Price'!$I$11="OK",H691/INDEX(H$5:H$1258,'Stock Price'!$I$9)-1,"")</f>
        <v>-0.3057894736842105</v>
      </c>
      <c r="V691" s="19">
        <f ca="1">IF('Stock Price'!$I$11="OK",I691/INDEX(I$5:I$1258,'Stock Price'!$I$9)-1,"")</f>
        <v>0.11119936457505952</v>
      </c>
      <c r="W691" s="19">
        <f ca="1">IF('Stock Price'!$I$11="OK",J691/INDEX(J$5:J$1258,'Stock Price'!$I$9)-1,"")</f>
        <v>-0.16196453034173786</v>
      </c>
      <c r="X691" s="19">
        <f ca="1">IF('Stock Price'!$I$11="OK",K691/INDEX(K$5:K$1258,'Stock Price'!$I$9)-1,"")</f>
        <v>-0.22315750093527875</v>
      </c>
      <c r="Y691" s="19">
        <f ca="1">IF('Stock Price'!$I$11="OK",L691/INDEX(L$5:L$1258,'Stock Price'!$I$9)-1,"")</f>
        <v>-0.29510489510489513</v>
      </c>
      <c r="Z691" s="19">
        <f ca="1">IF('Stock Price'!$I$11="OK",M691/INDEX(M$5:M$1258,'Stock Price'!$I$9)-1,"")</f>
        <v>-0.25201692032619594</v>
      </c>
    </row>
    <row r="692" spans="1:26" x14ac:dyDescent="0.2">
      <c r="A692" s="16">
        <f>'Stock Price'!A692</f>
        <v>45474</v>
      </c>
      <c r="B692" s="17">
        <f>'Stock Price'!E692</f>
        <v>127.9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0.2015030530765618</v>
      </c>
      <c r="P692" s="19">
        <f ca="1">IF('Stock Price'!$I$11="OK",C692/INDEX(C$5:C$1258,'Stock Price'!$I$9)-1,"")</f>
        <v>-0.23098022231846393</v>
      </c>
      <c r="Q692" s="19">
        <f ca="1">IF('Stock Price'!$I$11="OK",D692/INDEX(D$5:D$1258,'Stock Price'!$I$9)-1,"")</f>
        <v>-0.13781305597372384</v>
      </c>
      <c r="R692" s="19">
        <f ca="1">IF('Stock Price'!$I$11="OK",E692/INDEX(E$5:E$1258,'Stock Price'!$I$9)-1,"")</f>
        <v>-0.22667741285512788</v>
      </c>
      <c r="S692" s="19">
        <f ca="1">IF('Stock Price'!$I$11="OK",F692/INDEX(F$5:F$1258,'Stock Price'!$I$9)-1,"")</f>
        <v>-0.3267249757045676</v>
      </c>
      <c r="T692" s="19">
        <f ca="1">IF('Stock Price'!$I$11="OK",G692/INDEX(G$5:G$1258,'Stock Price'!$I$9)-1,"")</f>
        <v>2.8198216877462379E-2</v>
      </c>
      <c r="U692" s="19">
        <f ca="1">IF('Stock Price'!$I$11="OK",H692/INDEX(H$5:H$1258,'Stock Price'!$I$9)-1,"")</f>
        <v>-0.31131578947368421</v>
      </c>
      <c r="V692" s="19">
        <f ca="1">IF('Stock Price'!$I$11="OK",I692/INDEX(I$5:I$1258,'Stock Price'!$I$9)-1,"")</f>
        <v>0.12073073868149331</v>
      </c>
      <c r="W692" s="19">
        <f ca="1">IF('Stock Price'!$I$11="OK",J692/INDEX(J$5:J$1258,'Stock Price'!$I$9)-1,"")</f>
        <v>-0.15364323003443292</v>
      </c>
      <c r="X692" s="19">
        <f ca="1">IF('Stock Price'!$I$11="OK",K692/INDEX(K$5:K$1258,'Stock Price'!$I$9)-1,"")</f>
        <v>-0.22745978301533865</v>
      </c>
      <c r="Y692" s="19">
        <f ca="1">IF('Stock Price'!$I$11="OK",L692/INDEX(L$5:L$1258,'Stock Price'!$I$9)-1,"")</f>
        <v>-0.29375452134072821</v>
      </c>
      <c r="Z692" s="19">
        <f ca="1">IF('Stock Price'!$I$11="OK",M692/INDEX(M$5:M$1258,'Stock Price'!$I$9)-1,"")</f>
        <v>-0.25703196546160223</v>
      </c>
    </row>
    <row r="693" spans="1:26" x14ac:dyDescent="0.2">
      <c r="A693" s="16">
        <f>'Stock Price'!A693</f>
        <v>45475</v>
      </c>
      <c r="B693" s="17">
        <f>'Stock Price'!E693</f>
        <v>127.72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0.19981211836542978</v>
      </c>
      <c r="P693" s="19">
        <f ca="1">IF('Stock Price'!$I$11="OK",C693/INDEX(C$5:C$1258,'Stock Price'!$I$9)-1,"")</f>
        <v>-0.23170203551320911</v>
      </c>
      <c r="Q693" s="19">
        <f ca="1">IF('Stock Price'!$I$11="OK",D693/INDEX(D$5:D$1258,'Stock Price'!$I$9)-1,"")</f>
        <v>-0.15303133981114003</v>
      </c>
      <c r="R693" s="19">
        <f ca="1">IF('Stock Price'!$I$11="OK",E693/INDEX(E$5:E$1258,'Stock Price'!$I$9)-1,"")</f>
        <v>-0.23010276042716105</v>
      </c>
      <c r="S693" s="19">
        <f ca="1">IF('Stock Price'!$I$11="OK",F693/INDEX(F$5:F$1258,'Stock Price'!$I$9)-1,"")</f>
        <v>-0.33080660835762876</v>
      </c>
      <c r="T693" s="19">
        <f ca="1">IF('Stock Price'!$I$11="OK",G693/INDEX(G$5:G$1258,'Stock Price'!$I$9)-1,"")</f>
        <v>6.4275347294215912E-3</v>
      </c>
      <c r="U693" s="19">
        <f ca="1">IF('Stock Price'!$I$11="OK",H693/INDEX(H$5:H$1258,'Stock Price'!$I$9)-1,"")</f>
        <v>-0.31960526315789473</v>
      </c>
      <c r="V693" s="19">
        <f ca="1">IF('Stock Price'!$I$11="OK",I693/INDEX(I$5:I$1258,'Stock Price'!$I$9)-1,"")</f>
        <v>0.10524225575853841</v>
      </c>
      <c r="W693" s="19">
        <f ca="1">IF('Stock Price'!$I$11="OK",J693/INDEX(J$5:J$1258,'Stock Price'!$I$9)-1,"")</f>
        <v>-0.16073345921729787</v>
      </c>
      <c r="X693" s="19">
        <f ca="1">IF('Stock Price'!$I$11="OK",K693/INDEX(K$5:K$1258,'Stock Price'!$I$9)-1,"")</f>
        <v>-0.24335952113729886</v>
      </c>
      <c r="Y693" s="19">
        <f ca="1">IF('Stock Price'!$I$11="OK",L693/INDEX(L$5:L$1258,'Stock Price'!$I$9)-1,"")</f>
        <v>-0.29573185435254401</v>
      </c>
      <c r="Z693" s="19">
        <f ca="1">IF('Stock Price'!$I$11="OK",M693/INDEX(M$5:M$1258,'Stock Price'!$I$9)-1,"")</f>
        <v>-0.27626357332868168</v>
      </c>
    </row>
    <row r="694" spans="1:26" x14ac:dyDescent="0.2">
      <c r="A694" s="16">
        <f>'Stock Price'!A694</f>
        <v>45476</v>
      </c>
      <c r="B694" s="17">
        <f>'Stock Price'!E694</f>
        <v>125.85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0.18224518553311397</v>
      </c>
      <c r="P694" s="19">
        <f ca="1">IF('Stock Price'!$I$11="OK",C694/INDEX(C$5:C$1258,'Stock Price'!$I$9)-1,"")</f>
        <v>-0.22924787065107544</v>
      </c>
      <c r="Q694" s="19">
        <f ca="1">IF('Stock Price'!$I$11="OK",D694/INDEX(D$5:D$1258,'Stock Price'!$I$9)-1,"")</f>
        <v>-0.19447105515259344</v>
      </c>
      <c r="R694" s="19">
        <f ca="1">IF('Stock Price'!$I$11="OK",E694/INDEX(E$5:E$1258,'Stock Price'!$I$9)-1,"")</f>
        <v>-0.22506548458593589</v>
      </c>
      <c r="S694" s="19">
        <f ca="1">IF('Stock Price'!$I$11="OK",F694/INDEX(F$5:F$1258,'Stock Price'!$I$9)-1,"")</f>
        <v>-0.33702623906705542</v>
      </c>
      <c r="T694" s="19">
        <f ca="1">IF('Stock Price'!$I$11="OK",G694/INDEX(G$5:G$1258,'Stock Price'!$I$9)-1,"")</f>
        <v>1.3062409288824517E-2</v>
      </c>
      <c r="U694" s="19">
        <f ca="1">IF('Stock Price'!$I$11="OK",H694/INDEX(H$5:H$1258,'Stock Price'!$I$9)-1,"")</f>
        <v>-0.30986842105263157</v>
      </c>
      <c r="V694" s="19">
        <f ca="1">IF('Stock Price'!$I$11="OK",I694/INDEX(I$5:I$1258,'Stock Price'!$I$9)-1,"")</f>
        <v>0.10007942811755366</v>
      </c>
      <c r="W694" s="19">
        <f ca="1">IF('Stock Price'!$I$11="OK",J694/INDEX(J$5:J$1258,'Stock Price'!$I$9)-1,"")</f>
        <v>-0.1687030249176199</v>
      </c>
      <c r="X694" s="19">
        <f ca="1">IF('Stock Price'!$I$11="OK",K694/INDEX(K$5:K$1258,'Stock Price'!$I$9)-1,"")</f>
        <v>-0.25065469509913951</v>
      </c>
      <c r="Y694" s="19">
        <f ca="1">IF('Stock Price'!$I$11="OK",L694/INDEX(L$5:L$1258,'Stock Price'!$I$9)-1,"")</f>
        <v>-0.29737159392331802</v>
      </c>
      <c r="Z694" s="19">
        <f ca="1">IF('Stock Price'!$I$11="OK",M694/INDEX(M$5:M$1258,'Stock Price'!$I$9)-1,"")</f>
        <v>-0.28550870001308271</v>
      </c>
    </row>
    <row r="695" spans="1:26" x14ac:dyDescent="0.2">
      <c r="A695" s="16">
        <f>'Stock Price'!A695</f>
        <v>45478</v>
      </c>
      <c r="B695" s="17">
        <f>'Stock Price'!E695</f>
        <v>126.45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0.18788163457022078</v>
      </c>
      <c r="P695" s="19">
        <f ca="1">IF('Stock Price'!$I$11="OK",C695/INDEX(C$5:C$1258,'Stock Price'!$I$9)-1,"")</f>
        <v>-0.21950339252201534</v>
      </c>
      <c r="Q695" s="19">
        <f ca="1">IF('Stock Price'!$I$11="OK",D695/INDEX(D$5:D$1258,'Stock Price'!$I$9)-1,"")</f>
        <v>-0.18598604078281111</v>
      </c>
      <c r="R695" s="19">
        <f ca="1">IF('Stock Price'!$I$11="OK",E695/INDEX(E$5:E$1258,'Stock Price'!$I$9)-1,"")</f>
        <v>-0.21740882530727379</v>
      </c>
      <c r="S695" s="19">
        <f ca="1">IF('Stock Price'!$I$11="OK",F695/INDEX(F$5:F$1258,'Stock Price'!$I$9)-1,"")</f>
        <v>-0.33858114674441209</v>
      </c>
      <c r="T695" s="19">
        <f ca="1">IF('Stock Price'!$I$11="OK",G695/INDEX(G$5:G$1258,'Stock Price'!$I$9)-1,"")</f>
        <v>2.9649595687331498E-2</v>
      </c>
      <c r="U695" s="19">
        <f ca="1">IF('Stock Price'!$I$11="OK",H695/INDEX(H$5:H$1258,'Stock Price'!$I$9)-1,"")</f>
        <v>-0.31144736842105269</v>
      </c>
      <c r="V695" s="19">
        <f ca="1">IF('Stock Price'!$I$11="OK",I695/INDEX(I$5:I$1258,'Stock Price'!$I$9)-1,"")</f>
        <v>0.11397934868943604</v>
      </c>
      <c r="W695" s="19">
        <f ca="1">IF('Stock Price'!$I$11="OK",J695/INDEX(J$5:J$1258,'Stock Price'!$I$9)-1,"")</f>
        <v>-0.15345810655707348</v>
      </c>
      <c r="X695" s="19">
        <f ca="1">IF('Stock Price'!$I$11="OK",K695/INDEX(K$5:K$1258,'Stock Price'!$I$9)-1,"")</f>
        <v>-0.25813692480359152</v>
      </c>
      <c r="Y695" s="19">
        <f ca="1">IF('Stock Price'!$I$11="OK",L695/INDEX(L$5:L$1258,'Stock Price'!$I$9)-1,"")</f>
        <v>-0.29356161080299015</v>
      </c>
      <c r="Z695" s="19">
        <f ca="1">IF('Stock Price'!$I$11="OK",M695/INDEX(M$5:M$1258,'Stock Price'!$I$9)-1,"")</f>
        <v>-0.27063800095939994</v>
      </c>
    </row>
    <row r="696" spans="1:26" x14ac:dyDescent="0.2">
      <c r="A696" s="16">
        <f>'Stock Price'!A696</f>
        <v>45481</v>
      </c>
      <c r="B696" s="17">
        <f>'Stock Price'!E696</f>
        <v>125.78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0.18158759981211836</v>
      </c>
      <c r="P696" s="19">
        <f ca="1">IF('Stock Price'!$I$11="OK",C696/INDEX(C$5:C$1258,'Stock Price'!$I$9)-1,"")</f>
        <v>-0.22000866175833689</v>
      </c>
      <c r="Q696" s="19">
        <f ca="1">IF('Stock Price'!$I$11="OK",D696/INDEX(D$5:D$1258,'Stock Price'!$I$9)-1,"")</f>
        <v>-0.1405501573833311</v>
      </c>
      <c r="R696" s="19">
        <f ca="1">IF('Stock Price'!$I$11="OK",E696/INDEX(E$5:E$1258,'Stock Price'!$I$9)-1,"")</f>
        <v>-0.22002820874471085</v>
      </c>
      <c r="S696" s="19">
        <f ca="1">IF('Stock Price'!$I$11="OK",F696/INDEX(F$5:F$1258,'Stock Price'!$I$9)-1,"")</f>
        <v>-0.3413022351797862</v>
      </c>
      <c r="T696" s="19">
        <f ca="1">IF('Stock Price'!$I$11="OK",G696/INDEX(G$5:G$1258,'Stock Price'!$I$9)-1,"")</f>
        <v>4.1675305826249343E-2</v>
      </c>
      <c r="U696" s="19">
        <f ca="1">IF('Stock Price'!$I$11="OK",H696/INDEX(H$5:H$1258,'Stock Price'!$I$9)-1,"")</f>
        <v>-0.31434210526315787</v>
      </c>
      <c r="V696" s="19">
        <f ca="1">IF('Stock Price'!$I$11="OK",I696/INDEX(I$5:I$1258,'Stock Price'!$I$9)-1,"")</f>
        <v>0.10921366163621915</v>
      </c>
      <c r="W696" s="19">
        <f ca="1">IF('Stock Price'!$I$11="OK",J696/INDEX(J$5:J$1258,'Stock Price'!$I$9)-1,"")</f>
        <v>-0.15028323892035977</v>
      </c>
      <c r="X696" s="19">
        <f ca="1">IF('Stock Price'!$I$11="OK",K696/INDEX(K$5:K$1258,'Stock Price'!$I$9)-1,"")</f>
        <v>-0.25196408529741865</v>
      </c>
      <c r="Y696" s="19">
        <f ca="1">IF('Stock Price'!$I$11="OK",L696/INDEX(L$5:L$1258,'Stock Price'!$I$9)-1,"")</f>
        <v>-0.29838437424644326</v>
      </c>
      <c r="Z696" s="19">
        <f ca="1">IF('Stock Price'!$I$11="OK",M696/INDEX(M$5:M$1258,'Stock Price'!$I$9)-1,"")</f>
        <v>-0.27382146439317945</v>
      </c>
    </row>
    <row r="697" spans="1:26" x14ac:dyDescent="0.2">
      <c r="A697" s="16">
        <f>'Stock Price'!A697</f>
        <v>45482</v>
      </c>
      <c r="B697" s="17">
        <f>'Stock Price'!E697</f>
        <v>126.04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0.1840300610615313</v>
      </c>
      <c r="P697" s="19">
        <f ca="1">IF('Stock Price'!$I$11="OK",C697/INDEX(C$5:C$1258,'Stock Price'!$I$9)-1,"")</f>
        <v>-0.21878157932727005</v>
      </c>
      <c r="Q697" s="19">
        <f ca="1">IF('Stock Price'!$I$11="OK",D697/INDEX(D$5:D$1258,'Stock Price'!$I$9)-1,"")</f>
        <v>-0.15505679485424939</v>
      </c>
      <c r="R697" s="19">
        <f ca="1">IF('Stock Price'!$I$11="OK",E697/INDEX(E$5:E$1258,'Stock Price'!$I$9)-1,"")</f>
        <v>-0.22224461011484986</v>
      </c>
      <c r="S697" s="19">
        <f ca="1">IF('Stock Price'!$I$11="OK",F697/INDEX(F$5:F$1258,'Stock Price'!$I$9)-1,"")</f>
        <v>-0.33430515063168131</v>
      </c>
      <c r="T697" s="19">
        <f ca="1">IF('Stock Price'!$I$11="OK",G697/INDEX(G$5:G$1258,'Stock Price'!$I$9)-1,"")</f>
        <v>3.8150528716566434E-2</v>
      </c>
      <c r="U697" s="19">
        <f ca="1">IF('Stock Price'!$I$11="OK",H697/INDEX(H$5:H$1258,'Stock Price'!$I$9)-1,"")</f>
        <v>-0.33289473684210524</v>
      </c>
      <c r="V697" s="19">
        <f ca="1">IF('Stock Price'!$I$11="OK",I697/INDEX(I$5:I$1258,'Stock Price'!$I$9)-1,"")</f>
        <v>0.10087370929308981</v>
      </c>
      <c r="W697" s="19">
        <f ca="1">IF('Stock Price'!$I$11="OK",J697/INDEX(J$5:J$1258,'Stock Price'!$I$9)-1,"")</f>
        <v>-0.13686178681180339</v>
      </c>
      <c r="X697" s="19">
        <f ca="1">IF('Stock Price'!$I$11="OK",K697/INDEX(K$5:K$1258,'Stock Price'!$I$9)-1,"")</f>
        <v>-0.23569023569023573</v>
      </c>
      <c r="Y697" s="19">
        <f ca="1">IF('Stock Price'!$I$11="OK",L697/INDEX(L$5:L$1258,'Stock Price'!$I$9)-1,"")</f>
        <v>-0.29081263564022175</v>
      </c>
      <c r="Z697" s="19">
        <f ca="1">IF('Stock Price'!$I$11="OK",M697/INDEX(M$5:M$1258,'Stock Price'!$I$9)-1,"")</f>
        <v>-0.26714927390868248</v>
      </c>
    </row>
    <row r="698" spans="1:26" x14ac:dyDescent="0.2">
      <c r="A698" s="16">
        <f>'Stock Price'!A698</f>
        <v>45483</v>
      </c>
      <c r="B698" s="17">
        <f>'Stock Price'!E698</f>
        <v>127.3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0.19586660403945499</v>
      </c>
      <c r="P698" s="19">
        <f ca="1">IF('Stock Price'!$I$11="OK",C698/INDEX(C$5:C$1258,'Stock Price'!$I$9)-1,"")</f>
        <v>-0.20643857369712715</v>
      </c>
      <c r="Q698" s="19">
        <f ca="1">IF('Stock Price'!$I$11="OK",D698/INDEX(D$5:D$1258,'Stock Price'!$I$9)-1,"")</f>
        <v>-0.15773915423566442</v>
      </c>
      <c r="R698" s="19">
        <f ca="1">IF('Stock Price'!$I$11="OK",E698/INDEX(E$5:E$1258,'Stock Price'!$I$9)-1,"")</f>
        <v>-0.22305057424944585</v>
      </c>
      <c r="S698" s="19">
        <f ca="1">IF('Stock Price'!$I$11="OK",F698/INDEX(F$5:F$1258,'Stock Price'!$I$9)-1,"")</f>
        <v>-0.32361516034985427</v>
      </c>
      <c r="T698" s="19">
        <f ca="1">IF('Stock Price'!$I$11="OK",G698/INDEX(G$5:G$1258,'Stock Price'!$I$9)-1,"")</f>
        <v>5.8055152394775211E-2</v>
      </c>
      <c r="U698" s="19">
        <f ca="1">IF('Stock Price'!$I$11="OK",H698/INDEX(H$5:H$1258,'Stock Price'!$I$9)-1,"")</f>
        <v>-0.3125</v>
      </c>
      <c r="V698" s="19">
        <f ca="1">IF('Stock Price'!$I$11="OK",I698/INDEX(I$5:I$1258,'Stock Price'!$I$9)-1,"")</f>
        <v>0.12589356632247828</v>
      </c>
      <c r="W698" s="19">
        <f ca="1">IF('Stock Price'!$I$11="OK",J698/INDEX(J$5:J$1258,'Stock Price'!$I$9)-1,"")</f>
        <v>-0.13012329223592134</v>
      </c>
      <c r="X698" s="19">
        <f ca="1">IF('Stock Price'!$I$11="OK",K698/INDEX(K$5:K$1258,'Stock Price'!$I$9)-1,"")</f>
        <v>-0.230826786382342</v>
      </c>
      <c r="Y698" s="19">
        <f ca="1">IF('Stock Price'!$I$11="OK",L698/INDEX(L$5:L$1258,'Stock Price'!$I$9)-1,"")</f>
        <v>-0.27933445864480344</v>
      </c>
      <c r="Z698" s="19">
        <f ca="1">IF('Stock Price'!$I$11="OK",M698/INDEX(M$5:M$1258,'Stock Price'!$I$9)-1,"")</f>
        <v>-0.26675679211547698</v>
      </c>
    </row>
    <row r="699" spans="1:26" x14ac:dyDescent="0.2">
      <c r="A699" s="16">
        <f>'Stock Price'!A699</f>
        <v>45484</v>
      </c>
      <c r="B699" s="17">
        <f>'Stock Price'!E699</f>
        <v>128.97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0.21155472052606861</v>
      </c>
      <c r="P699" s="19">
        <f ca="1">IF('Stock Price'!$I$11="OK",C699/INDEX(C$5:C$1258,'Stock Price'!$I$9)-1,"")</f>
        <v>-0.20239641980655398</v>
      </c>
      <c r="Q699" s="19">
        <f ca="1">IF('Stock Price'!$I$11="OK",D699/INDEX(D$5:D$1258,'Stock Price'!$I$9)-1,"")</f>
        <v>-0.16020254550431101</v>
      </c>
      <c r="R699" s="19">
        <f ca="1">IF('Stock Price'!$I$11="OK",E699/INDEX(E$5:E$1258,'Stock Price'!$I$9)-1,"")</f>
        <v>-0.21619987910537986</v>
      </c>
      <c r="S699" s="19">
        <f ca="1">IF('Stock Price'!$I$11="OK",F699/INDEX(F$5:F$1258,'Stock Price'!$I$9)-1,"")</f>
        <v>-0.31661807580174939</v>
      </c>
      <c r="T699" s="19">
        <f ca="1">IF('Stock Price'!$I$11="OK",G699/INDEX(G$5:G$1258,'Stock Price'!$I$9)-1,"")</f>
        <v>6.1787269334439232E-2</v>
      </c>
      <c r="U699" s="19">
        <f ca="1">IF('Stock Price'!$I$11="OK",H699/INDEX(H$5:H$1258,'Stock Price'!$I$9)-1,"")</f>
        <v>-0.29894736842105263</v>
      </c>
      <c r="V699" s="19">
        <f ca="1">IF('Stock Price'!$I$11="OK",I699/INDEX(I$5:I$1258,'Stock Price'!$I$9)-1,"")</f>
        <v>0.13820492454328837</v>
      </c>
      <c r="W699" s="19">
        <f ca="1">IF('Stock Price'!$I$11="OK",J699/INDEX(J$5:J$1258,'Stock Price'!$I$9)-1,"")</f>
        <v>-0.13534377429745637</v>
      </c>
      <c r="X699" s="19">
        <f ca="1">IF('Stock Price'!$I$11="OK",K699/INDEX(K$5:K$1258,'Stock Price'!$I$9)-1,"")</f>
        <v>-0.23774784885895994</v>
      </c>
      <c r="Y699" s="19">
        <f ca="1">IF('Stock Price'!$I$11="OK",L699/INDEX(L$5:L$1258,'Stock Price'!$I$9)-1,"")</f>
        <v>-0.27803231251507121</v>
      </c>
      <c r="Z699" s="19">
        <f ca="1">IF('Stock Price'!$I$11="OK",M699/INDEX(M$5:M$1258,'Stock Price'!$I$9)-1,"")</f>
        <v>-0.25903798351576468</v>
      </c>
    </row>
    <row r="700" spans="1:26" x14ac:dyDescent="0.2">
      <c r="A700" s="16">
        <f>'Stock Price'!A700</f>
        <v>45485</v>
      </c>
      <c r="B700" s="17">
        <f>'Stock Price'!E700</f>
        <v>127.76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0.20018788163457013</v>
      </c>
      <c r="P700" s="19">
        <f ca="1">IF('Stock Price'!$I$11="OK",C700/INDEX(C$5:C$1258,'Stock Price'!$I$9)-1,"")</f>
        <v>-0.1937346614696116</v>
      </c>
      <c r="Q700" s="19">
        <f ca="1">IF('Stock Price'!$I$11="OK",D700/INDEX(D$5:D$1258,'Stock Price'!$I$9)-1,"")</f>
        <v>-0.16020254550431101</v>
      </c>
      <c r="R700" s="19">
        <f ca="1">IF('Stock Price'!$I$11="OK",E700/INDEX(E$5:E$1258,'Stock Price'!$I$9)-1,"")</f>
        <v>-0.21096111223050584</v>
      </c>
      <c r="S700" s="19">
        <f ca="1">IF('Stock Price'!$I$11="OK",F700/INDEX(F$5:F$1258,'Stock Price'!$I$9)-1,"")</f>
        <v>-0.30631681243926145</v>
      </c>
      <c r="T700" s="19">
        <f ca="1">IF('Stock Price'!$I$11="OK",G700/INDEX(G$5:G$1258,'Stock Price'!$I$9)-1,"")</f>
        <v>6.4275347294215246E-2</v>
      </c>
      <c r="U700" s="19">
        <f ca="1">IF('Stock Price'!$I$11="OK",H700/INDEX(H$5:H$1258,'Stock Price'!$I$9)-1,"")</f>
        <v>-0.29118421052631582</v>
      </c>
      <c r="V700" s="19">
        <f ca="1">IF('Stock Price'!$I$11="OK",I700/INDEX(I$5:I$1258,'Stock Price'!$I$9)-1,"")</f>
        <v>0.1485305798252583</v>
      </c>
      <c r="W700" s="19">
        <f ca="1">IF('Stock Price'!$I$11="OK",J700/INDEX(J$5:J$1258,'Stock Price'!$I$9)-1,"")</f>
        <v>-0.12214447036173126</v>
      </c>
      <c r="X700" s="19">
        <f ca="1">IF('Stock Price'!$I$11="OK",K700/INDEX(K$5:K$1258,'Stock Price'!$I$9)-1,"")</f>
        <v>-0.24317246539468762</v>
      </c>
      <c r="Y700" s="19">
        <f ca="1">IF('Stock Price'!$I$11="OK",L700/INDEX(L$5:L$1258,'Stock Price'!$I$9)-1,"")</f>
        <v>-0.27716421509524958</v>
      </c>
      <c r="Z700" s="19">
        <f ca="1">IF('Stock Price'!$I$11="OK",M700/INDEX(M$5:M$1258,'Stock Price'!$I$9)-1,"")</f>
        <v>-0.25742444725480795</v>
      </c>
    </row>
    <row r="701" spans="1:26" x14ac:dyDescent="0.2">
      <c r="A701" s="16">
        <f>'Stock Price'!A701</f>
        <v>45488</v>
      </c>
      <c r="B701" s="17">
        <f>'Stock Price'!E701</f>
        <v>128.12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0.20356975105683417</v>
      </c>
      <c r="P701" s="19">
        <f ca="1">IF('Stock Price'!$I$11="OK",C701/INDEX(C$5:C$1258,'Stock Price'!$I$9)-1,"")</f>
        <v>-0.20362350223762082</v>
      </c>
      <c r="Q701" s="19">
        <f ca="1">IF('Stock Price'!$I$11="OK",D701/INDEX(D$5:D$1258,'Stock Price'!$I$9)-1,"")</f>
        <v>-0.14525851922813737</v>
      </c>
      <c r="R701" s="19">
        <f ca="1">IF('Stock Price'!$I$11="OK",E701/INDEX(E$5:E$1258,'Stock Price'!$I$9)-1,"")</f>
        <v>-0.22083417287930684</v>
      </c>
      <c r="S701" s="19">
        <f ca="1">IF('Stock Price'!$I$11="OK",F701/INDEX(F$5:F$1258,'Stock Price'!$I$9)-1,"")</f>
        <v>-0.30106899902818274</v>
      </c>
      <c r="T701" s="19">
        <f ca="1">IF('Stock Price'!$I$11="OK",G701/INDEX(G$5:G$1258,'Stock Price'!$I$9)-1,"")</f>
        <v>3.980924735641711E-2</v>
      </c>
      <c r="U701" s="19">
        <f ca="1">IF('Stock Price'!$I$11="OK",H701/INDEX(H$5:H$1258,'Stock Price'!$I$9)-1,"")</f>
        <v>-0.30565789473684202</v>
      </c>
      <c r="V701" s="19">
        <f ca="1">IF('Stock Price'!$I$11="OK",I701/INDEX(I$5:I$1258,'Stock Price'!$I$9)-1,"")</f>
        <v>0.15567911040508342</v>
      </c>
      <c r="W701" s="19">
        <f ca="1">IF('Stock Price'!$I$11="OK",J701/INDEX(J$5:J$1258,'Stock Price'!$I$9)-1,"")</f>
        <v>-0.12023769854492938</v>
      </c>
      <c r="X701" s="19">
        <f ca="1">IF('Stock Price'!$I$11="OK",K701/INDEX(K$5:K$1258,'Stock Price'!$I$9)-1,"")</f>
        <v>-0.24897119341563789</v>
      </c>
      <c r="Y701" s="19">
        <f ca="1">IF('Stock Price'!$I$11="OK",L701/INDEX(L$5:L$1258,'Stock Price'!$I$9)-1,"")</f>
        <v>-0.28025078369905954</v>
      </c>
      <c r="Z701" s="19">
        <f ca="1">IF('Stock Price'!$I$11="OK",M701/INDEX(M$5:M$1258,'Stock Price'!$I$9)-1,"")</f>
        <v>-0.26723649208495048</v>
      </c>
    </row>
    <row r="702" spans="1:26" x14ac:dyDescent="0.2">
      <c r="A702" s="16">
        <f>'Stock Price'!A702</f>
        <v>45489</v>
      </c>
      <c r="B702" s="17">
        <f>'Stock Price'!E702</f>
        <v>125.44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0.1783936120244245</v>
      </c>
      <c r="P702" s="19">
        <f ca="1">IF('Stock Price'!$I$11="OK",C702/INDEX(C$5:C$1258,'Stock Price'!$I$9)-1,"")</f>
        <v>-0.20217987584813046</v>
      </c>
      <c r="Q702" s="19">
        <f ca="1">IF('Stock Price'!$I$11="OK",D702/INDEX(D$5:D$1258,'Stock Price'!$I$9)-1,"")</f>
        <v>-0.14503900369508693</v>
      </c>
      <c r="R702" s="19">
        <f ca="1">IF('Stock Price'!$I$11="OK",E702/INDEX(E$5:E$1258,'Stock Price'!$I$9)-1,"")</f>
        <v>-0.21619987910537986</v>
      </c>
      <c r="S702" s="19">
        <f ca="1">IF('Stock Price'!$I$11="OK",F702/INDEX(F$5:F$1258,'Stock Price'!$I$9)-1,"")</f>
        <v>-0.29504373177842569</v>
      </c>
      <c r="T702" s="19">
        <f ca="1">IF('Stock Price'!$I$11="OK",G702/INDEX(G$5:G$1258,'Stock Price'!$I$9)-1,"")</f>
        <v>3.7735849056603765E-2</v>
      </c>
      <c r="U702" s="19">
        <f ca="1">IF('Stock Price'!$I$11="OK",H702/INDEX(H$5:H$1258,'Stock Price'!$I$9)-1,"")</f>
        <v>-0.31434210526315787</v>
      </c>
      <c r="V702" s="19">
        <f ca="1">IF('Stock Price'!$I$11="OK",I702/INDEX(I$5:I$1258,'Stock Price'!$I$9)-1,"")</f>
        <v>0.17156473391580618</v>
      </c>
      <c r="W702" s="19">
        <f ca="1">IF('Stock Price'!$I$11="OK",J702/INDEX(J$5:J$1258,'Stock Price'!$I$9)-1,"")</f>
        <v>-0.12843866859195074</v>
      </c>
      <c r="X702" s="19">
        <f ca="1">IF('Stock Price'!$I$11="OK",K702/INDEX(K$5:K$1258,'Stock Price'!$I$9)-1,"")</f>
        <v>-0.22933034044145151</v>
      </c>
      <c r="Y702" s="19">
        <f ca="1">IF('Stock Price'!$I$11="OK",L702/INDEX(L$5:L$1258,'Stock Price'!$I$9)-1,"")</f>
        <v>-0.27171449240414758</v>
      </c>
      <c r="Z702" s="19">
        <f ca="1">IF('Stock Price'!$I$11="OK",M702/INDEX(M$5:M$1258,'Stock Price'!$I$9)-1,"")</f>
        <v>-0.26213422877327641</v>
      </c>
    </row>
    <row r="703" spans="1:26" x14ac:dyDescent="0.2">
      <c r="A703" s="16">
        <f>'Stock Price'!A703</f>
        <v>45490</v>
      </c>
      <c r="B703" s="17">
        <f>'Stock Price'!E703</f>
        <v>125.89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0.18262094880225455</v>
      </c>
      <c r="P703" s="19">
        <f ca="1">IF('Stock Price'!$I$11="OK",C703/INDEX(C$5:C$1258,'Stock Price'!$I$9)-1,"")</f>
        <v>-0.19301284827486642</v>
      </c>
      <c r="Q703" s="19">
        <f ca="1">IF('Stock Price'!$I$11="OK",D703/INDEX(D$5:D$1258,'Stock Price'!$I$9)-1,"")</f>
        <v>-0.14503900369508693</v>
      </c>
      <c r="R703" s="19">
        <f ca="1">IF('Stock Price'!$I$11="OK",E703/INDEX(E$5:E$1258,'Stock Price'!$I$9)-1,"")</f>
        <v>-0.19725972194237351</v>
      </c>
      <c r="S703" s="19">
        <f ca="1">IF('Stock Price'!$I$11="OK",F703/INDEX(F$5:F$1258,'Stock Price'!$I$9)-1,"")</f>
        <v>-0.2419825072886298</v>
      </c>
      <c r="T703" s="19">
        <f ca="1">IF('Stock Price'!$I$11="OK",G703/INDEX(G$5:G$1258,'Stock Price'!$I$9)-1,"")</f>
        <v>4.1053286336305339E-2</v>
      </c>
      <c r="U703" s="19">
        <f ca="1">IF('Stock Price'!$I$11="OK",H703/INDEX(H$5:H$1258,'Stock Price'!$I$9)-1,"")</f>
        <v>-0.29789473684210532</v>
      </c>
      <c r="V703" s="19">
        <f ca="1">IF('Stock Price'!$I$11="OK",I703/INDEX(I$5:I$1258,'Stock Price'!$I$9)-1,"")</f>
        <v>0.1926131850675139</v>
      </c>
      <c r="W703" s="19">
        <f ca="1">IF('Stock Price'!$I$11="OK",J703/INDEX(J$5:J$1258,'Stock Price'!$I$9)-1,"")</f>
        <v>-0.16177015069051048</v>
      </c>
      <c r="X703" s="19">
        <f ca="1">IF('Stock Price'!$I$11="OK",K703/INDEX(K$5:K$1258,'Stock Price'!$I$9)-1,"")</f>
        <v>-0.19285447063224848</v>
      </c>
      <c r="Y703" s="19">
        <f ca="1">IF('Stock Price'!$I$11="OK",L703/INDEX(L$5:L$1258,'Stock Price'!$I$9)-1,"")</f>
        <v>-0.24485170002411372</v>
      </c>
      <c r="Z703" s="19">
        <f ca="1">IF('Stock Price'!$I$11="OK",M703/INDEX(M$5:M$1258,'Stock Price'!$I$9)-1,"")</f>
        <v>-0.23566351227595828</v>
      </c>
    </row>
    <row r="704" spans="1:26" x14ac:dyDescent="0.2">
      <c r="A704" s="16">
        <f>'Stock Price'!A704</f>
        <v>45491</v>
      </c>
      <c r="B704" s="17">
        <f>'Stock Price'!E704</f>
        <v>124.25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0.16721465476749642</v>
      </c>
      <c r="P704" s="19">
        <f ca="1">IF('Stock Price'!$I$11="OK",C704/INDEX(C$5:C$1258,'Stock Price'!$I$9)-1,"")</f>
        <v>-0.22607189259419658</v>
      </c>
      <c r="Q704" s="19">
        <f ca="1">IF('Stock Price'!$I$11="OK",D704/INDEX(D$5:D$1258,'Stock Price'!$I$9)-1,"")</f>
        <v>-0.15516463664978797</v>
      </c>
      <c r="R704" s="19">
        <f ca="1">IF('Stock Price'!$I$11="OK",E704/INDEX(E$5:E$1258,'Stock Price'!$I$9)-1,"")</f>
        <v>-0.20693129155752576</v>
      </c>
      <c r="S704" s="19">
        <f ca="1">IF('Stock Price'!$I$11="OK",F704/INDEX(F$5:F$1258,'Stock Price'!$I$9)-1,"")</f>
        <v>-0.23537414965986392</v>
      </c>
      <c r="T704" s="19">
        <f ca="1">IF('Stock Price'!$I$11="OK",G704/INDEX(G$5:G$1258,'Stock Price'!$I$9)-1,"")</f>
        <v>4.4163383786025356E-2</v>
      </c>
      <c r="U704" s="19">
        <f ca="1">IF('Stock Price'!$I$11="OK",H704/INDEX(H$5:H$1258,'Stock Price'!$I$9)-1,"")</f>
        <v>-0.29026315789473689</v>
      </c>
      <c r="V704" s="19">
        <f ca="1">IF('Stock Price'!$I$11="OK",I704/INDEX(I$5:I$1258,'Stock Price'!$I$9)-1,"")</f>
        <v>0.17990468625893574</v>
      </c>
      <c r="W704" s="19">
        <f ca="1">IF('Stock Price'!$I$11="OK",J704/INDEX(J$5:J$1258,'Stock Price'!$I$9)-1,"")</f>
        <v>-0.21424340034803213</v>
      </c>
      <c r="X704" s="19">
        <f ca="1">IF('Stock Price'!$I$11="OK",K704/INDEX(K$5:K$1258,'Stock Price'!$I$9)-1,"")</f>
        <v>-0.20707070707070707</v>
      </c>
      <c r="Y704" s="19">
        <f ca="1">IF('Stock Price'!$I$11="OK",L704/INDEX(L$5:L$1258,'Stock Price'!$I$9)-1,"")</f>
        <v>-0.25044610561851943</v>
      </c>
      <c r="Z704" s="19">
        <f ca="1">IF('Stock Price'!$I$11="OK",M704/INDEX(M$5:M$1258,'Stock Price'!$I$9)-1,"")</f>
        <v>-0.25367406567528683</v>
      </c>
    </row>
    <row r="705" spans="1:26" x14ac:dyDescent="0.2">
      <c r="A705" s="16">
        <f>'Stock Price'!A705</f>
        <v>45492</v>
      </c>
      <c r="B705" s="17">
        <f>'Stock Price'!E705</f>
        <v>125.77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0.18149365899483327</v>
      </c>
      <c r="P705" s="19">
        <f ca="1">IF('Stock Price'!$I$11="OK",C705/INDEX(C$5:C$1258,'Stock Price'!$I$9)-1,"")</f>
        <v>-0.23393965641691927</v>
      </c>
      <c r="Q705" s="19">
        <f ca="1">IF('Stock Price'!$I$11="OK",D705/INDEX(D$5:D$1258,'Stock Price'!$I$9)-1,"")</f>
        <v>-0.15533050499521006</v>
      </c>
      <c r="R705" s="19">
        <f ca="1">IF('Stock Price'!$I$11="OK",E705/INDEX(E$5:E$1258,'Stock Price'!$I$9)-1,"")</f>
        <v>-0.20713278259117474</v>
      </c>
      <c r="S705" s="19">
        <f ca="1">IF('Stock Price'!$I$11="OK",F705/INDEX(F$5:F$1258,'Stock Price'!$I$9)-1,"")</f>
        <v>-0.23673469387755097</v>
      </c>
      <c r="T705" s="19">
        <f ca="1">IF('Stock Price'!$I$11="OK",G705/INDEX(G$5:G$1258,'Stock Price'!$I$9)-1,"")</f>
        <v>4.9554219365540053E-2</v>
      </c>
      <c r="U705" s="19">
        <f ca="1">IF('Stock Price'!$I$11="OK",H705/INDEX(H$5:H$1258,'Stock Price'!$I$9)-1,"")</f>
        <v>-0.30894736842105264</v>
      </c>
      <c r="V705" s="19">
        <f ca="1">IF('Stock Price'!$I$11="OK",I705/INDEX(I$5:I$1258,'Stock Price'!$I$9)-1,"")</f>
        <v>0.19023034154090546</v>
      </c>
      <c r="W705" s="19">
        <f ca="1">IF('Stock Price'!$I$11="OK",J705/INDEX(J$5:J$1258,'Stock Price'!$I$9)-1,"")</f>
        <v>-0.20631085934318183</v>
      </c>
      <c r="X705" s="19">
        <f ca="1">IF('Stock Price'!$I$11="OK",K705/INDEX(K$5:K$1258,'Stock Price'!$I$9)-1,"")</f>
        <v>-0.20239431350542458</v>
      </c>
      <c r="Y705" s="19">
        <f ca="1">IF('Stock Price'!$I$11="OK",L705/INDEX(L$5:L$1258,'Stock Price'!$I$9)-1,"")</f>
        <v>-0.25396672293224021</v>
      </c>
      <c r="Z705" s="19">
        <f ca="1">IF('Stock Price'!$I$11="OK",M705/INDEX(M$5:M$1258,'Stock Price'!$I$9)-1,"")</f>
        <v>-0.24852819327547859</v>
      </c>
    </row>
    <row r="706" spans="1:26" x14ac:dyDescent="0.2">
      <c r="A706" s="16">
        <f>'Stock Price'!A706</f>
        <v>45495</v>
      </c>
      <c r="B706" s="17">
        <f>'Stock Price'!E706</f>
        <v>125.69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0.18074213245655235</v>
      </c>
      <c r="P706" s="19">
        <f ca="1">IF('Stock Price'!$I$11="OK",C706/INDEX(C$5:C$1258,'Stock Price'!$I$9)-1,"")</f>
        <v>-0.21517251335354404</v>
      </c>
      <c r="Q706" s="19">
        <f ca="1">IF('Stock Price'!$I$11="OK",D706/INDEX(D$5:D$1258,'Stock Price'!$I$9)-1,"")</f>
        <v>-0.13589708498699882</v>
      </c>
      <c r="R706" s="19">
        <f ca="1">IF('Stock Price'!$I$11="OK",E706/INDEX(E$5:E$1258,'Stock Price'!$I$9)-1,"")</f>
        <v>-0.20632681845657874</v>
      </c>
      <c r="S706" s="19">
        <f ca="1">IF('Stock Price'!$I$11="OK",F706/INDEX(F$5:F$1258,'Stock Price'!$I$9)-1,"")</f>
        <v>-0.23498542274052481</v>
      </c>
      <c r="T706" s="19">
        <f ca="1">IF('Stock Price'!$I$11="OK",G706/INDEX(G$5:G$1258,'Stock Price'!$I$9)-1,"")</f>
        <v>5.8677171884719215E-2</v>
      </c>
      <c r="U706" s="19">
        <f ca="1">IF('Stock Price'!$I$11="OK",H706/INDEX(H$5:H$1258,'Stock Price'!$I$9)-1,"")</f>
        <v>-0.2813157894736843</v>
      </c>
      <c r="V706" s="19">
        <f ca="1">IF('Stock Price'!$I$11="OK",I706/INDEX(I$5:I$1258,'Stock Price'!$I$9)-1,"")</f>
        <v>0.17553613979348692</v>
      </c>
      <c r="W706" s="19">
        <f ca="1">IF('Stock Price'!$I$11="OK",J706/INDEX(J$5:J$1258,'Stock Price'!$I$9)-1,"")</f>
        <v>-0.19844311155540739</v>
      </c>
      <c r="X706" s="19">
        <f ca="1">IF('Stock Price'!$I$11="OK",K706/INDEX(K$5:K$1258,'Stock Price'!$I$9)-1,"")</f>
        <v>-0.20183314627759075</v>
      </c>
      <c r="Y706" s="19">
        <f ca="1">IF('Stock Price'!$I$11="OK",L706/INDEX(L$5:L$1258,'Stock Price'!$I$9)-1,"")</f>
        <v>-0.25613696648179396</v>
      </c>
      <c r="Z706" s="19">
        <f ca="1">IF('Stock Price'!$I$11="OK",M706/INDEX(M$5:M$1258,'Stock Price'!$I$9)-1,"")</f>
        <v>-0.24290262090619685</v>
      </c>
    </row>
    <row r="707" spans="1:26" x14ac:dyDescent="0.2">
      <c r="A707" s="16">
        <f>'Stock Price'!A707</f>
        <v>45496</v>
      </c>
      <c r="B707" s="17">
        <f>'Stock Price'!E707</f>
        <v>124.38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0.16843588539220278</v>
      </c>
      <c r="P707" s="19">
        <f ca="1">IF('Stock Price'!$I$11="OK",C707/INDEX(C$5:C$1258,'Stock Price'!$I$9)-1,"")</f>
        <v>-0.22260718925941958</v>
      </c>
      <c r="Q707" s="19">
        <f ca="1">IF('Stock Price'!$I$11="OK",D707/INDEX(D$5:D$1258,'Stock Price'!$I$9)-1,"")</f>
        <v>-0.1249486793485699</v>
      </c>
      <c r="R707" s="19">
        <f ca="1">IF('Stock Price'!$I$11="OK",E707/INDEX(E$5:E$1258,'Stock Price'!$I$9)-1,"")</f>
        <v>-0.21740882530727379</v>
      </c>
      <c r="S707" s="19">
        <f ca="1">IF('Stock Price'!$I$11="OK",F707/INDEX(F$5:F$1258,'Stock Price'!$I$9)-1,"")</f>
        <v>-0.25753158406219634</v>
      </c>
      <c r="T707" s="19">
        <f ca="1">IF('Stock Price'!$I$11="OK",G707/INDEX(G$5:G$1258,'Stock Price'!$I$9)-1,"")</f>
        <v>4.5614762595894698E-2</v>
      </c>
      <c r="U707" s="19">
        <f ca="1">IF('Stock Price'!$I$11="OK",H707/INDEX(H$5:H$1258,'Stock Price'!$I$9)-1,"")</f>
        <v>-0.29026315789473689</v>
      </c>
      <c r="V707" s="19">
        <f ca="1">IF('Stock Price'!$I$11="OK",I707/INDEX(I$5:I$1258,'Stock Price'!$I$9)-1,"")</f>
        <v>0.17156473391580618</v>
      </c>
      <c r="W707" s="19">
        <f ca="1">IF('Stock Price'!$I$11="OK",J707/INDEX(J$5:J$1258,'Stock Price'!$I$9)-1,"")</f>
        <v>-0.18703950535006841</v>
      </c>
      <c r="X707" s="19">
        <f ca="1">IF('Stock Price'!$I$11="OK",K707/INDEX(K$5:K$1258,'Stock Price'!$I$9)-1,"")</f>
        <v>-0.19603441825664059</v>
      </c>
      <c r="Y707" s="19">
        <f ca="1">IF('Stock Price'!$I$11="OK",L707/INDEX(L$5:L$1258,'Stock Price'!$I$9)-1,"")</f>
        <v>-0.26525198938992045</v>
      </c>
      <c r="Z707" s="19">
        <f ca="1">IF('Stock Price'!$I$11="OK",M707/INDEX(M$5:M$1258,'Stock Price'!$I$9)-1,"")</f>
        <v>-0.2449086389603593</v>
      </c>
    </row>
    <row r="708" spans="1:26" x14ac:dyDescent="0.2">
      <c r="A708" s="16">
        <f>'Stock Price'!A708</f>
        <v>45497</v>
      </c>
      <c r="B708" s="17">
        <f>'Stock Price'!E708</f>
        <v>125.92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0.18290277125410981</v>
      </c>
      <c r="P708" s="19">
        <f ca="1">IF('Stock Price'!$I$11="OK",C708/INDEX(C$5:C$1258,'Stock Price'!$I$9)-1,"")</f>
        <v>-0.21113035946297087</v>
      </c>
      <c r="Q708" s="19">
        <f ca="1">IF('Stock Price'!$I$11="OK",D708/INDEX(D$5:D$1258,'Stock Price'!$I$9)-1,"")</f>
        <v>-0.13918160667852753</v>
      </c>
      <c r="R708" s="19">
        <f ca="1">IF('Stock Price'!$I$11="OK",E708/INDEX(E$5:E$1258,'Stock Price'!$I$9)-1,"")</f>
        <v>-0.20814023775941981</v>
      </c>
      <c r="S708" s="19">
        <f ca="1">IF('Stock Price'!$I$11="OK",F708/INDEX(F$5:F$1258,'Stock Price'!$I$9)-1,"")</f>
        <v>-0.25092322643343057</v>
      </c>
      <c r="T708" s="19">
        <f ca="1">IF('Stock Price'!$I$11="OK",G708/INDEX(G$5:G$1258,'Stock Price'!$I$9)-1,"")</f>
        <v>6.1579929504457898E-2</v>
      </c>
      <c r="U708" s="19">
        <f ca="1">IF('Stock Price'!$I$11="OK",H708/INDEX(H$5:H$1258,'Stock Price'!$I$9)-1,"")</f>
        <v>-0.29013157894736841</v>
      </c>
      <c r="V708" s="19">
        <f ca="1">IF('Stock Price'!$I$11="OK",I708/INDEX(I$5:I$1258,'Stock Price'!$I$9)-1,"")</f>
        <v>0.19062748212867353</v>
      </c>
      <c r="W708" s="19">
        <f ca="1">IF('Stock Price'!$I$11="OK",J708/INDEX(J$5:J$1258,'Stock Price'!$I$9)-1,"")</f>
        <v>-0.20408012144100107</v>
      </c>
      <c r="X708" s="19">
        <f ca="1">IF('Stock Price'!$I$11="OK",K708/INDEX(K$5:K$1258,'Stock Price'!$I$9)-1,"")</f>
        <v>-0.16460905349794241</v>
      </c>
      <c r="Y708" s="19">
        <f ca="1">IF('Stock Price'!$I$11="OK",L708/INDEX(L$5:L$1258,'Stock Price'!$I$9)-1,"")</f>
        <v>-0.24629852905714977</v>
      </c>
      <c r="Z708" s="19">
        <f ca="1">IF('Stock Price'!$I$11="OK",M708/INDEX(M$5:M$1258,'Stock Price'!$I$9)-1,"")</f>
        <v>-0.23156425799136537</v>
      </c>
    </row>
    <row r="709" spans="1:26" x14ac:dyDescent="0.2">
      <c r="A709" s="16">
        <f>'Stock Price'!A709</f>
        <v>45498</v>
      </c>
      <c r="B709" s="17">
        <f>'Stock Price'!E709</f>
        <v>125.85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0.18224518553311397</v>
      </c>
      <c r="P709" s="19">
        <f ca="1">IF('Stock Price'!$I$11="OK",C709/INDEX(C$5:C$1258,'Stock Price'!$I$9)-1,"")</f>
        <v>-0.20651075501660165</v>
      </c>
      <c r="Q709" s="19">
        <f ca="1">IF('Stock Price'!$I$11="OK",D709/INDEX(D$5:D$1258,'Stock Price'!$I$9)-1,"")</f>
        <v>-0.14887094566853709</v>
      </c>
      <c r="R709" s="19">
        <f ca="1">IF('Stock Price'!$I$11="OK",E709/INDEX(E$5:E$1258,'Stock Price'!$I$9)-1,"")</f>
        <v>-0.2127745315333468</v>
      </c>
      <c r="S709" s="19">
        <f ca="1">IF('Stock Price'!$I$11="OK",F709/INDEX(F$5:F$1258,'Stock Price'!$I$9)-1,"")</f>
        <v>-0.23109815354713314</v>
      </c>
      <c r="T709" s="19">
        <f ca="1">IF('Stock Price'!$I$11="OK",G709/INDEX(G$5:G$1258,'Stock Price'!$I$9)-1,"")</f>
        <v>0.10097449720091234</v>
      </c>
      <c r="U709" s="19">
        <f ca="1">IF('Stock Price'!$I$11="OK",H709/INDEX(H$5:H$1258,'Stock Price'!$I$9)-1,"")</f>
        <v>-0.27552631578947362</v>
      </c>
      <c r="V709" s="19">
        <f ca="1">IF('Stock Price'!$I$11="OK",I709/INDEX(I$5:I$1258,'Stock Price'!$I$9)-1,"")</f>
        <v>0.19857029388403502</v>
      </c>
      <c r="W709" s="19">
        <f ca="1">IF('Stock Price'!$I$11="OK",J709/INDEX(J$5:J$1258,'Stock Price'!$I$9)-1,"")</f>
        <v>-0.23989225813617676</v>
      </c>
      <c r="X709" s="19">
        <f ca="1">IF('Stock Price'!$I$11="OK",K709/INDEX(K$5:K$1258,'Stock Price'!$I$9)-1,"")</f>
        <v>-0.15319865319865311</v>
      </c>
      <c r="Y709" s="19">
        <f ca="1">IF('Stock Price'!$I$11="OK",L709/INDEX(L$5:L$1258,'Stock Price'!$I$9)-1,"")</f>
        <v>-0.23009404388714738</v>
      </c>
      <c r="Z709" s="19">
        <f ca="1">IF('Stock Price'!$I$11="OK",M709/INDEX(M$5:M$1258,'Stock Price'!$I$9)-1,"")</f>
        <v>-0.20557324146352107</v>
      </c>
    </row>
    <row r="710" spans="1:26" x14ac:dyDescent="0.2">
      <c r="A710" s="16">
        <f>'Stock Price'!A710</f>
        <v>45499</v>
      </c>
      <c r="B710" s="17">
        <f>'Stock Price'!E710</f>
        <v>125.26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0.1767026773132927</v>
      </c>
      <c r="P710" s="19">
        <f ca="1">IF('Stock Price'!$I$11="OK",C710/INDEX(C$5:C$1258,'Stock Price'!$I$9)-1,"")</f>
        <v>-0.20369568355709544</v>
      </c>
      <c r="Q710" s="19">
        <f ca="1">IF('Stock Price'!$I$11="OK",D710/INDEX(D$5:D$1258,'Stock Price'!$I$9)-1,"")</f>
        <v>-0.12705624743396748</v>
      </c>
      <c r="R710" s="19">
        <f ca="1">IF('Stock Price'!$I$11="OK",E710/INDEX(E$5:E$1258,'Stock Price'!$I$9)-1,"")</f>
        <v>-0.19685673987507557</v>
      </c>
      <c r="S710" s="19">
        <f ca="1">IF('Stock Price'!$I$11="OK",F710/INDEX(F$5:F$1258,'Stock Price'!$I$9)-1,"")</f>
        <v>-0.20777453838678339</v>
      </c>
      <c r="T710" s="19">
        <f ca="1">IF('Stock Price'!$I$11="OK",G710/INDEX(G$5:G$1258,'Stock Price'!$I$9)-1,"")</f>
        <v>8.646070910221848E-2</v>
      </c>
      <c r="U710" s="19">
        <f ca="1">IF('Stock Price'!$I$11="OK",H710/INDEX(H$5:H$1258,'Stock Price'!$I$9)-1,"")</f>
        <v>-0.27723684210526311</v>
      </c>
      <c r="V710" s="19">
        <f ca="1">IF('Stock Price'!$I$11="OK",I710/INDEX(I$5:I$1258,'Stock Price'!$I$9)-1,"")</f>
        <v>0.22200158856235097</v>
      </c>
      <c r="W710" s="19">
        <f ca="1">IF('Stock Price'!$I$11="OK",J710/INDEX(J$5:J$1258,'Stock Price'!$I$9)-1,"")</f>
        <v>-0.25522973823540296</v>
      </c>
      <c r="X710" s="19">
        <f ca="1">IF('Stock Price'!$I$11="OK",K710/INDEX(K$5:K$1258,'Stock Price'!$I$9)-1,"")</f>
        <v>-5.6303778526000658E-2</v>
      </c>
      <c r="Y710" s="19">
        <f ca="1">IF('Stock Price'!$I$11="OK",L710/INDEX(L$5:L$1258,'Stock Price'!$I$9)-1,"")</f>
        <v>-0.22527128044369427</v>
      </c>
      <c r="Z710" s="19">
        <f ca="1">IF('Stock Price'!$I$11="OK",M710/INDEX(M$5:M$1258,'Stock Price'!$I$9)-1,"")</f>
        <v>-0.19253412411146487</v>
      </c>
    </row>
    <row r="711" spans="1:26" x14ac:dyDescent="0.2">
      <c r="A711" s="16">
        <f>'Stock Price'!A711</f>
        <v>45502</v>
      </c>
      <c r="B711" s="17">
        <f>'Stock Price'!E711</f>
        <v>127.78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0.20037576326914053</v>
      </c>
      <c r="P711" s="19">
        <f ca="1">IF('Stock Price'!$I$11="OK",C711/INDEX(C$5:C$1258,'Stock Price'!$I$9)-1,"")</f>
        <v>-0.20116933737548715</v>
      </c>
      <c r="Q711" s="19">
        <f ca="1">IF('Stock Price'!$I$11="OK",D711/INDEX(D$5:D$1258,'Stock Price'!$I$9)-1,"")</f>
        <v>-0.14449158341316548</v>
      </c>
      <c r="R711" s="19">
        <f ca="1">IF('Stock Price'!$I$11="OK",E711/INDEX(E$5:E$1258,'Stock Price'!$I$9)-1,"")</f>
        <v>-0.19383437437034057</v>
      </c>
      <c r="S711" s="19">
        <f ca="1">IF('Stock Price'!$I$11="OK",F711/INDEX(F$5:F$1258,'Stock Price'!$I$9)-1,"")</f>
        <v>-0.21477162293488827</v>
      </c>
      <c r="T711" s="19">
        <f ca="1">IF('Stock Price'!$I$11="OK",G711/INDEX(G$5:G$1258,'Stock Price'!$I$9)-1,"")</f>
        <v>8.0033174372797111E-2</v>
      </c>
      <c r="U711" s="19">
        <f ca="1">IF('Stock Price'!$I$11="OK",H711/INDEX(H$5:H$1258,'Stock Price'!$I$9)-1,"")</f>
        <v>-0.27802631578947368</v>
      </c>
      <c r="V711" s="19">
        <f ca="1">IF('Stock Price'!$I$11="OK",I711/INDEX(I$5:I$1258,'Stock Price'!$I$9)-1,"")</f>
        <v>0.2200158856235106</v>
      </c>
      <c r="W711" s="19">
        <f ca="1">IF('Stock Price'!$I$11="OK",J711/INDEX(J$5:J$1258,'Stock Price'!$I$9)-1,"")</f>
        <v>-0.25229553111925651</v>
      </c>
      <c r="X711" s="19">
        <f ca="1">IF('Stock Price'!$I$11="OK",K711/INDEX(K$5:K$1258,'Stock Price'!$I$9)-1,"")</f>
        <v>-8.3800972689861641E-2</v>
      </c>
      <c r="Y711" s="19">
        <f ca="1">IF('Stock Price'!$I$11="OK",L711/INDEX(L$5:L$1258,'Stock Price'!$I$9)-1,"")</f>
        <v>-0.23530262840607663</v>
      </c>
      <c r="Z711" s="19">
        <f ca="1">IF('Stock Price'!$I$11="OK",M711/INDEX(M$5:M$1258,'Stock Price'!$I$9)-1,"")</f>
        <v>-0.20657625049060224</v>
      </c>
    </row>
    <row r="712" spans="1:26" x14ac:dyDescent="0.2">
      <c r="A712" s="16">
        <f>'Stock Price'!A712</f>
        <v>45503</v>
      </c>
      <c r="B712" s="17">
        <f>'Stock Price'!E712</f>
        <v>115.25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8.2667919210897001E-2</v>
      </c>
      <c r="P712" s="19">
        <f ca="1">IF('Stock Price'!$I$11="OK",C712/INDEX(C$5:C$1258,'Stock Price'!$I$9)-1,"")</f>
        <v>-0.19207449112169761</v>
      </c>
      <c r="Q712" s="19">
        <f ca="1">IF('Stock Price'!$I$11="OK",D712/INDEX(D$5:D$1258,'Stock Price'!$I$9)-1,"")</f>
        <v>-0.14449158341316548</v>
      </c>
      <c r="R712" s="19">
        <f ca="1">IF('Stock Price'!$I$11="OK",E712/INDEX(E$5:E$1258,'Stock Price'!$I$9)-1,"")</f>
        <v>-0.19867015917791653</v>
      </c>
      <c r="S712" s="19">
        <f ca="1">IF('Stock Price'!$I$11="OK",F712/INDEX(F$5:F$1258,'Stock Price'!$I$9)-1,"")</f>
        <v>-0.21652089407191444</v>
      </c>
      <c r="T712" s="19">
        <f ca="1">IF('Stock Price'!$I$11="OK",G712/INDEX(G$5:G$1258,'Stock Price'!$I$9)-1,"")</f>
        <v>7.173958117354351E-2</v>
      </c>
      <c r="U712" s="19">
        <f ca="1">IF('Stock Price'!$I$11="OK",H712/INDEX(H$5:H$1258,'Stock Price'!$I$9)-1,"")</f>
        <v>-0.27368421052631575</v>
      </c>
      <c r="V712" s="19">
        <f ca="1">IF('Stock Price'!$I$11="OK",I712/INDEX(I$5:I$1258,'Stock Price'!$I$9)-1,"")</f>
        <v>0.24662430500397137</v>
      </c>
      <c r="W712" s="19">
        <f ca="1">IF('Stock Price'!$I$11="OK",J712/INDEX(J$5:J$1258,'Stock Price'!$I$9)-1,"")</f>
        <v>-0.26856788477914761</v>
      </c>
      <c r="X712" s="19">
        <f ca="1">IF('Stock Price'!$I$11="OK",K712/INDEX(K$5:K$1258,'Stock Price'!$I$9)-1,"")</f>
        <v>-8.2491582491582505E-2</v>
      </c>
      <c r="Y712" s="19">
        <f ca="1">IF('Stock Price'!$I$11="OK",L712/INDEX(L$5:L$1258,'Stock Price'!$I$9)-1,"")</f>
        <v>-0.22194357366771156</v>
      </c>
      <c r="Z712" s="19">
        <f ca="1">IF('Stock Price'!$I$11="OK",M712/INDEX(M$5:M$1258,'Stock Price'!$I$9)-1,"")</f>
        <v>-0.18546945183376218</v>
      </c>
    </row>
    <row r="713" spans="1:26" x14ac:dyDescent="0.2">
      <c r="A713" s="16">
        <f>'Stock Price'!A713</f>
        <v>45504</v>
      </c>
      <c r="B713" s="17">
        <f>'Stock Price'!E713</f>
        <v>113.13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6.2752465946453562E-2</v>
      </c>
      <c r="P713" s="19">
        <f ca="1">IF('Stock Price'!$I$11="OK",C713/INDEX(C$5:C$1258,'Stock Price'!$I$9)-1,"")</f>
        <v>-0.19532265049805098</v>
      </c>
      <c r="Q713" s="19">
        <f ca="1">IF('Stock Price'!$I$11="OK",D713/INDEX(D$5:D$1258,'Stock Price'!$I$9)-1,"")</f>
        <v>-0.14410838921582048</v>
      </c>
      <c r="R713" s="19">
        <f ca="1">IF('Stock Price'!$I$11="OK",E713/INDEX(E$5:E$1258,'Stock Price'!$I$9)-1,"")</f>
        <v>-0.21881926254281681</v>
      </c>
      <c r="S713" s="19">
        <f ca="1">IF('Stock Price'!$I$11="OK",F713/INDEX(F$5:F$1258,'Stock Price'!$I$9)-1,"")</f>
        <v>-0.21263362487852289</v>
      </c>
      <c r="T713" s="19">
        <f ca="1">IF('Stock Price'!$I$11="OK",G713/INDEX(G$5:G$1258,'Stock Price'!$I$9)-1,"")</f>
        <v>7.4227659133319523E-2</v>
      </c>
      <c r="U713" s="19">
        <f ca="1">IF('Stock Price'!$I$11="OK",H713/INDEX(H$5:H$1258,'Stock Price'!$I$9)-1,"")</f>
        <v>-0.27644736842105255</v>
      </c>
      <c r="V713" s="19">
        <f ca="1">IF('Stock Price'!$I$11="OK",I713/INDEX(I$5:I$1258,'Stock Price'!$I$9)-1,"")</f>
        <v>0.21286735504368548</v>
      </c>
      <c r="W713" s="19">
        <f ca="1">IF('Stock Price'!$I$11="OK",J713/INDEX(J$5:J$1258,'Stock Price'!$I$9)-1,"")</f>
        <v>-0.25555370432078195</v>
      </c>
      <c r="X713" s="19">
        <f ca="1">IF('Stock Price'!$I$11="OK",K713/INDEX(K$5:K$1258,'Stock Price'!$I$9)-1,"")</f>
        <v>-0.11036288814066586</v>
      </c>
      <c r="Y713" s="19">
        <f ca="1">IF('Stock Price'!$I$11="OK",L713/INDEX(L$5:L$1258,'Stock Price'!$I$9)-1,"")</f>
        <v>-0.23872679045092837</v>
      </c>
      <c r="Z713" s="19">
        <f ca="1">IF('Stock Price'!$I$11="OK",M713/INDEX(M$5:M$1258,'Stock Price'!$I$9)-1,"")</f>
        <v>-0.19183637870132142</v>
      </c>
    </row>
    <row r="714" spans="1:26" x14ac:dyDescent="0.2">
      <c r="A714" s="16">
        <f>'Stock Price'!A714</f>
        <v>45505</v>
      </c>
      <c r="B714" s="17">
        <f>'Stock Price'!E714</f>
        <v>113.82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6.9234382339126155E-2</v>
      </c>
      <c r="P714" s="19">
        <f ca="1">IF('Stock Price'!$I$11="OK",C714/INDEX(C$5:C$1258,'Stock Price'!$I$9)-1,"")</f>
        <v>-0.19084740869063088</v>
      </c>
      <c r="Q714" s="19">
        <f ca="1">IF('Stock Price'!$I$11="OK",D714/INDEX(D$5:D$1258,'Stock Price'!$I$9)-1,"")</f>
        <v>-0.12084302723415907</v>
      </c>
      <c r="R714" s="19">
        <f ca="1">IF('Stock Price'!$I$11="OK",E714/INDEX(E$5:E$1258,'Stock Price'!$I$9)-1,"")</f>
        <v>-0.2012895426153537</v>
      </c>
      <c r="S714" s="19">
        <f ca="1">IF('Stock Price'!$I$11="OK",F714/INDEX(F$5:F$1258,'Stock Price'!$I$9)-1,"")</f>
        <v>-0.20855199222546172</v>
      </c>
      <c r="T714" s="19">
        <f ca="1">IF('Stock Price'!$I$11="OK",G714/INDEX(G$5:G$1258,'Stock Price'!$I$9)-1,"")</f>
        <v>7.1117561683599506E-2</v>
      </c>
      <c r="U714" s="19">
        <f ca="1">IF('Stock Price'!$I$11="OK",H714/INDEX(H$5:H$1258,'Stock Price'!$I$9)-1,"")</f>
        <v>-0.2823684210526316</v>
      </c>
      <c r="V714" s="19">
        <f ca="1">IF('Stock Price'!$I$11="OK",I714/INDEX(I$5:I$1258,'Stock Price'!$I$9)-1,"")</f>
        <v>0.2172359015091343</v>
      </c>
      <c r="W714" s="19">
        <f ca="1">IF('Stock Price'!$I$11="OK",J714/INDEX(J$5:J$1258,'Stock Price'!$I$9)-1,"")</f>
        <v>-0.22947906253471051</v>
      </c>
      <c r="X714" s="19">
        <f ca="1">IF('Stock Price'!$I$11="OK",K714/INDEX(K$5:K$1258,'Stock Price'!$I$9)-1,"")</f>
        <v>-9.8952487841376668E-2</v>
      </c>
      <c r="Y714" s="19">
        <f ca="1">IF('Stock Price'!$I$11="OK",L714/INDEX(L$5:L$1258,'Stock Price'!$I$9)-1,"")</f>
        <v>-0.22469254883047984</v>
      </c>
      <c r="Z714" s="19">
        <f ca="1">IF('Stock Price'!$I$11="OK",M714/INDEX(M$5:M$1258,'Stock Price'!$I$9)-1,"")</f>
        <v>-0.17269198901050975</v>
      </c>
    </row>
    <row r="715" spans="1:26" x14ac:dyDescent="0.2">
      <c r="A715" s="16">
        <f>'Stock Price'!A715</f>
        <v>45506</v>
      </c>
      <c r="B715" s="17">
        <f>'Stock Price'!E715</f>
        <v>115.2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8.2198215124471563E-2</v>
      </c>
      <c r="P715" s="19">
        <f ca="1">IF('Stock Price'!$I$11="OK",C715/INDEX(C$5:C$1258,'Stock Price'!$I$9)-1,"")</f>
        <v>-0.18528944709109274</v>
      </c>
      <c r="Q715" s="19">
        <f ca="1">IF('Stock Price'!$I$11="OK",D715/INDEX(D$5:D$1258,'Stock Price'!$I$9)-1,"")</f>
        <v>-0.10212125359244562</v>
      </c>
      <c r="R715" s="19">
        <f ca="1">IF('Stock Price'!$I$11="OK",E715/INDEX(E$5:E$1258,'Stock Price'!$I$9)-1,"")</f>
        <v>-0.18557324199073144</v>
      </c>
      <c r="S715" s="19">
        <f ca="1">IF('Stock Price'!$I$11="OK",F715/INDEX(F$5:F$1258,'Stock Price'!$I$9)-1,"")</f>
        <v>-0.20874635568513122</v>
      </c>
      <c r="T715" s="19">
        <f ca="1">IF('Stock Price'!$I$11="OK",G715/INDEX(G$5:G$1258,'Stock Price'!$I$9)-1,"")</f>
        <v>9.9937798051005666E-2</v>
      </c>
      <c r="U715" s="19">
        <f ca="1">IF('Stock Price'!$I$11="OK",H715/INDEX(H$5:H$1258,'Stock Price'!$I$9)-1,"")</f>
        <v>-0.2801315789473684</v>
      </c>
      <c r="V715" s="19">
        <f ca="1">IF('Stock Price'!$I$11="OK",I715/INDEX(I$5:I$1258,'Stock Price'!$I$9)-1,"")</f>
        <v>0.20849880857823666</v>
      </c>
      <c r="W715" s="19">
        <f ca="1">IF('Stock Price'!$I$11="OK",J715/INDEX(J$5:J$1258,'Stock Price'!$I$9)-1,"")</f>
        <v>-0.25537783701729044</v>
      </c>
      <c r="X715" s="19">
        <f ca="1">IF('Stock Price'!$I$11="OK",K715/INDEX(K$5:K$1258,'Stock Price'!$I$9)-1,"")</f>
        <v>-8.7729143284698829E-2</v>
      </c>
      <c r="Y715" s="19">
        <f ca="1">IF('Stock Price'!$I$11="OK",L715/INDEX(L$5:L$1258,'Stock Price'!$I$9)-1,"")</f>
        <v>-0.20839160839160842</v>
      </c>
      <c r="Z715" s="19">
        <f ca="1">IF('Stock Price'!$I$11="OK",M715/INDEX(M$5:M$1258,'Stock Price'!$I$9)-1,"")</f>
        <v>-0.17452357071213642</v>
      </c>
    </row>
    <row r="716" spans="1:26" x14ac:dyDescent="0.2">
      <c r="A716" s="16">
        <f>'Stock Price'!A716</f>
        <v>45509</v>
      </c>
      <c r="B716" s="17">
        <f>'Stock Price'!E716</f>
        <v>112.31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5.5049318929074609E-2</v>
      </c>
      <c r="P716" s="19">
        <f ca="1">IF('Stock Price'!$I$11="OK",C716/INDEX(C$5:C$1258,'Stock Price'!$I$9)-1,"")</f>
        <v>-0.20708820557239782</v>
      </c>
      <c r="Q716" s="19">
        <f ca="1">IF('Stock Price'!$I$11="OK",D716/INDEX(D$5:D$1258,'Stock Price'!$I$9)-1,"")</f>
        <v>-0.14120706172163688</v>
      </c>
      <c r="R716" s="19">
        <f ca="1">IF('Stock Price'!$I$11="OK",E716/INDEX(E$5:E$1258,'Stock Price'!$I$9)-1,"")</f>
        <v>-0.20652830949022771</v>
      </c>
      <c r="S716" s="19">
        <f ca="1">IF('Stock Price'!$I$11="OK",F716/INDEX(F$5:F$1258,'Stock Price'!$I$9)-1,"")</f>
        <v>-0.23537414965986392</v>
      </c>
      <c r="T716" s="19">
        <f ca="1">IF('Stock Price'!$I$11="OK",G716/INDEX(G$5:G$1258,'Stock Price'!$I$9)-1,"")</f>
        <v>6.6763425253991482E-2</v>
      </c>
      <c r="U716" s="19">
        <f ca="1">IF('Stock Price'!$I$11="OK",H716/INDEX(H$5:H$1258,'Stock Price'!$I$9)-1,"")</f>
        <v>-0.29092105263157897</v>
      </c>
      <c r="V716" s="19">
        <f ca="1">IF('Stock Price'!$I$11="OK",I716/INDEX(I$5:I$1258,'Stock Price'!$I$9)-1,"")</f>
        <v>0.18109610802223974</v>
      </c>
      <c r="W716" s="19">
        <f ca="1">IF('Stock Price'!$I$11="OK",J716/INDEX(J$5:J$1258,'Stock Price'!$I$9)-1,"")</f>
        <v>-0.28240586471176266</v>
      </c>
      <c r="X716" s="19">
        <f ca="1">IF('Stock Price'!$I$11="OK",K716/INDEX(K$5:K$1258,'Stock Price'!$I$9)-1,"")</f>
        <v>-0.10980172091283202</v>
      </c>
      <c r="Y716" s="19">
        <f ca="1">IF('Stock Price'!$I$11="OK",L716/INDEX(L$5:L$1258,'Stock Price'!$I$9)-1,"")</f>
        <v>-0.2223293947431878</v>
      </c>
      <c r="Z716" s="19">
        <f ca="1">IF('Stock Price'!$I$11="OK",M716/INDEX(M$5:M$1258,'Stock Price'!$I$9)-1,"")</f>
        <v>-0.1960228511621821</v>
      </c>
    </row>
    <row r="717" spans="1:26" x14ac:dyDescent="0.2">
      <c r="A717" s="16">
        <f>'Stock Price'!A717</f>
        <v>45510</v>
      </c>
      <c r="B717" s="17">
        <f>'Stock Price'!E717</f>
        <v>111.15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4.4152184124002014E-2</v>
      </c>
      <c r="P717" s="19">
        <f ca="1">IF('Stock Price'!$I$11="OK",C717/INDEX(C$5:C$1258,'Stock Price'!$I$9)-1,"")</f>
        <v>-0.20557239786343284</v>
      </c>
      <c r="Q717" s="19">
        <f ca="1">IF('Stock Price'!$I$11="OK",D717/INDEX(D$5:D$1258,'Stock Price'!$I$9)-1,"")</f>
        <v>-0.16272067880114971</v>
      </c>
      <c r="R717" s="19">
        <f ca="1">IF('Stock Price'!$I$11="OK",E717/INDEX(E$5:E$1258,'Stock Price'!$I$9)-1,"")</f>
        <v>-0.22063268184565787</v>
      </c>
      <c r="S717" s="19">
        <f ca="1">IF('Stock Price'!$I$11="OK",F717/INDEX(F$5:F$1258,'Stock Price'!$I$9)-1,"")</f>
        <v>-0.23692905733722069</v>
      </c>
      <c r="T717" s="19">
        <f ca="1">IF('Stock Price'!$I$11="OK",G717/INDEX(G$5:G$1258,'Stock Price'!$I$9)-1,"")</f>
        <v>5.764047273481232E-2</v>
      </c>
      <c r="U717" s="19">
        <f ca="1">IF('Stock Price'!$I$11="OK",H717/INDEX(H$5:H$1258,'Stock Price'!$I$9)-1,"")</f>
        <v>-0.33381578947368418</v>
      </c>
      <c r="V717" s="19">
        <f ca="1">IF('Stock Price'!$I$11="OK",I717/INDEX(I$5:I$1258,'Stock Price'!$I$9)-1,"")</f>
        <v>0.16441620333598106</v>
      </c>
      <c r="W717" s="19">
        <f ca="1">IF('Stock Price'!$I$11="OK",J717/INDEX(J$5:J$1258,'Stock Price'!$I$9)-1,"")</f>
        <v>-0.26581880114036061</v>
      </c>
      <c r="X717" s="19">
        <f ca="1">IF('Stock Price'!$I$11="OK",K717/INDEX(K$5:K$1258,'Stock Price'!$I$9)-1,"")</f>
        <v>-0.11503928170594835</v>
      </c>
      <c r="Y717" s="19">
        <f ca="1">IF('Stock Price'!$I$11="OK",L717/INDEX(L$5:L$1258,'Stock Price'!$I$9)-1,"")</f>
        <v>-0.23332529539426095</v>
      </c>
      <c r="Z717" s="19">
        <f ca="1">IF('Stock Price'!$I$11="OK",M717/INDEX(M$5:M$1258,'Stock Price'!$I$9)-1,"")</f>
        <v>-0.19013562426409658</v>
      </c>
    </row>
    <row r="718" spans="1:26" x14ac:dyDescent="0.2">
      <c r="A718" s="16">
        <f>'Stock Price'!A718</f>
        <v>45511</v>
      </c>
      <c r="B718" s="17">
        <f>'Stock Price'!E718</f>
        <v>112.49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5.6740253640206628E-2</v>
      </c>
      <c r="P718" s="19">
        <f ca="1">IF('Stock Price'!$I$11="OK",C718/INDEX(C$5:C$1258,'Stock Price'!$I$9)-1,"")</f>
        <v>-0.19763245272123575</v>
      </c>
      <c r="Q718" s="19">
        <f ca="1">IF('Stock Price'!$I$11="OK",D718/INDEX(D$5:D$1258,'Stock Price'!$I$9)-1,"")</f>
        <v>-0.12544190502258123</v>
      </c>
      <c r="R718" s="19">
        <f ca="1">IF('Stock Price'!$I$11="OK",E718/INDEX(E$5:E$1258,'Stock Price'!$I$9)-1,"")</f>
        <v>-0.20672980052387679</v>
      </c>
      <c r="S718" s="19">
        <f ca="1">IF('Stock Price'!$I$11="OK",F718/INDEX(F$5:F$1258,'Stock Price'!$I$9)-1,"")</f>
        <v>-0.23265306122448992</v>
      </c>
      <c r="T718" s="19">
        <f ca="1">IF('Stock Price'!$I$11="OK",G718/INDEX(G$5:G$1258,'Stock Price'!$I$9)-1,"")</f>
        <v>7.4020319303338189E-2</v>
      </c>
      <c r="U718" s="19">
        <f ca="1">IF('Stock Price'!$I$11="OK",H718/INDEX(H$5:H$1258,'Stock Price'!$I$9)-1,"")</f>
        <v>-0.31276315789473685</v>
      </c>
      <c r="V718" s="19">
        <f ca="1">IF('Stock Price'!$I$11="OK",I718/INDEX(I$5:I$1258,'Stock Price'!$I$9)-1,"")</f>
        <v>0.14575059571088178</v>
      </c>
      <c r="W718" s="19">
        <f ca="1">IF('Stock Price'!$I$11="OK",J718/INDEX(J$5:J$1258,'Stock Price'!$I$9)-1,"")</f>
        <v>-0.28529379095856933</v>
      </c>
      <c r="X718" s="19">
        <f ca="1">IF('Stock Price'!$I$11="OK",K718/INDEX(K$5:K$1258,'Stock Price'!$I$9)-1,"")</f>
        <v>-0.13019079685746349</v>
      </c>
      <c r="Y718" s="19">
        <f ca="1">IF('Stock Price'!$I$11="OK",L718/INDEX(L$5:L$1258,'Stock Price'!$I$9)-1,"")</f>
        <v>-0.23366288883530262</v>
      </c>
      <c r="Z718" s="19">
        <f ca="1">IF('Stock Price'!$I$11="OK",M718/INDEX(M$5:M$1258,'Stock Price'!$I$9)-1,"")</f>
        <v>-0.18228598839998256</v>
      </c>
    </row>
    <row r="719" spans="1:26" x14ac:dyDescent="0.2">
      <c r="A719" s="16">
        <f>'Stock Price'!A719</f>
        <v>45512</v>
      </c>
      <c r="B719" s="17">
        <f>'Stock Price'!E719</f>
        <v>113.92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7.0173790511977474E-2</v>
      </c>
      <c r="P719" s="19">
        <f ca="1">IF('Stock Price'!$I$11="OK",C719/INDEX(C$5:C$1258,'Stock Price'!$I$9)-1,"")</f>
        <v>-0.19864299119387896</v>
      </c>
      <c r="Q719" s="19">
        <f ca="1">IF('Stock Price'!$I$11="OK",D719/INDEX(D$5:D$1258,'Stock Price'!$I$9)-1,"")</f>
        <v>-9.347201313808684E-2</v>
      </c>
      <c r="R719" s="19">
        <f ca="1">IF('Stock Price'!$I$11="OK",E719/INDEX(E$5:E$1258,'Stock Price'!$I$9)-1,"")</f>
        <v>-0.19363288333669149</v>
      </c>
      <c r="S719" s="19">
        <f ca="1">IF('Stock Price'!$I$11="OK",F719/INDEX(F$5:F$1258,'Stock Price'!$I$9)-1,"")</f>
        <v>-0.22585034013605454</v>
      </c>
      <c r="T719" s="19">
        <f ca="1">IF('Stock Price'!$I$11="OK",G719/INDEX(G$5:G$1258,'Stock Price'!$I$9)-1,"")</f>
        <v>8.044785403275978E-2</v>
      </c>
      <c r="U719" s="19">
        <f ca="1">IF('Stock Price'!$I$11="OK",H719/INDEX(H$5:H$1258,'Stock Price'!$I$9)-1,"")</f>
        <v>-0.30657894736842106</v>
      </c>
      <c r="V719" s="19">
        <f ca="1">IF('Stock Price'!$I$11="OK",I719/INDEX(I$5:I$1258,'Stock Price'!$I$9)-1,"")</f>
        <v>0.14217633042096911</v>
      </c>
      <c r="W719" s="19">
        <f ca="1">IF('Stock Price'!$I$11="OK",J719/INDEX(J$5:J$1258,'Stock Price'!$I$9)-1,"")</f>
        <v>-0.21756636676663332</v>
      </c>
      <c r="X719" s="19">
        <f ca="1">IF('Stock Price'!$I$11="OK",K719/INDEX(K$5:K$1258,'Stock Price'!$I$9)-1,"")</f>
        <v>-0.12364384586606803</v>
      </c>
      <c r="Y719" s="19">
        <f ca="1">IF('Stock Price'!$I$11="OK",L719/INDEX(L$5:L$1258,'Stock Price'!$I$9)-1,"")</f>
        <v>-0.22729684108994452</v>
      </c>
      <c r="Z719" s="19">
        <f ca="1">IF('Stock Price'!$I$11="OK",M719/INDEX(M$5:M$1258,'Stock Price'!$I$9)-1,"")</f>
        <v>-0.16968296192926602</v>
      </c>
    </row>
    <row r="720" spans="1:26" x14ac:dyDescent="0.2">
      <c r="A720" s="16">
        <f>'Stock Price'!A720</f>
        <v>45513</v>
      </c>
      <c r="B720" s="17">
        <f>'Stock Price'!E720</f>
        <v>114.55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7.609206200093932E-2</v>
      </c>
      <c r="P720" s="19">
        <f ca="1">IF('Stock Price'!$I$11="OK",C720/INDEX(C$5:C$1258,'Stock Price'!$I$9)-1,"")</f>
        <v>-0.19236321639959575</v>
      </c>
      <c r="Q720" s="19">
        <f ca="1">IF('Stock Price'!$I$11="OK",D720/INDEX(D$5:D$1258,'Stock Price'!$I$9)-1,"")</f>
        <v>-9.347201313808684E-2</v>
      </c>
      <c r="R720" s="19">
        <f ca="1">IF('Stock Price'!$I$11="OK",E720/INDEX(E$5:E$1258,'Stock Price'!$I$9)-1,"")</f>
        <v>-0.18879709852911553</v>
      </c>
      <c r="S720" s="19">
        <f ca="1">IF('Stock Price'!$I$11="OK",F720/INDEX(F$5:F$1258,'Stock Price'!$I$9)-1,"")</f>
        <v>-0.21904761904761905</v>
      </c>
      <c r="T720" s="19">
        <f ca="1">IF('Stock Price'!$I$11="OK",G720/INDEX(G$5:G$1258,'Stock Price'!$I$9)-1,"")</f>
        <v>8.5838689612274477E-2</v>
      </c>
      <c r="U720" s="19">
        <f ca="1">IF('Stock Price'!$I$11="OK",H720/INDEX(H$5:H$1258,'Stock Price'!$I$9)-1,"")</f>
        <v>-0.31671052631578944</v>
      </c>
      <c r="V720" s="19">
        <f ca="1">IF('Stock Price'!$I$11="OK",I720/INDEX(I$5:I$1258,'Stock Price'!$I$9)-1,"")</f>
        <v>0.13383637807783955</v>
      </c>
      <c r="W720" s="19">
        <f ca="1">IF('Stock Price'!$I$11="OK",J720/INDEX(J$5:J$1258,'Stock Price'!$I$9)-1,"")</f>
        <v>-0.17464548854085671</v>
      </c>
      <c r="X720" s="19">
        <f ca="1">IF('Stock Price'!$I$11="OK",K720/INDEX(K$5:K$1258,'Stock Price'!$I$9)-1,"")</f>
        <v>-0.12607557052001495</v>
      </c>
      <c r="Y720" s="19">
        <f ca="1">IF('Stock Price'!$I$11="OK",L720/INDEX(L$5:L$1258,'Stock Price'!$I$9)-1,"")</f>
        <v>-0.2253677357125633</v>
      </c>
      <c r="Z720" s="19">
        <f ca="1">IF('Stock Price'!$I$11="OK",M720/INDEX(M$5:M$1258,'Stock Price'!$I$9)-1,"")</f>
        <v>-0.17173258907156252</v>
      </c>
    </row>
    <row r="721" spans="1:26" x14ac:dyDescent="0.2">
      <c r="A721" s="16">
        <f>'Stock Price'!A721</f>
        <v>45516</v>
      </c>
      <c r="B721" s="17">
        <f>'Stock Price'!E721</f>
        <v>113.48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6.6040394551432513E-2</v>
      </c>
      <c r="P721" s="19">
        <f ca="1">IF('Stock Price'!$I$11="OK",C721/INDEX(C$5:C$1258,'Stock Price'!$I$9)-1,"")</f>
        <v>-0.19575573841489813</v>
      </c>
      <c r="Q721" s="19">
        <f ca="1">IF('Stock Price'!$I$11="OK",D721/INDEX(D$5:D$1258,'Stock Price'!$I$9)-1,"")</f>
        <v>-0.12024141234432739</v>
      </c>
      <c r="R721" s="19">
        <f ca="1">IF('Stock Price'!$I$11="OK",E721/INDEX(E$5:E$1258,'Stock Price'!$I$9)-1,"")</f>
        <v>-0.18758815232722148</v>
      </c>
      <c r="S721" s="19">
        <f ca="1">IF('Stock Price'!$I$11="OK",F721/INDEX(F$5:F$1258,'Stock Price'!$I$9)-1,"")</f>
        <v>-0.2202137998056366</v>
      </c>
      <c r="T721" s="19">
        <f ca="1">IF('Stock Price'!$I$11="OK",G721/INDEX(G$5:G$1258,'Stock Price'!$I$9)-1,"")</f>
        <v>8.1899232842629122E-2</v>
      </c>
      <c r="U721" s="19">
        <f ca="1">IF('Stock Price'!$I$11="OK",H721/INDEX(H$5:H$1258,'Stock Price'!$I$9)-1,"")</f>
        <v>-0.31684210526315792</v>
      </c>
      <c r="V721" s="19">
        <f ca="1">IF('Stock Price'!$I$11="OK",I721/INDEX(I$5:I$1258,'Stock Price'!$I$9)-1,"")</f>
        <v>0.1298649722001588</v>
      </c>
      <c r="W721" s="19">
        <f ca="1">IF('Stock Price'!$I$11="OK",J721/INDEX(J$5:J$1258,'Stock Price'!$I$9)-1,"")</f>
        <v>-0.18140249546447473</v>
      </c>
      <c r="X721" s="19">
        <f ca="1">IF('Stock Price'!$I$11="OK",K721/INDEX(K$5:K$1258,'Stock Price'!$I$9)-1,"")</f>
        <v>-0.11971567527123084</v>
      </c>
      <c r="Y721" s="19">
        <f ca="1">IF('Stock Price'!$I$11="OK",L721/INDEX(L$5:L$1258,'Stock Price'!$I$9)-1,"")</f>
        <v>-0.22893658066071865</v>
      </c>
      <c r="Z721" s="19">
        <f ca="1">IF('Stock Price'!$I$11="OK",M721/INDEX(M$5:M$1258,'Stock Price'!$I$9)-1,"")</f>
        <v>-0.17064236186821335</v>
      </c>
    </row>
    <row r="722" spans="1:26" x14ac:dyDescent="0.2">
      <c r="A722" s="16">
        <f>'Stock Price'!A722</f>
        <v>45517</v>
      </c>
      <c r="B722" s="17">
        <f>'Stock Price'!E722</f>
        <v>114.39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7.4589008924377698E-2</v>
      </c>
      <c r="P722" s="19">
        <f ca="1">IF('Stock Price'!$I$11="OK",C722/INDEX(C$5:C$1258,'Stock Price'!$I$9)-1,"")</f>
        <v>-0.18774361195322642</v>
      </c>
      <c r="Q722" s="19">
        <f ca="1">IF('Stock Price'!$I$11="OK",D722/INDEX(D$5:D$1258,'Stock Price'!$I$9)-1,"")</f>
        <v>-0.10463938688928431</v>
      </c>
      <c r="R722" s="19">
        <f ca="1">IF('Stock Price'!$I$11="OK",E722/INDEX(E$5:E$1258,'Stock Price'!$I$9)-1,"")</f>
        <v>-0.17025992343340723</v>
      </c>
      <c r="S722" s="19">
        <f ca="1">IF('Stock Price'!$I$11="OK",F722/INDEX(F$5:F$1258,'Stock Price'!$I$9)-1,"")</f>
        <v>-0.21457725947521877</v>
      </c>
      <c r="T722" s="19">
        <f ca="1">IF('Stock Price'!$I$11="OK",G722/INDEX(G$5:G$1258,'Stock Price'!$I$9)-1,"")</f>
        <v>0.11092680904001662</v>
      </c>
      <c r="U722" s="19">
        <f ca="1">IF('Stock Price'!$I$11="OK",H722/INDEX(H$5:H$1258,'Stock Price'!$I$9)-1,"")</f>
        <v>-0.31618421052631585</v>
      </c>
      <c r="V722" s="19">
        <f ca="1">IF('Stock Price'!$I$11="OK",I722/INDEX(I$5:I$1258,'Stock Price'!$I$9)-1,"")</f>
        <v>0.14575059571088178</v>
      </c>
      <c r="W722" s="19">
        <f ca="1">IF('Stock Price'!$I$11="OK",J722/INDEX(J$5:J$1258,'Stock Price'!$I$9)-1,"")</f>
        <v>-0.15949313191898995</v>
      </c>
      <c r="X722" s="19">
        <f ca="1">IF('Stock Price'!$I$11="OK",K722/INDEX(K$5:K$1258,'Stock Price'!$I$9)-1,"")</f>
        <v>-8.2304526748971152E-2</v>
      </c>
      <c r="Y722" s="19">
        <f ca="1">IF('Stock Price'!$I$11="OK",L722/INDEX(L$5:L$1258,'Stock Price'!$I$9)-1,"")</f>
        <v>-0.2361224981914638</v>
      </c>
      <c r="Z722" s="19">
        <f ca="1">IF('Stock Price'!$I$11="OK",M722/INDEX(M$5:M$1258,'Stock Price'!$I$9)-1,"")</f>
        <v>-0.16606340761414684</v>
      </c>
    </row>
    <row r="723" spans="1:26" x14ac:dyDescent="0.2">
      <c r="A723" s="16">
        <f>'Stock Price'!A723</f>
        <v>45518</v>
      </c>
      <c r="B723" s="17">
        <f>'Stock Price'!E723</f>
        <v>113.58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6.697980272428361E-2</v>
      </c>
      <c r="P723" s="19">
        <f ca="1">IF('Stock Price'!$I$11="OK",C723/INDEX(C$5:C$1258,'Stock Price'!$I$9)-1,"")</f>
        <v>-0.1805254800057744</v>
      </c>
      <c r="Q723" s="19">
        <f ca="1">IF('Stock Price'!$I$11="OK",D723/INDEX(D$5:D$1258,'Stock Price'!$I$9)-1,"")</f>
        <v>-9.1282332010401035E-2</v>
      </c>
      <c r="R723" s="19">
        <f ca="1">IF('Stock Price'!$I$11="OK",E723/INDEX(E$5:E$1258,'Stock Price'!$I$9)-1,"")</f>
        <v>-0.16945395929881124</v>
      </c>
      <c r="S723" s="19">
        <f ca="1">IF('Stock Price'!$I$11="OK",F723/INDEX(F$5:F$1258,'Stock Price'!$I$9)-1,"")</f>
        <v>-0.21107871720116611</v>
      </c>
      <c r="T723" s="19">
        <f ca="1">IF('Stock Price'!$I$11="OK",G723/INDEX(G$5:G$1258,'Stock Price'!$I$9)-1,"")</f>
        <v>0.10989010989010994</v>
      </c>
      <c r="U723" s="19">
        <f ca="1">IF('Stock Price'!$I$11="OK",H723/INDEX(H$5:H$1258,'Stock Price'!$I$9)-1,"")</f>
        <v>-0.32013157894736843</v>
      </c>
      <c r="V723" s="19">
        <f ca="1">IF('Stock Price'!$I$11="OK",I723/INDEX(I$5:I$1258,'Stock Price'!$I$9)-1,"")</f>
        <v>0.14694201747418578</v>
      </c>
      <c r="W723" s="19">
        <f ca="1">IF('Stock Price'!$I$11="OK",J723/INDEX(J$5:J$1258,'Stock Price'!$I$9)-1,"")</f>
        <v>-0.13762079306897701</v>
      </c>
      <c r="X723" s="19">
        <f ca="1">IF('Stock Price'!$I$11="OK",K723/INDEX(K$5:K$1258,'Stock Price'!$I$9)-1,"")</f>
        <v>-9.4463150018705644E-2</v>
      </c>
      <c r="Y723" s="19">
        <f ca="1">IF('Stock Price'!$I$11="OK",L723/INDEX(L$5:L$1258,'Stock Price'!$I$9)-1,"")</f>
        <v>-0.23568844948155299</v>
      </c>
      <c r="Z723" s="19">
        <f ca="1">IF('Stock Price'!$I$11="OK",M723/INDEX(M$5:M$1258,'Stock Price'!$I$9)-1,"")</f>
        <v>-0.15834459901443465</v>
      </c>
    </row>
    <row r="724" spans="1:26" x14ac:dyDescent="0.2">
      <c r="A724" s="16">
        <f>'Stock Price'!A724</f>
        <v>45519</v>
      </c>
      <c r="B724" s="17">
        <f>'Stock Price'!E724</f>
        <v>113.31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6.4443400657585803E-2</v>
      </c>
      <c r="P724" s="19">
        <f ca="1">IF('Stock Price'!$I$11="OK",C724/INDEX(C$5:C$1258,'Stock Price'!$I$9)-1,"")</f>
        <v>-0.18211346903421388</v>
      </c>
      <c r="Q724" s="19">
        <f ca="1">IF('Stock Price'!$I$11="OK",D724/INDEX(D$5:D$1258,'Stock Price'!$I$9)-1,"")</f>
        <v>-8.5808129191186633E-2</v>
      </c>
      <c r="R724" s="19">
        <f ca="1">IF('Stock Price'!$I$11="OK",E724/INDEX(E$5:E$1258,'Stock Price'!$I$9)-1,"")</f>
        <v>-0.16582712069312922</v>
      </c>
      <c r="S724" s="19">
        <f ca="1">IF('Stock Price'!$I$11="OK",F724/INDEX(F$5:F$1258,'Stock Price'!$I$9)-1,"")</f>
        <v>-0.21496598639455788</v>
      </c>
      <c r="T724" s="19">
        <f ca="1">IF('Stock Price'!$I$11="OK",G724/INDEX(G$5:G$1258,'Stock Price'!$I$9)-1,"")</f>
        <v>0.12004976155919556</v>
      </c>
      <c r="U724" s="19">
        <f ca="1">IF('Stock Price'!$I$11="OK",H724/INDEX(H$5:H$1258,'Stock Price'!$I$9)-1,"")</f>
        <v>-0.30855263157894741</v>
      </c>
      <c r="V724" s="19">
        <f ca="1">IF('Stock Price'!$I$11="OK",I724/INDEX(I$5:I$1258,'Stock Price'!$I$9)-1,"")</f>
        <v>0.14019062748212874</v>
      </c>
      <c r="W724" s="19">
        <f ca="1">IF('Stock Price'!$I$11="OK",J724/INDEX(J$5:J$1258,'Stock Price'!$I$9)-1,"")</f>
        <v>-0.13771335480765656</v>
      </c>
      <c r="X724" s="19">
        <f ca="1">IF('Stock Price'!$I$11="OK",K724/INDEX(K$5:K$1258,'Stock Price'!$I$9)-1,"")</f>
        <v>-8.1369248035914721E-2</v>
      </c>
      <c r="Y724" s="19">
        <f ca="1">IF('Stock Price'!$I$11="OK",L724/INDEX(L$5:L$1258,'Stock Price'!$I$9)-1,"")</f>
        <v>-0.23274656378104652</v>
      </c>
      <c r="Z724" s="19">
        <f ca="1">IF('Stock Price'!$I$11="OK",M724/INDEX(M$5:M$1258,'Stock Price'!$I$9)-1,"")</f>
        <v>-0.15660023548907587</v>
      </c>
    </row>
    <row r="725" spans="1:26" x14ac:dyDescent="0.2">
      <c r="A725" s="16">
        <f>'Stock Price'!A725</f>
        <v>45520</v>
      </c>
      <c r="B725" s="17">
        <f>'Stock Price'!E725</f>
        <v>113.67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6.782527007984962E-2</v>
      </c>
      <c r="P725" s="19">
        <f ca="1">IF('Stock Price'!$I$11="OK",C725/INDEX(C$5:C$1258,'Stock Price'!$I$9)-1,"")</f>
        <v>-0.17208026562725565</v>
      </c>
      <c r="Q725" s="19">
        <f ca="1">IF('Stock Price'!$I$11="OK",D725/INDEX(D$5:D$1258,'Stock Price'!$I$9)-1,"")</f>
        <v>-6.9932941015464656E-2</v>
      </c>
      <c r="R725" s="19">
        <f ca="1">IF('Stock Price'!$I$11="OK",E725/INDEX(E$5:E$1258,'Stock Price'!$I$9)-1,"")</f>
        <v>-0.1682450130969172</v>
      </c>
      <c r="S725" s="19">
        <f ca="1">IF('Stock Price'!$I$11="OK",F725/INDEX(F$5:F$1258,'Stock Price'!$I$9)-1,"")</f>
        <v>-0.21166180758017494</v>
      </c>
      <c r="T725" s="19">
        <f ca="1">IF('Stock Price'!$I$11="OK",G725/INDEX(G$5:G$1258,'Stock Price'!$I$9)-1,"")</f>
        <v>0.12108646070910223</v>
      </c>
      <c r="U725" s="19">
        <f ca="1">IF('Stock Price'!$I$11="OK",H725/INDEX(H$5:H$1258,'Stock Price'!$I$9)-1,"")</f>
        <v>-0.23684210526315785</v>
      </c>
      <c r="V725" s="19">
        <f ca="1">IF('Stock Price'!$I$11="OK",I725/INDEX(I$5:I$1258,'Stock Price'!$I$9)-1,"")</f>
        <v>0.12390786338363791</v>
      </c>
      <c r="W725" s="19">
        <f ca="1">IF('Stock Price'!$I$11="OK",J725/INDEX(J$5:J$1258,'Stock Price'!$I$9)-1,"")</f>
        <v>-0.14646969528675613</v>
      </c>
      <c r="X725" s="19">
        <f ca="1">IF('Stock Price'!$I$11="OK",K725/INDEX(K$5:K$1258,'Stock Price'!$I$9)-1,"")</f>
        <v>-7.6692854470632232E-2</v>
      </c>
      <c r="Y725" s="19">
        <f ca="1">IF('Stock Price'!$I$11="OK",L725/INDEX(L$5:L$1258,'Stock Price'!$I$9)-1,"")</f>
        <v>-0.23129973474801069</v>
      </c>
      <c r="Z725" s="19">
        <f ca="1">IF('Stock Price'!$I$11="OK",M725/INDEX(M$5:M$1258,'Stock Price'!$I$9)-1,"")</f>
        <v>-0.15441978108237753</v>
      </c>
    </row>
    <row r="726" spans="1:26" x14ac:dyDescent="0.2">
      <c r="A726" s="16">
        <f>'Stock Price'!A726</f>
        <v>45523</v>
      </c>
      <c r="B726" s="17">
        <f>'Stock Price'!E726</f>
        <v>114.42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7.487083137623296E-2</v>
      </c>
      <c r="P726" s="19">
        <f ca="1">IF('Stock Price'!$I$11="OK",C726/INDEX(C$5:C$1258,'Stock Price'!$I$9)-1,"")</f>
        <v>-0.16320196333188963</v>
      </c>
      <c r="Q726" s="19">
        <f ca="1">IF('Stock Price'!$I$11="OK",D726/INDEX(D$5:D$1258,'Stock Price'!$I$9)-1,"")</f>
        <v>-9.9969891884494344E-2</v>
      </c>
      <c r="R726" s="19">
        <f ca="1">IF('Stock Price'!$I$11="OK",E726/INDEX(E$5:E$1258,'Stock Price'!$I$9)-1,"")</f>
        <v>-0.16340922828934112</v>
      </c>
      <c r="S726" s="19">
        <f ca="1">IF('Stock Price'!$I$11="OK",F726/INDEX(F$5:F$1258,'Stock Price'!$I$9)-1,"")</f>
        <v>-0.20272108843537417</v>
      </c>
      <c r="T726" s="19">
        <f ca="1">IF('Stock Price'!$I$11="OK",G726/INDEX(G$5:G$1258,'Stock Price'!$I$9)-1,"")</f>
        <v>0.13041675305826272</v>
      </c>
      <c r="U726" s="19">
        <f ca="1">IF('Stock Price'!$I$11="OK",H726/INDEX(H$5:H$1258,'Stock Price'!$I$9)-1,"")</f>
        <v>-0.23460526315789476</v>
      </c>
      <c r="V726" s="19">
        <f ca="1">IF('Stock Price'!$I$11="OK",I726/INDEX(I$5:I$1258,'Stock Price'!$I$9)-1,"")</f>
        <v>0.14376489277204141</v>
      </c>
      <c r="W726" s="19">
        <f ca="1">IF('Stock Price'!$I$11="OK",J726/INDEX(J$5:J$1258,'Stock Price'!$I$9)-1,"")</f>
        <v>-0.14675663667666328</v>
      </c>
      <c r="X726" s="19">
        <f ca="1">IF('Stock Price'!$I$11="OK",K726/INDEX(K$5:K$1258,'Stock Price'!$I$9)-1,"")</f>
        <v>-7.7815188926300127E-2</v>
      </c>
      <c r="Y726" s="19">
        <f ca="1">IF('Stock Price'!$I$11="OK",L726/INDEX(L$5:L$1258,'Stock Price'!$I$9)-1,"")</f>
        <v>-0.23014227152158184</v>
      </c>
      <c r="Z726" s="19">
        <f ca="1">IF('Stock Price'!$I$11="OK",M726/INDEX(M$5:M$1258,'Stock Price'!$I$9)-1,"")</f>
        <v>-0.14146788190658932</v>
      </c>
    </row>
    <row r="727" spans="1:26" x14ac:dyDescent="0.2">
      <c r="A727" s="16">
        <f>'Stock Price'!A727</f>
        <v>45524</v>
      </c>
      <c r="B727" s="17">
        <f>'Stock Price'!E727</f>
        <v>115.14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8.1634570220760816E-2</v>
      </c>
      <c r="P727" s="19">
        <f ca="1">IF('Stock Price'!$I$11="OK",C727/INDEX(C$5:C$1258,'Stock Price'!$I$9)-1,"")</f>
        <v>-0.15454020499494725</v>
      </c>
      <c r="Q727" s="19">
        <f ca="1">IF('Stock Price'!$I$11="OK",D727/INDEX(D$5:D$1258,'Stock Price'!$I$9)-1,"")</f>
        <v>-7.3491172847954034E-2</v>
      </c>
      <c r="R727" s="19">
        <f ca="1">IF('Stock Price'!$I$11="OK",E727/INDEX(E$5:E$1258,'Stock Price'!$I$9)-1,"")</f>
        <v>-0.16179730002014914</v>
      </c>
      <c r="S727" s="19">
        <f ca="1">IF('Stock Price'!$I$11="OK",F727/INDEX(F$5:F$1258,'Stock Price'!$I$9)-1,"")</f>
        <v>-0.19436345966958213</v>
      </c>
      <c r="T727" s="19">
        <f ca="1">IF('Stock Price'!$I$11="OK",G727/INDEX(G$5:G$1258,'Stock Price'!$I$9)-1,"")</f>
        <v>0.13580758863777742</v>
      </c>
      <c r="U727" s="19">
        <f ca="1">IF('Stock Price'!$I$11="OK",H727/INDEX(H$5:H$1258,'Stock Price'!$I$9)-1,"")</f>
        <v>-0.25605263157894742</v>
      </c>
      <c r="V727" s="19">
        <f ca="1">IF('Stock Price'!$I$11="OK",I727/INDEX(I$5:I$1258,'Stock Price'!$I$9)-1,"")</f>
        <v>0.14773629864972193</v>
      </c>
      <c r="W727" s="19">
        <f ca="1">IF('Stock Price'!$I$11="OK",J727/INDEX(J$5:J$1258,'Stock Price'!$I$9)-1,"")</f>
        <v>-0.12069125106445988</v>
      </c>
      <c r="X727" s="19">
        <f ca="1">IF('Stock Price'!$I$11="OK",K727/INDEX(K$5:K$1258,'Stock Price'!$I$9)-1,"")</f>
        <v>-8.3800972689861641E-2</v>
      </c>
      <c r="Y727" s="19">
        <f ca="1">IF('Stock Price'!$I$11="OK",L727/INDEX(L$5:L$1258,'Stock Price'!$I$9)-1,"")</f>
        <v>-0.22758620689655173</v>
      </c>
      <c r="Z727" s="19">
        <f ca="1">IF('Stock Price'!$I$11="OK",M727/INDEX(M$5:M$1258,'Stock Price'!$I$9)-1,"")</f>
        <v>-0.144607736252235</v>
      </c>
    </row>
    <row r="728" spans="1:26" x14ac:dyDescent="0.2">
      <c r="A728" s="16">
        <f>'Stock Price'!A728</f>
        <v>45525</v>
      </c>
      <c r="B728" s="17">
        <f>'Stock Price'!E728</f>
        <v>116.03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8.9995302959135826E-2</v>
      </c>
      <c r="P728" s="19">
        <f ca="1">IF('Stock Price'!$I$11="OK",C728/INDEX(C$5:C$1258,'Stock Price'!$I$9)-1,"")</f>
        <v>-0.15107550166017025</v>
      </c>
      <c r="Q728" s="19">
        <f ca="1">IF('Stock Price'!$I$11="OK",D728/INDEX(D$5:D$1258,'Stock Price'!$I$9)-1,"")</f>
        <v>-7.3491172847954034E-2</v>
      </c>
      <c r="R728" s="19">
        <f ca="1">IF('Stock Price'!$I$11="OK",E728/INDEX(E$5:E$1258,'Stock Price'!$I$9)-1,"")</f>
        <v>-0.1567600241789241</v>
      </c>
      <c r="S728" s="19">
        <f ca="1">IF('Stock Price'!$I$11="OK",F728/INDEX(F$5:F$1258,'Stock Price'!$I$9)-1,"")</f>
        <v>-0.1933916423712343</v>
      </c>
      <c r="T728" s="19">
        <f ca="1">IF('Stock Price'!$I$11="OK",G728/INDEX(G$5:G$1258,'Stock Price'!$I$9)-1,"")</f>
        <v>0.14493054115695636</v>
      </c>
      <c r="U728" s="19">
        <f ca="1">IF('Stock Price'!$I$11="OK",H728/INDEX(H$5:H$1258,'Stock Price'!$I$9)-1,"")</f>
        <v>-0.26026315789473686</v>
      </c>
      <c r="V728" s="19">
        <f ca="1">IF('Stock Price'!$I$11="OK",I728/INDEX(I$5:I$1258,'Stock Price'!$I$9)-1,"")</f>
        <v>0.1528991262907069</v>
      </c>
      <c r="W728" s="19">
        <f ca="1">IF('Stock Price'!$I$11="OK",J728/INDEX(J$5:J$1258,'Stock Price'!$I$9)-1,"")</f>
        <v>-0.11884001629086594</v>
      </c>
      <c r="X728" s="19">
        <f ca="1">IF('Stock Price'!$I$11="OK",K728/INDEX(K$5:K$1258,'Stock Price'!$I$9)-1,"")</f>
        <v>-9.3901982790871696E-2</v>
      </c>
      <c r="Y728" s="19">
        <f ca="1">IF('Stock Price'!$I$11="OK",L728/INDEX(L$5:L$1258,'Stock Price'!$I$9)-1,"")</f>
        <v>-0.22146129732336628</v>
      </c>
      <c r="Z728" s="19">
        <f ca="1">IF('Stock Price'!$I$11="OK",M728/INDEX(M$5:M$1258,'Stock Price'!$I$9)-1,"")</f>
        <v>-0.14295059090314421</v>
      </c>
    </row>
    <row r="729" spans="1:26" x14ac:dyDescent="0.2">
      <c r="A729" s="16">
        <f>'Stock Price'!A729</f>
        <v>45526</v>
      </c>
      <c r="B729" s="17">
        <f>'Stock Price'!E729</f>
        <v>116.55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9.4880225457961487E-2</v>
      </c>
      <c r="P729" s="19">
        <f ca="1">IF('Stock Price'!$I$11="OK",C729/INDEX(C$5:C$1258,'Stock Price'!$I$9)-1,"")</f>
        <v>-0.14999278186805243</v>
      </c>
      <c r="Q729" s="19">
        <f ca="1">IF('Stock Price'!$I$11="OK",D729/INDEX(D$5:D$1258,'Stock Price'!$I$9)-1,"")</f>
        <v>-7.2122622143150461E-2</v>
      </c>
      <c r="R729" s="19">
        <f ca="1">IF('Stock Price'!$I$11="OK",E729/INDEX(E$5:E$1258,'Stock Price'!$I$9)-1,"")</f>
        <v>-0.15474511384243395</v>
      </c>
      <c r="S729" s="19">
        <f ca="1">IF('Stock Price'!$I$11="OK",F729/INDEX(F$5:F$1258,'Stock Price'!$I$9)-1,"")</f>
        <v>-0.19475218658892135</v>
      </c>
      <c r="T729" s="19">
        <f ca="1">IF('Stock Price'!$I$11="OK",G729/INDEX(G$5:G$1258,'Stock Price'!$I$9)-1,"")</f>
        <v>0.1451378809869377</v>
      </c>
      <c r="U729" s="19">
        <f ca="1">IF('Stock Price'!$I$11="OK",H729/INDEX(H$5:H$1258,'Stock Price'!$I$9)-1,"")</f>
        <v>-0.27078947368421047</v>
      </c>
      <c r="V729" s="19">
        <f ca="1">IF('Stock Price'!$I$11="OK",I729/INDEX(I$5:I$1258,'Stock Price'!$I$9)-1,"")</f>
        <v>0.14297061159650526</v>
      </c>
      <c r="W729" s="19">
        <f ca="1">IF('Stock Price'!$I$11="OK",J729/INDEX(J$5:J$1258,'Stock Price'!$I$9)-1,"")</f>
        <v>-0.11680365803991255</v>
      </c>
      <c r="X729" s="19">
        <f ca="1">IF('Stock Price'!$I$11="OK",K729/INDEX(K$5:K$1258,'Stock Price'!$I$9)-1,"")</f>
        <v>-0.10924055368499819</v>
      </c>
      <c r="Y729" s="19">
        <f ca="1">IF('Stock Price'!$I$11="OK",L729/INDEX(L$5:L$1258,'Stock Price'!$I$9)-1,"")</f>
        <v>-0.21702435495538941</v>
      </c>
      <c r="Z729" s="19">
        <f ca="1">IF('Stock Price'!$I$11="OK",M729/INDEX(M$5:M$1258,'Stock Price'!$I$9)-1,"")</f>
        <v>-0.14364833631328766</v>
      </c>
    </row>
    <row r="730" spans="1:26" x14ac:dyDescent="0.2">
      <c r="A730" s="16">
        <f>'Stock Price'!A730</f>
        <v>45527</v>
      </c>
      <c r="B730" s="17">
        <f>'Stock Price'!E730</f>
        <v>116.6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9.5349929544386924E-2</v>
      </c>
      <c r="P730" s="19">
        <f ca="1">IF('Stock Price'!$I$11="OK",C730/INDEX(C$5:C$1258,'Stock Price'!$I$9)-1,"")</f>
        <v>-0.14421827631009088</v>
      </c>
      <c r="Q730" s="19">
        <f ca="1">IF('Stock Price'!$I$11="OK",D730/INDEX(D$5:D$1258,'Stock Price'!$I$9)-1,"")</f>
        <v>-7.184891200218968E-2</v>
      </c>
      <c r="R730" s="19">
        <f ca="1">IF('Stock Price'!$I$11="OK",E730/INDEX(E$5:E$1258,'Stock Price'!$I$9)-1,"")</f>
        <v>-0.14104372355430184</v>
      </c>
      <c r="S730" s="19">
        <f ca="1">IF('Stock Price'!$I$11="OK",F730/INDEX(F$5:F$1258,'Stock Price'!$I$9)-1,"")</f>
        <v>-0.18931000971817302</v>
      </c>
      <c r="T730" s="19">
        <f ca="1">IF('Stock Price'!$I$11="OK",G730/INDEX(G$5:G$1258,'Stock Price'!$I$9)-1,"")</f>
        <v>0.16545718432510892</v>
      </c>
      <c r="U730" s="19">
        <f ca="1">IF('Stock Price'!$I$11="OK",H730/INDEX(H$5:H$1258,'Stock Price'!$I$9)-1,"")</f>
        <v>-0.26671052631578951</v>
      </c>
      <c r="V730" s="19">
        <f ca="1">IF('Stock Price'!$I$11="OK",I730/INDEX(I$5:I$1258,'Stock Price'!$I$9)-1,"")</f>
        <v>0.14773629864972193</v>
      </c>
      <c r="W730" s="19">
        <f ca="1">IF('Stock Price'!$I$11="OK",J730/INDEX(J$5:J$1258,'Stock Price'!$I$9)-1,"")</f>
        <v>-0.1181272909030322</v>
      </c>
      <c r="X730" s="19">
        <f ca="1">IF('Stock Price'!$I$11="OK",K730/INDEX(K$5:K$1258,'Stock Price'!$I$9)-1,"")</f>
        <v>-0.10007482229704456</v>
      </c>
      <c r="Y730" s="19">
        <f ca="1">IF('Stock Price'!$I$11="OK",L730/INDEX(L$5:L$1258,'Stock Price'!$I$9)-1,"")</f>
        <v>-0.20843983602604288</v>
      </c>
      <c r="Z730" s="19">
        <f ca="1">IF('Stock Price'!$I$11="OK",M730/INDEX(M$5:M$1258,'Stock Price'!$I$9)-1,"")</f>
        <v>-0.13850246391347953</v>
      </c>
    </row>
    <row r="731" spans="1:26" x14ac:dyDescent="0.2">
      <c r="A731" s="16">
        <f>'Stock Price'!A731</f>
        <v>45530</v>
      </c>
      <c r="B731" s="17">
        <f>'Stock Price'!E731</f>
        <v>116.27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9.224988257397837E-2</v>
      </c>
      <c r="P731" s="19">
        <f ca="1">IF('Stock Price'!$I$11="OK",C731/INDEX(C$5:C$1258,'Stock Price'!$I$9)-1,"")</f>
        <v>-0.13995957846109419</v>
      </c>
      <c r="Q731" s="19">
        <f ca="1">IF('Stock Price'!$I$11="OK",D731/INDEX(D$5:D$1258,'Stock Price'!$I$9)-1,"")</f>
        <v>-4.2561926919392423E-2</v>
      </c>
      <c r="R731" s="19">
        <f ca="1">IF('Stock Price'!$I$11="OK",E731/INDEX(E$5:E$1258,'Stock Price'!$I$9)-1,"")</f>
        <v>-0.1428571428571429</v>
      </c>
      <c r="S731" s="19">
        <f ca="1">IF('Stock Price'!$I$11="OK",F731/INDEX(F$5:F$1258,'Stock Price'!$I$9)-1,"")</f>
        <v>-0.18367346938775519</v>
      </c>
      <c r="T731" s="19">
        <f ca="1">IF('Stock Price'!$I$11="OK",G731/INDEX(G$5:G$1258,'Stock Price'!$I$9)-1,"")</f>
        <v>0.16670122330499693</v>
      </c>
      <c r="U731" s="19">
        <f ca="1">IF('Stock Price'!$I$11="OK",H731/INDEX(H$5:H$1258,'Stock Price'!$I$9)-1,"")</f>
        <v>-0.27486842105263154</v>
      </c>
      <c r="V731" s="19">
        <f ca="1">IF('Stock Price'!$I$11="OK",I731/INDEX(I$5:I$1258,'Stock Price'!$I$9)-1,"")</f>
        <v>0.1485305798252583</v>
      </c>
      <c r="W731" s="19">
        <f ca="1">IF('Stock Price'!$I$11="OK",J731/INDEX(J$5:J$1258,'Stock Price'!$I$9)-1,"")</f>
        <v>-0.12017290532785363</v>
      </c>
      <c r="X731" s="19">
        <f ca="1">IF('Stock Price'!$I$11="OK",K731/INDEX(K$5:K$1258,'Stock Price'!$I$9)-1,"")</f>
        <v>-9.7643097643097643E-2</v>
      </c>
      <c r="Y731" s="19">
        <f ca="1">IF('Stock Price'!$I$11="OK",L731/INDEX(L$5:L$1258,'Stock Price'!$I$9)-1,"")</f>
        <v>-0.2061249095731853</v>
      </c>
      <c r="Z731" s="19">
        <f ca="1">IF('Stock Price'!$I$11="OK",M731/INDEX(M$5:M$1258,'Stock Price'!$I$9)-1,"")</f>
        <v>-0.13898216388295326</v>
      </c>
    </row>
    <row r="732" spans="1:26" x14ac:dyDescent="0.2">
      <c r="A732" s="16">
        <f>'Stock Price'!A732</f>
        <v>45531</v>
      </c>
      <c r="B732" s="17">
        <f>'Stock Price'!E732</f>
        <v>116.5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9.4410521371535827E-2</v>
      </c>
      <c r="P732" s="19">
        <f ca="1">IF('Stock Price'!$I$11="OK",C732/INDEX(C$5:C$1258,'Stock Price'!$I$9)-1,"")</f>
        <v>-0.13497906741735233</v>
      </c>
      <c r="Q732" s="19">
        <f ca="1">IF('Stock Price'!$I$11="OK",D732/INDEX(D$5:D$1258,'Stock Price'!$I$9)-1,"")</f>
        <v>-6.3911317914328802E-2</v>
      </c>
      <c r="R732" s="19">
        <f ca="1">IF('Stock Price'!$I$11="OK",E732/INDEX(E$5:E$1258,'Stock Price'!$I$9)-1,"")</f>
        <v>-0.11041708643965353</v>
      </c>
      <c r="S732" s="19">
        <f ca="1">IF('Stock Price'!$I$11="OK",F732/INDEX(F$5:F$1258,'Stock Price'!$I$9)-1,"")</f>
        <v>-0.18872691933916419</v>
      </c>
      <c r="T732" s="19">
        <f ca="1">IF('Stock Price'!$I$11="OK",G732/INDEX(G$5:G$1258,'Stock Price'!$I$9)-1,"")</f>
        <v>0.1677379224549036</v>
      </c>
      <c r="U732" s="19">
        <f ca="1">IF('Stock Price'!$I$11="OK",H732/INDEX(H$5:H$1258,'Stock Price'!$I$9)-1,"")</f>
        <v>-0.27526315789473688</v>
      </c>
      <c r="V732" s="19">
        <f ca="1">IF('Stock Price'!$I$11="OK",I732/INDEX(I$5:I$1258,'Stock Price'!$I$9)-1,"")</f>
        <v>0.14455917394757756</v>
      </c>
      <c r="W732" s="19">
        <f ca="1">IF('Stock Price'!$I$11="OK",J732/INDEX(J$5:J$1258,'Stock Price'!$I$9)-1,"")</f>
        <v>-0.1165167166500054</v>
      </c>
      <c r="X732" s="19">
        <f ca="1">IF('Stock Price'!$I$11="OK",K732/INDEX(K$5:K$1258,'Stock Price'!$I$9)-1,"")</f>
        <v>-9.9887766554433322E-2</v>
      </c>
      <c r="Y732" s="19">
        <f ca="1">IF('Stock Price'!$I$11="OK",L732/INDEX(L$5:L$1258,'Stock Price'!$I$9)-1,"")</f>
        <v>-0.21413069688931763</v>
      </c>
      <c r="Z732" s="19">
        <f ca="1">IF('Stock Price'!$I$11="OK",M732/INDEX(M$5:M$1258,'Stock Price'!$I$9)-1,"")</f>
        <v>-0.14561074527931628</v>
      </c>
    </row>
    <row r="733" spans="1:26" x14ac:dyDescent="0.2">
      <c r="A733" s="16">
        <f>'Stock Price'!A733</f>
        <v>45532</v>
      </c>
      <c r="B733" s="17">
        <f>'Stock Price'!E733</f>
        <v>117.4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0.10286519492719592</v>
      </c>
      <c r="P733" s="19">
        <f ca="1">IF('Stock Price'!$I$11="OK",C733/INDEX(C$5:C$1258,'Stock Price'!$I$9)-1,"")</f>
        <v>-0.13396852894470901</v>
      </c>
      <c r="Q733" s="19">
        <f ca="1">IF('Stock Price'!$I$11="OK",D733/INDEX(D$5:D$1258,'Stock Price'!$I$9)-1,"")</f>
        <v>-4.9541535513890844E-2</v>
      </c>
      <c r="R733" s="19">
        <f ca="1">IF('Stock Price'!$I$11="OK",E733/INDEX(E$5:E$1258,'Stock Price'!$I$9)-1,"")</f>
        <v>-0.11545436228087858</v>
      </c>
      <c r="S733" s="19">
        <f ca="1">IF('Stock Price'!$I$11="OK",F733/INDEX(F$5:F$1258,'Stock Price'!$I$9)-1,"")</f>
        <v>-0.18950437317784252</v>
      </c>
      <c r="T733" s="19">
        <f ca="1">IF('Stock Price'!$I$11="OK",G733/INDEX(G$5:G$1258,'Stock Price'!$I$9)-1,"")</f>
        <v>0.16338378602529557</v>
      </c>
      <c r="U733" s="19">
        <f ca="1">IF('Stock Price'!$I$11="OK",H733/INDEX(H$5:H$1258,'Stock Price'!$I$9)-1,"")</f>
        <v>-0.27342105263157901</v>
      </c>
      <c r="V733" s="19">
        <f ca="1">IF('Stock Price'!$I$11="OK",I733/INDEX(I$5:I$1258,'Stock Price'!$I$9)-1,"")</f>
        <v>0.14177918983320104</v>
      </c>
      <c r="W733" s="19">
        <f ca="1">IF('Stock Price'!$I$11="OK",J733/INDEX(J$5:J$1258,'Stock Price'!$I$9)-1,"")</f>
        <v>-0.12164463697286076</v>
      </c>
      <c r="X733" s="19">
        <f ca="1">IF('Stock Price'!$I$11="OK",K733/INDEX(K$5:K$1258,'Stock Price'!$I$9)-1,"")</f>
        <v>-8.2304526748971152E-2</v>
      </c>
      <c r="Y733" s="19">
        <f ca="1">IF('Stock Price'!$I$11="OK",L733/INDEX(L$5:L$1258,'Stock Price'!$I$9)-1,"")</f>
        <v>-0.20945261634916812</v>
      </c>
      <c r="Z733" s="19">
        <f ca="1">IF('Stock Price'!$I$11="OK",M733/INDEX(M$5:M$1258,'Stock Price'!$I$9)-1,"")</f>
        <v>-0.14787841786228251</v>
      </c>
    </row>
    <row r="734" spans="1:26" x14ac:dyDescent="0.2">
      <c r="A734" s="16">
        <f>'Stock Price'!A734</f>
        <v>45533</v>
      </c>
      <c r="B734" s="17">
        <f>'Stock Price'!E734</f>
        <v>117.46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0.10342883983090645</v>
      </c>
      <c r="P734" s="19">
        <f ca="1">IF('Stock Price'!$I$11="OK",C734/INDEX(C$5:C$1258,'Stock Price'!$I$9)-1,"")</f>
        <v>-0.13079255088783015</v>
      </c>
      <c r="Q734" s="19">
        <f ca="1">IF('Stock Price'!$I$11="OK",D734/INDEX(D$5:D$1258,'Stock Price'!$I$9)-1,"")</f>
        <v>-5.8328178459011948E-2</v>
      </c>
      <c r="R734" s="19">
        <f ca="1">IF('Stock Price'!$I$11="OK",E734/INDEX(E$5:E$1258,'Stock Price'!$I$9)-1,"")</f>
        <v>-0.11867821881926255</v>
      </c>
      <c r="S734" s="19">
        <f ca="1">IF('Stock Price'!$I$11="OK",F734/INDEX(F$5:F$1258,'Stock Price'!$I$9)-1,"")</f>
        <v>-0.18289601554907686</v>
      </c>
      <c r="T734" s="19">
        <f ca="1">IF('Stock Price'!$I$11="OK",G734/INDEX(G$5:G$1258,'Stock Price'!$I$9)-1,"")</f>
        <v>0.16794526228488493</v>
      </c>
      <c r="U734" s="19">
        <f ca="1">IF('Stock Price'!$I$11="OK",H734/INDEX(H$5:H$1258,'Stock Price'!$I$9)-1,"")</f>
        <v>-0.26815789473684215</v>
      </c>
      <c r="V734" s="19">
        <f ca="1">IF('Stock Price'!$I$11="OK",I734/INDEX(I$5:I$1258,'Stock Price'!$I$9)-1,"")</f>
        <v>0.14058776806989681</v>
      </c>
      <c r="W734" s="19">
        <f ca="1">IF('Stock Price'!$I$11="OK",J734/INDEX(J$5:J$1258,'Stock Price'!$I$9)-1,"")</f>
        <v>-0.12973453293346648</v>
      </c>
      <c r="X734" s="19">
        <f ca="1">IF('Stock Price'!$I$11="OK",K734/INDEX(K$5:K$1258,'Stock Price'!$I$9)-1,"")</f>
        <v>-6.9958847736625529E-2</v>
      </c>
      <c r="Y734" s="19">
        <f ca="1">IF('Stock Price'!$I$11="OK",L734/INDEX(L$5:L$1258,'Stock Price'!$I$9)-1,"")</f>
        <v>-0.2079575596816976</v>
      </c>
      <c r="Z734" s="19">
        <f ca="1">IF('Stock Price'!$I$11="OK",M734/INDEX(M$5:M$1258,'Stock Price'!$I$9)-1,"")</f>
        <v>-0.14883781780122973</v>
      </c>
    </row>
    <row r="735" spans="1:26" x14ac:dyDescent="0.2">
      <c r="A735" s="16">
        <f>'Stock Price'!A735</f>
        <v>45534</v>
      </c>
      <c r="B735" s="17">
        <f>'Stock Price'!E735</f>
        <v>118.45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0.11272898074213256</v>
      </c>
      <c r="P735" s="19">
        <f ca="1">IF('Stock Price'!$I$11="OK",C735/INDEX(C$5:C$1258,'Stock Price'!$I$9)-1,"")</f>
        <v>-0.12740002887252777</v>
      </c>
      <c r="Q735" s="19">
        <f ca="1">IF('Stock Price'!$I$11="OK",D735/INDEX(D$5:D$1258,'Stock Price'!$I$9)-1,"")</f>
        <v>-4.2014506637470972E-2</v>
      </c>
      <c r="R735" s="19">
        <f ca="1">IF('Stock Price'!$I$11="OK",E735/INDEX(E$5:E$1258,'Stock Price'!$I$9)-1,"")</f>
        <v>-0.1152528712472296</v>
      </c>
      <c r="S735" s="19">
        <f ca="1">IF('Stock Price'!$I$11="OK",F735/INDEX(F$5:F$1258,'Stock Price'!$I$9)-1,"")</f>
        <v>-0.17725947521865892</v>
      </c>
      <c r="T735" s="19">
        <f ca="1">IF('Stock Price'!$I$11="OK",G735/INDEX(G$5:G$1258,'Stock Price'!$I$9)-1,"")</f>
        <v>0.16649388347501559</v>
      </c>
      <c r="U735" s="19">
        <f ca="1">IF('Stock Price'!$I$11="OK",H735/INDEX(H$5:H$1258,'Stock Price'!$I$9)-1,"")</f>
        <v>-0.26671052631578951</v>
      </c>
      <c r="V735" s="19">
        <f ca="1">IF('Stock Price'!$I$11="OK",I735/INDEX(I$5:I$1258,'Stock Price'!$I$9)-1,"")</f>
        <v>0.15210484511517075</v>
      </c>
      <c r="W735" s="19">
        <f ca="1">IF('Stock Price'!$I$11="OK",J735/INDEX(J$5:J$1258,'Stock Price'!$I$9)-1,"")</f>
        <v>-0.11138879632715015</v>
      </c>
      <c r="X735" s="19">
        <f ca="1">IF('Stock Price'!$I$11="OK",K735/INDEX(K$5:K$1258,'Stock Price'!$I$9)-1,"")</f>
        <v>-6.5656565656565635E-2</v>
      </c>
      <c r="Y735" s="19">
        <f ca="1">IF('Stock Price'!$I$11="OK",L735/INDEX(L$5:L$1258,'Stock Price'!$I$9)-1,"")</f>
        <v>-0.20009645526886899</v>
      </c>
      <c r="Z735" s="19">
        <f ca="1">IF('Stock Price'!$I$11="OK",M735/INDEX(M$5:M$1258,'Stock Price'!$I$9)-1,"")</f>
        <v>-0.14390999084209144</v>
      </c>
    </row>
    <row r="736" spans="1:26" x14ac:dyDescent="0.2">
      <c r="A736" s="16">
        <f>'Stock Price'!A736</f>
        <v>45538</v>
      </c>
      <c r="B736" s="17">
        <f>'Stock Price'!E736</f>
        <v>116.58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9.5162047909816749E-2</v>
      </c>
      <c r="P736" s="19">
        <f ca="1">IF('Stock Price'!$I$11="OK",C736/INDEX(C$5:C$1258,'Stock Price'!$I$9)-1,"")</f>
        <v>-0.14465136422693803</v>
      </c>
      <c r="Q736" s="19">
        <f ca="1">IF('Stock Price'!$I$11="OK",D736/INDEX(D$5:D$1258,'Stock Price'!$I$9)-1,"")</f>
        <v>-5.4057752839742679E-2</v>
      </c>
      <c r="R736" s="19">
        <f ca="1">IF('Stock Price'!$I$11="OK",E736/INDEX(E$5:E$1258,'Stock Price'!$I$9)-1,"")</f>
        <v>-0.12472294982873267</v>
      </c>
      <c r="S736" s="19">
        <f ca="1">IF('Stock Price'!$I$11="OK",F736/INDEX(F$5:F$1258,'Stock Price'!$I$9)-1,"")</f>
        <v>-0.20000000000000007</v>
      </c>
      <c r="T736" s="19">
        <f ca="1">IF('Stock Price'!$I$11="OK",G736/INDEX(G$5:G$1258,'Stock Price'!$I$9)-1,"")</f>
        <v>0.19282604188264574</v>
      </c>
      <c r="U736" s="19">
        <f ca="1">IF('Stock Price'!$I$11="OK",H736/INDEX(H$5:H$1258,'Stock Price'!$I$9)-1,"")</f>
        <v>-0.26815789473684215</v>
      </c>
      <c r="V736" s="19">
        <f ca="1">IF('Stock Price'!$I$11="OK",I736/INDEX(I$5:I$1258,'Stock Price'!$I$9)-1,"")</f>
        <v>0.12390786338363791</v>
      </c>
      <c r="W736" s="19">
        <f ca="1">IF('Stock Price'!$I$11="OK",J736/INDEX(J$5:J$1258,'Stock Price'!$I$9)-1,"")</f>
        <v>-0.11461920100707168</v>
      </c>
      <c r="X736" s="19">
        <f ca="1">IF('Stock Price'!$I$11="OK",K736/INDEX(K$5:K$1258,'Stock Price'!$I$9)-1,"")</f>
        <v>-5.4994388327721633E-2</v>
      </c>
      <c r="Y736" s="19">
        <f ca="1">IF('Stock Price'!$I$11="OK",L736/INDEX(L$5:L$1258,'Stock Price'!$I$9)-1,"")</f>
        <v>-0.19382686279238004</v>
      </c>
      <c r="Z736" s="19">
        <f ca="1">IF('Stock Price'!$I$11="OK",M736/INDEX(M$5:M$1258,'Stock Price'!$I$9)-1,"")</f>
        <v>-0.13789193667960409</v>
      </c>
    </row>
    <row r="737" spans="1:26" x14ac:dyDescent="0.2">
      <c r="A737" s="16">
        <f>'Stock Price'!A737</f>
        <v>45539</v>
      </c>
      <c r="B737" s="17">
        <f>'Stock Price'!E737</f>
        <v>115.8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8.7834664161578146E-2</v>
      </c>
      <c r="P737" s="19">
        <f ca="1">IF('Stock Price'!$I$11="OK",C737/INDEX(C$5:C$1258,'Stock Price'!$I$9)-1,"")</f>
        <v>-0.13829940811318031</v>
      </c>
      <c r="Q737" s="19">
        <f ca="1">IF('Stock Price'!$I$11="OK",D737/INDEX(D$5:D$1258,'Stock Price'!$I$9)-1,"")</f>
        <v>-7.0589845353770442E-2</v>
      </c>
      <c r="R737" s="19">
        <f ca="1">IF('Stock Price'!$I$11="OK",E737/INDEX(E$5:E$1258,'Stock Price'!$I$9)-1,"")</f>
        <v>-0.10820068506951452</v>
      </c>
      <c r="S737" s="19">
        <f ca="1">IF('Stock Price'!$I$11="OK",F737/INDEX(F$5:F$1258,'Stock Price'!$I$9)-1,"")</f>
        <v>-0.20408163265306123</v>
      </c>
      <c r="T737" s="19">
        <f ca="1">IF('Stock Price'!$I$11="OK",G737/INDEX(G$5:G$1258,'Stock Price'!$I$9)-1,"")</f>
        <v>0.21356002488077963</v>
      </c>
      <c r="U737" s="19">
        <f ca="1">IF('Stock Price'!$I$11="OK",H737/INDEX(H$5:H$1258,'Stock Price'!$I$9)-1,"")</f>
        <v>-0.26605263157894732</v>
      </c>
      <c r="V737" s="19">
        <f ca="1">IF('Stock Price'!$I$11="OK",I737/INDEX(I$5:I$1258,'Stock Price'!$I$9)-1,"")</f>
        <v>0.12748212867355058</v>
      </c>
      <c r="W737" s="19">
        <f ca="1">IF('Stock Price'!$I$11="OK",J737/INDEX(J$5:J$1258,'Stock Price'!$I$9)-1,"")</f>
        <v>-0.12407901070013694</v>
      </c>
      <c r="X737" s="19">
        <f ca="1">IF('Stock Price'!$I$11="OK",K737/INDEX(K$5:K$1258,'Stock Price'!$I$9)-1,"")</f>
        <v>-6.5469509913954393E-2</v>
      </c>
      <c r="Y737" s="19">
        <f ca="1">IF('Stock Price'!$I$11="OK",L737/INDEX(L$5:L$1258,'Stock Price'!$I$9)-1,"")</f>
        <v>-0.19286231010368937</v>
      </c>
      <c r="Z737" s="19">
        <f ca="1">IF('Stock Price'!$I$11="OK",M737/INDEX(M$5:M$1258,'Stock Price'!$I$9)-1,"")</f>
        <v>-0.14085735467271387</v>
      </c>
    </row>
    <row r="738" spans="1:26" x14ac:dyDescent="0.2">
      <c r="A738" s="16">
        <f>'Stock Price'!A738</f>
        <v>45540</v>
      </c>
      <c r="B738" s="17">
        <f>'Stock Price'!E738</f>
        <v>118.59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0.114044152184124</v>
      </c>
      <c r="P738" s="19">
        <f ca="1">IF('Stock Price'!$I$11="OK",C738/INDEX(C$5:C$1258,'Stock Price'!$I$9)-1,"")</f>
        <v>-0.15915980944131658</v>
      </c>
      <c r="Q738" s="19">
        <f ca="1">IF('Stock Price'!$I$11="OK",D738/INDEX(D$5:D$1258,'Stock Price'!$I$9)-1,"")</f>
        <v>-9.8070343506227009E-2</v>
      </c>
      <c r="R738" s="19">
        <f ca="1">IF('Stock Price'!$I$11="OK",E738/INDEX(E$5:E$1258,'Stock Price'!$I$9)-1,"")</f>
        <v>-0.13096917187185164</v>
      </c>
      <c r="S738" s="19">
        <f ca="1">IF('Stock Price'!$I$11="OK",F738/INDEX(F$5:F$1258,'Stock Price'!$I$9)-1,"")</f>
        <v>-0.21010689990281828</v>
      </c>
      <c r="T738" s="19">
        <f ca="1">IF('Stock Price'!$I$11="OK",G738/INDEX(G$5:G$1258,'Stock Price'!$I$9)-1,"")</f>
        <v>0.20754716981132093</v>
      </c>
      <c r="U738" s="19">
        <f ca="1">IF('Stock Price'!$I$11="OK",H738/INDEX(H$5:H$1258,'Stock Price'!$I$9)-1,"")</f>
        <v>-0.23749999999999993</v>
      </c>
      <c r="V738" s="19">
        <f ca="1">IF('Stock Price'!$I$11="OK",I738/INDEX(I$5:I$1258,'Stock Price'!$I$9)-1,"")</f>
        <v>0.13224781572676725</v>
      </c>
      <c r="W738" s="19">
        <f ca="1">IF('Stock Price'!$I$11="OK",J738/INDEX(J$5:J$1258,'Stock Price'!$I$9)-1,"")</f>
        <v>-0.15514273020104397</v>
      </c>
      <c r="X738" s="19">
        <f ca="1">IF('Stock Price'!$I$11="OK",K738/INDEX(K$5:K$1258,'Stock Price'!$I$9)-1,"")</f>
        <v>-6.8462401795735151E-2</v>
      </c>
      <c r="Y738" s="19">
        <f ca="1">IF('Stock Price'!$I$11="OK",L738/INDEX(L$5:L$1258,'Stock Price'!$I$9)-1,"")</f>
        <v>-0.20429225946467322</v>
      </c>
      <c r="Z738" s="19">
        <f ca="1">IF('Stock Price'!$I$11="OK",M738/INDEX(M$5:M$1258,'Stock Price'!$I$9)-1,"")</f>
        <v>-0.1589551262483101</v>
      </c>
    </row>
    <row r="739" spans="1:26" x14ac:dyDescent="0.2">
      <c r="A739" s="16">
        <f>'Stock Price'!A739</f>
        <v>45541</v>
      </c>
      <c r="B739" s="17">
        <f>'Stock Price'!E739</f>
        <v>117.84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0.10699859088774066</v>
      </c>
      <c r="P739" s="19">
        <f ca="1">IF('Stock Price'!$I$11="OK",C739/INDEX(C$5:C$1258,'Stock Price'!$I$9)-1,"")</f>
        <v>-0.15800490832972414</v>
      </c>
      <c r="Q739" s="19">
        <f ca="1">IF('Stock Price'!$I$11="OK",D739/INDEX(D$5:D$1258,'Stock Price'!$I$9)-1,"")</f>
        <v>-7.4996578623238053E-2</v>
      </c>
      <c r="R739" s="19">
        <f ca="1">IF('Stock Price'!$I$11="OK",E739/INDEX(E$5:E$1258,'Stock Price'!$I$9)-1,"")</f>
        <v>-0.12008865605480556</v>
      </c>
      <c r="S739" s="19">
        <f ca="1">IF('Stock Price'!$I$11="OK",F739/INDEX(F$5:F$1258,'Stock Price'!$I$9)-1,"")</f>
        <v>-0.213022351797862</v>
      </c>
      <c r="T739" s="19">
        <f ca="1">IF('Stock Price'!$I$11="OK",G739/INDEX(G$5:G$1258,'Stock Price'!$I$9)-1,"")</f>
        <v>0.19697283848227243</v>
      </c>
      <c r="U739" s="19">
        <f ca="1">IF('Stock Price'!$I$11="OK",H739/INDEX(H$5:H$1258,'Stock Price'!$I$9)-1,"")</f>
        <v>-0.23921052631578943</v>
      </c>
      <c r="V739" s="19">
        <f ca="1">IF('Stock Price'!$I$11="OK",I739/INDEX(I$5:I$1258,'Stock Price'!$I$9)-1,"")</f>
        <v>0.13423351866560762</v>
      </c>
      <c r="W739" s="19">
        <f ca="1">IF('Stock Price'!$I$11="OK",J739/INDEX(J$5:J$1258,'Stock Price'!$I$9)-1,"")</f>
        <v>-0.16443592876448576</v>
      </c>
      <c r="X739" s="19">
        <f ca="1">IF('Stock Price'!$I$11="OK",K739/INDEX(K$5:K$1258,'Stock Price'!$I$9)-1,"")</f>
        <v>-8.9038533482977855E-2</v>
      </c>
      <c r="Y739" s="19">
        <f ca="1">IF('Stock Price'!$I$11="OK",L739/INDEX(L$5:L$1258,'Stock Price'!$I$9)-1,"")</f>
        <v>-0.20723414516517968</v>
      </c>
      <c r="Z739" s="19">
        <f ca="1">IF('Stock Price'!$I$11="OK",M739/INDEX(M$5:M$1258,'Stock Price'!$I$9)-1,"")</f>
        <v>-0.15660023548907587</v>
      </c>
    </row>
    <row r="740" spans="1:26" x14ac:dyDescent="0.2">
      <c r="A740" s="16">
        <f>'Stock Price'!A740</f>
        <v>45544</v>
      </c>
      <c r="B740" s="17">
        <f>'Stock Price'!E740</f>
        <v>115.41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8.4170972287458845E-2</v>
      </c>
      <c r="P740" s="19">
        <f ca="1">IF('Stock Price'!$I$11="OK",C740/INDEX(C$5:C$1258,'Stock Price'!$I$9)-1,"")</f>
        <v>-0.15432366103652373</v>
      </c>
      <c r="Q740" s="19">
        <f ca="1">IF('Stock Price'!$I$11="OK",D740/INDEX(D$5:D$1258,'Stock Price'!$I$9)-1,"")</f>
        <v>-0.12368961270015055</v>
      </c>
      <c r="R740" s="19">
        <f ca="1">IF('Stock Price'!$I$11="OK",E740/INDEX(E$5:E$1258,'Stock Price'!$I$9)-1,"")</f>
        <v>-0.11464839814628258</v>
      </c>
      <c r="S740" s="19">
        <f ca="1">IF('Stock Price'!$I$11="OK",F740/INDEX(F$5:F$1258,'Stock Price'!$I$9)-1,"")</f>
        <v>-0.23984450923226441</v>
      </c>
      <c r="T740" s="19">
        <f ca="1">IF('Stock Price'!$I$11="OK",G740/INDEX(G$5:G$1258,'Stock Price'!$I$9)-1,"")</f>
        <v>0.21314534522081696</v>
      </c>
      <c r="U740" s="19">
        <f ca="1">IF('Stock Price'!$I$11="OK",H740/INDEX(H$5:H$1258,'Stock Price'!$I$9)-1,"")</f>
        <v>-0.24526315789473685</v>
      </c>
      <c r="V740" s="19">
        <f ca="1">IF('Stock Price'!$I$11="OK",I740/INDEX(I$5:I$1258,'Stock Price'!$I$9)-1,"")</f>
        <v>0.16799046862589351</v>
      </c>
      <c r="W740" s="19">
        <f ca="1">IF('Stock Price'!$I$11="OK",J740/INDEX(J$5:J$1258,'Stock Price'!$I$9)-1,"")</f>
        <v>-0.15928949609389453</v>
      </c>
      <c r="X740" s="19">
        <f ca="1">IF('Stock Price'!$I$11="OK",K740/INDEX(K$5:K$1258,'Stock Price'!$I$9)-1,"")</f>
        <v>-9.2779648335203913E-2</v>
      </c>
      <c r="Y740" s="19">
        <f ca="1">IF('Stock Price'!$I$11="OK",L740/INDEX(L$5:L$1258,'Stock Price'!$I$9)-1,"")</f>
        <v>-0.19647938268627918</v>
      </c>
      <c r="Z740" s="19">
        <f ca="1">IF('Stock Price'!$I$11="OK",M740/INDEX(M$5:M$1258,'Stock Price'!$I$9)-1,"")</f>
        <v>-0.14343029087261794</v>
      </c>
    </row>
    <row r="741" spans="1:26" x14ac:dyDescent="0.2">
      <c r="A741" s="16">
        <f>'Stock Price'!A741</f>
        <v>45545</v>
      </c>
      <c r="B741" s="17">
        <f>'Stock Price'!E741</f>
        <v>115.33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8.3419445749177923E-2</v>
      </c>
      <c r="P741" s="19">
        <f ca="1">IF('Stock Price'!$I$11="OK",C741/INDEX(C$5:C$1258,'Stock Price'!$I$9)-1,"")</f>
        <v>-0.15555074346759057</v>
      </c>
      <c r="Q741" s="19">
        <f ca="1">IF('Stock Price'!$I$11="OK",D741/INDEX(D$5:D$1258,'Stock Price'!$I$9)-1,"")</f>
        <v>-0.12281374024907621</v>
      </c>
      <c r="R741" s="19">
        <f ca="1">IF('Stock Price'!$I$11="OK",E741/INDEX(E$5:E$1258,'Stock Price'!$I$9)-1,"")</f>
        <v>-0.1114245416078985</v>
      </c>
      <c r="S741" s="19">
        <f ca="1">IF('Stock Price'!$I$11="OK",F741/INDEX(F$5:F$1258,'Stock Price'!$I$9)-1,"")</f>
        <v>-0.22798833819241993</v>
      </c>
      <c r="T741" s="19">
        <f ca="1">IF('Stock Price'!$I$11="OK",G741/INDEX(G$5:G$1258,'Stock Price'!$I$9)-1,"")</f>
        <v>0.20526643168152625</v>
      </c>
      <c r="U741" s="19">
        <f ca="1">IF('Stock Price'!$I$11="OK",H741/INDEX(H$5:H$1258,'Stock Price'!$I$9)-1,"")</f>
        <v>-0.27328947368421053</v>
      </c>
      <c r="V741" s="19">
        <f ca="1">IF('Stock Price'!$I$11="OK",I741/INDEX(I$5:I$1258,'Stock Price'!$I$9)-1,"")</f>
        <v>0.18109610802223974</v>
      </c>
      <c r="W741" s="19">
        <f ca="1">IF('Stock Price'!$I$11="OK",J741/INDEX(J$5:J$1258,'Stock Price'!$I$9)-1,"")</f>
        <v>-0.16578733014920943</v>
      </c>
      <c r="X741" s="19">
        <f ca="1">IF('Stock Price'!$I$11="OK",K741/INDEX(K$5:K$1258,'Stock Price'!$I$9)-1,"")</f>
        <v>-7.8189300411522611E-2</v>
      </c>
      <c r="Y741" s="19">
        <f ca="1">IF('Stock Price'!$I$11="OK",L741/INDEX(L$5:L$1258,'Stock Price'!$I$9)-1,"")</f>
        <v>-0.19276585483482034</v>
      </c>
      <c r="Z741" s="19">
        <f ca="1">IF('Stock Price'!$I$11="OK",M741/INDEX(M$5:M$1258,'Stock Price'!$I$9)-1,"")</f>
        <v>-0.13065282804936551</v>
      </c>
    </row>
    <row r="742" spans="1:26" x14ac:dyDescent="0.2">
      <c r="A742" s="16">
        <f>'Stock Price'!A742</f>
        <v>45546</v>
      </c>
      <c r="B742" s="17">
        <f>'Stock Price'!E742</f>
        <v>114.71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7.7595115077501164E-2</v>
      </c>
      <c r="P742" s="19">
        <f ca="1">IF('Stock Price'!$I$11="OK",C742/INDEX(C$5:C$1258,'Stock Price'!$I$9)-1,"")</f>
        <v>-0.16789374909773347</v>
      </c>
      <c r="Q742" s="19">
        <f ca="1">IF('Stock Price'!$I$11="OK",D742/INDEX(D$5:D$1258,'Stock Price'!$I$9)-1,"")</f>
        <v>-0.12281374024907621</v>
      </c>
      <c r="R742" s="19">
        <f ca="1">IF('Stock Price'!$I$11="OK",E742/INDEX(E$5:E$1258,'Stock Price'!$I$9)-1,"")</f>
        <v>-0.11807374571831553</v>
      </c>
      <c r="S742" s="19">
        <f ca="1">IF('Stock Price'!$I$11="OK",F742/INDEX(F$5:F$1258,'Stock Price'!$I$9)-1,"")</f>
        <v>-0.27444120505345004</v>
      </c>
      <c r="T742" s="19">
        <f ca="1">IF('Stock Price'!$I$11="OK",G742/INDEX(G$5:G$1258,'Stock Price'!$I$9)-1,"")</f>
        <v>0.1913746630727764</v>
      </c>
      <c r="U742" s="19">
        <f ca="1">IF('Stock Price'!$I$11="OK",H742/INDEX(H$5:H$1258,'Stock Price'!$I$9)-1,"")</f>
        <v>-0.28921052631578947</v>
      </c>
      <c r="V742" s="19">
        <f ca="1">IF('Stock Price'!$I$11="OK",I742/INDEX(I$5:I$1258,'Stock Price'!$I$9)-1,"")</f>
        <v>0.17791898332009537</v>
      </c>
      <c r="W742" s="19">
        <f ca="1">IF('Stock Price'!$I$11="OK",J742/INDEX(J$5:J$1258,'Stock Price'!$I$9)-1,"")</f>
        <v>-0.14760820467251645</v>
      </c>
      <c r="X742" s="19">
        <f ca="1">IF('Stock Price'!$I$11="OK",K742/INDEX(K$5:K$1258,'Stock Price'!$I$9)-1,"")</f>
        <v>-9.1096146651702181E-2</v>
      </c>
      <c r="Y742" s="19">
        <f ca="1">IF('Stock Price'!$I$11="OK",L742/INDEX(L$5:L$1258,'Stock Price'!$I$9)-1,"")</f>
        <v>-0.20511212925006028</v>
      </c>
      <c r="Z742" s="19">
        <f ca="1">IF('Stock Price'!$I$11="OK",M742/INDEX(M$5:M$1258,'Stock Price'!$I$9)-1,"")</f>
        <v>-0.1514107540011338</v>
      </c>
    </row>
    <row r="743" spans="1:26" x14ac:dyDescent="0.2">
      <c r="A743" s="16">
        <f>'Stock Price'!A743</f>
        <v>45547</v>
      </c>
      <c r="B743" s="17">
        <f>'Stock Price'!E743</f>
        <v>115.25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8.2667919210897001E-2</v>
      </c>
      <c r="P743" s="19">
        <f ca="1">IF('Stock Price'!$I$11="OK",C743/INDEX(C$5:C$1258,'Stock Price'!$I$9)-1,"")</f>
        <v>-0.16471777104085461</v>
      </c>
      <c r="Q743" s="19">
        <f ca="1">IF('Stock Price'!$I$11="OK",D743/INDEX(D$5:D$1258,'Stock Price'!$I$9)-1,"")</f>
        <v>-0.14394471055152602</v>
      </c>
      <c r="R743" s="19">
        <f ca="1">IF('Stock Price'!$I$11="OK",E743/INDEX(E$5:E$1258,'Stock Price'!$I$9)-1,"")</f>
        <v>-0.1313721539391498</v>
      </c>
      <c r="S743" s="19">
        <f ca="1">IF('Stock Price'!$I$11="OK",F743/INDEX(F$5:F$1258,'Stock Price'!$I$9)-1,"")</f>
        <v>-0.24761904761904763</v>
      </c>
      <c r="T743" s="19">
        <f ca="1">IF('Stock Price'!$I$11="OK",G743/INDEX(G$5:G$1258,'Stock Price'!$I$9)-1,"")</f>
        <v>0.1766535351441012</v>
      </c>
      <c r="U743" s="19">
        <f ca="1">IF('Stock Price'!$I$11="OK",H743/INDEX(H$5:H$1258,'Stock Price'!$I$9)-1,"")</f>
        <v>-0.29500000000000004</v>
      </c>
      <c r="V743" s="19">
        <f ca="1">IF('Stock Price'!$I$11="OK",I743/INDEX(I$5:I$1258,'Stock Price'!$I$9)-1,"")</f>
        <v>0.15806195393169187</v>
      </c>
      <c r="W743" s="19">
        <f ca="1">IF('Stock Price'!$I$11="OK",J743/INDEX(J$5:J$1258,'Stock Price'!$I$9)-1,"")</f>
        <v>-0.13452923099707503</v>
      </c>
      <c r="X743" s="19">
        <f ca="1">IF('Stock Price'!$I$11="OK",K743/INDEX(K$5:K$1258,'Stock Price'!$I$9)-1,"")</f>
        <v>-9.7643097643097643E-2</v>
      </c>
      <c r="Y743" s="19">
        <f ca="1">IF('Stock Price'!$I$11="OK",L743/INDEX(L$5:L$1258,'Stock Price'!$I$9)-1,"")</f>
        <v>-0.20598022666988192</v>
      </c>
      <c r="Z743" s="19">
        <f ca="1">IF('Stock Price'!$I$11="OK",M743/INDEX(M$5:M$1258,'Stock Price'!$I$9)-1,"")</f>
        <v>-0.15389647202476997</v>
      </c>
    </row>
    <row r="744" spans="1:26" x14ac:dyDescent="0.2">
      <c r="A744" s="16">
        <f>'Stock Price'!A744</f>
        <v>45548</v>
      </c>
      <c r="B744" s="17">
        <f>'Stock Price'!E744</f>
        <v>115.86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8.8398309065288894E-2</v>
      </c>
      <c r="P744" s="19">
        <f ca="1">IF('Stock Price'!$I$11="OK",C744/INDEX(C$5:C$1258,'Stock Price'!$I$9)-1,"")</f>
        <v>-0.16515085895770176</v>
      </c>
      <c r="Q744" s="19">
        <f ca="1">IF('Stock Price'!$I$11="OK",D744/INDEX(D$5:D$1258,'Stock Price'!$I$9)-1,"")</f>
        <v>-0.13430956616942669</v>
      </c>
      <c r="R744" s="19">
        <f ca="1">IF('Stock Price'!$I$11="OK",E744/INDEX(E$5:E$1258,'Stock Price'!$I$9)-1,"")</f>
        <v>-0.13338706427563984</v>
      </c>
      <c r="S744" s="19">
        <f ca="1">IF('Stock Price'!$I$11="OK",F744/INDEX(F$5:F$1258,'Stock Price'!$I$9)-1,"")</f>
        <v>-0.23984450923226441</v>
      </c>
      <c r="T744" s="19">
        <f ca="1">IF('Stock Price'!$I$11="OK",G744/INDEX(G$5:G$1258,'Stock Price'!$I$9)-1,"")</f>
        <v>0.18453244868339214</v>
      </c>
      <c r="U744" s="19">
        <f ca="1">IF('Stock Price'!$I$11="OK",H744/INDEX(H$5:H$1258,'Stock Price'!$I$9)-1,"")</f>
        <v>-0.29000000000000004</v>
      </c>
      <c r="V744" s="19">
        <f ca="1">IF('Stock Price'!$I$11="OK",I744/INDEX(I$5:I$1258,'Stock Price'!$I$9)-1,"")</f>
        <v>0.16243050039714069</v>
      </c>
      <c r="W744" s="19">
        <f ca="1">IF('Stock Price'!$I$11="OK",J744/INDEX(J$5:J$1258,'Stock Price'!$I$9)-1,"")</f>
        <v>-0.14499796364174888</v>
      </c>
      <c r="X744" s="19">
        <f ca="1">IF('Stock Price'!$I$11="OK",K744/INDEX(K$5:K$1258,'Stock Price'!$I$9)-1,"")</f>
        <v>-8.0995136550692126E-2</v>
      </c>
      <c r="Y744" s="19">
        <f ca="1">IF('Stock Price'!$I$11="OK",L744/INDEX(L$5:L$1258,'Stock Price'!$I$9)-1,"")</f>
        <v>-0.201736194839643</v>
      </c>
      <c r="Z744" s="19">
        <f ca="1">IF('Stock Price'!$I$11="OK",M744/INDEX(M$5:M$1258,'Stock Price'!$I$9)-1,"")</f>
        <v>-0.15306789935022458</v>
      </c>
    </row>
    <row r="745" spans="1:26" x14ac:dyDescent="0.2">
      <c r="A745" s="16">
        <f>'Stock Price'!A745</f>
        <v>45551</v>
      </c>
      <c r="B745" s="17">
        <f>'Stock Price'!E745</f>
        <v>117.96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0.10812588069516194</v>
      </c>
      <c r="P745" s="19">
        <f ca="1">IF('Stock Price'!$I$11="OK",C745/INDEX(C$5:C$1258,'Stock Price'!$I$9)-1,"")</f>
        <v>-0.1558394687454886</v>
      </c>
      <c r="Q745" s="19">
        <f ca="1">IF('Stock Price'!$I$11="OK",D745/INDEX(D$5:D$1258,'Stock Price'!$I$9)-1,"")</f>
        <v>-0.1405501573833311</v>
      </c>
      <c r="R745" s="19">
        <f ca="1">IF('Stock Price'!$I$11="OK",E745/INDEX(E$5:E$1258,'Stock Price'!$I$9)-1,"")</f>
        <v>-0.12250654845859366</v>
      </c>
      <c r="S745" s="19">
        <f ca="1">IF('Stock Price'!$I$11="OK",F745/INDEX(F$5:F$1258,'Stock Price'!$I$9)-1,"")</f>
        <v>-0.23790087463556853</v>
      </c>
      <c r="T745" s="19">
        <f ca="1">IF('Stock Price'!$I$11="OK",G745/INDEX(G$5:G$1258,'Stock Price'!$I$9)-1,"")</f>
        <v>0.18867924528301883</v>
      </c>
      <c r="U745" s="19">
        <f ca="1">IF('Stock Price'!$I$11="OK",H745/INDEX(H$5:H$1258,'Stock Price'!$I$9)-1,"")</f>
        <v>-0.29710526315789476</v>
      </c>
      <c r="V745" s="19">
        <f ca="1">IF('Stock Price'!$I$11="OK",I745/INDEX(I$5:I$1258,'Stock Price'!$I$9)-1,"")</f>
        <v>0.1942017474185862</v>
      </c>
      <c r="W745" s="19">
        <f ca="1">IF('Stock Price'!$I$11="OK",J745/INDEX(J$5:J$1258,'Stock Price'!$I$9)-1,"")</f>
        <v>-0.14515531859750452</v>
      </c>
      <c r="X745" s="19">
        <f ca="1">IF('Stock Price'!$I$11="OK",K745/INDEX(K$5:K$1258,'Stock Price'!$I$9)-1,"")</f>
        <v>-6.4908342686120446E-2</v>
      </c>
      <c r="Y745" s="19">
        <f ca="1">IF('Stock Price'!$I$11="OK",L745/INDEX(L$5:L$1258,'Stock Price'!$I$9)-1,"")</f>
        <v>-0.19464673257776699</v>
      </c>
      <c r="Z745" s="19">
        <f ca="1">IF('Stock Price'!$I$11="OK",M745/INDEX(M$5:M$1258,'Stock Price'!$I$9)-1,"")</f>
        <v>-0.14643931795386167</v>
      </c>
    </row>
    <row r="746" spans="1:26" x14ac:dyDescent="0.2">
      <c r="A746" s="16">
        <f>'Stock Price'!A746</f>
        <v>45552</v>
      </c>
      <c r="B746" s="17">
        <f>'Stock Price'!E746</f>
        <v>118.29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0.11122592766557071</v>
      </c>
      <c r="P746" s="19">
        <f ca="1">IF('Stock Price'!$I$11="OK",C746/INDEX(C$5:C$1258,'Stock Price'!$I$9)-1,"")</f>
        <v>-0.16486213367980362</v>
      </c>
      <c r="Q746" s="19">
        <f ca="1">IF('Stock Price'!$I$11="OK",D746/INDEX(D$5:D$1258,'Stock Price'!$I$9)-1,"")</f>
        <v>-0.13616203640344871</v>
      </c>
      <c r="R746" s="19">
        <f ca="1">IF('Stock Price'!$I$11="OK",E746/INDEX(E$5:E$1258,'Stock Price'!$I$9)-1,"")</f>
        <v>-0.14245416078984485</v>
      </c>
      <c r="S746" s="19">
        <f ca="1">IF('Stock Price'!$I$11="OK",F746/INDEX(F$5:F$1258,'Stock Price'!$I$9)-1,"")</f>
        <v>-0.23556851311953364</v>
      </c>
      <c r="T746" s="19">
        <f ca="1">IF('Stock Price'!$I$11="OK",G746/INDEX(G$5:G$1258,'Stock Price'!$I$9)-1,"")</f>
        <v>0.17997097242380256</v>
      </c>
      <c r="U746" s="19">
        <f ca="1">IF('Stock Price'!$I$11="OK",H746/INDEX(H$5:H$1258,'Stock Price'!$I$9)-1,"")</f>
        <v>-0.27723684210526311</v>
      </c>
      <c r="V746" s="19">
        <f ca="1">IF('Stock Price'!$I$11="OK",I746/INDEX(I$5:I$1258,'Stock Price'!$I$9)-1,"")</f>
        <v>0.18467037331215241</v>
      </c>
      <c r="W746" s="19">
        <f ca="1">IF('Stock Price'!$I$11="OK",J746/INDEX(J$5:J$1258,'Stock Price'!$I$9)-1,"")</f>
        <v>-0.16122403643230032</v>
      </c>
      <c r="X746" s="19">
        <f ca="1">IF('Stock Price'!$I$11="OK",K746/INDEX(K$5:K$1258,'Stock Price'!$I$9)-1,"")</f>
        <v>-7.4261129816685312E-2</v>
      </c>
      <c r="Y746" s="19">
        <f ca="1">IF('Stock Price'!$I$11="OK",L746/INDEX(L$5:L$1258,'Stock Price'!$I$9)-1,"")</f>
        <v>-0.19426091150229086</v>
      </c>
      <c r="Z746" s="19">
        <f ca="1">IF('Stock Price'!$I$11="OK",M746/INDEX(M$5:M$1258,'Stock Price'!$I$9)-1,"")</f>
        <v>-0.15638219004840614</v>
      </c>
    </row>
    <row r="747" spans="1:26" x14ac:dyDescent="0.2">
      <c r="A747" s="16">
        <f>'Stock Price'!A747</f>
        <v>45553</v>
      </c>
      <c r="B747" s="17">
        <f>'Stock Price'!E747</f>
        <v>118.64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0.11451385627054944</v>
      </c>
      <c r="P747" s="19">
        <f ca="1">IF('Stock Price'!$I$11="OK",C747/INDEX(C$5:C$1258,'Stock Price'!$I$9)-1,"")</f>
        <v>-0.1629132380539916</v>
      </c>
      <c r="Q747" s="19">
        <f ca="1">IF('Stock Price'!$I$11="OK",D747/INDEX(D$5:D$1258,'Stock Price'!$I$9)-1,"")</f>
        <v>-0.1023949637334064</v>
      </c>
      <c r="R747" s="19">
        <f ca="1">IF('Stock Price'!$I$11="OK",E747/INDEX(E$5:E$1258,'Stock Price'!$I$9)-1,"")</f>
        <v>-0.14507354422728191</v>
      </c>
      <c r="S747" s="19">
        <f ca="1">IF('Stock Price'!$I$11="OK",F747/INDEX(F$5:F$1258,'Stock Price'!$I$9)-1,"")</f>
        <v>-0.23012633624878531</v>
      </c>
      <c r="T747" s="19">
        <f ca="1">IF('Stock Price'!$I$11="OK",G747/INDEX(G$5:G$1258,'Stock Price'!$I$9)-1,"")</f>
        <v>0.19158200290275773</v>
      </c>
      <c r="U747" s="19">
        <f ca="1">IF('Stock Price'!$I$11="OK",H747/INDEX(H$5:H$1258,'Stock Price'!$I$9)-1,"")</f>
        <v>-0.26513157894736838</v>
      </c>
      <c r="V747" s="19">
        <f ca="1">IF('Stock Price'!$I$11="OK",I747/INDEX(I$5:I$1258,'Stock Price'!$I$9)-1,"")</f>
        <v>0.18149324861000804</v>
      </c>
      <c r="W747" s="19">
        <f ca="1">IF('Stock Price'!$I$11="OK",J747/INDEX(J$5:J$1258,'Stock Price'!$I$9)-1,"")</f>
        <v>-0.16234403347032456</v>
      </c>
      <c r="X747" s="19">
        <f ca="1">IF('Stock Price'!$I$11="OK",K747/INDEX(K$5:K$1258,'Stock Price'!$I$9)-1,"")</f>
        <v>-6.9584736251402934E-2</v>
      </c>
      <c r="Y747" s="19">
        <f ca="1">IF('Stock Price'!$I$11="OK",L747/INDEX(L$5:L$1258,'Stock Price'!$I$9)-1,"")</f>
        <v>-0.19869785387026762</v>
      </c>
      <c r="Z747" s="19">
        <f ca="1">IF('Stock Price'!$I$11="OK",M747/INDEX(M$5:M$1258,'Stock Price'!$I$9)-1,"")</f>
        <v>-0.15860625354323843</v>
      </c>
    </row>
    <row r="748" spans="1:26" x14ac:dyDescent="0.2">
      <c r="A748" s="16">
        <f>'Stock Price'!A748</f>
        <v>45554</v>
      </c>
      <c r="B748" s="17">
        <f>'Stock Price'!E748</f>
        <v>117.23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0.10126820103334899</v>
      </c>
      <c r="P748" s="19">
        <f ca="1">IF('Stock Price'!$I$11="OK",C748/INDEX(C$5:C$1258,'Stock Price'!$I$9)-1,"")</f>
        <v>-0.16284105673451699</v>
      </c>
      <c r="Q748" s="19">
        <f ca="1">IF('Stock Price'!$I$11="OK",D748/INDEX(D$5:D$1258,'Stock Price'!$I$9)-1,"")</f>
        <v>-0.13653920897769267</v>
      </c>
      <c r="R748" s="19">
        <f ca="1">IF('Stock Price'!$I$11="OK",E748/INDEX(E$5:E$1258,'Stock Price'!$I$9)-1,"")</f>
        <v>-0.1613943179528512</v>
      </c>
      <c r="S748" s="19">
        <f ca="1">IF('Stock Price'!$I$11="OK",F748/INDEX(F$5:F$1258,'Stock Price'!$I$9)-1,"")</f>
        <v>-0.23304178814382903</v>
      </c>
      <c r="T748" s="19">
        <f ca="1">IF('Stock Price'!$I$11="OK",G748/INDEX(G$5:G$1258,'Stock Price'!$I$9)-1,"")</f>
        <v>0.20796184947128338</v>
      </c>
      <c r="U748" s="19">
        <f ca="1">IF('Stock Price'!$I$11="OK",H748/INDEX(H$5:H$1258,'Stock Price'!$I$9)-1,"")</f>
        <v>-0.23763157894736842</v>
      </c>
      <c r="V748" s="19">
        <f ca="1">IF('Stock Price'!$I$11="OK",I748/INDEX(I$5:I$1258,'Stock Price'!$I$9)-1,"")</f>
        <v>0.17791898332009537</v>
      </c>
      <c r="W748" s="19">
        <f ca="1">IF('Stock Price'!$I$11="OK",J748/INDEX(J$5:J$1258,'Stock Price'!$I$9)-1,"")</f>
        <v>-0.15302306638527896</v>
      </c>
      <c r="X748" s="19">
        <f ca="1">IF('Stock Price'!$I$11="OK",K748/INDEX(K$5:K$1258,'Stock Price'!$I$9)-1,"")</f>
        <v>-8.3052749719416341E-2</v>
      </c>
      <c r="Y748" s="19">
        <f ca="1">IF('Stock Price'!$I$11="OK",L748/INDEX(L$5:L$1258,'Stock Price'!$I$9)-1,"")</f>
        <v>-0.20511212925006028</v>
      </c>
      <c r="Z748" s="19">
        <f ca="1">IF('Stock Price'!$I$11="OK",M748/INDEX(M$5:M$1258,'Stock Price'!$I$9)-1,"")</f>
        <v>-0.15564083555012864</v>
      </c>
    </row>
    <row r="749" spans="1:26" x14ac:dyDescent="0.2">
      <c r="A749" s="16">
        <f>'Stock Price'!A749</f>
        <v>45555</v>
      </c>
      <c r="B749" s="17">
        <f>'Stock Price'!E749</f>
        <v>117.17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0.10070455612963825</v>
      </c>
      <c r="P749" s="19">
        <f ca="1">IF('Stock Price'!$I$11="OK",C749/INDEX(C$5:C$1258,'Stock Price'!$I$9)-1,"")</f>
        <v>-0.16312978201241513</v>
      </c>
      <c r="Q749" s="19">
        <f ca="1">IF('Stock Price'!$I$11="OK",D749/INDEX(D$5:D$1258,'Stock Price'!$I$9)-1,"")</f>
        <v>-0.15073272204735189</v>
      </c>
      <c r="R749" s="19">
        <f ca="1">IF('Stock Price'!$I$11="OK",E749/INDEX(E$5:E$1258,'Stock Price'!$I$9)-1,"")</f>
        <v>-0.17791658271206945</v>
      </c>
      <c r="S749" s="19">
        <f ca="1">IF('Stock Price'!$I$11="OK",F749/INDEX(F$5:F$1258,'Stock Price'!$I$9)-1,"")</f>
        <v>-0.23323615160349853</v>
      </c>
      <c r="T749" s="19">
        <f ca="1">IF('Stock Price'!$I$11="OK",G749/INDEX(G$5:G$1258,'Stock Price'!$I$9)-1,"")</f>
        <v>0.19489944018245908</v>
      </c>
      <c r="U749" s="19">
        <f ca="1">IF('Stock Price'!$I$11="OK",H749/INDEX(H$5:H$1258,'Stock Price'!$I$9)-1,"")</f>
        <v>-0.24578947368421056</v>
      </c>
      <c r="V749" s="19">
        <f ca="1">IF('Stock Price'!$I$11="OK",I749/INDEX(I$5:I$1258,'Stock Price'!$I$9)-1,"")</f>
        <v>0.1683876092136618</v>
      </c>
      <c r="W749" s="19">
        <f ca="1">IF('Stock Price'!$I$11="OK",J749/INDEX(J$5:J$1258,'Stock Price'!$I$9)-1,"")</f>
        <v>-0.14705283424043825</v>
      </c>
      <c r="X749" s="19">
        <f ca="1">IF('Stock Price'!$I$11="OK",K749/INDEX(K$5:K$1258,'Stock Price'!$I$9)-1,"")</f>
        <v>-7.5757575757575801E-2</v>
      </c>
      <c r="Y749" s="19">
        <f ca="1">IF('Stock Price'!$I$11="OK",L749/INDEX(L$5:L$1258,'Stock Price'!$I$9)-1,"")</f>
        <v>-0.20829515312273927</v>
      </c>
      <c r="Z749" s="19">
        <f ca="1">IF('Stock Price'!$I$11="OK",M749/INDEX(M$5:M$1258,'Stock Price'!$I$9)-1,"")</f>
        <v>-0.15629497187213814</v>
      </c>
    </row>
    <row r="750" spans="1:26" x14ac:dyDescent="0.2">
      <c r="A750" s="16">
        <f>'Stock Price'!A750</f>
        <v>45558</v>
      </c>
      <c r="B750" s="17">
        <f>'Stock Price'!E750</f>
        <v>115.63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8.6237670267731215E-2</v>
      </c>
      <c r="P750" s="19">
        <f ca="1">IF('Stock Price'!$I$11="OK",C750/INDEX(C$5:C$1258,'Stock Price'!$I$9)-1,"")</f>
        <v>-0.16002598527501077</v>
      </c>
      <c r="Q750" s="19">
        <f ca="1">IF('Stock Price'!$I$11="OK",D750/INDEX(D$5:D$1258,'Stock Price'!$I$9)-1,"")</f>
        <v>-0.15073272204735189</v>
      </c>
      <c r="R750" s="19">
        <f ca="1">IF('Stock Price'!$I$11="OK",E750/INDEX(E$5:E$1258,'Stock Price'!$I$9)-1,"")</f>
        <v>-0.1767076365101754</v>
      </c>
      <c r="S750" s="19">
        <f ca="1">IF('Stock Price'!$I$11="OK",F750/INDEX(F$5:F$1258,'Stock Price'!$I$9)-1,"")</f>
        <v>-0.2322643343051507</v>
      </c>
      <c r="T750" s="19">
        <f ca="1">IF('Stock Price'!$I$11="OK",G750/INDEX(G$5:G$1258,'Stock Price'!$I$9)-1,"")</f>
        <v>0.19075264358283239</v>
      </c>
      <c r="U750" s="19">
        <f ca="1">IF('Stock Price'!$I$11="OK",H750/INDEX(H$5:H$1258,'Stock Price'!$I$9)-1,"")</f>
        <v>-0.2477631578947368</v>
      </c>
      <c r="V750" s="19">
        <f ca="1">IF('Stock Price'!$I$11="OK",I750/INDEX(I$5:I$1258,'Stock Price'!$I$9)-1,"")</f>
        <v>0.16401906274821276</v>
      </c>
      <c r="W750" s="19">
        <f ca="1">IF('Stock Price'!$I$11="OK",J750/INDEX(J$5:J$1258,'Stock Price'!$I$9)-1,"")</f>
        <v>-0.14980191787922537</v>
      </c>
      <c r="X750" s="19">
        <f ca="1">IF('Stock Price'!$I$11="OK",K750/INDEX(K$5:K$1258,'Stock Price'!$I$9)-1,"")</f>
        <v>-6.4534231200897962E-2</v>
      </c>
      <c r="Y750" s="19">
        <f ca="1">IF('Stock Price'!$I$11="OK",L750/INDEX(L$5:L$1258,'Stock Price'!$I$9)-1,"")</f>
        <v>-0.21282855075958518</v>
      </c>
      <c r="Z750" s="19">
        <f ca="1">IF('Stock Price'!$I$11="OK",M750/INDEX(M$5:M$1258,'Stock Price'!$I$9)-1,"")</f>
        <v>-0.15472504469931525</v>
      </c>
    </row>
    <row r="751" spans="1:26" x14ac:dyDescent="0.2">
      <c r="A751" s="16">
        <f>'Stock Price'!A751</f>
        <v>45559</v>
      </c>
      <c r="B751" s="17">
        <f>'Stock Price'!E751</f>
        <v>114.96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7.9943635509628796E-2</v>
      </c>
      <c r="P751" s="19">
        <f ca="1">IF('Stock Price'!$I$11="OK",C751/INDEX(C$5:C$1258,'Stock Price'!$I$9)-1,"")</f>
        <v>-0.15966507867763813</v>
      </c>
      <c r="Q751" s="19">
        <f ca="1">IF('Stock Price'!$I$11="OK",D751/INDEX(D$5:D$1258,'Stock Price'!$I$9)-1,"")</f>
        <v>-0.18248255097851374</v>
      </c>
      <c r="R751" s="19">
        <f ca="1">IF('Stock Price'!$I$11="OK",E751/INDEX(E$5:E$1258,'Stock Price'!$I$9)-1,"")</f>
        <v>-0.17428974410638742</v>
      </c>
      <c r="S751" s="19">
        <f ca="1">IF('Stock Price'!$I$11="OK",F751/INDEX(F$5:F$1258,'Stock Price'!$I$9)-1,"")</f>
        <v>-0.22351797862001943</v>
      </c>
      <c r="T751" s="19">
        <f ca="1">IF('Stock Price'!$I$11="OK",G751/INDEX(G$5:G$1258,'Stock Price'!$I$9)-1,"")</f>
        <v>0.19469210035247775</v>
      </c>
      <c r="U751" s="19">
        <f ca="1">IF('Stock Price'!$I$11="OK",H751/INDEX(H$5:H$1258,'Stock Price'!$I$9)-1,"")</f>
        <v>-0.23697368421052634</v>
      </c>
      <c r="V751" s="19">
        <f ca="1">IF('Stock Price'!$I$11="OK",I751/INDEX(I$5:I$1258,'Stock Price'!$I$9)-1,"")</f>
        <v>0.17156473391580618</v>
      </c>
      <c r="W751" s="19">
        <f ca="1">IF('Stock Price'!$I$11="OK",J751/INDEX(J$5:J$1258,'Stock Price'!$I$9)-1,"")</f>
        <v>-0.14433151912325515</v>
      </c>
      <c r="X751" s="19">
        <f ca="1">IF('Stock Price'!$I$11="OK",K751/INDEX(K$5:K$1258,'Stock Price'!$I$9)-1,"")</f>
        <v>-4.7138047138047146E-2</v>
      </c>
      <c r="Y751" s="19">
        <f ca="1">IF('Stock Price'!$I$11="OK",L751/INDEX(L$5:L$1258,'Stock Price'!$I$9)-1,"")</f>
        <v>-0.21495056667470458</v>
      </c>
      <c r="Z751" s="19">
        <f ca="1">IF('Stock Price'!$I$11="OK",M751/INDEX(M$5:M$1258,'Stock Price'!$I$9)-1,"")</f>
        <v>-0.15612053551960237</v>
      </c>
    </row>
    <row r="752" spans="1:26" x14ac:dyDescent="0.2">
      <c r="A752" s="16">
        <f>'Stock Price'!A752</f>
        <v>45560</v>
      </c>
      <c r="B752" s="17">
        <f>'Stock Price'!E752</f>
        <v>114.73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7.7782996712071339E-2</v>
      </c>
      <c r="P752" s="19">
        <f ca="1">IF('Stock Price'!$I$11="OK",C752/INDEX(C$5:C$1258,'Stock Price'!$I$9)-1,"")</f>
        <v>-0.15959289735816362</v>
      </c>
      <c r="Q752" s="19">
        <f ca="1">IF('Stock Price'!$I$11="OK",D752/INDEX(D$5:D$1258,'Stock Price'!$I$9)-1,"")</f>
        <v>-0.16080470781442446</v>
      </c>
      <c r="R752" s="19">
        <f ca="1">IF('Stock Price'!$I$11="OK",E752/INDEX(E$5:E$1258,'Stock Price'!$I$9)-1,"")</f>
        <v>-0.18275236751964541</v>
      </c>
      <c r="S752" s="19">
        <f ca="1">IF('Stock Price'!$I$11="OK",F752/INDEX(F$5:F$1258,'Stock Price'!$I$9)-1,"")</f>
        <v>-0.22546161321671532</v>
      </c>
      <c r="T752" s="19">
        <f ca="1">IF('Stock Price'!$I$11="OK",G752/INDEX(G$5:G$1258,'Stock Price'!$I$9)-1,"")</f>
        <v>0.17458013684428786</v>
      </c>
      <c r="U752" s="19">
        <f ca="1">IF('Stock Price'!$I$11="OK",H752/INDEX(H$5:H$1258,'Stock Price'!$I$9)-1,"")</f>
        <v>-0.24447368421052629</v>
      </c>
      <c r="V752" s="19">
        <f ca="1">IF('Stock Price'!$I$11="OK",I752/INDEX(I$5:I$1258,'Stock Price'!$I$9)-1,"")</f>
        <v>0.14892772041302615</v>
      </c>
      <c r="W752" s="19">
        <f ca="1">IF('Stock Price'!$I$11="OK",J752/INDEX(J$5:J$1258,'Stock Price'!$I$9)-1,"")</f>
        <v>-0.14421118886297157</v>
      </c>
      <c r="X752" s="19">
        <f ca="1">IF('Stock Price'!$I$11="OK",K752/INDEX(K$5:K$1258,'Stock Price'!$I$9)-1,"")</f>
        <v>-6.5656565656565635E-2</v>
      </c>
      <c r="Y752" s="19">
        <f ca="1">IF('Stock Price'!$I$11="OK",L752/INDEX(L$5:L$1258,'Stock Price'!$I$9)-1,"")</f>
        <v>-0.22546419098143233</v>
      </c>
      <c r="Z752" s="19">
        <f ca="1">IF('Stock Price'!$I$11="OK",M752/INDEX(M$5:M$1258,'Stock Price'!$I$9)-1,"")</f>
        <v>-0.1659325803497449</v>
      </c>
    </row>
    <row r="753" spans="1:26" x14ac:dyDescent="0.2">
      <c r="A753" s="16">
        <f>'Stock Price'!A753</f>
        <v>45561</v>
      </c>
      <c r="B753" s="17">
        <f>'Stock Price'!E753</f>
        <v>113.09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6.2376702677313212E-2</v>
      </c>
      <c r="P753" s="19">
        <f ca="1">IF('Stock Price'!$I$11="OK",C753/INDEX(C$5:C$1258,'Stock Price'!$I$9)-1,"")</f>
        <v>-0.1655117655550743</v>
      </c>
      <c r="Q753" s="19">
        <f ca="1">IF('Stock Price'!$I$11="OK",D753/INDEX(D$5:D$1258,'Stock Price'!$I$9)-1,"")</f>
        <v>-0.16080470781442446</v>
      </c>
      <c r="R753" s="19">
        <f ca="1">IF('Stock Price'!$I$11="OK",E753/INDEX(E$5:E$1258,'Stock Price'!$I$9)-1,"")</f>
        <v>-0.17590167237557941</v>
      </c>
      <c r="S753" s="19">
        <f ca="1">IF('Stock Price'!$I$11="OK",F753/INDEX(F$5:F$1258,'Stock Price'!$I$9)-1,"")</f>
        <v>-0.21943634596695827</v>
      </c>
      <c r="T753" s="19">
        <f ca="1">IF('Stock Price'!$I$11="OK",G753/INDEX(G$5:G$1258,'Stock Price'!$I$9)-1,"")</f>
        <v>0.18183703089363479</v>
      </c>
      <c r="U753" s="19">
        <f ca="1">IF('Stock Price'!$I$11="OK",H753/INDEX(H$5:H$1258,'Stock Price'!$I$9)-1,"")</f>
        <v>-0.2338157894736842</v>
      </c>
      <c r="V753" s="19">
        <f ca="1">IF('Stock Price'!$I$11="OK",I753/INDEX(I$5:I$1258,'Stock Price'!$I$9)-1,"")</f>
        <v>0.15051628276409845</v>
      </c>
      <c r="W753" s="19">
        <f ca="1">IF('Stock Price'!$I$11="OK",J753/INDEX(J$5:J$1258,'Stock Price'!$I$9)-1,"")</f>
        <v>-0.15831759783775767</v>
      </c>
      <c r="X753" s="19">
        <f ca="1">IF('Stock Price'!$I$11="OK",K753/INDEX(K$5:K$1258,'Stock Price'!$I$9)-1,"")</f>
        <v>-6.2476618032173636E-2</v>
      </c>
      <c r="Y753" s="19">
        <f ca="1">IF('Stock Price'!$I$11="OK",L753/INDEX(L$5:L$1258,'Stock Price'!$I$9)-1,"")</f>
        <v>-0.22165420786110446</v>
      </c>
      <c r="Z753" s="19">
        <f ca="1">IF('Stock Price'!$I$11="OK",M753/INDEX(M$5:M$1258,'Stock Price'!$I$9)-1,"")</f>
        <v>-0.163141598709171</v>
      </c>
    </row>
    <row r="754" spans="1:26" x14ac:dyDescent="0.2">
      <c r="A754" s="16">
        <f>'Stock Price'!A754</f>
        <v>45562</v>
      </c>
      <c r="B754" s="17">
        <f>'Stock Price'!E754</f>
        <v>113.69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6.8013151714419795E-2</v>
      </c>
      <c r="P754" s="19">
        <f ca="1">IF('Stock Price'!$I$11="OK",C754/INDEX(C$5:C$1258,'Stock Price'!$I$9)-1,"")</f>
        <v>-0.1655117655550743</v>
      </c>
      <c r="Q754" s="19">
        <f ca="1">IF('Stock Price'!$I$11="OK",D754/INDEX(D$5:D$1258,'Stock Price'!$I$9)-1,"")</f>
        <v>-0.15445463254413572</v>
      </c>
      <c r="R754" s="19">
        <f ca="1">IF('Stock Price'!$I$11="OK",E754/INDEX(E$5:E$1258,'Stock Price'!$I$9)-1,"")</f>
        <v>-0.17973000201491041</v>
      </c>
      <c r="S754" s="19">
        <f ca="1">IF('Stock Price'!$I$11="OK",F754/INDEX(F$5:F$1258,'Stock Price'!$I$9)-1,"")</f>
        <v>-0.21982507288629738</v>
      </c>
      <c r="T754" s="19">
        <f ca="1">IF('Stock Price'!$I$11="OK",G754/INDEX(G$5:G$1258,'Stock Price'!$I$9)-1,"")</f>
        <v>0.19531411984242175</v>
      </c>
      <c r="U754" s="19">
        <f ca="1">IF('Stock Price'!$I$11="OK",H754/INDEX(H$5:H$1258,'Stock Price'!$I$9)-1,"")</f>
        <v>-0.20039473684210518</v>
      </c>
      <c r="V754" s="19">
        <f ca="1">IF('Stock Price'!$I$11="OK",I754/INDEX(I$5:I$1258,'Stock Price'!$I$9)-1,"")</f>
        <v>0.15528196981731535</v>
      </c>
      <c r="W754" s="19">
        <f ca="1">IF('Stock Price'!$I$11="OK",J754/INDEX(J$5:J$1258,'Stock Price'!$I$9)-1,"")</f>
        <v>-0.18750231404346696</v>
      </c>
      <c r="X754" s="19">
        <f ca="1">IF('Stock Price'!$I$11="OK",K754/INDEX(K$5:K$1258,'Stock Price'!$I$9)-1,"")</f>
        <v>-4.7699214365881093E-2</v>
      </c>
      <c r="Y754" s="19">
        <f ca="1">IF('Stock Price'!$I$11="OK",L754/INDEX(L$5:L$1258,'Stock Price'!$I$9)-1,"")</f>
        <v>-0.22160598022666989</v>
      </c>
      <c r="Z754" s="19">
        <f ca="1">IF('Stock Price'!$I$11="OK",M754/INDEX(M$5:M$1258,'Stock Price'!$I$9)-1,"")</f>
        <v>-0.15053857223845457</v>
      </c>
    </row>
    <row r="755" spans="1:26" x14ac:dyDescent="0.2">
      <c r="A755" s="16">
        <f>'Stock Price'!A755</f>
        <v>45565</v>
      </c>
      <c r="B755" s="17">
        <f>'Stock Price'!E755</f>
        <v>113.56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6.6791921089713435E-2</v>
      </c>
      <c r="P755" s="19">
        <f ca="1">IF('Stock Price'!$I$11="OK",C755/INDEX(C$5:C$1258,'Stock Price'!$I$9)-1,"")</f>
        <v>-0.16977046340407098</v>
      </c>
      <c r="Q755" s="19">
        <f ca="1">IF('Stock Price'!$I$11="OK",D755/INDEX(D$5:D$1258,'Stock Price'!$I$9)-1,"")</f>
        <v>-0.15445463254413572</v>
      </c>
      <c r="R755" s="19">
        <f ca="1">IF('Stock Price'!$I$11="OK",E755/INDEX(E$5:E$1258,'Stock Price'!$I$9)-1,"")</f>
        <v>-0.17630465444287724</v>
      </c>
      <c r="S755" s="19">
        <f ca="1">IF('Stock Price'!$I$11="OK",F755/INDEX(F$5:F$1258,'Stock Price'!$I$9)-1,"")</f>
        <v>-0.22351797862001943</v>
      </c>
      <c r="T755" s="19">
        <f ca="1">IF('Stock Price'!$I$11="OK",G755/INDEX(G$5:G$1258,'Stock Price'!$I$9)-1,"")</f>
        <v>0.19489944018245908</v>
      </c>
      <c r="U755" s="19">
        <f ca="1">IF('Stock Price'!$I$11="OK",H755/INDEX(H$5:H$1258,'Stock Price'!$I$9)-1,"")</f>
        <v>-0.20197368421052631</v>
      </c>
      <c r="V755" s="19">
        <f ca="1">IF('Stock Price'!$I$11="OK",I755/INDEX(I$5:I$1258,'Stock Price'!$I$9)-1,"")</f>
        <v>0.14932486100079445</v>
      </c>
      <c r="W755" s="19">
        <f ca="1">IF('Stock Price'!$I$11="OK",J755/INDEX(J$5:J$1258,'Stock Price'!$I$9)-1,"")</f>
        <v>-0.1799585323410714</v>
      </c>
      <c r="X755" s="19">
        <f ca="1">IF('Stock Price'!$I$11="OK",K755/INDEX(K$5:K$1258,'Stock Price'!$I$9)-1,"")</f>
        <v>-3.2173587729143249E-2</v>
      </c>
      <c r="Y755" s="19">
        <f ca="1">IF('Stock Price'!$I$11="OK",L755/INDEX(L$5:L$1258,'Stock Price'!$I$9)-1,"")</f>
        <v>-0.21842295635399078</v>
      </c>
      <c r="Z755" s="19">
        <f ca="1">IF('Stock Price'!$I$11="OK",M755/INDEX(M$5:M$1258,'Stock Price'!$I$9)-1,"")</f>
        <v>-0.13880772753041737</v>
      </c>
    </row>
    <row r="756" spans="1:26" x14ac:dyDescent="0.2">
      <c r="A756" s="16">
        <f>'Stock Price'!A756</f>
        <v>45566</v>
      </c>
      <c r="B756" s="17">
        <f>'Stock Price'!E756</f>
        <v>114.74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7.7876937529356427E-2</v>
      </c>
      <c r="P756" s="19">
        <f ca="1">IF('Stock Price'!$I$11="OK",C756/INDEX(C$5:C$1258,'Stock Price'!$I$9)-1,"")</f>
        <v>-0.17316298541937347</v>
      </c>
      <c r="Q756" s="19">
        <f ca="1">IF('Stock Price'!$I$11="OK",D756/INDEX(D$5:D$1258,'Stock Price'!$I$9)-1,"")</f>
        <v>-0.14865197755576842</v>
      </c>
      <c r="R756" s="19">
        <f ca="1">IF('Stock Price'!$I$11="OK",E756/INDEX(E$5:E$1258,'Stock Price'!$I$9)-1,"")</f>
        <v>-0.18799113439451953</v>
      </c>
      <c r="S756" s="19">
        <f ca="1">IF('Stock Price'!$I$11="OK",F756/INDEX(F$5:F$1258,'Stock Price'!$I$9)-1,"")</f>
        <v>-0.23731778425655981</v>
      </c>
      <c r="T756" s="19">
        <f ca="1">IF('Stock Price'!$I$11="OK",G756/INDEX(G$5:G$1258,'Stock Price'!$I$9)-1,"")</f>
        <v>0.18826456562305638</v>
      </c>
      <c r="U756" s="19">
        <f ca="1">IF('Stock Price'!$I$11="OK",H756/INDEX(H$5:H$1258,'Stock Price'!$I$9)-1,"")</f>
        <v>-0.19881578947368417</v>
      </c>
      <c r="V756" s="19">
        <f ca="1">IF('Stock Price'!$I$11="OK",I756/INDEX(I$5:I$1258,'Stock Price'!$I$9)-1,"")</f>
        <v>0.13860206513105644</v>
      </c>
      <c r="W756" s="19">
        <f ca="1">IF('Stock Price'!$I$11="OK",J756/INDEX(J$5:J$1258,'Stock Price'!$I$9)-1,"")</f>
        <v>-0.18130993372579496</v>
      </c>
      <c r="X756" s="19">
        <f ca="1">IF('Stock Price'!$I$11="OK",K756/INDEX(K$5:K$1258,'Stock Price'!$I$9)-1,"")</f>
        <v>-1.0475121586232761E-2</v>
      </c>
      <c r="Y756" s="19">
        <f ca="1">IF('Stock Price'!$I$11="OK",L756/INDEX(L$5:L$1258,'Stock Price'!$I$9)-1,"")</f>
        <v>-0.21876054979503246</v>
      </c>
      <c r="Z756" s="19">
        <f ca="1">IF('Stock Price'!$I$11="OK",M756/INDEX(M$5:M$1258,'Stock Price'!$I$9)-1,"")</f>
        <v>-0.1410754001133836</v>
      </c>
    </row>
    <row r="757" spans="1:26" x14ac:dyDescent="0.2">
      <c r="A757" s="16">
        <f>'Stock Price'!A757</f>
        <v>45567</v>
      </c>
      <c r="B757" s="17">
        <f>'Stock Price'!E757</f>
        <v>112.08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5.2888680131517152E-2</v>
      </c>
      <c r="P757" s="19">
        <f ca="1">IF('Stock Price'!$I$11="OK",C757/INDEX(C$5:C$1258,'Stock Price'!$I$9)-1,"")</f>
        <v>-0.17374043597516964</v>
      </c>
      <c r="Q757" s="19">
        <f ca="1">IF('Stock Price'!$I$11="OK",D757/INDEX(D$5:D$1258,'Stock Price'!$I$9)-1,"")</f>
        <v>-0.12993020391405508</v>
      </c>
      <c r="R757" s="19">
        <f ca="1">IF('Stock Price'!$I$11="OK",E757/INDEX(E$5:E$1258,'Stock Price'!$I$9)-1,"")</f>
        <v>-0.2051178722546847</v>
      </c>
      <c r="S757" s="19">
        <f ca="1">IF('Stock Price'!$I$11="OK",F757/INDEX(F$5:F$1258,'Stock Price'!$I$9)-1,"")</f>
        <v>-0.24062196307094275</v>
      </c>
      <c r="T757" s="19">
        <f ca="1">IF('Stock Price'!$I$11="OK",G757/INDEX(G$5:G$1258,'Stock Price'!$I$9)-1,"")</f>
        <v>0.16628654364503426</v>
      </c>
      <c r="U757" s="19">
        <f ca="1">IF('Stock Price'!$I$11="OK",H757/INDEX(H$5:H$1258,'Stock Price'!$I$9)-1,"")</f>
        <v>-0.20013157894736844</v>
      </c>
      <c r="V757" s="19">
        <f ca="1">IF('Stock Price'!$I$11="OK",I757/INDEX(I$5:I$1258,'Stock Price'!$I$9)-1,"")</f>
        <v>0.13621922160444799</v>
      </c>
      <c r="W757" s="19">
        <f ca="1">IF('Stock Price'!$I$11="OK",J757/INDEX(J$5:J$1258,'Stock Price'!$I$9)-1,"")</f>
        <v>-0.17521011514680285</v>
      </c>
      <c r="X757" s="19">
        <f ca="1">IF('Stock Price'!$I$11="OK",K757/INDEX(K$5:K$1258,'Stock Price'!$I$9)-1,"")</f>
        <v>5.6116722783388084E-3</v>
      </c>
      <c r="Y757" s="19">
        <f ca="1">IF('Stock Price'!$I$11="OK",L757/INDEX(L$5:L$1258,'Stock Price'!$I$9)-1,"")</f>
        <v>-0.22271521581866416</v>
      </c>
      <c r="Z757" s="19">
        <f ca="1">IF('Stock Price'!$I$11="OK",M757/INDEX(M$5:M$1258,'Stock Price'!$I$9)-1,"")</f>
        <v>-0.14168592734725916</v>
      </c>
    </row>
    <row r="758" spans="1:26" x14ac:dyDescent="0.2">
      <c r="A758" s="16">
        <f>'Stock Price'!A758</f>
        <v>45568</v>
      </c>
      <c r="B758" s="17">
        <f>'Stock Price'!E758</f>
        <v>110.18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3.5039924847346304E-2</v>
      </c>
      <c r="P758" s="19">
        <f ca="1">IF('Stock Price'!$I$11="OK",C758/INDEX(C$5:C$1258,'Stock Price'!$I$9)-1,"")</f>
        <v>-0.17879312833838601</v>
      </c>
      <c r="Q758" s="19">
        <f ca="1">IF('Stock Price'!$I$11="OK",D758/INDEX(D$5:D$1258,'Stock Price'!$I$9)-1,"")</f>
        <v>-0.16354180922403172</v>
      </c>
      <c r="R758" s="19">
        <f ca="1">IF('Stock Price'!$I$11="OK",E758/INDEX(E$5:E$1258,'Stock Price'!$I$9)-1,"")</f>
        <v>-0.22687890388877707</v>
      </c>
      <c r="S758" s="19">
        <f ca="1">IF('Stock Price'!$I$11="OK",F758/INDEX(F$5:F$1258,'Stock Price'!$I$9)-1,"")</f>
        <v>-0.25597667638483967</v>
      </c>
      <c r="T758" s="19">
        <f ca="1">IF('Stock Price'!$I$11="OK",G758/INDEX(G$5:G$1258,'Stock Price'!$I$9)-1,"")</f>
        <v>0.15156541571635906</v>
      </c>
      <c r="U758" s="19">
        <f ca="1">IF('Stock Price'!$I$11="OK",H758/INDEX(H$5:H$1258,'Stock Price'!$I$9)-1,"")</f>
        <v>-0.21407894736842115</v>
      </c>
      <c r="V758" s="19">
        <f ca="1">IF('Stock Price'!$I$11="OK",I758/INDEX(I$5:I$1258,'Stock Price'!$I$9)-1,"")</f>
        <v>0.1254964257347102</v>
      </c>
      <c r="W758" s="19">
        <f ca="1">IF('Stock Price'!$I$11="OK",J758/INDEX(J$5:J$1258,'Stock Price'!$I$9)-1,"")</f>
        <v>-0.18031952312192234</v>
      </c>
      <c r="X758" s="19">
        <f ca="1">IF('Stock Price'!$I$11="OK",K758/INDEX(K$5:K$1258,'Stock Price'!$I$9)-1,"")</f>
        <v>1.3842124953236112E-2</v>
      </c>
      <c r="Y758" s="19">
        <f ca="1">IF('Stock Price'!$I$11="OK",L758/INDEX(L$5:L$1258,'Stock Price'!$I$9)-1,"")</f>
        <v>-0.22594646732577761</v>
      </c>
      <c r="Z758" s="19">
        <f ca="1">IF('Stock Price'!$I$11="OK",M758/INDEX(M$5:M$1258,'Stock Price'!$I$9)-1,"")</f>
        <v>-0.14766037242161267</v>
      </c>
    </row>
    <row r="759" spans="1:26" x14ac:dyDescent="0.2">
      <c r="A759" s="16">
        <f>'Stock Price'!A759</f>
        <v>45569</v>
      </c>
      <c r="B759" s="17">
        <f>'Stock Price'!E759</f>
        <v>109.77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3.1188351338656606E-2</v>
      </c>
      <c r="P759" s="19">
        <f ca="1">IF('Stock Price'!$I$11="OK",C759/INDEX(C$5:C$1258,'Stock Price'!$I$9)-1,"")</f>
        <v>-0.17749386458784455</v>
      </c>
      <c r="Q759" s="19">
        <f ca="1">IF('Stock Price'!$I$11="OK",D759/INDEX(D$5:D$1258,'Stock Price'!$I$9)-1,"")</f>
        <v>-0.16430819761872184</v>
      </c>
      <c r="R759" s="19">
        <f ca="1">IF('Stock Price'!$I$11="OK",E759/INDEX(E$5:E$1258,'Stock Price'!$I$9)-1,"")</f>
        <v>-0.21781180737457184</v>
      </c>
      <c r="S759" s="19">
        <f ca="1">IF('Stock Price'!$I$11="OK",F759/INDEX(F$5:F$1258,'Stock Price'!$I$9)-1,"")</f>
        <v>-0.26588921282798827</v>
      </c>
      <c r="T759" s="19">
        <f ca="1">IF('Stock Price'!$I$11="OK",G759/INDEX(G$5:G$1258,'Stock Price'!$I$9)-1,"")</f>
        <v>0.15011403690648972</v>
      </c>
      <c r="U759" s="19">
        <f ca="1">IF('Stock Price'!$I$11="OK",H759/INDEX(H$5:H$1258,'Stock Price'!$I$9)-1,"")</f>
        <v>-0.21565789473684216</v>
      </c>
      <c r="V759" s="19">
        <f ca="1">IF('Stock Price'!$I$11="OK",I759/INDEX(I$5:I$1258,'Stock Price'!$I$9)-1,"")</f>
        <v>0.13502779984114377</v>
      </c>
      <c r="W759" s="19">
        <f ca="1">IF('Stock Price'!$I$11="OK",J759/INDEX(J$5:J$1258,'Stock Price'!$I$9)-1,"")</f>
        <v>-0.17882927912917912</v>
      </c>
      <c r="X759" s="19">
        <f ca="1">IF('Stock Price'!$I$11="OK",K759/INDEX(K$5:K$1258,'Stock Price'!$I$9)-1,"")</f>
        <v>9.3527871305649768E-3</v>
      </c>
      <c r="Y759" s="19">
        <f ca="1">IF('Stock Price'!$I$11="OK",L759/INDEX(L$5:L$1258,'Stock Price'!$I$9)-1,"")</f>
        <v>-0.22695924764890285</v>
      </c>
      <c r="Z759" s="19">
        <f ca="1">IF('Stock Price'!$I$11="OK",M759/INDEX(M$5:M$1258,'Stock Price'!$I$9)-1,"")</f>
        <v>-0.15271902664515291</v>
      </c>
    </row>
    <row r="760" spans="1:26" x14ac:dyDescent="0.2">
      <c r="A760" s="16">
        <f>'Stock Price'!A760</f>
        <v>45572</v>
      </c>
      <c r="B760" s="17">
        <f>'Stock Price'!E760</f>
        <v>108.59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2.0103334899013614E-2</v>
      </c>
      <c r="P760" s="19">
        <f ca="1">IF('Stock Price'!$I$11="OK",C760/INDEX(C$5:C$1258,'Stock Price'!$I$9)-1,"")</f>
        <v>-0.17814349646311534</v>
      </c>
      <c r="Q760" s="19">
        <f ca="1">IF('Stock Price'!$I$11="OK",D760/INDEX(D$5:D$1258,'Stock Price'!$I$9)-1,"")</f>
        <v>-0.14755713699192563</v>
      </c>
      <c r="R760" s="19">
        <f ca="1">IF('Stock Price'!$I$11="OK",E760/INDEX(E$5:E$1258,'Stock Price'!$I$9)-1,"")</f>
        <v>-0.22164013701390284</v>
      </c>
      <c r="S760" s="19">
        <f ca="1">IF('Stock Price'!$I$11="OK",F760/INDEX(F$5:F$1258,'Stock Price'!$I$9)-1,"")</f>
        <v>-0.2616132167152575</v>
      </c>
      <c r="T760" s="19">
        <f ca="1">IF('Stock Price'!$I$11="OK",G760/INDEX(G$5:G$1258,'Stock Price'!$I$9)-1,"")</f>
        <v>0.13539290897781475</v>
      </c>
      <c r="U760" s="19">
        <f ca="1">IF('Stock Price'!$I$11="OK",H760/INDEX(H$5:H$1258,'Stock Price'!$I$9)-1,"")</f>
        <v>-0.21657894736842109</v>
      </c>
      <c r="V760" s="19">
        <f ca="1">IF('Stock Price'!$I$11="OK",I760/INDEX(I$5:I$1258,'Stock Price'!$I$9)-1,"")</f>
        <v>0.15965051628276417</v>
      </c>
      <c r="W760" s="19">
        <f ca="1">IF('Stock Price'!$I$11="OK",J760/INDEX(J$5:J$1258,'Stock Price'!$I$9)-1,"")</f>
        <v>-0.16842533970158091</v>
      </c>
      <c r="X760" s="19">
        <f ca="1">IF('Stock Price'!$I$11="OK",K760/INDEX(K$5:K$1258,'Stock Price'!$I$9)-1,"")</f>
        <v>-3.7411148522270565E-4</v>
      </c>
      <c r="Y760" s="19">
        <f ca="1">IF('Stock Price'!$I$11="OK",L760/INDEX(L$5:L$1258,'Stock Price'!$I$9)-1,"")</f>
        <v>-0.23062454786592712</v>
      </c>
      <c r="Z760" s="19">
        <f ca="1">IF('Stock Price'!$I$11="OK",M760/INDEX(M$5:M$1258,'Stock Price'!$I$9)-1,"")</f>
        <v>-0.15568444463826259</v>
      </c>
    </row>
    <row r="761" spans="1:26" x14ac:dyDescent="0.2">
      <c r="A761" s="16">
        <f>'Stock Price'!A761</f>
        <v>45573</v>
      </c>
      <c r="B761" s="17">
        <f>'Stock Price'!E761</f>
        <v>108.52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1.9445749178017779E-2</v>
      </c>
      <c r="P761" s="19">
        <f ca="1">IF('Stock Price'!$I$11="OK",C761/INDEX(C$5:C$1258,'Stock Price'!$I$9)-1,"")</f>
        <v>-0.17879312833838601</v>
      </c>
      <c r="Q761" s="19">
        <f ca="1">IF('Stock Price'!$I$11="OK",D761/INDEX(D$5:D$1258,'Stock Price'!$I$9)-1,"")</f>
        <v>-0.18625975092377178</v>
      </c>
      <c r="R761" s="19">
        <f ca="1">IF('Stock Price'!$I$11="OK",E761/INDEX(E$5:E$1258,'Stock Price'!$I$9)-1,"")</f>
        <v>-0.23393109006649204</v>
      </c>
      <c r="S761" s="19">
        <f ca="1">IF('Stock Price'!$I$11="OK",F761/INDEX(F$5:F$1258,'Stock Price'!$I$9)-1,"")</f>
        <v>-0.25617103984450917</v>
      </c>
      <c r="T761" s="19">
        <f ca="1">IF('Stock Price'!$I$11="OK",G761/INDEX(G$5:G$1258,'Stock Price'!$I$9)-1,"")</f>
        <v>0.13725896744764676</v>
      </c>
      <c r="U761" s="19">
        <f ca="1">IF('Stock Price'!$I$11="OK",H761/INDEX(H$5:H$1258,'Stock Price'!$I$9)-1,"")</f>
        <v>-0.23065789473684217</v>
      </c>
      <c r="V761" s="19">
        <f ca="1">IF('Stock Price'!$I$11="OK",I761/INDEX(I$5:I$1258,'Stock Price'!$I$9)-1,"")</f>
        <v>0.15885623510722802</v>
      </c>
      <c r="W761" s="19">
        <f ca="1">IF('Stock Price'!$I$11="OK",J761/INDEX(J$5:J$1258,'Stock Price'!$I$9)-1,"")</f>
        <v>-0.1542448813358509</v>
      </c>
      <c r="X761" s="19">
        <f ca="1">IF('Stock Price'!$I$11="OK",K761/INDEX(K$5:K$1258,'Stock Price'!$I$9)-1,"")</f>
        <v>-1.8331462775907248E-2</v>
      </c>
      <c r="Y761" s="19">
        <f ca="1">IF('Stock Price'!$I$11="OK",L761/INDEX(L$5:L$1258,'Stock Price'!$I$9)-1,"")</f>
        <v>-0.22985290571497463</v>
      </c>
      <c r="Z761" s="19">
        <f ca="1">IF('Stock Price'!$I$11="OK",M761/INDEX(M$5:M$1258,'Stock Price'!$I$9)-1,"")</f>
        <v>-0.15830098992630071</v>
      </c>
    </row>
    <row r="762" spans="1:26" x14ac:dyDescent="0.2">
      <c r="A762" s="16">
        <f>'Stock Price'!A762</f>
        <v>45574</v>
      </c>
      <c r="B762" s="17">
        <f>'Stock Price'!E762</f>
        <v>110.27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3.5885392202912092E-2</v>
      </c>
      <c r="P762" s="19">
        <f ca="1">IF('Stock Price'!$I$11="OK",C762/INDEX(C$5:C$1258,'Stock Price'!$I$9)-1,"")</f>
        <v>-0.16529522159665078</v>
      </c>
      <c r="Q762" s="19">
        <f ca="1">IF('Stock Price'!$I$11="OK",D762/INDEX(D$5:D$1258,'Stock Price'!$I$9)-1,"")</f>
        <v>-0.18625975092377178</v>
      </c>
      <c r="R762" s="19">
        <f ca="1">IF('Stock Price'!$I$11="OK",E762/INDEX(E$5:E$1258,'Stock Price'!$I$9)-1,"")</f>
        <v>-0.18920008059641347</v>
      </c>
      <c r="S762" s="19">
        <f ca="1">IF('Stock Price'!$I$11="OK",F762/INDEX(F$5:F$1258,'Stock Price'!$I$9)-1,"")</f>
        <v>-0.25344995140913518</v>
      </c>
      <c r="T762" s="19">
        <f ca="1">IF('Stock Price'!$I$11="OK",G762/INDEX(G$5:G$1258,'Stock Price'!$I$9)-1,"")</f>
        <v>0.14347916234708702</v>
      </c>
      <c r="U762" s="19">
        <f ca="1">IF('Stock Price'!$I$11="OK",H762/INDEX(H$5:H$1258,'Stock Price'!$I$9)-1,"")</f>
        <v>-0.28289473684210531</v>
      </c>
      <c r="V762" s="19">
        <f ca="1">IF('Stock Price'!$I$11="OK",I762/INDEX(I$5:I$1258,'Stock Price'!$I$9)-1,"")</f>
        <v>0.1989674344718031</v>
      </c>
      <c r="W762" s="19">
        <f ca="1">IF('Stock Price'!$I$11="OK",J762/INDEX(J$5:J$1258,'Stock Price'!$I$9)-1,"")</f>
        <v>-0.14867266466733298</v>
      </c>
      <c r="X762" s="19">
        <f ca="1">IF('Stock Price'!$I$11="OK",K762/INDEX(K$5:K$1258,'Stock Price'!$I$9)-1,"")</f>
        <v>-1.2345679012345734E-2</v>
      </c>
      <c r="Y762" s="19">
        <f ca="1">IF('Stock Price'!$I$11="OK",L762/INDEX(L$5:L$1258,'Stock Price'!$I$9)-1,"")</f>
        <v>-0.22522305280925969</v>
      </c>
      <c r="Z762" s="19">
        <f ca="1">IF('Stock Price'!$I$11="OK",M762/INDEX(M$5:M$1258,'Stock Price'!$I$9)-1,"")</f>
        <v>-0.15071300859099035</v>
      </c>
    </row>
    <row r="763" spans="1:26" x14ac:dyDescent="0.2">
      <c r="A763" s="16">
        <f>'Stock Price'!A763</f>
        <v>45575</v>
      </c>
      <c r="B763" s="17">
        <f>'Stock Price'!E763</f>
        <v>109.4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2.7712541099107479E-2</v>
      </c>
      <c r="P763" s="19">
        <f ca="1">IF('Stock Price'!$I$11="OK",C763/INDEX(C$5:C$1258,'Stock Price'!$I$9)-1,"")</f>
        <v>-0.17128627111303585</v>
      </c>
      <c r="Q763" s="19">
        <f ca="1">IF('Stock Price'!$I$11="OK",D763/INDEX(D$5:D$1258,'Stock Price'!$I$9)-1,"")</f>
        <v>-0.1932667305323662</v>
      </c>
      <c r="R763" s="19">
        <f ca="1">IF('Stock Price'!$I$11="OK",E763/INDEX(E$5:E$1258,'Stock Price'!$I$9)-1,"")</f>
        <v>-0.20995365706226077</v>
      </c>
      <c r="S763" s="19">
        <f ca="1">IF('Stock Price'!$I$11="OK",F763/INDEX(F$5:F$1258,'Stock Price'!$I$9)-1,"")</f>
        <v>-0.24450923226433441</v>
      </c>
      <c r="T763" s="19">
        <f ca="1">IF('Stock Price'!$I$11="OK",G763/INDEX(G$5:G$1258,'Stock Price'!$I$9)-1,"")</f>
        <v>0.13560024880779609</v>
      </c>
      <c r="U763" s="19">
        <f ca="1">IF('Stock Price'!$I$11="OK",H763/INDEX(H$5:H$1258,'Stock Price'!$I$9)-1,"")</f>
        <v>-0.29552631578947375</v>
      </c>
      <c r="V763" s="19">
        <f ca="1">IF('Stock Price'!$I$11="OK",I763/INDEX(I$5:I$1258,'Stock Price'!$I$9)-1,"")</f>
        <v>0.16521048451151699</v>
      </c>
      <c r="W763" s="19">
        <f ca="1">IF('Stock Price'!$I$11="OK",J763/INDEX(J$5:J$1258,'Stock Price'!$I$9)-1,"")</f>
        <v>-0.15704950201784573</v>
      </c>
      <c r="X763" s="19">
        <f ca="1">IF('Stock Price'!$I$11="OK",K763/INDEX(K$5:K$1258,'Stock Price'!$I$9)-1,"")</f>
        <v>-1.9827908716797626E-2</v>
      </c>
      <c r="Y763" s="19">
        <f ca="1">IF('Stock Price'!$I$11="OK",L763/INDEX(L$5:L$1258,'Stock Price'!$I$9)-1,"")</f>
        <v>-0.22589823969134315</v>
      </c>
      <c r="Z763" s="19">
        <f ca="1">IF('Stock Price'!$I$11="OK",M763/INDEX(M$5:M$1258,'Stock Price'!$I$9)-1,"")</f>
        <v>-0.15245737211634913</v>
      </c>
    </row>
    <row r="764" spans="1:26" x14ac:dyDescent="0.2">
      <c r="A764" s="16">
        <f>'Stock Price'!A764</f>
        <v>45576</v>
      </c>
      <c r="B764" s="17">
        <f>'Stock Price'!E764</f>
        <v>109.73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3.0812588069516256E-2</v>
      </c>
      <c r="P764" s="19">
        <f ca="1">IF('Stock Price'!$I$11="OK",C764/INDEX(C$5:C$1258,'Stock Price'!$I$9)-1,"")</f>
        <v>-0.1611087050671286</v>
      </c>
      <c r="Q764" s="19">
        <f ca="1">IF('Stock Price'!$I$11="OK",D764/INDEX(D$5:D$1258,'Stock Price'!$I$9)-1,"")</f>
        <v>-0.1932667305323662</v>
      </c>
      <c r="R764" s="19">
        <f ca="1">IF('Stock Price'!$I$11="OK",E764/INDEX(E$5:E$1258,'Stock Price'!$I$9)-1,"")</f>
        <v>-0.21761031634092287</v>
      </c>
      <c r="S764" s="19">
        <f ca="1">IF('Stock Price'!$I$11="OK",F764/INDEX(F$5:F$1258,'Stock Price'!$I$9)-1,"")</f>
        <v>-0.23848396501457736</v>
      </c>
      <c r="T764" s="19">
        <f ca="1">IF('Stock Price'!$I$11="OK",G764/INDEX(G$5:G$1258,'Stock Price'!$I$9)-1,"")</f>
        <v>0.13953970557744144</v>
      </c>
      <c r="U764" s="19">
        <f ca="1">IF('Stock Price'!$I$11="OK",H764/INDEX(H$5:H$1258,'Stock Price'!$I$9)-1,"")</f>
        <v>-0.30881578947368415</v>
      </c>
      <c r="V764" s="19">
        <f ca="1">IF('Stock Price'!$I$11="OK",I764/INDEX(I$5:I$1258,'Stock Price'!$I$9)-1,"")</f>
        <v>0.15806195393169187</v>
      </c>
      <c r="W764" s="19">
        <f ca="1">IF('Stock Price'!$I$11="OK",J764/INDEX(J$5:J$1258,'Stock Price'!$I$9)-1,"")</f>
        <v>-0.13726905846199411</v>
      </c>
      <c r="X764" s="19">
        <f ca="1">IF('Stock Price'!$I$11="OK",K764/INDEX(K$5:K$1258,'Stock Price'!$I$9)-1,"")</f>
        <v>-2.3569023569023573E-2</v>
      </c>
      <c r="Y764" s="19">
        <f ca="1">IF('Stock Price'!$I$11="OK",L764/INDEX(L$5:L$1258,'Stock Price'!$I$9)-1,"")</f>
        <v>-0.22131661442006267</v>
      </c>
      <c r="Z764" s="19">
        <f ca="1">IF('Stock Price'!$I$11="OK",M764/INDEX(M$5:M$1258,'Stock Price'!$I$9)-1,"")</f>
        <v>-0.15315511752649258</v>
      </c>
    </row>
    <row r="765" spans="1:26" x14ac:dyDescent="0.2">
      <c r="A765" s="16">
        <f>'Stock Price'!A765</f>
        <v>45579</v>
      </c>
      <c r="B765" s="17">
        <f>'Stock Price'!E765</f>
        <v>109.69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3.0436824800375684E-2</v>
      </c>
      <c r="P765" s="19">
        <f ca="1">IF('Stock Price'!$I$11="OK",C765/INDEX(C$5:C$1258,'Stock Price'!$I$9)-1,"")</f>
        <v>-0.16053125451133243</v>
      </c>
      <c r="Q765" s="19">
        <f ca="1">IF('Stock Price'!$I$11="OK",D765/INDEX(D$5:D$1258,'Stock Price'!$I$9)-1,"")</f>
        <v>-0.1932667305323662</v>
      </c>
      <c r="R765" s="19">
        <f ca="1">IF('Stock Price'!$I$11="OK",E765/INDEX(E$5:E$1258,'Stock Price'!$I$9)-1,"")</f>
        <v>-0.21156558533145275</v>
      </c>
      <c r="S765" s="19">
        <f ca="1">IF('Stock Price'!$I$11="OK",F765/INDEX(F$5:F$1258,'Stock Price'!$I$9)-1,"")</f>
        <v>-0.23867832847424686</v>
      </c>
      <c r="T765" s="19">
        <f ca="1">IF('Stock Price'!$I$11="OK",G765/INDEX(G$5:G$1258,'Stock Price'!$I$9)-1,"")</f>
        <v>0.1387103462575161</v>
      </c>
      <c r="U765" s="19">
        <f ca="1">IF('Stock Price'!$I$11="OK",H765/INDEX(H$5:H$1258,'Stock Price'!$I$9)-1,"")</f>
        <v>-0.31302631578947371</v>
      </c>
      <c r="V765" s="19">
        <f ca="1">IF('Stock Price'!$I$11="OK",I765/INDEX(I$5:I$1258,'Stock Price'!$I$9)-1,"")</f>
        <v>0.15488482922954727</v>
      </c>
      <c r="W765" s="19">
        <f ca="1">IF('Stock Price'!$I$11="OK",J765/INDEX(J$5:J$1258,'Stock Price'!$I$9)-1,"")</f>
        <v>-0.13962938279832637</v>
      </c>
      <c r="X765" s="19">
        <f ca="1">IF('Stock Price'!$I$11="OK",K765/INDEX(K$5:K$1258,'Stock Price'!$I$9)-1,"")</f>
        <v>-1.4777403666292543E-2</v>
      </c>
      <c r="Y765" s="19">
        <f ca="1">IF('Stock Price'!$I$11="OK",L765/INDEX(L$5:L$1258,'Stock Price'!$I$9)-1,"")</f>
        <v>-0.22064142753797922</v>
      </c>
      <c r="Z765" s="19">
        <f ca="1">IF('Stock Price'!$I$11="OK",M765/INDEX(M$5:M$1258,'Stock Price'!$I$9)-1,"")</f>
        <v>-0.14678819065893334</v>
      </c>
    </row>
    <row r="766" spans="1:26" x14ac:dyDescent="0.2">
      <c r="A766" s="16">
        <f>'Stock Price'!A766</f>
        <v>45580</v>
      </c>
      <c r="B766" s="17">
        <f>'Stock Price'!E766</f>
        <v>111.53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4.7721935180836006E-2</v>
      </c>
      <c r="P766" s="19">
        <f ca="1">IF('Stock Price'!$I$11="OK",C766/INDEX(C$5:C$1258,'Stock Price'!$I$9)-1,"")</f>
        <v>-0.1611087050671286</v>
      </c>
      <c r="Q766" s="19">
        <f ca="1">IF('Stock Price'!$I$11="OK",D766/INDEX(D$5:D$1258,'Stock Price'!$I$9)-1,"")</f>
        <v>-0.15861557410702065</v>
      </c>
      <c r="R766" s="19">
        <f ca="1">IF('Stock Price'!$I$11="OK",E766/INDEX(E$5:E$1258,'Stock Price'!$I$9)-1,"")</f>
        <v>-0.21499093290348581</v>
      </c>
      <c r="S766" s="19">
        <f ca="1">IF('Stock Price'!$I$11="OK",F766/INDEX(F$5:F$1258,'Stock Price'!$I$9)-1,"")</f>
        <v>-0.23498542274052481</v>
      </c>
      <c r="T766" s="19">
        <f ca="1">IF('Stock Price'!$I$11="OK",G766/INDEX(G$5:G$1258,'Stock Price'!$I$9)-1,"")</f>
        <v>0.13145345220816917</v>
      </c>
      <c r="U766" s="19">
        <f ca="1">IF('Stock Price'!$I$11="OK",H766/INDEX(H$5:H$1258,'Stock Price'!$I$9)-1,"")</f>
        <v>-0.30184210526315791</v>
      </c>
      <c r="V766" s="19">
        <f ca="1">IF('Stock Price'!$I$11="OK",I766/INDEX(I$5:I$1258,'Stock Price'!$I$9)-1,"")</f>
        <v>0.16918189038919773</v>
      </c>
      <c r="W766" s="19">
        <f ca="1">IF('Stock Price'!$I$11="OK",J766/INDEX(J$5:J$1258,'Stock Price'!$I$9)-1,"")</f>
        <v>-0.15461512829056967</v>
      </c>
      <c r="X766" s="19">
        <f ca="1">IF('Stock Price'!$I$11="OK",K766/INDEX(K$5:K$1258,'Stock Price'!$I$9)-1,"")</f>
        <v>-1.3093901982790923E-2</v>
      </c>
      <c r="Y766" s="19">
        <f ca="1">IF('Stock Price'!$I$11="OK",L766/INDEX(L$5:L$1258,'Stock Price'!$I$9)-1,"")</f>
        <v>-0.20858451892934649</v>
      </c>
      <c r="Z766" s="19">
        <f ca="1">IF('Stock Price'!$I$11="OK",M766/INDEX(M$5:M$1258,'Stock Price'!$I$9)-1,"")</f>
        <v>-0.16331603506170678</v>
      </c>
    </row>
    <row r="767" spans="1:26" x14ac:dyDescent="0.2">
      <c r="A767" s="16">
        <f>'Stock Price'!A767</f>
        <v>45581</v>
      </c>
      <c r="B767" s="17">
        <f>'Stock Price'!E767</f>
        <v>110.42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3.7294504462188849E-2</v>
      </c>
      <c r="P767" s="19">
        <f ca="1">IF('Stock Price'!$I$11="OK",C767/INDEX(C$5:C$1258,'Stock Price'!$I$9)-1,"")</f>
        <v>-0.15858235888552041</v>
      </c>
      <c r="Q767" s="19">
        <f ca="1">IF('Stock Price'!$I$11="OK",D767/INDEX(D$5:D$1258,'Stock Price'!$I$9)-1,"")</f>
        <v>-0.15861557410702065</v>
      </c>
      <c r="R767" s="19">
        <f ca="1">IF('Stock Price'!$I$11="OK",E767/INDEX(E$5:E$1258,'Stock Price'!$I$9)-1,"")</f>
        <v>-0.20995365706226077</v>
      </c>
      <c r="S767" s="19">
        <f ca="1">IF('Stock Price'!$I$11="OK",F767/INDEX(F$5:F$1258,'Stock Price'!$I$9)-1,"")</f>
        <v>-0.24042759961127314</v>
      </c>
      <c r="T767" s="19">
        <f ca="1">IF('Stock Price'!$I$11="OK",G767/INDEX(G$5:G$1258,'Stock Price'!$I$9)-1,"")</f>
        <v>0.12875803441841183</v>
      </c>
      <c r="U767" s="19">
        <f ca="1">IF('Stock Price'!$I$11="OK",H767/INDEX(H$5:H$1258,'Stock Price'!$I$9)-1,"")</f>
        <v>-0.30460526315789471</v>
      </c>
      <c r="V767" s="19">
        <f ca="1">IF('Stock Price'!$I$11="OK",I767/INDEX(I$5:I$1258,'Stock Price'!$I$9)-1,"")</f>
        <v>0.17831612390786344</v>
      </c>
      <c r="W767" s="19">
        <f ca="1">IF('Stock Price'!$I$11="OK",J767/INDEX(J$5:J$1258,'Stock Price'!$I$9)-1,"")</f>
        <v>-0.15174571439149909</v>
      </c>
      <c r="X767" s="19">
        <f ca="1">IF('Stock Price'!$I$11="OK",K767/INDEX(K$5:K$1258,'Stock Price'!$I$9)-1,"")</f>
        <v>-1.6835016835017313E-3</v>
      </c>
      <c r="Y767" s="19">
        <f ca="1">IF('Stock Price'!$I$11="OK",L767/INDEX(L$5:L$1258,'Stock Price'!$I$9)-1,"")</f>
        <v>-0.20771642150952496</v>
      </c>
      <c r="Z767" s="19">
        <f ca="1">IF('Stock Price'!$I$11="OK",M767/INDEX(M$5:M$1258,'Stock Price'!$I$9)-1,"")</f>
        <v>-0.16942130740046224</v>
      </c>
    </row>
    <row r="768" spans="1:26" x14ac:dyDescent="0.2">
      <c r="A768" s="16">
        <f>'Stock Price'!A768</f>
        <v>45582</v>
      </c>
      <c r="B768" s="17">
        <f>'Stock Price'!E768</f>
        <v>109.75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3.1000469704086431E-2</v>
      </c>
      <c r="P768" s="19">
        <f ca="1">IF('Stock Price'!$I$11="OK",C768/INDEX(C$5:C$1258,'Stock Price'!$I$9)-1,"")</f>
        <v>-0.15901544680236745</v>
      </c>
      <c r="Q768" s="19">
        <f ca="1">IF('Stock Price'!$I$11="OK",D768/INDEX(D$5:D$1258,'Stock Price'!$I$9)-1,"")</f>
        <v>-0.15412618037498294</v>
      </c>
      <c r="R768" s="19">
        <f ca="1">IF('Stock Price'!$I$11="OK",E768/INDEX(E$5:E$1258,'Stock Price'!$I$9)-1,"")</f>
        <v>-0.21499093290348581</v>
      </c>
      <c r="S768" s="19">
        <f ca="1">IF('Stock Price'!$I$11="OK",F768/INDEX(F$5:F$1258,'Stock Price'!$I$9)-1,"")</f>
        <v>-0.24023323615160352</v>
      </c>
      <c r="T768" s="19">
        <f ca="1">IF('Stock Price'!$I$11="OK",G768/INDEX(G$5:G$1258,'Stock Price'!$I$9)-1,"")</f>
        <v>0.1374663072776281</v>
      </c>
      <c r="U768" s="19">
        <f ca="1">IF('Stock Price'!$I$11="OK",H768/INDEX(H$5:H$1258,'Stock Price'!$I$9)-1,"")</f>
        <v>-0.30263157894736847</v>
      </c>
      <c r="V768" s="19">
        <f ca="1">IF('Stock Price'!$I$11="OK",I768/INDEX(I$5:I$1258,'Stock Price'!$I$9)-1,"")</f>
        <v>0.16243050039714069</v>
      </c>
      <c r="W768" s="19">
        <f ca="1">IF('Stock Price'!$I$11="OK",J768/INDEX(J$5:J$1258,'Stock Price'!$I$9)-1,"")</f>
        <v>-0.15109778222074111</v>
      </c>
      <c r="X768" s="19">
        <f ca="1">IF('Stock Price'!$I$11="OK",K768/INDEX(K$5:K$1258,'Stock Price'!$I$9)-1,"")</f>
        <v>-5.2375607931163248E-3</v>
      </c>
      <c r="Y768" s="19">
        <f ca="1">IF('Stock Price'!$I$11="OK",L768/INDEX(L$5:L$1258,'Stock Price'!$I$9)-1,"")</f>
        <v>-0.20680009645526887</v>
      </c>
      <c r="Z768" s="19">
        <f ca="1">IF('Stock Price'!$I$11="OK",M768/INDEX(M$5:M$1258,'Stock Price'!$I$9)-1,"")</f>
        <v>-0.1776634250577821</v>
      </c>
    </row>
    <row r="769" spans="1:26" x14ac:dyDescent="0.2">
      <c r="A769" s="16">
        <f>'Stock Price'!A769</f>
        <v>45583</v>
      </c>
      <c r="B769" s="17">
        <f>'Stock Price'!E769</f>
        <v>108.7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2.1136683889149799E-2</v>
      </c>
      <c r="P769" s="19">
        <f ca="1">IF('Stock Price'!$I$11="OK",C769/INDEX(C$5:C$1258,'Stock Price'!$I$9)-1,"")</f>
        <v>-0.1541792983975746</v>
      </c>
      <c r="Q769" s="19">
        <f ca="1">IF('Stock Price'!$I$11="OK",D769/INDEX(D$5:D$1258,'Stock Price'!$I$9)-1,"")</f>
        <v>-0.13573285890242237</v>
      </c>
      <c r="R769" s="19">
        <f ca="1">IF('Stock Price'!$I$11="OK",E769/INDEX(E$5:E$1258,'Stock Price'!$I$9)-1,"")</f>
        <v>-0.22325206528309505</v>
      </c>
      <c r="S769" s="19">
        <f ca="1">IF('Stock Price'!$I$11="OK",F769/INDEX(F$5:F$1258,'Stock Price'!$I$9)-1,"")</f>
        <v>-0.23109815354713314</v>
      </c>
      <c r="T769" s="19">
        <f ca="1">IF('Stock Price'!$I$11="OK",G769/INDEX(G$5:G$1258,'Stock Price'!$I$9)-1,"")</f>
        <v>0.13891768608749744</v>
      </c>
      <c r="U769" s="19">
        <f ca="1">IF('Stock Price'!$I$11="OK",H769/INDEX(H$5:H$1258,'Stock Price'!$I$9)-1,"")</f>
        <v>-0.30592105263157898</v>
      </c>
      <c r="V769" s="19">
        <f ca="1">IF('Stock Price'!$I$11="OK",I769/INDEX(I$5:I$1258,'Stock Price'!$I$9)-1,"")</f>
        <v>0.16044479745830031</v>
      </c>
      <c r="W769" s="19">
        <f ca="1">IF('Stock Price'!$I$11="OK",J769/INDEX(J$5:J$1258,'Stock Price'!$I$9)-1,"")</f>
        <v>-0.15031100744196368</v>
      </c>
      <c r="X769" s="19">
        <f ca="1">IF('Stock Price'!$I$11="OK",K769/INDEX(K$5:K$1258,'Stock Price'!$I$9)-1,"")</f>
        <v>-4.4893378226712466E-3</v>
      </c>
      <c r="Y769" s="19">
        <f ca="1">IF('Stock Price'!$I$11="OK",L769/INDEX(L$5:L$1258,'Stock Price'!$I$9)-1,"")</f>
        <v>-0.20366530021702434</v>
      </c>
      <c r="Z769" s="19">
        <f ca="1">IF('Stock Price'!$I$11="OK",M769/INDEX(M$5:M$1258,'Stock Price'!$I$9)-1,"")</f>
        <v>-0.17639876150189693</v>
      </c>
    </row>
    <row r="770" spans="1:26" x14ac:dyDescent="0.2">
      <c r="A770" s="16">
        <f>'Stock Price'!A770</f>
        <v>45586</v>
      </c>
      <c r="B770" s="17">
        <f>'Stock Price'!E770</f>
        <v>106.34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-1.0333489901361848E-3</v>
      </c>
      <c r="P770" s="19">
        <f ca="1">IF('Stock Price'!$I$11="OK",C770/INDEX(C$5:C$1258,'Stock Price'!$I$9)-1,"")</f>
        <v>-0.16464558972137999</v>
      </c>
      <c r="Q770" s="19">
        <f ca="1">IF('Stock Price'!$I$11="OK",D770/INDEX(D$5:D$1258,'Stock Price'!$I$9)-1,"")</f>
        <v>-0.1534911728479541</v>
      </c>
      <c r="R770" s="19">
        <f ca="1">IF('Stock Price'!$I$11="OK",E770/INDEX(E$5:E$1258,'Stock Price'!$I$9)-1,"")</f>
        <v>-0.23111021559540612</v>
      </c>
      <c r="S770" s="19">
        <f ca="1">IF('Stock Price'!$I$11="OK",F770/INDEX(F$5:F$1258,'Stock Price'!$I$9)-1,"")</f>
        <v>-0.23420796890184647</v>
      </c>
      <c r="T770" s="19">
        <f ca="1">IF('Stock Price'!$I$11="OK",G770/INDEX(G$5:G$1258,'Stock Price'!$I$9)-1,"")</f>
        <v>0.11258552767986729</v>
      </c>
      <c r="U770" s="19">
        <f ca="1">IF('Stock Price'!$I$11="OK",H770/INDEX(H$5:H$1258,'Stock Price'!$I$9)-1,"")</f>
        <v>-0.31315789473684208</v>
      </c>
      <c r="V770" s="19">
        <f ca="1">IF('Stock Price'!$I$11="OK",I770/INDEX(I$5:I$1258,'Stock Price'!$I$9)-1,"")</f>
        <v>0.14892772041302615</v>
      </c>
      <c r="W770" s="19">
        <f ca="1">IF('Stock Price'!$I$11="OK",J770/INDEX(J$5:J$1258,'Stock Price'!$I$9)-1,"")</f>
        <v>-0.1612703173016401</v>
      </c>
      <c r="X770" s="19">
        <f ca="1">IF('Stock Price'!$I$11="OK",K770/INDEX(K$5:K$1258,'Stock Price'!$I$9)-1,"")</f>
        <v>-2.5065469509914062E-2</v>
      </c>
      <c r="Y770" s="19">
        <f ca="1">IF('Stock Price'!$I$11="OK",L770/INDEX(L$5:L$1258,'Stock Price'!$I$9)-1,"")</f>
        <v>-0.21470942850253183</v>
      </c>
      <c r="Z770" s="19">
        <f ca="1">IF('Stock Price'!$I$11="OK",M770/INDEX(M$5:M$1258,'Stock Price'!$I$9)-1,"")</f>
        <v>-0.1865160699489774</v>
      </c>
    </row>
    <row r="771" spans="1:26" x14ac:dyDescent="0.2">
      <c r="A771" s="16">
        <f>'Stock Price'!A771</f>
        <v>45587</v>
      </c>
      <c r="B771" s="17">
        <f>'Stock Price'!E771</f>
        <v>106.64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1.7848755284171069E-3</v>
      </c>
      <c r="P771" s="19">
        <f ca="1">IF('Stock Price'!$I$11="OK",C771/INDEX(C$5:C$1258,'Stock Price'!$I$9)-1,"")</f>
        <v>-0.17482315576728746</v>
      </c>
      <c r="Q771" s="19">
        <f ca="1">IF('Stock Price'!$I$11="OK",D771/INDEX(D$5:D$1258,'Stock Price'!$I$9)-1,"")</f>
        <v>-0.14383467907485969</v>
      </c>
      <c r="R771" s="19">
        <f ca="1">IF('Stock Price'!$I$11="OK",E771/INDEX(E$5:E$1258,'Stock Price'!$I$9)-1,"")</f>
        <v>-0.23433407213379009</v>
      </c>
      <c r="S771" s="19">
        <f ca="1">IF('Stock Price'!$I$11="OK",F771/INDEX(F$5:F$1258,'Stock Price'!$I$9)-1,"")</f>
        <v>-0.23828960155490775</v>
      </c>
      <c r="T771" s="19">
        <f ca="1">IF('Stock Price'!$I$11="OK",G771/INDEX(G$5:G$1258,'Stock Price'!$I$9)-1,"")</f>
        <v>0.10429193448061369</v>
      </c>
      <c r="U771" s="19">
        <f ca="1">IF('Stock Price'!$I$11="OK",H771/INDEX(H$5:H$1258,'Stock Price'!$I$9)-1,"")</f>
        <v>-0.31907894736842102</v>
      </c>
      <c r="V771" s="19">
        <f ca="1">IF('Stock Price'!$I$11="OK",I771/INDEX(I$5:I$1258,'Stock Price'!$I$9)-1,"")</f>
        <v>0.14535345512311348</v>
      </c>
      <c r="W771" s="19">
        <f ca="1">IF('Stock Price'!$I$11="OK",J771/INDEX(J$5:J$1258,'Stock Price'!$I$9)-1,"")</f>
        <v>-0.1584749527935132</v>
      </c>
      <c r="X771" s="19">
        <f ca="1">IF('Stock Price'!$I$11="OK",K771/INDEX(K$5:K$1258,'Stock Price'!$I$9)-1,"")</f>
        <v>-1.3093901982790923E-2</v>
      </c>
      <c r="Y771" s="19">
        <f ca="1">IF('Stock Price'!$I$11="OK",L771/INDEX(L$5:L$1258,'Stock Price'!$I$9)-1,"")</f>
        <v>-0.21171931516759102</v>
      </c>
      <c r="Z771" s="19">
        <f ca="1">IF('Stock Price'!$I$11="OK",M771/INDEX(M$5:M$1258,'Stock Price'!$I$9)-1,"")</f>
        <v>-0.17683485238323671</v>
      </c>
    </row>
    <row r="772" spans="1:26" x14ac:dyDescent="0.2">
      <c r="A772" s="16">
        <f>'Stock Price'!A772</f>
        <v>45588</v>
      </c>
      <c r="B772" s="17">
        <f>'Stock Price'!E772</f>
        <v>106.38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-6.5758572099583468E-4</v>
      </c>
      <c r="P772" s="19">
        <f ca="1">IF('Stock Price'!$I$11="OK",C772/INDEX(C$5:C$1258,'Stock Price'!$I$9)-1,"")</f>
        <v>-0.17662768875415047</v>
      </c>
      <c r="Q772" s="19">
        <f ca="1">IF('Stock Price'!$I$11="OK",D772/INDEX(D$5:D$1258,'Stock Price'!$I$9)-1,"")</f>
        <v>-0.16608731353496653</v>
      </c>
      <c r="R772" s="19">
        <f ca="1">IF('Stock Price'!$I$11="OK",E772/INDEX(E$5:E$1258,'Stock Price'!$I$9)-1,"")</f>
        <v>-0.23473705420108815</v>
      </c>
      <c r="S772" s="19">
        <f ca="1">IF('Stock Price'!$I$11="OK",F772/INDEX(F$5:F$1258,'Stock Price'!$I$9)-1,"")</f>
        <v>-0.21865889212827982</v>
      </c>
      <c r="T772" s="19">
        <f ca="1">IF('Stock Price'!$I$11="OK",G772/INDEX(G$5:G$1258,'Stock Price'!$I$9)-1,"")</f>
        <v>9.6620360771304314E-2</v>
      </c>
      <c r="U772" s="19">
        <f ca="1">IF('Stock Price'!$I$11="OK",H772/INDEX(H$5:H$1258,'Stock Price'!$I$9)-1,"")</f>
        <v>-0.32578947368421052</v>
      </c>
      <c r="V772" s="19">
        <f ca="1">IF('Stock Price'!$I$11="OK",I772/INDEX(I$5:I$1258,'Stock Price'!$I$9)-1,"")</f>
        <v>0.14614773629864963</v>
      </c>
      <c r="W772" s="19">
        <f ca="1">IF('Stock Price'!$I$11="OK",J772/INDEX(J$5:J$1258,'Stock Price'!$I$9)-1,"")</f>
        <v>-0.16393609537561549</v>
      </c>
      <c r="X772" s="19">
        <f ca="1">IF('Stock Price'!$I$11="OK",K772/INDEX(K$5:K$1258,'Stock Price'!$I$9)-1,"")</f>
        <v>-7.4822297044518926E-3</v>
      </c>
      <c r="Y772" s="19">
        <f ca="1">IF('Stock Price'!$I$11="OK",L772/INDEX(L$5:L$1258,'Stock Price'!$I$9)-1,"")</f>
        <v>-0.20009645526886899</v>
      </c>
      <c r="Z772" s="19">
        <f ca="1">IF('Stock Price'!$I$11="OK",M772/INDEX(M$5:M$1258,'Stock Price'!$I$9)-1,"")</f>
        <v>-0.18067245213902583</v>
      </c>
    </row>
    <row r="773" spans="1:26" x14ac:dyDescent="0.2">
      <c r="A773" s="16">
        <f>'Stock Price'!A773</f>
        <v>45589</v>
      </c>
      <c r="B773" s="17">
        <f>'Stock Price'!E773</f>
        <v>105.88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-5.3546265852513208E-3</v>
      </c>
      <c r="P773" s="19">
        <f ca="1">IF('Stock Price'!$I$11="OK",C773/INDEX(C$5:C$1258,'Stock Price'!$I$9)-1,"")</f>
        <v>-0.18341273278475534</v>
      </c>
      <c r="Q773" s="19">
        <f ca="1">IF('Stock Price'!$I$11="OK",D773/INDEX(D$5:D$1258,'Stock Price'!$I$9)-1,"")</f>
        <v>-0.1695634323251678</v>
      </c>
      <c r="R773" s="19">
        <f ca="1">IF('Stock Price'!$I$11="OK",E773/INDEX(E$5:E$1258,'Stock Price'!$I$9)-1,"")</f>
        <v>-0.23957283900866411</v>
      </c>
      <c r="S773" s="19">
        <f ca="1">IF('Stock Price'!$I$11="OK",F773/INDEX(F$5:F$1258,'Stock Price'!$I$9)-1,"")</f>
        <v>-0.213022351797862</v>
      </c>
      <c r="T773" s="19">
        <f ca="1">IF('Stock Price'!$I$11="OK",G773/INDEX(G$5:G$1258,'Stock Price'!$I$9)-1,"")</f>
        <v>7.9203815052871773E-2</v>
      </c>
      <c r="U773" s="19">
        <f ca="1">IF('Stock Price'!$I$11="OK",H773/INDEX(H$5:H$1258,'Stock Price'!$I$9)-1,"")</f>
        <v>-0.32289473684210523</v>
      </c>
      <c r="V773" s="19">
        <f ca="1">IF('Stock Price'!$I$11="OK",I773/INDEX(I$5:I$1258,'Stock Price'!$I$9)-1,"")</f>
        <v>0.13741064336775222</v>
      </c>
      <c r="W773" s="19">
        <f ca="1">IF('Stock Price'!$I$11="OK",J773/INDEX(J$5:J$1258,'Stock Price'!$I$9)-1,"")</f>
        <v>-0.17497871080010352</v>
      </c>
      <c r="X773" s="19">
        <f ca="1">IF('Stock Price'!$I$11="OK",K773/INDEX(K$5:K$1258,'Stock Price'!$I$9)-1,"")</f>
        <v>-1.0101010101010055E-2</v>
      </c>
      <c r="Y773" s="19">
        <f ca="1">IF('Stock Price'!$I$11="OK",L773/INDEX(L$5:L$1258,'Stock Price'!$I$9)-1,"")</f>
        <v>-0.21065830721003143</v>
      </c>
      <c r="Z773" s="19">
        <f ca="1">IF('Stock Price'!$I$11="OK",M773/INDEX(M$5:M$1258,'Stock Price'!$I$9)-1,"")</f>
        <v>-0.17295364353931353</v>
      </c>
    </row>
    <row r="774" spans="1:26" x14ac:dyDescent="0.2">
      <c r="A774" s="16">
        <f>'Stock Price'!A774</f>
        <v>45590</v>
      </c>
      <c r="B774" s="17">
        <f>'Stock Price'!E774</f>
        <v>103.98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-2.3203381869422279E-2</v>
      </c>
      <c r="P774" s="19">
        <f ca="1">IF('Stock Price'!$I$11="OK",C774/INDEX(C$5:C$1258,'Stock Price'!$I$9)-1,"")</f>
        <v>-0.17864876569943688</v>
      </c>
      <c r="Q774" s="19">
        <f ca="1">IF('Stock Price'!$I$11="OK",D774/INDEX(D$5:D$1258,'Stock Price'!$I$9)-1,"")</f>
        <v>-0.18653346106473256</v>
      </c>
      <c r="R774" s="19">
        <f ca="1">IF('Stock Price'!$I$11="OK",E774/INDEX(E$5:E$1258,'Stock Price'!$I$9)-1,"")</f>
        <v>-0.24400564174894213</v>
      </c>
      <c r="S774" s="19">
        <f ca="1">IF('Stock Price'!$I$11="OK",F774/INDEX(F$5:F$1258,'Stock Price'!$I$9)-1,"")</f>
        <v>-0.21146744412050533</v>
      </c>
      <c r="T774" s="19">
        <f ca="1">IF('Stock Price'!$I$11="OK",G774/INDEX(G$5:G$1258,'Stock Price'!$I$9)-1,"")</f>
        <v>0.12668463611859848</v>
      </c>
      <c r="U774" s="19">
        <f ca="1">IF('Stock Price'!$I$11="OK",H774/INDEX(H$5:H$1258,'Stock Price'!$I$9)-1,"")</f>
        <v>-0.32236842105263153</v>
      </c>
      <c r="V774" s="19">
        <f ca="1">IF('Stock Price'!$I$11="OK",I774/INDEX(I$5:I$1258,'Stock Price'!$I$9)-1,"")</f>
        <v>0.1298649722001588</v>
      </c>
      <c r="W774" s="19">
        <f ca="1">IF('Stock Price'!$I$11="OK",J774/INDEX(J$5:J$1258,'Stock Price'!$I$9)-1,"")</f>
        <v>-0.17370135880632365</v>
      </c>
      <c r="X774" s="19">
        <f ca="1">IF('Stock Price'!$I$11="OK",K774/INDEX(K$5:K$1258,'Stock Price'!$I$9)-1,"")</f>
        <v>-2.8806584362139898E-2</v>
      </c>
      <c r="Y774" s="19">
        <f ca="1">IF('Stock Price'!$I$11="OK",L774/INDEX(L$5:L$1258,'Stock Price'!$I$9)-1,"")</f>
        <v>-0.22411381721726553</v>
      </c>
      <c r="Z774" s="19">
        <f ca="1">IF('Stock Price'!$I$11="OK",M774/INDEX(M$5:M$1258,'Stock Price'!$I$9)-1,"")</f>
        <v>-0.18080327940342766</v>
      </c>
    </row>
    <row r="775" spans="1:26" x14ac:dyDescent="0.2">
      <c r="A775" s="16">
        <f>'Stock Price'!A775</f>
        <v>45593</v>
      </c>
      <c r="B775" s="17">
        <f>'Stock Price'!E775</f>
        <v>104.23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-2.0854861437294536E-2</v>
      </c>
      <c r="P775" s="19">
        <f ca="1">IF('Stock Price'!$I$11="OK",C775/INDEX(C$5:C$1258,'Stock Price'!$I$9)-1,"")</f>
        <v>-0.16536740291612528</v>
      </c>
      <c r="Q775" s="19">
        <f ca="1">IF('Stock Price'!$I$11="OK",D775/INDEX(D$5:D$1258,'Stock Price'!$I$9)-1,"")</f>
        <v>-0.18653346106473256</v>
      </c>
      <c r="R775" s="19">
        <f ca="1">IF('Stock Price'!$I$11="OK",E775/INDEX(E$5:E$1258,'Stock Price'!$I$9)-1,"")</f>
        <v>-0.23675196453757807</v>
      </c>
      <c r="S775" s="19">
        <f ca="1">IF('Stock Price'!$I$11="OK",F775/INDEX(F$5:F$1258,'Stock Price'!$I$9)-1,"")</f>
        <v>-0.21652089407191444</v>
      </c>
      <c r="T775" s="19">
        <f ca="1">IF('Stock Price'!$I$11="OK",G775/INDEX(G$5:G$1258,'Stock Price'!$I$9)-1,"")</f>
        <v>0.12709931577856115</v>
      </c>
      <c r="U775" s="19">
        <f ca="1">IF('Stock Price'!$I$11="OK",H775/INDEX(H$5:H$1258,'Stock Price'!$I$9)-1,"")</f>
        <v>-0.31302631578947371</v>
      </c>
      <c r="V775" s="19">
        <f ca="1">IF('Stock Price'!$I$11="OK",I775/INDEX(I$5:I$1258,'Stock Price'!$I$9)-1,"")</f>
        <v>0.14614773629864963</v>
      </c>
      <c r="W775" s="19">
        <f ca="1">IF('Stock Price'!$I$11="OK",J775/INDEX(J$5:J$1258,'Stock Price'!$I$9)-1,"")</f>
        <v>-0.17102632455848044</v>
      </c>
      <c r="X775" s="19">
        <f ca="1">IF('Stock Price'!$I$11="OK",K775/INDEX(K$5:K$1258,'Stock Price'!$I$9)-1,"")</f>
        <v>-1.5338570894126491E-2</v>
      </c>
      <c r="Y775" s="19">
        <f ca="1">IF('Stock Price'!$I$11="OK",L775/INDEX(L$5:L$1258,'Stock Price'!$I$9)-1,"")</f>
        <v>-0.22064142753797922</v>
      </c>
      <c r="Z775" s="19">
        <f ca="1">IF('Stock Price'!$I$11="OK",M775/INDEX(M$5:M$1258,'Stock Price'!$I$9)-1,"")</f>
        <v>-0.17282281627491169</v>
      </c>
    </row>
    <row r="776" spans="1:26" x14ac:dyDescent="0.2">
      <c r="A776" s="16">
        <f>'Stock Price'!A776</f>
        <v>45594</v>
      </c>
      <c r="B776" s="17">
        <f>'Stock Price'!E776</f>
        <v>103.73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-2.5551902301550022E-2</v>
      </c>
      <c r="P776" s="19">
        <f ca="1">IF('Stock Price'!$I$11="OK",C776/INDEX(C$5:C$1258,'Stock Price'!$I$9)-1,"")</f>
        <v>-0.20217987584813046</v>
      </c>
      <c r="Q776" s="19">
        <f ca="1">IF('Stock Price'!$I$11="OK",D776/INDEX(D$5:D$1258,'Stock Price'!$I$9)-1,"")</f>
        <v>-0.18078554810455727</v>
      </c>
      <c r="R776" s="19">
        <f ca="1">IF('Stock Price'!$I$11="OK",E776/INDEX(E$5:E$1258,'Stock Price'!$I$9)-1,"")</f>
        <v>-0.23090872456175704</v>
      </c>
      <c r="S776" s="19">
        <f ca="1">IF('Stock Price'!$I$11="OK",F776/INDEX(F$5:F$1258,'Stock Price'!$I$9)-1,"")</f>
        <v>-0.22546161321671532</v>
      </c>
      <c r="T776" s="19">
        <f ca="1">IF('Stock Price'!$I$11="OK",G776/INDEX(G$5:G$1258,'Stock Price'!$I$9)-1,"")</f>
        <v>0.1161103047895502</v>
      </c>
      <c r="U776" s="19">
        <f ca="1">IF('Stock Price'!$I$11="OK",H776/INDEX(H$5:H$1258,'Stock Price'!$I$9)-1,"")</f>
        <v>-0.32763157894736838</v>
      </c>
      <c r="V776" s="19">
        <f ca="1">IF('Stock Price'!$I$11="OK",I776/INDEX(I$5:I$1258,'Stock Price'!$I$9)-1,"")</f>
        <v>0.13026211278792688</v>
      </c>
      <c r="W776" s="19">
        <f ca="1">IF('Stock Price'!$I$11="OK",J776/INDEX(J$5:J$1258,'Stock Price'!$I$9)-1,"")</f>
        <v>-0.16363064163797236</v>
      </c>
      <c r="X776" s="19">
        <f ca="1">IF('Stock Price'!$I$11="OK",K776/INDEX(K$5:K$1258,'Stock Price'!$I$9)-1,"")</f>
        <v>-1.7957351290684653E-2</v>
      </c>
      <c r="Y776" s="19">
        <f ca="1">IF('Stock Price'!$I$11="OK",L776/INDEX(L$5:L$1258,'Stock Price'!$I$9)-1,"")</f>
        <v>-0.22792380033759341</v>
      </c>
      <c r="Z776" s="19">
        <f ca="1">IF('Stock Price'!$I$11="OK",M776/INDEX(M$5:M$1258,'Stock Price'!$I$9)-1,"")</f>
        <v>-0.17382582530199298</v>
      </c>
    </row>
    <row r="777" spans="1:26" x14ac:dyDescent="0.2">
      <c r="A777" s="16">
        <f>'Stock Price'!A777</f>
        <v>45595</v>
      </c>
      <c r="B777" s="17">
        <f>'Stock Price'!E777</f>
        <v>104.83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-1.5218412400187953E-2</v>
      </c>
      <c r="P777" s="19">
        <f ca="1">IF('Stock Price'!$I$11="OK",C777/INDEX(C$5:C$1258,'Stock Price'!$I$9)-1,"")</f>
        <v>-0.20665511765555067</v>
      </c>
      <c r="Q777" s="19">
        <f ca="1">IF('Stock Price'!$I$11="OK",D777/INDEX(D$5:D$1258,'Stock Price'!$I$9)-1,"")</f>
        <v>-0.1816066785274395</v>
      </c>
      <c r="R777" s="19">
        <f ca="1">IF('Stock Price'!$I$11="OK",E777/INDEX(E$5:E$1258,'Stock Price'!$I$9)-1,"")</f>
        <v>-0.2542816844650414</v>
      </c>
      <c r="S777" s="19">
        <f ca="1">IF('Stock Price'!$I$11="OK",F777/INDEX(F$5:F$1258,'Stock Price'!$I$9)-1,"")</f>
        <v>-0.23304178814382903</v>
      </c>
      <c r="T777" s="19">
        <f ca="1">IF('Stock Price'!$I$11="OK",G777/INDEX(G$5:G$1258,'Stock Price'!$I$9)-1,"")</f>
        <v>0.10823139125025927</v>
      </c>
      <c r="U777" s="19">
        <f ca="1">IF('Stock Price'!$I$11="OK",H777/INDEX(H$5:H$1258,'Stock Price'!$I$9)-1,"")</f>
        <v>-0.34223684210526317</v>
      </c>
      <c r="V777" s="19">
        <f ca="1">IF('Stock Price'!$I$11="OK",I777/INDEX(I$5:I$1258,'Stock Price'!$I$9)-1,"")</f>
        <v>0.13264495631453532</v>
      </c>
      <c r="W777" s="19">
        <f ca="1">IF('Stock Price'!$I$11="OK",J777/INDEX(J$5:J$1258,'Stock Price'!$I$9)-1,"")</f>
        <v>-0.21615942833870183</v>
      </c>
      <c r="X777" s="19">
        <f ca="1">IF('Stock Price'!$I$11="OK",K777/INDEX(K$5:K$1258,'Stock Price'!$I$9)-1,"")</f>
        <v>-1.4964459408903896E-2</v>
      </c>
      <c r="Y777" s="19">
        <f ca="1">IF('Stock Price'!$I$11="OK",L777/INDEX(L$5:L$1258,'Stock Price'!$I$9)-1,"")</f>
        <v>-0.22541596334699776</v>
      </c>
      <c r="Z777" s="19">
        <f ca="1">IF('Stock Price'!$I$11="OK",M777/INDEX(M$5:M$1258,'Stock Price'!$I$9)-1,"")</f>
        <v>-0.12127687410056254</v>
      </c>
    </row>
    <row r="778" spans="1:26" x14ac:dyDescent="0.2">
      <c r="A778" s="16">
        <f>'Stock Price'!A778</f>
        <v>45596</v>
      </c>
      <c r="B778" s="17">
        <f>'Stock Price'!E778</f>
        <v>102.32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-3.8797557538750693E-2</v>
      </c>
      <c r="P778" s="19">
        <f ca="1">IF('Stock Price'!$I$11="OK",C778/INDEX(C$5:C$1258,'Stock Price'!$I$9)-1,"")</f>
        <v>-0.21755449689620321</v>
      </c>
      <c r="Q778" s="19">
        <f ca="1">IF('Stock Price'!$I$11="OK",D778/INDEX(D$5:D$1258,'Stock Price'!$I$9)-1,"")</f>
        <v>-0.22321061995346925</v>
      </c>
      <c r="R778" s="19">
        <f ca="1">IF('Stock Price'!$I$11="OK",E778/INDEX(E$5:E$1258,'Stock Price'!$I$9)-1,"")</f>
        <v>-0.25931896030626644</v>
      </c>
      <c r="S778" s="19">
        <f ca="1">IF('Stock Price'!$I$11="OK",F778/INDEX(F$5:F$1258,'Stock Price'!$I$9)-1,"")</f>
        <v>-0.24567541302235174</v>
      </c>
      <c r="T778" s="19">
        <f ca="1">IF('Stock Price'!$I$11="OK",G778/INDEX(G$5:G$1258,'Stock Price'!$I$9)-1,"")</f>
        <v>9.641302094132298E-2</v>
      </c>
      <c r="U778" s="19">
        <f ca="1">IF('Stock Price'!$I$11="OK",H778/INDEX(H$5:H$1258,'Stock Price'!$I$9)-1,"")</f>
        <v>-0.34749999999999992</v>
      </c>
      <c r="V778" s="19">
        <f ca="1">IF('Stock Price'!$I$11="OK",I778/INDEX(I$5:I$1258,'Stock Price'!$I$9)-1,"")</f>
        <v>0.12390786338363791</v>
      </c>
      <c r="W778" s="19">
        <f ca="1">IF('Stock Price'!$I$11="OK",J778/INDEX(J$5:J$1258,'Stock Price'!$I$9)-1,"")</f>
        <v>-0.23197822947906244</v>
      </c>
      <c r="X778" s="19">
        <f ca="1">IF('Stock Price'!$I$11="OK",K778/INDEX(K$5:K$1258,'Stock Price'!$I$9)-1,"")</f>
        <v>4.3209876543209846E-2</v>
      </c>
      <c r="Y778" s="19">
        <f ca="1">IF('Stock Price'!$I$11="OK",L778/INDEX(L$5:L$1258,'Stock Price'!$I$9)-1,"")</f>
        <v>-0.22903303592958757</v>
      </c>
      <c r="Z778" s="19">
        <f ca="1">IF('Stock Price'!$I$11="OK",M778/INDEX(M$5:M$1258,'Stock Price'!$I$9)-1,"")</f>
        <v>-0.11094152021281234</v>
      </c>
    </row>
    <row r="779" spans="1:26" x14ac:dyDescent="0.2">
      <c r="A779" s="16">
        <f>'Stock Price'!A779</f>
        <v>45597</v>
      </c>
      <c r="B779" s="17">
        <f>'Stock Price'!E779</f>
        <v>101.88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-4.2930953499295543E-2</v>
      </c>
      <c r="P779" s="19">
        <f ca="1">IF('Stock Price'!$I$11="OK",C779/INDEX(C$5:C$1258,'Stock Price'!$I$9)-1,"")</f>
        <v>-0.21069727154612383</v>
      </c>
      <c r="Q779" s="19">
        <f ca="1">IF('Stock Price'!$I$11="OK",D779/INDEX(D$5:D$1258,'Stock Price'!$I$9)-1,"")</f>
        <v>-0.21801012727521563</v>
      </c>
      <c r="R779" s="19">
        <f ca="1">IF('Stock Price'!$I$11="OK",E779/INDEX(E$5:E$1258,'Stock Price'!$I$9)-1,"")</f>
        <v>-0.25690106790247835</v>
      </c>
      <c r="S779" s="19">
        <f ca="1">IF('Stock Price'!$I$11="OK",F779/INDEX(F$5:F$1258,'Stock Price'!$I$9)-1,"")</f>
        <v>-0.23692905733722069</v>
      </c>
      <c r="T779" s="19">
        <f ca="1">IF('Stock Price'!$I$11="OK",G779/INDEX(G$5:G$1258,'Stock Price'!$I$9)-1,"")</f>
        <v>0.10449927431059525</v>
      </c>
      <c r="U779" s="19">
        <f ca="1">IF('Stock Price'!$I$11="OK",H779/INDEX(H$5:H$1258,'Stock Price'!$I$9)-1,"")</f>
        <v>-0.33947368421052626</v>
      </c>
      <c r="V779" s="19">
        <f ca="1">IF('Stock Price'!$I$11="OK",I779/INDEX(I$5:I$1258,'Stock Price'!$I$9)-1,"")</f>
        <v>0.11556791104050834</v>
      </c>
      <c r="W779" s="19">
        <f ca="1">IF('Stock Price'!$I$11="OK",J779/INDEX(J$5:J$1258,'Stock Price'!$I$9)-1,"")</f>
        <v>-0.24198415343033797</v>
      </c>
      <c r="X779" s="19">
        <f ca="1">IF('Stock Price'!$I$11="OK",K779/INDEX(K$5:K$1258,'Stock Price'!$I$9)-1,"")</f>
        <v>1.608679386457168E-2</v>
      </c>
      <c r="Y779" s="19">
        <f ca="1">IF('Stock Price'!$I$11="OK",L779/INDEX(L$5:L$1258,'Stock Price'!$I$9)-1,"")</f>
        <v>-0.22773088979985534</v>
      </c>
      <c r="Z779" s="19">
        <f ca="1">IF('Stock Price'!$I$11="OK",M779/INDEX(M$5:M$1258,'Stock Price'!$I$9)-1,"")</f>
        <v>-0.11233701103309923</v>
      </c>
    </row>
    <row r="780" spans="1:26" x14ac:dyDescent="0.2">
      <c r="A780" s="16">
        <f>'Stock Price'!A780</f>
        <v>45600</v>
      </c>
      <c r="B780" s="17">
        <f>'Stock Price'!E780</f>
        <v>101.87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-4.302489431658052E-2</v>
      </c>
      <c r="P780" s="19">
        <f ca="1">IF('Stock Price'!$I$11="OK",C780/INDEX(C$5:C$1258,'Stock Price'!$I$9)-1,"")</f>
        <v>-0.20225205716760497</v>
      </c>
      <c r="Q780" s="19">
        <f ca="1">IF('Stock Price'!$I$11="OK",D780/INDEX(D$5:D$1258,'Stock Price'!$I$9)-1,"")</f>
        <v>-0.22029451211167372</v>
      </c>
      <c r="R780" s="19">
        <f ca="1">IF('Stock Price'!$I$11="OK",E780/INDEX(E$5:E$1258,'Stock Price'!$I$9)-1,"")</f>
        <v>-0.2550876485996374</v>
      </c>
      <c r="S780" s="19">
        <f ca="1">IF('Stock Price'!$I$11="OK",F780/INDEX(F$5:F$1258,'Stock Price'!$I$9)-1,"")</f>
        <v>-0.23362487852283775</v>
      </c>
      <c r="T780" s="19">
        <f ca="1">IF('Stock Price'!$I$11="OK",G780/INDEX(G$5:G$1258,'Stock Price'!$I$9)-1,"")</f>
        <v>9.7864399751192321E-2</v>
      </c>
      <c r="U780" s="19">
        <f ca="1">IF('Stock Price'!$I$11="OK",H780/INDEX(H$5:H$1258,'Stock Price'!$I$9)-1,"")</f>
        <v>-0.34881578947368419</v>
      </c>
      <c r="V780" s="19">
        <f ca="1">IF('Stock Price'!$I$11="OK",I780/INDEX(I$5:I$1258,'Stock Price'!$I$9)-1,"")</f>
        <v>0.10246227164416211</v>
      </c>
      <c r="W780" s="19">
        <f ca="1">IF('Stock Price'!$I$11="OK",J780/INDEX(J$5:J$1258,'Stock Price'!$I$9)-1,"")</f>
        <v>-0.25382279980747158</v>
      </c>
      <c r="X780" s="19">
        <f ca="1">IF('Stock Price'!$I$11="OK",K780/INDEX(K$5:K$1258,'Stock Price'!$I$9)-1,"")</f>
        <v>3.7224092779648332E-2</v>
      </c>
      <c r="Y780" s="19">
        <f ca="1">IF('Stock Price'!$I$11="OK",L780/INDEX(L$5:L$1258,'Stock Price'!$I$9)-1,"")</f>
        <v>-0.23684591270798161</v>
      </c>
      <c r="Z780" s="19">
        <f ca="1">IF('Stock Price'!$I$11="OK",M780/INDEX(M$5:M$1258,'Stock Price'!$I$9)-1,"")</f>
        <v>-0.12576861017836116</v>
      </c>
    </row>
    <row r="781" spans="1:26" x14ac:dyDescent="0.2">
      <c r="A781" s="16">
        <f>'Stock Price'!A781</f>
        <v>45601</v>
      </c>
      <c r="B781" s="17">
        <f>'Stock Price'!E781</f>
        <v>101.65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-4.5091592296853E-2</v>
      </c>
      <c r="P781" s="19">
        <f ca="1">IF('Stock Price'!$I$11="OK",C781/INDEX(C$5:C$1258,'Stock Price'!$I$9)-1,"")</f>
        <v>-0.21048072758770031</v>
      </c>
      <c r="Q781" s="19">
        <f ca="1">IF('Stock Price'!$I$11="OK",D781/INDEX(D$5:D$1258,'Stock Price'!$I$9)-1,"")</f>
        <v>-0.28266100999042021</v>
      </c>
      <c r="R781" s="19">
        <f ca="1">IF('Stock Price'!$I$11="OK",E781/INDEX(E$5:E$1258,'Stock Price'!$I$9)-1,"")</f>
        <v>-0.25408019343139232</v>
      </c>
      <c r="S781" s="19">
        <f ca="1">IF('Stock Price'!$I$11="OK",F781/INDEX(F$5:F$1258,'Stock Price'!$I$9)-1,"")</f>
        <v>-0.24373177842565608</v>
      </c>
      <c r="T781" s="19">
        <f ca="1">IF('Stock Price'!$I$11="OK",G781/INDEX(G$5:G$1258,'Stock Price'!$I$9)-1,"")</f>
        <v>9.5791001451378976E-2</v>
      </c>
      <c r="U781" s="19">
        <f ca="1">IF('Stock Price'!$I$11="OK",H781/INDEX(H$5:H$1258,'Stock Price'!$I$9)-1,"")</f>
        <v>-0.35315789473684212</v>
      </c>
      <c r="V781" s="19">
        <f ca="1">IF('Stock Price'!$I$11="OK",I781/INDEX(I$5:I$1258,'Stock Price'!$I$9)-1,"")</f>
        <v>0.1115965051628276</v>
      </c>
      <c r="W781" s="19">
        <f ca="1">IF('Stock Price'!$I$11="OK",J781/INDEX(J$5:J$1258,'Stock Price'!$I$9)-1,"")</f>
        <v>-0.25389684919841538</v>
      </c>
      <c r="X781" s="19">
        <f ca="1">IF('Stock Price'!$I$11="OK",K781/INDEX(K$5:K$1258,'Stock Price'!$I$9)-1,"")</f>
        <v>4.6576879910213309E-2</v>
      </c>
      <c r="Y781" s="19">
        <f ca="1">IF('Stock Price'!$I$11="OK",L781/INDEX(L$5:L$1258,'Stock Price'!$I$9)-1,"")</f>
        <v>-0.23631540872920187</v>
      </c>
      <c r="Z781" s="19">
        <f ca="1">IF('Stock Price'!$I$11="OK",M781/INDEX(M$5:M$1258,'Stock Price'!$I$9)-1,"")</f>
        <v>-0.12049191051415109</v>
      </c>
    </row>
    <row r="782" spans="1:26" x14ac:dyDescent="0.2">
      <c r="A782" s="16">
        <f>'Stock Price'!A782</f>
        <v>45602</v>
      </c>
      <c r="B782" s="17">
        <f>'Stock Price'!E782</f>
        <v>100.73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-5.3734147487083161E-2</v>
      </c>
      <c r="P782" s="19">
        <f ca="1">IF('Stock Price'!$I$11="OK",C782/INDEX(C$5:C$1258,'Stock Price'!$I$9)-1,"")</f>
        <v>-0.22903132669265192</v>
      </c>
      <c r="Q782" s="19">
        <f ca="1">IF('Stock Price'!$I$11="OK",D782/INDEX(D$5:D$1258,'Stock Price'!$I$9)-1,"")</f>
        <v>-0.30729492267688518</v>
      </c>
      <c r="R782" s="19">
        <f ca="1">IF('Stock Price'!$I$11="OK",E782/INDEX(E$5:E$1258,'Stock Price'!$I$9)-1,"")</f>
        <v>-0.27664718920008069</v>
      </c>
      <c r="S782" s="19">
        <f ca="1">IF('Stock Price'!$I$11="OK",F782/INDEX(F$5:F$1258,'Stock Price'!$I$9)-1,"")</f>
        <v>-0.26588921282798827</v>
      </c>
      <c r="T782" s="19">
        <f ca="1">IF('Stock Price'!$I$11="OK",G782/INDEX(G$5:G$1258,'Stock Price'!$I$9)-1,"")</f>
        <v>6.2823968484345905E-2</v>
      </c>
      <c r="U782" s="19">
        <f ca="1">IF('Stock Price'!$I$11="OK",H782/INDEX(H$5:H$1258,'Stock Price'!$I$9)-1,"")</f>
        <v>-0.36986842105263162</v>
      </c>
      <c r="V782" s="19">
        <f ca="1">IF('Stock Price'!$I$11="OK",I782/INDEX(I$5:I$1258,'Stock Price'!$I$9)-1,"")</f>
        <v>8.6576648133439127E-2</v>
      </c>
      <c r="W782" s="19">
        <f ca="1">IF('Stock Price'!$I$11="OK",J782/INDEX(J$5:J$1258,'Stock Price'!$I$9)-1,"")</f>
        <v>-0.28136917323855004</v>
      </c>
      <c r="X782" s="19">
        <f ca="1">IF('Stock Price'!$I$11="OK",K782/INDEX(K$5:K$1258,'Stock Price'!$I$9)-1,"")</f>
        <v>3.4044145155256222E-2</v>
      </c>
      <c r="Y782" s="19">
        <f ca="1">IF('Stock Price'!$I$11="OK",L782/INDEX(L$5:L$1258,'Stock Price'!$I$9)-1,"")</f>
        <v>-0.23858210754762477</v>
      </c>
      <c r="Z782" s="19">
        <f ca="1">IF('Stock Price'!$I$11="OK",M782/INDEX(M$5:M$1258,'Stock Price'!$I$9)-1,"")</f>
        <v>-0.12258514674458165</v>
      </c>
    </row>
    <row r="783" spans="1:26" x14ac:dyDescent="0.2">
      <c r="A783" s="16">
        <f>'Stock Price'!A783</f>
        <v>45603</v>
      </c>
      <c r="B783" s="17">
        <f>'Stock Price'!E783</f>
        <v>101.17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-4.9600751526538311E-2</v>
      </c>
      <c r="P783" s="19">
        <f ca="1">IF('Stock Price'!$I$11="OK",C783/INDEX(C$5:C$1258,'Stock Price'!$I$9)-1,"")</f>
        <v>-0.2270824310668399</v>
      </c>
      <c r="Q783" s="19">
        <f ca="1">IF('Stock Price'!$I$11="OK",D783/INDEX(D$5:D$1258,'Stock Price'!$I$9)-1,"")</f>
        <v>-0.30721226221431508</v>
      </c>
      <c r="R783" s="19">
        <f ca="1">IF('Stock Price'!$I$11="OK",E783/INDEX(E$5:E$1258,'Stock Price'!$I$9)-1,"")</f>
        <v>-0.26133387064275648</v>
      </c>
      <c r="S783" s="19">
        <f ca="1">IF('Stock Price'!$I$11="OK",F783/INDEX(F$5:F$1258,'Stock Price'!$I$9)-1,"")</f>
        <v>-0.25811467444120506</v>
      </c>
      <c r="T783" s="19">
        <f ca="1">IF('Stock Price'!$I$11="OK",G783/INDEX(G$5:G$1258,'Stock Price'!$I$9)-1,"")</f>
        <v>7.2568940493468848E-2</v>
      </c>
      <c r="U783" s="19">
        <f ca="1">IF('Stock Price'!$I$11="OK",H783/INDEX(H$5:H$1258,'Stock Price'!$I$9)-1,"")</f>
        <v>-0.3588157894736842</v>
      </c>
      <c r="V783" s="19">
        <f ca="1">IF('Stock Price'!$I$11="OK",I783/INDEX(I$5:I$1258,'Stock Price'!$I$9)-1,"")</f>
        <v>9.0548054011119872E-2</v>
      </c>
      <c r="W783" s="19">
        <f ca="1">IF('Stock Price'!$I$11="OK",J783/INDEX(J$5:J$1258,'Stock Price'!$I$9)-1,"")</f>
        <v>-0.2618664148987373</v>
      </c>
      <c r="X783" s="19">
        <f ca="1">IF('Stock Price'!$I$11="OK",K783/INDEX(K$5:K$1258,'Stock Price'!$I$9)-1,"")</f>
        <v>2.338196782641222E-2</v>
      </c>
      <c r="Y783" s="19">
        <f ca="1">IF('Stock Price'!$I$11="OK",L783/INDEX(L$5:L$1258,'Stock Price'!$I$9)-1,"")</f>
        <v>-0.24412828550759591</v>
      </c>
      <c r="Z783" s="19">
        <f ca="1">IF('Stock Price'!$I$11="OK",M783/INDEX(M$5:M$1258,'Stock Price'!$I$9)-1,"")</f>
        <v>-0.12559417382582538</v>
      </c>
    </row>
    <row r="784" spans="1:26" x14ac:dyDescent="0.2">
      <c r="A784" s="16">
        <f>'Stock Price'!A784</f>
        <v>45604</v>
      </c>
      <c r="B784" s="17">
        <f>'Stock Price'!E784</f>
        <v>102.92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-3.3161108501643999E-2</v>
      </c>
      <c r="P784" s="19">
        <f ca="1">IF('Stock Price'!$I$11="OK",C784/INDEX(C$5:C$1258,'Stock Price'!$I$9)-1,"")</f>
        <v>-0.23162985419373461</v>
      </c>
      <c r="Q784" s="19">
        <f ca="1">IF('Stock Price'!$I$11="OK",D784/INDEX(D$5:D$1258,'Stock Price'!$I$9)-1,"")</f>
        <v>-0.300725331873546</v>
      </c>
      <c r="R784" s="19">
        <f ca="1">IF('Stock Price'!$I$11="OK",E784/INDEX(E$5:E$1258,'Stock Price'!$I$9)-1,"")</f>
        <v>-0.2687890388877695</v>
      </c>
      <c r="S784" s="19">
        <f ca="1">IF('Stock Price'!$I$11="OK",F784/INDEX(F$5:F$1258,'Stock Price'!$I$9)-1,"")</f>
        <v>-0.26899902818270172</v>
      </c>
      <c r="T784" s="19">
        <f ca="1">IF('Stock Price'!$I$11="OK",G784/INDEX(G$5:G$1258,'Stock Price'!$I$9)-1,"")</f>
        <v>6.4068007464233911E-2</v>
      </c>
      <c r="U784" s="19">
        <f ca="1">IF('Stock Price'!$I$11="OK",H784/INDEX(H$5:H$1258,'Stock Price'!$I$9)-1,"")</f>
        <v>-0.36631578947368426</v>
      </c>
      <c r="V784" s="19">
        <f ca="1">IF('Stock Price'!$I$11="OK",I784/INDEX(I$5:I$1258,'Stock Price'!$I$9)-1,"")</f>
        <v>6.1159650516282804E-2</v>
      </c>
      <c r="W784" s="19">
        <f ca="1">IF('Stock Price'!$I$11="OK",J784/INDEX(J$5:J$1258,'Stock Price'!$I$9)-1,"")</f>
        <v>-0.23031211818282793</v>
      </c>
      <c r="X784" s="19">
        <f ca="1">IF('Stock Price'!$I$11="OK",K784/INDEX(K$5:K$1258,'Stock Price'!$I$9)-1,"")</f>
        <v>1.2719790497568217E-2</v>
      </c>
      <c r="Y784" s="19">
        <f ca="1">IF('Stock Price'!$I$11="OK",L784/INDEX(L$5:L$1258,'Stock Price'!$I$9)-1,"")</f>
        <v>-0.25020496744634679</v>
      </c>
      <c r="Z784" s="19">
        <f ca="1">IF('Stock Price'!$I$11="OK",M784/INDEX(M$5:M$1258,'Stock Price'!$I$9)-1,"")</f>
        <v>-0.12999869172735601</v>
      </c>
    </row>
    <row r="785" spans="1:26" x14ac:dyDescent="0.2">
      <c r="A785" s="16">
        <f>'Stock Price'!A785</f>
        <v>45607</v>
      </c>
      <c r="B785" s="17">
        <f>'Stock Price'!E785</f>
        <v>100.73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-5.3734147487083161E-2</v>
      </c>
      <c r="P785" s="19">
        <f ca="1">IF('Stock Price'!$I$11="OK",C785/INDEX(C$5:C$1258,'Stock Price'!$I$9)-1,"")</f>
        <v>-0.23725999711274715</v>
      </c>
      <c r="Q785" s="19">
        <f ca="1">IF('Stock Price'!$I$11="OK",D785/INDEX(D$5:D$1258,'Stock Price'!$I$9)-1,"")</f>
        <v>-0.30587108252360751</v>
      </c>
      <c r="R785" s="19">
        <f ca="1">IF('Stock Price'!$I$11="OK",E785/INDEX(E$5:E$1258,'Stock Price'!$I$9)-1,"")</f>
        <v>-0.26758009268587546</v>
      </c>
      <c r="S785" s="19">
        <f ca="1">IF('Stock Price'!$I$11="OK",F785/INDEX(F$5:F$1258,'Stock Price'!$I$9)-1,"")</f>
        <v>-0.26880466472303211</v>
      </c>
      <c r="T785" s="19">
        <f ca="1">IF('Stock Price'!$I$11="OK",G785/INDEX(G$5:G$1258,'Stock Price'!$I$9)-1,"")</f>
        <v>4.9554219365540053E-2</v>
      </c>
      <c r="U785" s="19">
        <f ca="1">IF('Stock Price'!$I$11="OK",H785/INDEX(H$5:H$1258,'Stock Price'!$I$9)-1,"")</f>
        <v>-0.35736842105263156</v>
      </c>
      <c r="V785" s="19">
        <f ca="1">IF('Stock Price'!$I$11="OK",I785/INDEX(I$5:I$1258,'Stock Price'!$I$9)-1,"")</f>
        <v>4.2096902303415451E-2</v>
      </c>
      <c r="W785" s="19">
        <f ca="1">IF('Stock Price'!$I$11="OK",J785/INDEX(J$5:J$1258,'Stock Price'!$I$9)-1,"")</f>
        <v>-0.22947906253471051</v>
      </c>
      <c r="X785" s="19">
        <f ca="1">IF('Stock Price'!$I$11="OK",K785/INDEX(K$5:K$1258,'Stock Price'!$I$9)-1,"")</f>
        <v>0.11896745230078554</v>
      </c>
      <c r="Y785" s="19">
        <f ca="1">IF('Stock Price'!$I$11="OK",L785/INDEX(L$5:L$1258,'Stock Price'!$I$9)-1,"")</f>
        <v>-0.25227875572703162</v>
      </c>
      <c r="Z785" s="19">
        <f ca="1">IF('Stock Price'!$I$11="OK",M785/INDEX(M$5:M$1258,'Stock Price'!$I$9)-1,"")</f>
        <v>-0.23932667567921151</v>
      </c>
    </row>
    <row r="786" spans="1:26" x14ac:dyDescent="0.2">
      <c r="A786" s="16">
        <f>'Stock Price'!A786</f>
        <v>45608</v>
      </c>
      <c r="B786" s="17">
        <f>'Stock Price'!E786</f>
        <v>98.58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-7.3931423203381863E-2</v>
      </c>
      <c r="P786" s="19">
        <f ca="1">IF('Stock Price'!$I$11="OK",C786/INDEX(C$5:C$1258,'Stock Price'!$I$9)-1,"")</f>
        <v>-0.24267359607333616</v>
      </c>
      <c r="Q786" s="19">
        <f ca="1">IF('Stock Price'!$I$11="OK",D786/INDEX(D$5:D$1258,'Stock Price'!$I$9)-1,"")</f>
        <v>-0.29703079239085817</v>
      </c>
      <c r="R786" s="19">
        <f ca="1">IF('Stock Price'!$I$11="OK",E786/INDEX(E$5:E$1258,'Stock Price'!$I$9)-1,"")</f>
        <v>-0.28430384847874268</v>
      </c>
      <c r="S786" s="19">
        <f ca="1">IF('Stock Price'!$I$11="OK",F786/INDEX(F$5:F$1258,'Stock Price'!$I$9)-1,"")</f>
        <v>-0.27405247813411082</v>
      </c>
      <c r="T786" s="19">
        <f ca="1">IF('Stock Price'!$I$11="OK",G786/INDEX(G$5:G$1258,'Stock Price'!$I$9)-1,"")</f>
        <v>3.9601907526435998E-2</v>
      </c>
      <c r="U786" s="19">
        <f ca="1">IF('Stock Price'!$I$11="OK",H786/INDEX(H$5:H$1258,'Stock Price'!$I$9)-1,"")</f>
        <v>-0.45052631578947366</v>
      </c>
      <c r="V786" s="19">
        <f ca="1">IF('Stock Price'!$I$11="OK",I786/INDEX(I$5:I$1258,'Stock Price'!$I$9)-1,"")</f>
        <v>4.0111199364575079E-2</v>
      </c>
      <c r="W786" s="19">
        <f ca="1">IF('Stock Price'!$I$11="OK",J786/INDEX(J$5:J$1258,'Stock Price'!$I$9)-1,"")</f>
        <v>-0.24204894664741372</v>
      </c>
      <c r="X786" s="19">
        <f ca="1">IF('Stock Price'!$I$11="OK",K786/INDEX(K$5:K$1258,'Stock Price'!$I$9)-1,"")</f>
        <v>0.10400299289188175</v>
      </c>
      <c r="Y786" s="19">
        <f ca="1">IF('Stock Price'!$I$11="OK",L786/INDEX(L$5:L$1258,'Stock Price'!$I$9)-1,"")</f>
        <v>-0.26385338799131908</v>
      </c>
      <c r="Z786" s="19">
        <f ca="1">IF('Stock Price'!$I$11="OK",M786/INDEX(M$5:M$1258,'Stock Price'!$I$9)-1,"")</f>
        <v>-0.25389211111595655</v>
      </c>
    </row>
    <row r="787" spans="1:26" x14ac:dyDescent="0.2">
      <c r="A787" s="16">
        <f>'Stock Price'!A787</f>
        <v>45609</v>
      </c>
      <c r="B787" s="17">
        <f>'Stock Price'!E787</f>
        <v>98.5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-7.4682949741662785E-2</v>
      </c>
      <c r="P787" s="19">
        <f ca="1">IF('Stock Price'!$I$11="OK",C787/INDEX(C$5:C$1258,'Stock Price'!$I$9)-1,"")</f>
        <v>-0.25032481593763534</v>
      </c>
      <c r="Q787" s="19">
        <f ca="1">IF('Stock Price'!$I$11="OK",D787/INDEX(D$5:D$1258,'Stock Price'!$I$9)-1,"")</f>
        <v>-0.29273354317777467</v>
      </c>
      <c r="R787" s="19">
        <f ca="1">IF('Stock Price'!$I$11="OK",E787/INDEX(E$5:E$1258,'Stock Price'!$I$9)-1,"")</f>
        <v>-0.29256498085835181</v>
      </c>
      <c r="S787" s="19">
        <f ca="1">IF('Stock Price'!$I$11="OK",F787/INDEX(F$5:F$1258,'Stock Price'!$I$9)-1,"")</f>
        <v>-0.28046647230320698</v>
      </c>
      <c r="T787" s="19">
        <f ca="1">IF('Stock Price'!$I$11="OK",G787/INDEX(G$5:G$1258,'Stock Price'!$I$9)-1,"")</f>
        <v>2.6539498237611481E-2</v>
      </c>
      <c r="U787" s="19">
        <f ca="1">IF('Stock Price'!$I$11="OK",H787/INDEX(H$5:H$1258,'Stock Price'!$I$9)-1,"")</f>
        <v>-0.4698684210526316</v>
      </c>
      <c r="V787" s="19">
        <f ca="1">IF('Stock Price'!$I$11="OK",I787/INDEX(I$5:I$1258,'Stock Price'!$I$9)-1,"")</f>
        <v>6.1159650516282804E-2</v>
      </c>
      <c r="W787" s="19">
        <f ca="1">IF('Stock Price'!$I$11="OK",J787/INDEX(J$5:J$1258,'Stock Price'!$I$9)-1,"")</f>
        <v>-0.24857454922433264</v>
      </c>
      <c r="X787" s="19">
        <f ca="1">IF('Stock Price'!$I$11="OK",K787/INDEX(K$5:K$1258,'Stock Price'!$I$9)-1,"")</f>
        <v>9.259259259259256E-2</v>
      </c>
      <c r="Y787" s="19">
        <f ca="1">IF('Stock Price'!$I$11="OK",L787/INDEX(L$5:L$1258,'Stock Price'!$I$9)-1,"")</f>
        <v>-0.26095972992524707</v>
      </c>
      <c r="Z787" s="19">
        <f ca="1">IF('Stock Price'!$I$11="OK",M787/INDEX(M$5:M$1258,'Stock Price'!$I$9)-1,"")</f>
        <v>-0.25711918363787012</v>
      </c>
    </row>
    <row r="788" spans="1:26" x14ac:dyDescent="0.2">
      <c r="A788" s="16">
        <f>'Stock Price'!A788</f>
        <v>45610</v>
      </c>
      <c r="B788" s="17">
        <f>'Stock Price'!E788</f>
        <v>98.36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-7.5998121183654344E-2</v>
      </c>
      <c r="P788" s="19">
        <f ca="1">IF('Stock Price'!$I$11="OK",C788/INDEX(C$5:C$1258,'Stock Price'!$I$9)-1,"")</f>
        <v>-0.25364515663346321</v>
      </c>
      <c r="Q788" s="19">
        <f ca="1">IF('Stock Price'!$I$11="OK",D788/INDEX(D$5:D$1258,'Stock Price'!$I$9)-1,"")</f>
        <v>-0.28703982482550983</v>
      </c>
      <c r="R788" s="19">
        <f ca="1">IF('Stock Price'!$I$11="OK",E788/INDEX(E$5:E$1258,'Stock Price'!$I$9)-1,"")</f>
        <v>-0.30707233528108002</v>
      </c>
      <c r="S788" s="19">
        <f ca="1">IF('Stock Price'!$I$11="OK",F788/INDEX(F$5:F$1258,'Stock Price'!$I$9)-1,"")</f>
        <v>-0.2975704567541303</v>
      </c>
      <c r="T788" s="19">
        <f ca="1">IF('Stock Price'!$I$11="OK",G788/INDEX(G$5:G$1258,'Stock Price'!$I$9)-1,"")</f>
        <v>-8.5009330292348251E-3</v>
      </c>
      <c r="U788" s="19">
        <f ca="1">IF('Stock Price'!$I$11="OK",H788/INDEX(H$5:H$1258,'Stock Price'!$I$9)-1,"")</f>
        <v>-0.46052631578947367</v>
      </c>
      <c r="V788" s="19">
        <f ca="1">IF('Stock Price'!$I$11="OK",I788/INDEX(I$5:I$1258,'Stock Price'!$I$9)-1,"")</f>
        <v>3.3359809372517812E-2</v>
      </c>
      <c r="W788" s="19">
        <f ca="1">IF('Stock Price'!$I$11="OK",J788/INDEX(J$5:J$1258,'Stock Price'!$I$9)-1,"")</f>
        <v>-0.27225184197859964</v>
      </c>
      <c r="X788" s="19">
        <f ca="1">IF('Stock Price'!$I$11="OK",K788/INDEX(K$5:K$1258,'Stock Price'!$I$9)-1,"")</f>
        <v>9.4276094276094291E-2</v>
      </c>
      <c r="Y788" s="19">
        <f ca="1">IF('Stock Price'!$I$11="OK",L788/INDEX(L$5:L$1258,'Stock Price'!$I$9)-1,"")</f>
        <v>-0.26756691584277792</v>
      </c>
      <c r="Z788" s="19">
        <f ca="1">IF('Stock Price'!$I$11="OK",M788/INDEX(M$5:M$1258,'Stock Price'!$I$9)-1,"")</f>
        <v>-0.2602590379835158</v>
      </c>
    </row>
    <row r="789" spans="1:26" x14ac:dyDescent="0.2">
      <c r="A789" s="16">
        <f>'Stock Price'!A789</f>
        <v>45611</v>
      </c>
      <c r="B789" s="17">
        <f>'Stock Price'!E789</f>
        <v>96.31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-9.5255988727101948E-2</v>
      </c>
      <c r="P789" s="19">
        <f ca="1">IF('Stock Price'!$I$11="OK",C789/INDEX(C$5:C$1258,'Stock Price'!$I$9)-1,"")</f>
        <v>-0.25609932149559689</v>
      </c>
      <c r="Q789" s="19">
        <f ca="1">IF('Stock Price'!$I$11="OK",D789/INDEX(D$5:D$1258,'Stock Price'!$I$9)-1,"")</f>
        <v>-0.29952100725331876</v>
      </c>
      <c r="R789" s="19">
        <f ca="1">IF('Stock Price'!$I$11="OK",E789/INDEX(E$5:E$1258,'Stock Price'!$I$9)-1,"")</f>
        <v>-0.32802740278057629</v>
      </c>
      <c r="S789" s="19">
        <f ca="1">IF('Stock Price'!$I$11="OK",F789/INDEX(F$5:F$1258,'Stock Price'!$I$9)-1,"")</f>
        <v>-0.30340136054421762</v>
      </c>
      <c r="T789" s="19">
        <f ca="1">IF('Stock Price'!$I$11="OK",G789/INDEX(G$5:G$1258,'Stock Price'!$I$9)-1,"")</f>
        <v>-5.3908355795148077E-3</v>
      </c>
      <c r="U789" s="19">
        <f ca="1">IF('Stock Price'!$I$11="OK",H789/INDEX(H$5:H$1258,'Stock Price'!$I$9)-1,"")</f>
        <v>-0.46565789473684216</v>
      </c>
      <c r="V789" s="19">
        <f ca="1">IF('Stock Price'!$I$11="OK",I789/INDEX(I$5:I$1258,'Stock Price'!$I$9)-1,"")</f>
        <v>-1.5091342335186608E-2</v>
      </c>
      <c r="W789" s="19">
        <f ca="1">IF('Stock Price'!$I$11="OK",J789/INDEX(J$5:J$1258,'Stock Price'!$I$9)-1,"")</f>
        <v>-0.30930430597208325</v>
      </c>
      <c r="X789" s="19">
        <f ca="1">IF('Stock Price'!$I$11="OK",K789/INDEX(K$5:K$1258,'Stock Price'!$I$9)-1,"")</f>
        <v>5.1627384960718281E-2</v>
      </c>
      <c r="Y789" s="19">
        <f ca="1">IF('Stock Price'!$I$11="OK",L789/INDEX(L$5:L$1258,'Stock Price'!$I$9)-1,"")</f>
        <v>-0.2572944297082228</v>
      </c>
      <c r="Z789" s="19">
        <f ca="1">IF('Stock Price'!$I$11="OK",M789/INDEX(M$5:M$1258,'Stock Price'!$I$9)-1,"")</f>
        <v>-0.28049365487767652</v>
      </c>
    </row>
    <row r="790" spans="1:26" x14ac:dyDescent="0.2">
      <c r="A790" s="16">
        <f>'Stock Price'!A790</f>
        <v>45614</v>
      </c>
      <c r="B790" s="17">
        <f>'Stock Price'!E790</f>
        <v>96.56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-9.2907468294974205E-2</v>
      </c>
      <c r="P790" s="19">
        <f ca="1">IF('Stock Price'!$I$11="OK",C790/INDEX(C$5:C$1258,'Stock Price'!$I$9)-1,"")</f>
        <v>-0.2562436841345459</v>
      </c>
      <c r="Q790" s="19">
        <f ca="1">IF('Stock Price'!$I$11="OK",D790/INDEX(D$5:D$1258,'Stock Price'!$I$9)-1,"")</f>
        <v>-0.31320651430135493</v>
      </c>
      <c r="R790" s="19">
        <f ca="1">IF('Stock Price'!$I$11="OK",E790/INDEX(E$5:E$1258,'Stock Price'!$I$9)-1,"")</f>
        <v>-0.32117670763651029</v>
      </c>
      <c r="S790" s="19">
        <f ca="1">IF('Stock Price'!$I$11="OK",F790/INDEX(F$5:F$1258,'Stock Price'!$I$9)-1,"")</f>
        <v>-0.30670553935860057</v>
      </c>
      <c r="T790" s="19">
        <f ca="1">IF('Stock Price'!$I$11="OK",G790/INDEX(G$5:G$1258,'Stock Price'!$I$9)-1,"")</f>
        <v>5.8055152394775877E-3</v>
      </c>
      <c r="U790" s="19">
        <f ca="1">IF('Stock Price'!$I$11="OK",H790/INDEX(H$5:H$1258,'Stock Price'!$I$9)-1,"")</f>
        <v>-0.46802631578947373</v>
      </c>
      <c r="V790" s="19">
        <f ca="1">IF('Stock Price'!$I$11="OK",I790/INDEX(I$5:I$1258,'Stock Price'!$I$9)-1,"")</f>
        <v>-1.2708498808578272E-2</v>
      </c>
      <c r="W790" s="19">
        <f ca="1">IF('Stock Price'!$I$11="OK",J790/INDEX(J$5:J$1258,'Stock Price'!$I$9)-1,"")</f>
        <v>-0.32689103632122618</v>
      </c>
      <c r="X790" s="19">
        <f ca="1">IF('Stock Price'!$I$11="OK",K790/INDEX(K$5:K$1258,'Stock Price'!$I$9)-1,"")</f>
        <v>6.2476618032173414E-2</v>
      </c>
      <c r="Y790" s="19">
        <f ca="1">IF('Stock Price'!$I$11="OK",L790/INDEX(L$5:L$1258,'Stock Price'!$I$9)-1,"")</f>
        <v>-0.25358090185676385</v>
      </c>
      <c r="Z790" s="19">
        <f ca="1">IF('Stock Price'!$I$11="OK",M790/INDEX(M$5:M$1258,'Stock Price'!$I$9)-1,"")</f>
        <v>-0.27486808250839478</v>
      </c>
    </row>
    <row r="791" spans="1:26" x14ac:dyDescent="0.2">
      <c r="A791" s="16">
        <f>'Stock Price'!A791</f>
        <v>45615</v>
      </c>
      <c r="B791" s="17">
        <f>'Stock Price'!E791</f>
        <v>96.54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-9.309534992954438E-2</v>
      </c>
      <c r="P791" s="19">
        <f ca="1">IF('Stock Price'!$I$11="OK",C791/INDEX(C$5:C$1258,'Stock Price'!$I$9)-1,"")</f>
        <v>-0.25458351378663202</v>
      </c>
      <c r="Q791" s="19">
        <f ca="1">IF('Stock Price'!$I$11="OK",D791/INDEX(D$5:D$1258,'Stock Price'!$I$9)-1,"")</f>
        <v>-0.31014096072259478</v>
      </c>
      <c r="R791" s="19">
        <f ca="1">IF('Stock Price'!$I$11="OK",E791/INDEX(E$5:E$1258,'Stock Price'!$I$9)-1,"")</f>
        <v>-0.32581100141043728</v>
      </c>
      <c r="S791" s="19">
        <f ca="1">IF('Stock Price'!$I$11="OK",F791/INDEX(F$5:F$1258,'Stock Price'!$I$9)-1,"")</f>
        <v>-0.31175898931000978</v>
      </c>
      <c r="T791" s="19">
        <f ca="1">IF('Stock Price'!$I$11="OK",G791/INDEX(G$5:G$1258,'Stock Price'!$I$9)-1,"")</f>
        <v>-4.7688160895706933E-3</v>
      </c>
      <c r="U791" s="19">
        <f ca="1">IF('Stock Price'!$I$11="OK",H791/INDEX(H$5:H$1258,'Stock Price'!$I$9)-1,"")</f>
        <v>-0.46960526315789475</v>
      </c>
      <c r="V791" s="19">
        <f ca="1">IF('Stock Price'!$I$11="OK",I791/INDEX(I$5:I$1258,'Stock Price'!$I$9)-1,"")</f>
        <v>-3.1771247021444848E-3</v>
      </c>
      <c r="W791" s="19">
        <f ca="1">IF('Stock Price'!$I$11="OK",J791/INDEX(J$5:J$1258,'Stock Price'!$I$9)-1,"")</f>
        <v>-0.32454922433262978</v>
      </c>
      <c r="X791" s="19">
        <f ca="1">IF('Stock Price'!$I$11="OK",K791/INDEX(K$5:K$1258,'Stock Price'!$I$9)-1,"")</f>
        <v>8.9225589225589097E-2</v>
      </c>
      <c r="Y791" s="19">
        <f ca="1">IF('Stock Price'!$I$11="OK",L791/INDEX(L$5:L$1258,'Stock Price'!$I$9)-1,"")</f>
        <v>-0.26211719315167592</v>
      </c>
      <c r="Z791" s="19">
        <f ca="1">IF('Stock Price'!$I$11="OK",M791/INDEX(M$5:M$1258,'Stock Price'!$I$9)-1,"")</f>
        <v>-0.27360341895250972</v>
      </c>
    </row>
    <row r="792" spans="1:26" x14ac:dyDescent="0.2">
      <c r="A792" s="16">
        <f>'Stock Price'!A792</f>
        <v>45616</v>
      </c>
      <c r="B792" s="17">
        <f>'Stock Price'!E792</f>
        <v>97.44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-8.4640676373884505E-2</v>
      </c>
      <c r="P792" s="19">
        <f ca="1">IF('Stock Price'!$I$11="OK",C792/INDEX(C$5:C$1258,'Stock Price'!$I$9)-1,"")</f>
        <v>-0.25588277753717337</v>
      </c>
      <c r="Q792" s="19">
        <f ca="1">IF('Stock Price'!$I$11="OK",D792/INDEX(D$5:D$1258,'Stock Price'!$I$9)-1,"")</f>
        <v>-0.31736690844395787</v>
      </c>
      <c r="R792" s="19">
        <f ca="1">IF('Stock Price'!$I$11="OK",E792/INDEX(E$5:E$1258,'Stock Price'!$I$9)-1,"")</f>
        <v>-0.32802740278057629</v>
      </c>
      <c r="S792" s="19">
        <f ca="1">IF('Stock Price'!$I$11="OK",F792/INDEX(F$5:F$1258,'Stock Price'!$I$9)-1,"")</f>
        <v>-0.317201166180758</v>
      </c>
      <c r="T792" s="19">
        <f ca="1">IF('Stock Price'!$I$11="OK",G792/INDEX(G$5:G$1258,'Stock Price'!$I$9)-1,"")</f>
        <v>-9.330292349160163E-3</v>
      </c>
      <c r="U792" s="19">
        <f ca="1">IF('Stock Price'!$I$11="OK",H792/INDEX(H$5:H$1258,'Stock Price'!$I$9)-1,"")</f>
        <v>-0.48568421052631583</v>
      </c>
      <c r="V792" s="19">
        <f ca="1">IF('Stock Price'!$I$11="OK",I792/INDEX(I$5:I$1258,'Stock Price'!$I$9)-1,"")</f>
        <v>-9.5313741064335655E-3</v>
      </c>
      <c r="W792" s="19">
        <f ca="1">IF('Stock Price'!$I$11="OK",J792/INDEX(J$5:J$1258,'Stock Price'!$I$9)-1,"")</f>
        <v>-0.30263060461327707</v>
      </c>
      <c r="X792" s="19">
        <f ca="1">IF('Stock Price'!$I$11="OK",K792/INDEX(K$5:K$1258,'Stock Price'!$I$9)-1,"")</f>
        <v>8.2678638234193746E-2</v>
      </c>
      <c r="Y792" s="19">
        <f ca="1">IF('Stock Price'!$I$11="OK",L792/INDEX(L$5:L$1258,'Stock Price'!$I$9)-1,"")</f>
        <v>-0.26158668917289596</v>
      </c>
      <c r="Z792" s="19">
        <f ca="1">IF('Stock Price'!$I$11="OK",M792/INDEX(M$5:M$1258,'Stock Price'!$I$9)-1,"")</f>
        <v>-0.26841393746456765</v>
      </c>
    </row>
    <row r="793" spans="1:26" x14ac:dyDescent="0.2">
      <c r="A793" s="16">
        <f>'Stock Price'!A793</f>
        <v>45617</v>
      </c>
      <c r="B793" s="17">
        <f>'Stock Price'!E793</f>
        <v>99.86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-6.1906998590887774E-2</v>
      </c>
      <c r="P793" s="19">
        <f ca="1">IF('Stock Price'!$I$11="OK",C793/INDEX(C$5:C$1258,'Stock Price'!$I$9)-1,"")</f>
        <v>-0.25039699725710984</v>
      </c>
      <c r="Q793" s="19">
        <f ca="1">IF('Stock Price'!$I$11="OK",D793/INDEX(D$5:D$1258,'Stock Price'!$I$9)-1,"")</f>
        <v>-0.30992199260982622</v>
      </c>
      <c r="R793" s="19">
        <f ca="1">IF('Stock Price'!$I$11="OK",E793/INDEX(E$5:E$1258,'Stock Price'!$I$9)-1,"")</f>
        <v>-0.3209752166028611</v>
      </c>
      <c r="S793" s="19">
        <f ca="1">IF('Stock Price'!$I$11="OK",F793/INDEX(F$5:F$1258,'Stock Price'!$I$9)-1,"")</f>
        <v>-0.31409135082604478</v>
      </c>
      <c r="T793" s="19">
        <f ca="1">IF('Stock Price'!$I$11="OK",G793/INDEX(G$5:G$1258,'Stock Price'!$I$9)-1,"")</f>
        <v>-5.1834957495334733E-3</v>
      </c>
      <c r="U793" s="19">
        <f ca="1">IF('Stock Price'!$I$11="OK",H793/INDEX(H$5:H$1258,'Stock Price'!$I$9)-1,"")</f>
        <v>-0.48636842105263156</v>
      </c>
      <c r="V793" s="19">
        <f ca="1">IF('Stock Price'!$I$11="OK",I793/INDEX(I$5:I$1258,'Stock Price'!$I$9)-1,"")</f>
        <v>-1.9857029388403724E-3</v>
      </c>
      <c r="W793" s="19">
        <f ca="1">IF('Stock Price'!$I$11="OK",J793/INDEX(J$5:J$1258,'Stock Price'!$I$9)-1,"")</f>
        <v>-0.30586100929319848</v>
      </c>
      <c r="X793" s="19">
        <f ca="1">IF('Stock Price'!$I$11="OK",K793/INDEX(K$5:K$1258,'Stock Price'!$I$9)-1,"")</f>
        <v>8.9225589225589097E-2</v>
      </c>
      <c r="Y793" s="19">
        <f ca="1">IF('Stock Price'!$I$11="OK",L793/INDEX(L$5:L$1258,'Stock Price'!$I$9)-1,"")</f>
        <v>-0.25006028454304319</v>
      </c>
      <c r="Z793" s="19">
        <f ca="1">IF('Stock Price'!$I$11="OK",M793/INDEX(M$5:M$1258,'Stock Price'!$I$9)-1,"")</f>
        <v>-0.25110112947538277</v>
      </c>
    </row>
    <row r="794" spans="1:26" x14ac:dyDescent="0.2">
      <c r="A794" s="16">
        <f>'Stock Price'!A794</f>
        <v>45618</v>
      </c>
      <c r="B794" s="17">
        <f>'Stock Price'!E794</f>
        <v>99.18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-6.8294974166275169E-2</v>
      </c>
      <c r="P794" s="19">
        <f ca="1">IF('Stock Price'!$I$11="OK",C794/INDEX(C$5:C$1258,'Stock Price'!$I$9)-1,"")</f>
        <v>-0.24729320051970549</v>
      </c>
      <c r="Q794" s="19">
        <f ca="1">IF('Stock Price'!$I$11="OK",D794/INDEX(D$5:D$1258,'Stock Price'!$I$9)-1,"")</f>
        <v>-0.26684001642260846</v>
      </c>
      <c r="R794" s="19">
        <f ca="1">IF('Stock Price'!$I$11="OK",E794/INDEX(E$5:E$1258,'Stock Price'!$I$9)-1,"")</f>
        <v>-0.31573644972798709</v>
      </c>
      <c r="S794" s="19">
        <f ca="1">IF('Stock Price'!$I$11="OK",F794/INDEX(F$5:F$1258,'Stock Price'!$I$9)-1,"")</f>
        <v>-0.31117589893100106</v>
      </c>
      <c r="T794" s="19">
        <f ca="1">IF('Stock Price'!$I$11="OK",G794/INDEX(G$5:G$1258,'Stock Price'!$I$9)-1,"")</f>
        <v>1.0366991499068945E-3</v>
      </c>
      <c r="U794" s="19">
        <f ca="1">IF('Stock Price'!$I$11="OK",H794/INDEX(H$5:H$1258,'Stock Price'!$I$9)-1,"")</f>
        <v>-0.47889473684210526</v>
      </c>
      <c r="V794" s="19">
        <f ca="1">IF('Stock Price'!$I$11="OK",I794/INDEX(I$5:I$1258,'Stock Price'!$I$9)-1,"")</f>
        <v>1.8665607625099279E-2</v>
      </c>
      <c r="W794" s="19">
        <f ca="1">IF('Stock Price'!$I$11="OK",J794/INDEX(J$5:J$1258,'Stock Price'!$I$9)-1,"")</f>
        <v>-0.30762893850198081</v>
      </c>
      <c r="X794" s="19">
        <f ca="1">IF('Stock Price'!$I$11="OK",K794/INDEX(K$5:K$1258,'Stock Price'!$I$9)-1,"")</f>
        <v>0.10119715675271235</v>
      </c>
      <c r="Y794" s="19">
        <f ca="1">IF('Stock Price'!$I$11="OK",L794/INDEX(L$5:L$1258,'Stock Price'!$I$9)-1,"")</f>
        <v>-0.25165179647938274</v>
      </c>
      <c r="Z794" s="19">
        <f ca="1">IF('Stock Price'!$I$11="OK",M794/INDEX(M$5:M$1258,'Stock Price'!$I$9)-1,"")</f>
        <v>-0.22833718546945192</v>
      </c>
    </row>
    <row r="795" spans="1:26" x14ac:dyDescent="0.2">
      <c r="A795" s="16">
        <f>'Stock Price'!A795</f>
        <v>45621</v>
      </c>
      <c r="B795" s="17">
        <f>'Stock Price'!E795</f>
        <v>101.16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-4.9694692343823399E-2</v>
      </c>
      <c r="P795" s="19">
        <f ca="1">IF('Stock Price'!$I$11="OK",C795/INDEX(C$5:C$1258,'Stock Price'!$I$9)-1,"")</f>
        <v>-0.25263461816081989</v>
      </c>
      <c r="Q795" s="19">
        <f ca="1">IF('Stock Price'!$I$11="OK",D795/INDEX(D$5:D$1258,'Stock Price'!$I$9)-1,"")</f>
        <v>-0.28027973176406196</v>
      </c>
      <c r="R795" s="19">
        <f ca="1">IF('Stock Price'!$I$11="OK",E795/INDEX(E$5:E$1258,'Stock Price'!$I$9)-1,"")</f>
        <v>-0.31190812008865609</v>
      </c>
      <c r="S795" s="19">
        <f ca="1">IF('Stock Price'!$I$11="OK",F795/INDEX(F$5:F$1258,'Stock Price'!$I$9)-1,"")</f>
        <v>-0.30767735665694862</v>
      </c>
      <c r="T795" s="19">
        <f ca="1">IF('Stock Price'!$I$11="OK",G795/INDEX(G$5:G$1258,'Stock Price'!$I$9)-1,"")</f>
        <v>2.4880779597762359E-3</v>
      </c>
      <c r="U795" s="19">
        <f ca="1">IF('Stock Price'!$I$11="OK",H795/INDEX(H$5:H$1258,'Stock Price'!$I$9)-1,"")</f>
        <v>-0.47552631578947369</v>
      </c>
      <c r="V795" s="19">
        <f ca="1">IF('Stock Price'!$I$11="OK",I795/INDEX(I$5:I$1258,'Stock Price'!$I$9)-1,"")</f>
        <v>3.931691818903893E-2</v>
      </c>
      <c r="W795" s="19">
        <f ca="1">IF('Stock Price'!$I$11="OK",J795/INDEX(J$5:J$1258,'Stock Price'!$I$9)-1,"")</f>
        <v>-0.30115887296826982</v>
      </c>
      <c r="X795" s="19">
        <f ca="1">IF('Stock Price'!$I$11="OK",K795/INDEX(K$5:K$1258,'Stock Price'!$I$9)-1,"")</f>
        <v>9.9513655069210616E-2</v>
      </c>
      <c r="Y795" s="19">
        <f ca="1">IF('Stock Price'!$I$11="OK",L795/INDEX(L$5:L$1258,'Stock Price'!$I$9)-1,"")</f>
        <v>-0.24870991077887628</v>
      </c>
      <c r="Z795" s="19">
        <f ca="1">IF('Stock Price'!$I$11="OK",M795/INDEX(M$5:M$1258,'Stock Price'!$I$9)-1,"")</f>
        <v>-0.2278574854999782</v>
      </c>
    </row>
    <row r="796" spans="1:26" x14ac:dyDescent="0.2">
      <c r="A796" s="16">
        <f>'Stock Price'!A796</f>
        <v>45622</v>
      </c>
      <c r="B796" s="17">
        <f>'Stock Price'!E796</f>
        <v>101.62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-4.5373414748708263E-2</v>
      </c>
      <c r="P796" s="19">
        <f ca="1">IF('Stock Price'!$I$11="OK",C796/INDEX(C$5:C$1258,'Stock Price'!$I$9)-1,"")</f>
        <v>-0.25068572253500787</v>
      </c>
      <c r="Q796" s="19">
        <f ca="1">IF('Stock Price'!$I$11="OK",D796/INDEX(D$5:D$1258,'Stock Price'!$I$9)-1,"")</f>
        <v>-0.28090871766798953</v>
      </c>
      <c r="R796" s="19">
        <f ca="1">IF('Stock Price'!$I$11="OK",E796/INDEX(E$5:E$1258,'Stock Price'!$I$9)-1,"")</f>
        <v>-0.31452750352609304</v>
      </c>
      <c r="S796" s="19">
        <f ca="1">IF('Stock Price'!$I$11="OK",F796/INDEX(F$5:F$1258,'Stock Price'!$I$9)-1,"")</f>
        <v>-0.31175898931000978</v>
      </c>
      <c r="T796" s="19">
        <f ca="1">IF('Stock Price'!$I$11="OK",G796/INDEX(G$5:G$1258,'Stock Price'!$I$9)-1,"")</f>
        <v>1.0366991499068945E-3</v>
      </c>
      <c r="U796" s="19">
        <f ca="1">IF('Stock Price'!$I$11="OK",H796/INDEX(H$5:H$1258,'Stock Price'!$I$9)-1,"")</f>
        <v>-0.50273684210526315</v>
      </c>
      <c r="V796" s="19">
        <f ca="1">IF('Stock Price'!$I$11="OK",I796/INDEX(I$5:I$1258,'Stock Price'!$I$9)-1,"")</f>
        <v>2.3431294678316172E-2</v>
      </c>
      <c r="W796" s="19">
        <f ca="1">IF('Stock Price'!$I$11="OK",J796/INDEX(J$5:J$1258,'Stock Price'!$I$9)-1,"")</f>
        <v>-0.26939168425339688</v>
      </c>
      <c r="X796" s="19">
        <f ca="1">IF('Stock Price'!$I$11="OK",K796/INDEX(K$5:K$1258,'Stock Price'!$I$9)-1,"")</f>
        <v>9.8765432098765427E-2</v>
      </c>
      <c r="Y796" s="19">
        <f ca="1">IF('Stock Price'!$I$11="OK",L796/INDEX(L$5:L$1258,'Stock Price'!$I$9)-1,"")</f>
        <v>-0.25478659271762716</v>
      </c>
      <c r="Z796" s="19">
        <f ca="1">IF('Stock Price'!$I$11="OK",M796/INDEX(M$5:M$1258,'Stock Price'!$I$9)-1,"")</f>
        <v>-0.2100649775413197</v>
      </c>
    </row>
    <row r="797" spans="1:26" x14ac:dyDescent="0.2">
      <c r="A797" s="16">
        <f>'Stock Price'!A797</f>
        <v>45623</v>
      </c>
      <c r="B797" s="17">
        <f>'Stock Price'!E797</f>
        <v>103.12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-3.1282292155941693E-2</v>
      </c>
      <c r="P797" s="19">
        <f ca="1">IF('Stock Price'!$I$11="OK",C797/INDEX(C$5:C$1258,'Stock Price'!$I$9)-1,"")</f>
        <v>-0.2430345026707087</v>
      </c>
      <c r="Q797" s="19">
        <f ca="1">IF('Stock Price'!$I$11="OK",D797/INDEX(D$5:D$1258,'Stock Price'!$I$9)-1,"")</f>
        <v>-0.26262488025181341</v>
      </c>
      <c r="R797" s="19">
        <f ca="1">IF('Stock Price'!$I$11="OK",E797/INDEX(E$5:E$1258,'Stock Price'!$I$9)-1,"")</f>
        <v>-0.30828128148297407</v>
      </c>
      <c r="S797" s="19">
        <f ca="1">IF('Stock Price'!$I$11="OK",F797/INDEX(F$5:F$1258,'Stock Price'!$I$9)-1,"")</f>
        <v>-0.30553935860058323</v>
      </c>
      <c r="T797" s="19">
        <f ca="1">IF('Stock Price'!$I$11="OK",G797/INDEX(G$5:G$1258,'Stock Price'!$I$9)-1,"")</f>
        <v>1.0159651669085612E-2</v>
      </c>
      <c r="U797" s="19">
        <f ca="1">IF('Stock Price'!$I$11="OK",H797/INDEX(H$5:H$1258,'Stock Price'!$I$9)-1,"")</f>
        <v>-0.49589473684210528</v>
      </c>
      <c r="V797" s="19">
        <f ca="1">IF('Stock Price'!$I$11="OK",I797/INDEX(I$5:I$1258,'Stock Price'!$I$9)-1,"")</f>
        <v>2.5814138204924397E-2</v>
      </c>
      <c r="W797" s="19">
        <f ca="1">IF('Stock Price'!$I$11="OK",J797/INDEX(J$5:J$1258,'Stock Price'!$I$9)-1,"")</f>
        <v>-0.27043763190047754</v>
      </c>
      <c r="X797" s="19">
        <f ca="1">IF('Stock Price'!$I$11="OK",K797/INDEX(K$5:K$1258,'Stock Price'!$I$9)-1,"")</f>
        <v>0.10867938645716424</v>
      </c>
      <c r="Y797" s="19">
        <f ca="1">IF('Stock Price'!$I$11="OK",L797/INDEX(L$5:L$1258,'Stock Price'!$I$9)-1,"")</f>
        <v>-0.25054256088738847</v>
      </c>
      <c r="Z797" s="19">
        <f ca="1">IF('Stock Price'!$I$11="OK",M797/INDEX(M$5:M$1258,'Stock Price'!$I$9)-1,"")</f>
        <v>-0.20160481444332989</v>
      </c>
    </row>
    <row r="798" spans="1:26" x14ac:dyDescent="0.2">
      <c r="A798" s="16">
        <f>'Stock Price'!A798</f>
        <v>45625</v>
      </c>
      <c r="B798" s="17">
        <f>'Stock Price'!E798</f>
        <v>101.64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-4.5185533114138088E-2</v>
      </c>
      <c r="P798" s="19">
        <f ca="1">IF('Stock Price'!$I$11="OK",C798/INDEX(C$5:C$1258,'Stock Price'!$I$9)-1,"")</f>
        <v>-0.23653818391800197</v>
      </c>
      <c r="Q798" s="19">
        <f ca="1">IF('Stock Price'!$I$11="OK",D798/INDEX(D$5:D$1258,'Stock Price'!$I$9)-1,"")</f>
        <v>-0.2527713151772274</v>
      </c>
      <c r="R798" s="19">
        <f ca="1">IF('Stock Price'!$I$11="OK",E798/INDEX(E$5:E$1258,'Stock Price'!$I$9)-1,"")</f>
        <v>-0.31231110215595403</v>
      </c>
      <c r="S798" s="19">
        <f ca="1">IF('Stock Price'!$I$11="OK",F798/INDEX(F$5:F$1258,'Stock Price'!$I$9)-1,"")</f>
        <v>-0.29562682215743441</v>
      </c>
      <c r="T798" s="19">
        <f ca="1">IF('Stock Price'!$I$11="OK",G798/INDEX(G$5:G$1258,'Stock Price'!$I$9)-1,"")</f>
        <v>5.3908355795149188E-3</v>
      </c>
      <c r="U798" s="19">
        <f ca="1">IF('Stock Price'!$I$11="OK",H798/INDEX(H$5:H$1258,'Stock Price'!$I$9)-1,"")</f>
        <v>-0.48978947368421044</v>
      </c>
      <c r="V798" s="19">
        <f ca="1">IF('Stock Price'!$I$11="OK",I798/INDEX(I$5:I$1258,'Stock Price'!$I$9)-1,"")</f>
        <v>4.0905480540111228E-2</v>
      </c>
      <c r="W798" s="19">
        <f ca="1">IF('Stock Price'!$I$11="OK",J798/INDEX(J$5:J$1258,'Stock Price'!$I$9)-1,"")</f>
        <v>-0.26381021141101102</v>
      </c>
      <c r="X798" s="19">
        <f ca="1">IF('Stock Price'!$I$11="OK",K798/INDEX(K$5:K$1258,'Stock Price'!$I$9)-1,"")</f>
        <v>0.1077441077441077</v>
      </c>
      <c r="Y798" s="19">
        <f ca="1">IF('Stock Price'!$I$11="OK",L798/INDEX(L$5:L$1258,'Stock Price'!$I$9)-1,"")</f>
        <v>-0.25242343863033523</v>
      </c>
      <c r="Z798" s="19">
        <f ca="1">IF('Stock Price'!$I$11="OK",M798/INDEX(M$5:M$1258,'Stock Price'!$I$9)-1,"")</f>
        <v>-0.20225895076533951</v>
      </c>
    </row>
    <row r="799" spans="1:26" x14ac:dyDescent="0.2">
      <c r="A799" s="16">
        <f>'Stock Price'!A799</f>
        <v>45628</v>
      </c>
      <c r="B799" s="17">
        <f>'Stock Price'!E799</f>
        <v>100.61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-5.4861437294504545E-2</v>
      </c>
      <c r="P799" s="19">
        <f ca="1">IF('Stock Price'!$I$11="OK",C799/INDEX(C$5:C$1258,'Stock Price'!$I$9)-1,"")</f>
        <v>-0.24353977190703047</v>
      </c>
      <c r="Q799" s="19">
        <f ca="1">IF('Stock Price'!$I$11="OK",D799/INDEX(D$5:D$1258,'Stock Price'!$I$9)-1,"")</f>
        <v>-0.25758861365813601</v>
      </c>
      <c r="R799" s="19">
        <f ca="1">IF('Stock Price'!$I$11="OK",E799/INDEX(E$5:E$1258,'Stock Price'!$I$9)-1,"")</f>
        <v>-0.30868426355027201</v>
      </c>
      <c r="S799" s="19">
        <f ca="1">IF('Stock Price'!$I$11="OK",F799/INDEX(F$5:F$1258,'Stock Price'!$I$9)-1,"")</f>
        <v>-0.29873663751214774</v>
      </c>
      <c r="T799" s="19">
        <f ca="1">IF('Stock Price'!$I$11="OK",G799/INDEX(G$5:G$1258,'Stock Price'!$I$9)-1,"")</f>
        <v>-5.5981754094960312E-3</v>
      </c>
      <c r="U799" s="19">
        <f ca="1">IF('Stock Price'!$I$11="OK",H799/INDEX(H$5:H$1258,'Stock Price'!$I$9)-1,"")</f>
        <v>-0.49247368421052629</v>
      </c>
      <c r="V799" s="19">
        <f ca="1">IF('Stock Price'!$I$11="OK",I799/INDEX(I$5:I$1258,'Stock Price'!$I$9)-1,"")</f>
        <v>2.5416997617156545E-2</v>
      </c>
      <c r="W799" s="19">
        <f ca="1">IF('Stock Price'!$I$11="OK",J799/INDEX(J$5:J$1258,'Stock Price'!$I$9)-1,"")</f>
        <v>-0.25969121403976447</v>
      </c>
      <c r="X799" s="19">
        <f ca="1">IF('Stock Price'!$I$11="OK",K799/INDEX(K$5:K$1258,'Stock Price'!$I$9)-1,"")</f>
        <v>0.1212121212121211</v>
      </c>
      <c r="Y799" s="19">
        <f ca="1">IF('Stock Price'!$I$11="OK",L799/INDEX(L$5:L$1258,'Stock Price'!$I$9)-1,"")</f>
        <v>-0.25343621895346025</v>
      </c>
      <c r="Z799" s="19">
        <f ca="1">IF('Stock Price'!$I$11="OK",M799/INDEX(M$5:M$1258,'Stock Price'!$I$9)-1,"")</f>
        <v>-0.20731760498887963</v>
      </c>
    </row>
    <row r="800" spans="1:26" x14ac:dyDescent="0.2">
      <c r="A800" s="16">
        <f>'Stock Price'!A800</f>
        <v>45629</v>
      </c>
      <c r="B800" s="17">
        <f>'Stock Price'!E800</f>
        <v>101.85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-4.3212775951150806E-2</v>
      </c>
      <c r="P800" s="19">
        <f ca="1">IF('Stock Price'!$I$11="OK",C800/INDEX(C$5:C$1258,'Stock Price'!$I$9)-1,"")</f>
        <v>-0.24527212357441885</v>
      </c>
      <c r="Q800" s="19">
        <f ca="1">IF('Stock Price'!$I$11="OK",D800/INDEX(D$5:D$1258,'Stock Price'!$I$9)-1,"")</f>
        <v>-0.26317284795401674</v>
      </c>
      <c r="R800" s="19">
        <f ca="1">IF('Stock Price'!$I$11="OK",E800/INDEX(E$5:E$1258,'Stock Price'!$I$9)-1,"")</f>
        <v>-0.29679629256498097</v>
      </c>
      <c r="S800" s="19">
        <f ca="1">IF('Stock Price'!$I$11="OK",F800/INDEX(F$5:F$1258,'Stock Price'!$I$9)-1,"")</f>
        <v>-0.30184645286686107</v>
      </c>
      <c r="T800" s="19">
        <f ca="1">IF('Stock Price'!$I$11="OK",G800/INDEX(G$5:G$1258,'Stock Price'!$I$9)-1,"")</f>
        <v>-1.2440389798878959E-3</v>
      </c>
      <c r="U800" s="19">
        <f ca="1">IF('Stock Price'!$I$11="OK",H800/INDEX(H$5:H$1258,'Stock Price'!$I$9)-1,"")</f>
        <v>-0.49384210526315786</v>
      </c>
      <c r="V800" s="19">
        <f ca="1">IF('Stock Price'!$I$11="OK",I800/INDEX(I$5:I$1258,'Stock Price'!$I$9)-1,"")</f>
        <v>1.5091342335186608E-2</v>
      </c>
      <c r="W800" s="19">
        <f ca="1">IF('Stock Price'!$I$11="OK",J800/INDEX(J$5:J$1258,'Stock Price'!$I$9)-1,"")</f>
        <v>-0.24716761079640104</v>
      </c>
      <c r="X800" s="19">
        <f ca="1">IF('Stock Price'!$I$11="OK",K800/INDEX(K$5:K$1258,'Stock Price'!$I$9)-1,"")</f>
        <v>9.7830153385708885E-2</v>
      </c>
      <c r="Y800" s="19">
        <f ca="1">IF('Stock Price'!$I$11="OK",L800/INDEX(L$5:L$1258,'Stock Price'!$I$9)-1,"")</f>
        <v>-0.26520376175548577</v>
      </c>
      <c r="Z800" s="19">
        <f ca="1">IF('Stock Price'!$I$11="OK",M800/INDEX(M$5:M$1258,'Stock Price'!$I$9)-1,"")</f>
        <v>-0.2084950503684968</v>
      </c>
    </row>
    <row r="801" spans="1:26" x14ac:dyDescent="0.2">
      <c r="A801" s="16">
        <f>'Stock Price'!A801</f>
        <v>45630</v>
      </c>
      <c r="B801" s="17">
        <f>'Stock Price'!E801</f>
        <v>101.37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-4.7721935180836006E-2</v>
      </c>
      <c r="P801" s="19">
        <f ca="1">IF('Stock Price'!$I$11="OK",C801/INDEX(C$5:C$1258,'Stock Price'!$I$9)-1,"")</f>
        <v>-0.26490544247148828</v>
      </c>
      <c r="Q801" s="19">
        <f ca="1">IF('Stock Price'!$I$11="OK",D801/INDEX(D$5:D$1258,'Stock Price'!$I$9)-1,"")</f>
        <v>-0.28643766251539626</v>
      </c>
      <c r="R801" s="19">
        <f ca="1">IF('Stock Price'!$I$11="OK",E801/INDEX(E$5:E$1258,'Stock Price'!$I$9)-1,"")</f>
        <v>-0.30687084424743105</v>
      </c>
      <c r="S801" s="19">
        <f ca="1">IF('Stock Price'!$I$11="OK",F801/INDEX(F$5:F$1258,'Stock Price'!$I$9)-1,"")</f>
        <v>-0.30242954324586979</v>
      </c>
      <c r="T801" s="19">
        <f ca="1">IF('Stock Price'!$I$11="OK",G801/INDEX(G$5:G$1258,'Stock Price'!$I$9)-1,"")</f>
        <v>-4.5614762595894698E-3</v>
      </c>
      <c r="U801" s="19">
        <f ca="1">IF('Stock Price'!$I$11="OK",H801/INDEX(H$5:H$1258,'Stock Price'!$I$9)-1,"")</f>
        <v>-0.49315789473684202</v>
      </c>
      <c r="V801" s="19">
        <f ca="1">IF('Stock Price'!$I$11="OK",I801/INDEX(I$5:I$1258,'Stock Price'!$I$9)-1,"")</f>
        <v>1.9857029388403724E-3</v>
      </c>
      <c r="W801" s="19">
        <f ca="1">IF('Stock Price'!$I$11="OK",J801/INDEX(J$5:J$1258,'Stock Price'!$I$9)-1,"")</f>
        <v>-0.23188566774038277</v>
      </c>
      <c r="X801" s="19">
        <f ca="1">IF('Stock Price'!$I$11="OK",K801/INDEX(K$5:K$1258,'Stock Price'!$I$9)-1,"")</f>
        <v>9.184436962214737E-2</v>
      </c>
      <c r="Y801" s="19">
        <f ca="1">IF('Stock Price'!$I$11="OK",L801/INDEX(L$5:L$1258,'Stock Price'!$I$9)-1,"")</f>
        <v>-0.27431878466361226</v>
      </c>
      <c r="Z801" s="19">
        <f ca="1">IF('Stock Price'!$I$11="OK",M801/INDEX(M$5:M$1258,'Stock Price'!$I$9)-1,"")</f>
        <v>-0.2304740307880162</v>
      </c>
    </row>
    <row r="802" spans="1:26" x14ac:dyDescent="0.2">
      <c r="A802" s="16">
        <f>'Stock Price'!A802</f>
        <v>45631</v>
      </c>
      <c r="B802" s="17">
        <f>'Stock Price'!E802</f>
        <v>103.55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-2.7242837012682042E-2</v>
      </c>
      <c r="P802" s="19">
        <f ca="1">IF('Stock Price'!$I$11="OK",C802/INDEX(C$5:C$1258,'Stock Price'!$I$9)-1,"")</f>
        <v>-0.25999711274722104</v>
      </c>
      <c r="Q802" s="19">
        <f ca="1">IF('Stock Price'!$I$11="OK",D802/INDEX(D$5:D$1258,'Stock Price'!$I$9)-1,"")</f>
        <v>-0.26908443957848638</v>
      </c>
      <c r="R802" s="19">
        <f ca="1">IF('Stock Price'!$I$11="OK",E802/INDEX(E$5:E$1258,'Stock Price'!$I$9)-1,"")</f>
        <v>-0.30425146080999399</v>
      </c>
      <c r="S802" s="19">
        <f ca="1">IF('Stock Price'!$I$11="OK",F802/INDEX(F$5:F$1258,'Stock Price'!$I$9)-1,"")</f>
        <v>-0.29426627793974736</v>
      </c>
      <c r="T802" s="19">
        <f ca="1">IF('Stock Price'!$I$11="OK",G802/INDEX(G$5:G$1258,'Stock Price'!$I$9)-1,"")</f>
        <v>5.8055152394775877E-3</v>
      </c>
      <c r="U802" s="19">
        <f ca="1">IF('Stock Price'!$I$11="OK",H802/INDEX(H$5:H$1258,'Stock Price'!$I$9)-1,"")</f>
        <v>-0.48684210526315785</v>
      </c>
      <c r="V802" s="19">
        <f ca="1">IF('Stock Price'!$I$11="OK",I802/INDEX(I$5:I$1258,'Stock Price'!$I$9)-1,"")</f>
        <v>2.0651310563939651E-2</v>
      </c>
      <c r="W802" s="19">
        <f ca="1">IF('Stock Price'!$I$11="OK",J802/INDEX(J$5:J$1258,'Stock Price'!$I$9)-1,"")</f>
        <v>-0.23579177311266608</v>
      </c>
      <c r="X802" s="19">
        <f ca="1">IF('Stock Price'!$I$11="OK",K802/INDEX(K$5:K$1258,'Stock Price'!$I$9)-1,"")</f>
        <v>0.10063598952487851</v>
      </c>
      <c r="Y802" s="19">
        <f ca="1">IF('Stock Price'!$I$11="OK",L802/INDEX(L$5:L$1258,'Stock Price'!$I$9)-1,"")</f>
        <v>-0.27890040993489262</v>
      </c>
      <c r="Z802" s="19">
        <f ca="1">IF('Stock Price'!$I$11="OK",M802/INDEX(M$5:M$1258,'Stock Price'!$I$9)-1,"")</f>
        <v>-0.23173869434390137</v>
      </c>
    </row>
    <row r="803" spans="1:26" x14ac:dyDescent="0.2">
      <c r="A803" s="16">
        <f>'Stock Price'!A803</f>
        <v>45632</v>
      </c>
      <c r="B803" s="17">
        <f>'Stock Price'!E803</f>
        <v>103.09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-3.1564114607797067E-2</v>
      </c>
      <c r="P803" s="19">
        <f ca="1">IF('Stock Price'!$I$11="OK",C803/INDEX(C$5:C$1258,'Stock Price'!$I$9)-1,"")</f>
        <v>-0.26382272267937057</v>
      </c>
      <c r="Q803" s="19">
        <f ca="1">IF('Stock Price'!$I$11="OK",D803/INDEX(D$5:D$1258,'Stock Price'!$I$9)-1,"")</f>
        <v>-0.26174900780073895</v>
      </c>
      <c r="R803" s="19">
        <f ca="1">IF('Stock Price'!$I$11="OK",E803/INDEX(E$5:E$1258,'Stock Price'!$I$9)-1,"")</f>
        <v>-0.303445496675398</v>
      </c>
      <c r="S803" s="19">
        <f ca="1">IF('Stock Price'!$I$11="OK",F803/INDEX(F$5:F$1258,'Stock Price'!$I$9)-1,"")</f>
        <v>-0.2903790087463558</v>
      </c>
      <c r="T803" s="19">
        <f ca="1">IF('Stock Price'!$I$11="OK",G803/INDEX(G$5:G$1258,'Stock Price'!$I$9)-1,"")</f>
        <v>4.7688160895709153E-3</v>
      </c>
      <c r="U803" s="19">
        <f ca="1">IF('Stock Price'!$I$11="OK",H803/INDEX(H$5:H$1258,'Stock Price'!$I$9)-1,"")</f>
        <v>-0.47328947368421048</v>
      </c>
      <c r="V803" s="19">
        <f ca="1">IF('Stock Price'!$I$11="OK",I803/INDEX(I$5:I$1258,'Stock Price'!$I$9)-1,"")</f>
        <v>2.1842732327243874E-2</v>
      </c>
      <c r="W803" s="19">
        <f ca="1">IF('Stock Price'!$I$11="OK",J803/INDEX(J$5:J$1258,'Stock Price'!$I$9)-1,"")</f>
        <v>-0.23478285016105727</v>
      </c>
      <c r="X803" s="19">
        <f ca="1">IF('Stock Price'!$I$11="OK",K803/INDEX(K$5:K$1258,'Stock Price'!$I$9)-1,"")</f>
        <v>0.11073699962588845</v>
      </c>
      <c r="Y803" s="19">
        <f ca="1">IF('Stock Price'!$I$11="OK",L803/INDEX(L$5:L$1258,'Stock Price'!$I$9)-1,"")</f>
        <v>-0.27991319025801786</v>
      </c>
      <c r="Z803" s="19">
        <f ca="1">IF('Stock Price'!$I$11="OK",M803/INDEX(M$5:M$1258,'Stock Price'!$I$9)-1,"")</f>
        <v>-0.23165147616763337</v>
      </c>
    </row>
    <row r="804" spans="1:26" x14ac:dyDescent="0.2">
      <c r="A804" s="16">
        <f>'Stock Price'!A804</f>
        <v>45635</v>
      </c>
      <c r="B804" s="17">
        <f>'Stock Price'!E804</f>
        <v>103.79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-2.4988257397839275E-2</v>
      </c>
      <c r="P804" s="19">
        <f ca="1">IF('Stock Price'!$I$11="OK",C804/INDEX(C$5:C$1258,'Stock Price'!$I$9)-1,"")</f>
        <v>-0.26606034358308062</v>
      </c>
      <c r="Q804" s="19">
        <f ca="1">IF('Stock Price'!$I$11="OK",D804/INDEX(D$5:D$1258,'Stock Price'!$I$9)-1,"")</f>
        <v>-0.25408567127412085</v>
      </c>
      <c r="R804" s="19">
        <f ca="1">IF('Stock Price'!$I$11="OK",E804/INDEX(E$5:E$1258,'Stock Price'!$I$9)-1,"")</f>
        <v>-0.27483376989723962</v>
      </c>
      <c r="S804" s="19">
        <f ca="1">IF('Stock Price'!$I$11="OK",F804/INDEX(F$5:F$1258,'Stock Price'!$I$9)-1,"")</f>
        <v>-0.29115646258503403</v>
      </c>
      <c r="T804" s="19">
        <f ca="1">IF('Stock Price'!$I$11="OK",G804/INDEX(G$5:G$1258,'Stock Price'!$I$9)-1,"")</f>
        <v>4.1467965996269118E-3</v>
      </c>
      <c r="U804" s="19">
        <f ca="1">IF('Stock Price'!$I$11="OK",H804/INDEX(H$5:H$1258,'Stock Price'!$I$9)-1,"")</f>
        <v>-0.4676315789473684</v>
      </c>
      <c r="V804" s="19">
        <f ca="1">IF('Stock Price'!$I$11="OK",I804/INDEX(I$5:I$1258,'Stock Price'!$I$9)-1,"")</f>
        <v>3.6536934074662408E-2</v>
      </c>
      <c r="W804" s="19">
        <f ca="1">IF('Stock Price'!$I$11="OK",J804/INDEX(J$5:J$1258,'Stock Price'!$I$9)-1,"")</f>
        <v>-0.25619238031767178</v>
      </c>
      <c r="X804" s="19">
        <f ca="1">IF('Stock Price'!$I$11="OK",K804/INDEX(K$5:K$1258,'Stock Price'!$I$9)-1,"")</f>
        <v>9.820426487093159E-2</v>
      </c>
      <c r="Y804" s="19">
        <f ca="1">IF('Stock Price'!$I$11="OK",L804/INDEX(L$5:L$1258,'Stock Price'!$I$9)-1,"")</f>
        <v>-0.27851458885941649</v>
      </c>
      <c r="Z804" s="19">
        <f ca="1">IF('Stock Price'!$I$11="OK",M804/INDEX(M$5:M$1258,'Stock Price'!$I$9)-1,"")</f>
        <v>-0.22999433081854259</v>
      </c>
    </row>
    <row r="805" spans="1:26" x14ac:dyDescent="0.2">
      <c r="A805" s="16">
        <f>'Stock Price'!A805</f>
        <v>45636</v>
      </c>
      <c r="B805" s="17">
        <f>'Stock Price'!E805</f>
        <v>101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-5.1197745420385132E-2</v>
      </c>
      <c r="P805" s="19">
        <f ca="1">IF('Stock Price'!$I$11="OK",C805/INDEX(C$5:C$1258,'Stock Price'!$I$9)-1,"")</f>
        <v>-0.2772484481016313</v>
      </c>
      <c r="Q805" s="19">
        <f ca="1">IF('Stock Price'!$I$11="OK",D805/INDEX(D$5:D$1258,'Stock Price'!$I$9)-1,"")</f>
        <v>-0.265909949363624</v>
      </c>
      <c r="R805" s="19">
        <f ca="1">IF('Stock Price'!$I$11="OK",E805/INDEX(E$5:E$1258,'Stock Price'!$I$9)-1,"")</f>
        <v>-0.29055007052186177</v>
      </c>
      <c r="S805" s="19">
        <f ca="1">IF('Stock Price'!$I$11="OK",F805/INDEX(F$5:F$1258,'Stock Price'!$I$9)-1,"")</f>
        <v>-0.3072886297376094</v>
      </c>
      <c r="T805" s="19">
        <f ca="1">IF('Stock Price'!$I$11="OK",G805/INDEX(G$5:G$1258,'Stock Price'!$I$9)-1,"")</f>
        <v>-3.1100974497200173E-3</v>
      </c>
      <c r="U805" s="19">
        <f ca="1">IF('Stock Price'!$I$11="OK",H805/INDEX(H$5:H$1258,'Stock Price'!$I$9)-1,"")</f>
        <v>-0.46618421052631576</v>
      </c>
      <c r="V805" s="19">
        <f ca="1">IF('Stock Price'!$I$11="OK",I805/INDEX(I$5:I$1258,'Stock Price'!$I$9)-1,"")</f>
        <v>1.5488482922954683E-2</v>
      </c>
      <c r="W805" s="19">
        <f ca="1">IF('Stock Price'!$I$11="OK",J805/INDEX(J$5:J$1258,'Stock Price'!$I$9)-1,"")</f>
        <v>-0.25989484986485978</v>
      </c>
      <c r="X805" s="19">
        <f ca="1">IF('Stock Price'!$I$11="OK",K805/INDEX(K$5:K$1258,'Stock Price'!$I$9)-1,"")</f>
        <v>8.7167976056864882E-2</v>
      </c>
      <c r="Y805" s="19">
        <f ca="1">IF('Stock Price'!$I$11="OK",L805/INDEX(L$5:L$1258,'Stock Price'!$I$9)-1,"")</f>
        <v>-0.28029901133349411</v>
      </c>
      <c r="Z805" s="19">
        <f ca="1">IF('Stock Price'!$I$11="OK",M805/INDEX(M$5:M$1258,'Stock Price'!$I$9)-1,"")</f>
        <v>-0.23391914875059971</v>
      </c>
    </row>
    <row r="806" spans="1:26" x14ac:dyDescent="0.2">
      <c r="A806" s="16">
        <f>'Stock Price'!A806</f>
        <v>45637</v>
      </c>
      <c r="B806" s="17">
        <f>'Stock Price'!E806</f>
        <v>99.75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-6.2940347581023959E-2</v>
      </c>
      <c r="P806" s="19">
        <f ca="1">IF('Stock Price'!$I$11="OK",C806/INDEX(C$5:C$1258,'Stock Price'!$I$9)-1,"")</f>
        <v>-0.28417785477118518</v>
      </c>
      <c r="Q806" s="19">
        <f ca="1">IF('Stock Price'!$I$11="OK",D806/INDEX(D$5:D$1258,'Stock Price'!$I$9)-1,"")</f>
        <v>-0.24401259066648429</v>
      </c>
      <c r="R806" s="19">
        <f ca="1">IF('Stock Price'!$I$11="OK",E806/INDEX(E$5:E$1258,'Stock Price'!$I$9)-1,"")</f>
        <v>-0.30586338907918598</v>
      </c>
      <c r="S806" s="19">
        <f ca="1">IF('Stock Price'!$I$11="OK",F806/INDEX(F$5:F$1258,'Stock Price'!$I$9)-1,"")</f>
        <v>-0.30029154518950441</v>
      </c>
      <c r="T806" s="19">
        <f ca="1">IF('Stock Price'!$I$11="OK",G806/INDEX(G$5:G$1258,'Stock Price'!$I$9)-1,"")</f>
        <v>-4.9761559195520277E-3</v>
      </c>
      <c r="U806" s="19">
        <f ca="1">IF('Stock Price'!$I$11="OK",H806/INDEX(H$5:H$1258,'Stock Price'!$I$9)-1,"")</f>
        <v>-0.47378947368421054</v>
      </c>
      <c r="V806" s="19">
        <f ca="1">IF('Stock Price'!$I$11="OK",I806/INDEX(I$5:I$1258,'Stock Price'!$I$9)-1,"")</f>
        <v>1.9857029388403724E-3</v>
      </c>
      <c r="W806" s="19">
        <f ca="1">IF('Stock Price'!$I$11="OK",J806/INDEX(J$5:J$1258,'Stock Price'!$I$9)-1,"")</f>
        <v>-0.26318079158798913</v>
      </c>
      <c r="X806" s="19">
        <f ca="1">IF('Stock Price'!$I$11="OK",K806/INDEX(K$5:K$1258,'Stock Price'!$I$9)-1,"")</f>
        <v>5.967078189300401E-2</v>
      </c>
      <c r="Y806" s="19">
        <f ca="1">IF('Stock Price'!$I$11="OK",L806/INDEX(L$5:L$1258,'Stock Price'!$I$9)-1,"")</f>
        <v>-0.29278996865203766</v>
      </c>
      <c r="Z806" s="19">
        <f ca="1">IF('Stock Price'!$I$11="OK",M806/INDEX(M$5:M$1258,'Stock Price'!$I$9)-1,"")</f>
        <v>-0.23958833020801529</v>
      </c>
    </row>
    <row r="807" spans="1:26" x14ac:dyDescent="0.2">
      <c r="A807" s="16">
        <f>'Stock Price'!A807</f>
        <v>45638</v>
      </c>
      <c r="B807" s="17">
        <f>'Stock Price'!E807</f>
        <v>101.25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-4.8849224988257389E-2</v>
      </c>
      <c r="P807" s="19">
        <f ca="1">IF('Stock Price'!$I$11="OK",C807/INDEX(C$5:C$1258,'Stock Price'!$I$9)-1,"")</f>
        <v>-0.28836437130070736</v>
      </c>
      <c r="Q807" s="19">
        <f ca="1">IF('Stock Price'!$I$11="OK",D807/INDEX(D$5:D$1258,'Stock Price'!$I$9)-1,"")</f>
        <v>-0.27510661009990423</v>
      </c>
      <c r="R807" s="19">
        <f ca="1">IF('Stock Price'!$I$11="OK",E807/INDEX(E$5:E$1258,'Stock Price'!$I$9)-1,"")</f>
        <v>-0.31150513802135804</v>
      </c>
      <c r="S807" s="19">
        <f ca="1">IF('Stock Price'!$I$11="OK",F807/INDEX(F$5:F$1258,'Stock Price'!$I$9)-1,"")</f>
        <v>-0.30864917395529645</v>
      </c>
      <c r="T807" s="19">
        <f ca="1">IF('Stock Price'!$I$11="OK",G807/INDEX(G$5:G$1258,'Stock Price'!$I$9)-1,"")</f>
        <v>-2.5710138917686032E-2</v>
      </c>
      <c r="U807" s="19">
        <f ca="1">IF('Stock Price'!$I$11="OK",H807/INDEX(H$5:H$1258,'Stock Price'!$I$9)-1,"")</f>
        <v>-0.46907894736842104</v>
      </c>
      <c r="V807" s="19">
        <f ca="1">IF('Stock Price'!$I$11="OK",I807/INDEX(I$5:I$1258,'Stock Price'!$I$9)-1,"")</f>
        <v>7.5456711675934152E-3</v>
      </c>
      <c r="W807" s="19">
        <f ca="1">IF('Stock Price'!$I$11="OK",J807/INDEX(J$5:J$1258,'Stock Price'!$I$9)-1,"")</f>
        <v>-0.275843237439372</v>
      </c>
      <c r="X807" s="19">
        <f ca="1">IF('Stock Price'!$I$11="OK",K807/INDEX(K$5:K$1258,'Stock Price'!$I$9)-1,"")</f>
        <v>5.2749719416386176E-2</v>
      </c>
      <c r="Y807" s="19">
        <f ca="1">IF('Stock Price'!$I$11="OK",L807/INDEX(L$5:L$1258,'Stock Price'!$I$9)-1,"")</f>
        <v>-0.29471907402941877</v>
      </c>
      <c r="Z807" s="19">
        <f ca="1">IF('Stock Price'!$I$11="OK",M807/INDEX(M$5:M$1258,'Stock Price'!$I$9)-1,"")</f>
        <v>-0.24473420260782353</v>
      </c>
    </row>
    <row r="808" spans="1:26" x14ac:dyDescent="0.2">
      <c r="A808" s="16">
        <f>'Stock Price'!A808</f>
        <v>45639</v>
      </c>
      <c r="B808" s="17">
        <f>'Stock Price'!E808</f>
        <v>102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-4.180366369187416E-2</v>
      </c>
      <c r="P808" s="19">
        <f ca="1">IF('Stock Price'!$I$11="OK",C808/INDEX(C$5:C$1258,'Stock Price'!$I$9)-1,"")</f>
        <v>-0.29002454164862135</v>
      </c>
      <c r="Q808" s="19">
        <f ca="1">IF('Stock Price'!$I$11="OK",D808/INDEX(D$5:D$1258,'Stock Price'!$I$9)-1,"")</f>
        <v>-0.27882852059668806</v>
      </c>
      <c r="R808" s="19">
        <f ca="1">IF('Stock Price'!$I$11="OK",E808/INDEX(E$5:E$1258,'Stock Price'!$I$9)-1,"")</f>
        <v>-0.31593794076163606</v>
      </c>
      <c r="S808" s="19">
        <f ca="1">IF('Stock Price'!$I$11="OK",F808/INDEX(F$5:F$1258,'Stock Price'!$I$9)-1,"")</f>
        <v>-0.31214771622934889</v>
      </c>
      <c r="T808" s="19">
        <f ca="1">IF('Stock Price'!$I$11="OK",G808/INDEX(G$5:G$1258,'Stock Price'!$I$9)-1,"")</f>
        <v>-2.9649595687331498E-2</v>
      </c>
      <c r="U808" s="19">
        <f ca="1">IF('Stock Price'!$I$11="OK",H808/INDEX(H$5:H$1258,'Stock Price'!$I$9)-1,"")</f>
        <v>-0.48</v>
      </c>
      <c r="V808" s="19">
        <f ca="1">IF('Stock Price'!$I$11="OK",I808/INDEX(I$5:I$1258,'Stock Price'!$I$9)-1,"")</f>
        <v>1.5885623510722757E-2</v>
      </c>
      <c r="W808" s="19">
        <f ca="1">IF('Stock Price'!$I$11="OK",J808/INDEX(J$5:J$1258,'Stock Price'!$I$9)-1,"")</f>
        <v>-0.26957680773075632</v>
      </c>
      <c r="X808" s="19">
        <f ca="1">IF('Stock Price'!$I$11="OK",K808/INDEX(K$5:K$1258,'Stock Price'!$I$9)-1,"")</f>
        <v>4.3396932285821199E-2</v>
      </c>
      <c r="Y808" s="19">
        <f ca="1">IF('Stock Price'!$I$11="OK",L808/INDEX(L$5:L$1258,'Stock Price'!$I$9)-1,"")</f>
        <v>-0.29288642392090669</v>
      </c>
      <c r="Z808" s="19">
        <f ca="1">IF('Stock Price'!$I$11="OK",M808/INDEX(M$5:M$1258,'Stock Price'!$I$9)-1,"")</f>
        <v>-0.24394923902141208</v>
      </c>
    </row>
    <row r="809" spans="1:26" x14ac:dyDescent="0.2">
      <c r="A809" s="16">
        <f>'Stock Price'!A809</f>
        <v>45642</v>
      </c>
      <c r="B809" s="17">
        <f>'Stock Price'!E809</f>
        <v>100.06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-6.002818224518558E-2</v>
      </c>
      <c r="P809" s="19">
        <f ca="1">IF('Stock Price'!$I$11="OK",C809/INDEX(C$5:C$1258,'Stock Price'!$I$9)-1,"")</f>
        <v>-0.29428323949761803</v>
      </c>
      <c r="Q809" s="19">
        <f ca="1">IF('Stock Price'!$I$11="OK",D809/INDEX(D$5:D$1258,'Stock Price'!$I$9)-1,"")</f>
        <v>-0.27904803612973861</v>
      </c>
      <c r="R809" s="19">
        <f ca="1">IF('Stock Price'!$I$11="OK",E809/INDEX(E$5:E$1258,'Stock Price'!$I$9)-1,"")</f>
        <v>-0.3233931090066493</v>
      </c>
      <c r="S809" s="19">
        <f ca="1">IF('Stock Price'!$I$11="OK",F809/INDEX(F$5:F$1258,'Stock Price'!$I$9)-1,"")</f>
        <v>-0.30923226433430517</v>
      </c>
      <c r="T809" s="19">
        <f ca="1">IF('Stock Price'!$I$11="OK",G809/INDEX(G$5:G$1258,'Stock Price'!$I$9)-1,"")</f>
        <v>-4.8517520215633381E-2</v>
      </c>
      <c r="U809" s="19">
        <f ca="1">IF('Stock Price'!$I$11="OK",H809/INDEX(H$5:H$1258,'Stock Price'!$I$9)-1,"")</f>
        <v>-0.48689473684210527</v>
      </c>
      <c r="V809" s="19">
        <f ca="1">IF('Stock Price'!$I$11="OK",I809/INDEX(I$5:I$1258,'Stock Price'!$I$9)-1,"")</f>
        <v>2.7799841143765214E-3</v>
      </c>
      <c r="W809" s="19">
        <f ca="1">IF('Stock Price'!$I$11="OK",J809/INDEX(J$5:J$1258,'Stock Price'!$I$9)-1,"")</f>
        <v>-0.27894405568514191</v>
      </c>
      <c r="X809" s="19">
        <f ca="1">IF('Stock Price'!$I$11="OK",K809/INDEX(K$5:K$1258,'Stock Price'!$I$9)-1,"")</f>
        <v>4.5080433969322709E-2</v>
      </c>
      <c r="Y809" s="19">
        <f ca="1">IF('Stock Price'!$I$11="OK",L809/INDEX(L$5:L$1258,'Stock Price'!$I$9)-1,"")</f>
        <v>-0.30624547865927176</v>
      </c>
      <c r="Z809" s="19">
        <f ca="1">IF('Stock Price'!$I$11="OK",M809/INDEX(M$5:M$1258,'Stock Price'!$I$9)-1,"")</f>
        <v>-0.25153722035672232</v>
      </c>
    </row>
    <row r="810" spans="1:26" x14ac:dyDescent="0.2">
      <c r="A810" s="16">
        <f>'Stock Price'!A810</f>
        <v>45643</v>
      </c>
      <c r="B810" s="17">
        <f>'Stock Price'!E810</f>
        <v>100.06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-6.002818224518558E-2</v>
      </c>
      <c r="P810" s="19">
        <f ca="1">IF('Stock Price'!$I$11="OK",C810/INDEX(C$5:C$1258,'Stock Price'!$I$9)-1,"")</f>
        <v>-0.28468312400750684</v>
      </c>
      <c r="Q810" s="19">
        <f ca="1">IF('Stock Price'!$I$11="OK",D810/INDEX(D$5:D$1258,'Stock Price'!$I$9)-1,"")</f>
        <v>-0.26974134391679216</v>
      </c>
      <c r="R810" s="19">
        <f ca="1">IF('Stock Price'!$I$11="OK",E810/INDEX(E$5:E$1258,'Stock Price'!$I$9)-1,"")</f>
        <v>-0.31029619181946411</v>
      </c>
      <c r="S810" s="19">
        <f ca="1">IF('Stock Price'!$I$11="OK",F810/INDEX(F$5:F$1258,'Stock Price'!$I$9)-1,"")</f>
        <v>-0.30340136054421762</v>
      </c>
      <c r="T810" s="19">
        <f ca="1">IF('Stock Price'!$I$11="OK",G810/INDEX(G$5:G$1258,'Stock Price'!$I$9)-1,"")</f>
        <v>1.4721127928675193E-2</v>
      </c>
      <c r="U810" s="19">
        <f ca="1">IF('Stock Price'!$I$11="OK",H810/INDEX(H$5:H$1258,'Stock Price'!$I$9)-1,"")</f>
        <v>-0.49131578947368426</v>
      </c>
      <c r="V810" s="19">
        <f ca="1">IF('Stock Price'!$I$11="OK",I810/INDEX(I$5:I$1258,'Stock Price'!$I$9)-1,"")</f>
        <v>4.9642573471008644E-2</v>
      </c>
      <c r="W810" s="19">
        <f ca="1">IF('Stock Price'!$I$11="OK",J810/INDEX(J$5:J$1258,'Stock Price'!$I$9)-1,"")</f>
        <v>-0.27929579029212481</v>
      </c>
      <c r="X810" s="19">
        <f ca="1">IF('Stock Price'!$I$11="OK",K810/INDEX(K$5:K$1258,'Stock Price'!$I$9)-1,"")</f>
        <v>7.8376356154133964E-2</v>
      </c>
      <c r="Y810" s="19">
        <f ca="1">IF('Stock Price'!$I$11="OK",L810/INDEX(L$5:L$1258,'Stock Price'!$I$9)-1,"")</f>
        <v>-0.29389920424403182</v>
      </c>
      <c r="Z810" s="19">
        <f ca="1">IF('Stock Price'!$I$11="OK",M810/INDEX(M$5:M$1258,'Stock Price'!$I$9)-1,"")</f>
        <v>-0.23518381230648466</v>
      </c>
    </row>
    <row r="811" spans="1:26" x14ac:dyDescent="0.2">
      <c r="A811" s="16">
        <f>'Stock Price'!A811</f>
        <v>45644</v>
      </c>
      <c r="B811" s="17">
        <f>'Stock Price'!E811</f>
        <v>98.34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-7.6186002818224519E-2</v>
      </c>
      <c r="P811" s="19">
        <f ca="1">IF('Stock Price'!$I$11="OK",C811/INDEX(C$5:C$1258,'Stock Price'!$I$9)-1,"")</f>
        <v>-0.3010682835282229</v>
      </c>
      <c r="Q811" s="19">
        <f ca="1">IF('Stock Price'!$I$11="OK",D811/INDEX(D$5:D$1258,'Stock Price'!$I$9)-1,"")</f>
        <v>-0.29067907485972366</v>
      </c>
      <c r="R811" s="19">
        <f ca="1">IF('Stock Price'!$I$11="OK",E811/INDEX(E$5:E$1258,'Stock Price'!$I$9)-1,"")</f>
        <v>-0.32117670763651029</v>
      </c>
      <c r="S811" s="19">
        <f ca="1">IF('Stock Price'!$I$11="OK",F811/INDEX(F$5:F$1258,'Stock Price'!$I$9)-1,"")</f>
        <v>-0.32147716229348888</v>
      </c>
      <c r="T811" s="19">
        <f ca="1">IF('Stock Price'!$I$11="OK",G811/INDEX(G$5:G$1258,'Stock Price'!$I$9)-1,"")</f>
        <v>-2.5295459257723363E-2</v>
      </c>
      <c r="U811" s="19">
        <f ca="1">IF('Stock Price'!$I$11="OK",H811/INDEX(H$5:H$1258,'Stock Price'!$I$9)-1,"")</f>
        <v>-0.49415789473684202</v>
      </c>
      <c r="V811" s="19">
        <f ca="1">IF('Stock Price'!$I$11="OK",I811/INDEX(I$5:I$1258,'Stock Price'!$I$9)-1,"")</f>
        <v>2.8196981731533066E-2</v>
      </c>
      <c r="W811" s="19">
        <f ca="1">IF('Stock Price'!$I$11="OK",J811/INDEX(J$5:J$1258,'Stock Price'!$I$9)-1,"")</f>
        <v>-0.29217112814247093</v>
      </c>
      <c r="X811" s="19">
        <f ca="1">IF('Stock Price'!$I$11="OK",K811/INDEX(K$5:K$1258,'Stock Price'!$I$9)-1,"")</f>
        <v>6.3224841002618826E-2</v>
      </c>
      <c r="Y811" s="19">
        <f ca="1">IF('Stock Price'!$I$11="OK",L811/INDEX(L$5:L$1258,'Stock Price'!$I$9)-1,"")</f>
        <v>-0.30190499156016393</v>
      </c>
      <c r="Z811" s="19">
        <f ca="1">IF('Stock Price'!$I$11="OK",M811/INDEX(M$5:M$1258,'Stock Price'!$I$9)-1,"")</f>
        <v>-0.24547555710610092</v>
      </c>
    </row>
    <row r="812" spans="1:26" x14ac:dyDescent="0.2">
      <c r="A812" s="16">
        <f>'Stock Price'!A812</f>
        <v>45645</v>
      </c>
      <c r="B812" s="17">
        <f>'Stock Price'!E812</f>
        <v>99.52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-6.5100986378581527E-2</v>
      </c>
      <c r="P812" s="19">
        <f ca="1">IF('Stock Price'!$I$11="OK",C812/INDEX(C$5:C$1258,'Stock Price'!$I$9)-1,"")</f>
        <v>-0.30150137144507005</v>
      </c>
      <c r="Q812" s="19">
        <f ca="1">IF('Stock Price'!$I$11="OK",D812/INDEX(D$5:D$1258,'Stock Price'!$I$9)-1,"")</f>
        <v>-0.29952100725331876</v>
      </c>
      <c r="R812" s="19">
        <f ca="1">IF('Stock Price'!$I$11="OK",E812/INDEX(E$5:E$1258,'Stock Price'!$I$9)-1,"")</f>
        <v>-0.32641547451138431</v>
      </c>
      <c r="S812" s="19">
        <f ca="1">IF('Stock Price'!$I$11="OK",F812/INDEX(F$5:F$1258,'Stock Price'!$I$9)-1,"")</f>
        <v>-0.33449951409135081</v>
      </c>
      <c r="T812" s="19">
        <f ca="1">IF('Stock Price'!$I$11="OK",G812/INDEX(G$5:G$1258,'Stock Price'!$I$9)-1,"")</f>
        <v>-1.5135807588637751E-2</v>
      </c>
      <c r="U812" s="19">
        <f ca="1">IF('Stock Price'!$I$11="OK",H812/INDEX(H$5:H$1258,'Stock Price'!$I$9)-1,"")</f>
        <v>-0.50342105263157899</v>
      </c>
      <c r="V812" s="19">
        <f ca="1">IF('Stock Price'!$I$11="OK",I812/INDEX(I$5:I$1258,'Stock Price'!$I$9)-1,"")</f>
        <v>2.3431294678316172E-2</v>
      </c>
      <c r="W812" s="19">
        <f ca="1">IF('Stock Price'!$I$11="OK",J812/INDEX(J$5:J$1258,'Stock Price'!$I$9)-1,"")</f>
        <v>-0.29880780480580549</v>
      </c>
      <c r="X812" s="19">
        <f ca="1">IF('Stock Price'!$I$11="OK",K812/INDEX(K$5:K$1258,'Stock Price'!$I$9)-1,"")</f>
        <v>5.312383090160866E-2</v>
      </c>
      <c r="Y812" s="19">
        <f ca="1">IF('Stock Price'!$I$11="OK",L812/INDEX(L$5:L$1258,'Stock Price'!$I$9)-1,"")</f>
        <v>-0.30754762478900399</v>
      </c>
      <c r="Z812" s="19">
        <f ca="1">IF('Stock Price'!$I$11="OK",M812/INDEX(M$5:M$1258,'Stock Price'!$I$9)-1,"")</f>
        <v>-0.25201692032619594</v>
      </c>
    </row>
    <row r="813" spans="1:26" x14ac:dyDescent="0.2">
      <c r="A813" s="16">
        <f>'Stock Price'!A813</f>
        <v>45646</v>
      </c>
      <c r="B813" s="17">
        <f>'Stock Price'!E813</f>
        <v>98.05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-7.8910286519492723E-2</v>
      </c>
      <c r="P813" s="19">
        <f ca="1">IF('Stock Price'!$I$11="OK",C813/INDEX(C$5:C$1258,'Stock Price'!$I$9)-1,"")</f>
        <v>-0.29904720658293626</v>
      </c>
      <c r="Q813" s="19">
        <f ca="1">IF('Stock Price'!$I$11="OK",D813/INDEX(D$5:D$1258,'Stock Price'!$I$9)-1,"")</f>
        <v>-0.27384699603120299</v>
      </c>
      <c r="R813" s="19">
        <f ca="1">IF('Stock Price'!$I$11="OK",E813/INDEX(E$5:E$1258,'Stock Price'!$I$9)-1,"")</f>
        <v>-0.32299012693935125</v>
      </c>
      <c r="S813" s="19">
        <f ca="1">IF('Stock Price'!$I$11="OK",F813/INDEX(F$5:F$1258,'Stock Price'!$I$9)-1,"")</f>
        <v>-0.32944606413994171</v>
      </c>
      <c r="T813" s="19">
        <f ca="1">IF('Stock Price'!$I$11="OK",G813/INDEX(G$5:G$1258,'Stock Price'!$I$9)-1,"")</f>
        <v>-1.0781671159029615E-2</v>
      </c>
      <c r="U813" s="19">
        <f ca="1">IF('Stock Price'!$I$11="OK",H813/INDEX(H$5:H$1258,'Stock Price'!$I$9)-1,"")</f>
        <v>-0.50168421052631573</v>
      </c>
      <c r="V813" s="19">
        <f ca="1">IF('Stock Price'!$I$11="OK",I813/INDEX(I$5:I$1258,'Stock Price'!$I$9)-1,"")</f>
        <v>4.6862589356632345E-2</v>
      </c>
      <c r="W813" s="19">
        <f ca="1">IF('Stock Price'!$I$11="OK",J813/INDEX(J$5:J$1258,'Stock Price'!$I$9)-1,"")</f>
        <v>-0.28934799511274012</v>
      </c>
      <c r="X813" s="19">
        <f ca="1">IF('Stock Price'!$I$11="OK",K813/INDEX(K$5:K$1258,'Stock Price'!$I$9)-1,"")</f>
        <v>7.239057239057245E-2</v>
      </c>
      <c r="Y813" s="19">
        <f ca="1">IF('Stock Price'!$I$11="OK",L813/INDEX(L$5:L$1258,'Stock Price'!$I$9)-1,"")</f>
        <v>-0.30325536532433084</v>
      </c>
      <c r="Z813" s="19">
        <f ca="1">IF('Stock Price'!$I$11="OK",M813/INDEX(M$5:M$1258,'Stock Price'!$I$9)-1,"")</f>
        <v>-0.23431163054380533</v>
      </c>
    </row>
    <row r="814" spans="1:26" x14ac:dyDescent="0.2">
      <c r="A814" s="16">
        <f>'Stock Price'!A814</f>
        <v>45649</v>
      </c>
      <c r="B814" s="17">
        <f>'Stock Price'!E814</f>
        <v>99.37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-6.6510098637858173E-2</v>
      </c>
      <c r="P814" s="19">
        <f ca="1">IF('Stock Price'!$I$11="OK",C814/INDEX(C$5:C$1258,'Stock Price'!$I$9)-1,"")</f>
        <v>-0.28937490977335056</v>
      </c>
      <c r="Q814" s="19">
        <f ca="1">IF('Stock Price'!$I$11="OK",D814/INDEX(D$5:D$1258,'Stock Price'!$I$9)-1,"")</f>
        <v>-0.28331736690844411</v>
      </c>
      <c r="R814" s="19">
        <f ca="1">IF('Stock Price'!$I$11="OK",E814/INDEX(E$5:E$1258,'Stock Price'!$I$9)-1,"")</f>
        <v>-0.31372153939149705</v>
      </c>
      <c r="S814" s="19">
        <f ca="1">IF('Stock Price'!$I$11="OK",F814/INDEX(F$5:F$1258,'Stock Price'!$I$9)-1,"")</f>
        <v>-0.32186588921282799</v>
      </c>
      <c r="T814" s="19">
        <f ca="1">IF('Stock Price'!$I$11="OK",G814/INDEX(G$5:G$1258,'Stock Price'!$I$9)-1,"")</f>
        <v>3.3174372797015739E-3</v>
      </c>
      <c r="U814" s="19">
        <f ca="1">IF('Stock Price'!$I$11="OK",H814/INDEX(H$5:H$1258,'Stock Price'!$I$9)-1,"")</f>
        <v>-0.50289473684210528</v>
      </c>
      <c r="V814" s="19">
        <f ca="1">IF('Stock Price'!$I$11="OK",I814/INDEX(I$5:I$1258,'Stock Price'!$I$9)-1,"")</f>
        <v>6.076250992851473E-2</v>
      </c>
      <c r="W814" s="19">
        <f ca="1">IF('Stock Price'!$I$11="OK",J814/INDEX(J$5:J$1258,'Stock Price'!$I$9)-1,"")</f>
        <v>-0.26294938724128991</v>
      </c>
      <c r="X814" s="19">
        <f ca="1">IF('Stock Price'!$I$11="OK",K814/INDEX(K$5:K$1258,'Stock Price'!$I$9)-1,"")</f>
        <v>7.7066965955854716E-2</v>
      </c>
      <c r="Y814" s="19">
        <f ca="1">IF('Stock Price'!$I$11="OK",L814/INDEX(L$5:L$1258,'Stock Price'!$I$9)-1,"")</f>
        <v>-0.29939715456956828</v>
      </c>
      <c r="Z814" s="19">
        <f ca="1">IF('Stock Price'!$I$11="OK",M814/INDEX(M$5:M$1258,'Stock Price'!$I$9)-1,"")</f>
        <v>-0.22205747677816068</v>
      </c>
    </row>
    <row r="815" spans="1:26" x14ac:dyDescent="0.2">
      <c r="A815" s="16">
        <f>'Stock Price'!A815</f>
        <v>45650</v>
      </c>
      <c r="B815" s="17">
        <f>'Stock Price'!E815</f>
        <v>99.45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-6.575857209957725E-2</v>
      </c>
      <c r="P815" s="19">
        <f ca="1">IF('Stock Price'!$I$11="OK",C815/INDEX(C$5:C$1258,'Stock Price'!$I$9)-1,"")</f>
        <v>-0.29009672296809585</v>
      </c>
      <c r="Q815" s="19">
        <f ca="1">IF('Stock Price'!$I$11="OK",D815/INDEX(D$5:D$1258,'Stock Price'!$I$9)-1,"")</f>
        <v>-0.2822225263446011</v>
      </c>
      <c r="R815" s="19">
        <f ca="1">IF('Stock Price'!$I$11="OK",E815/INDEX(E$5:E$1258,'Stock Price'!$I$9)-1,"")</f>
        <v>-0.31432601249244407</v>
      </c>
      <c r="S815" s="19">
        <f ca="1">IF('Stock Price'!$I$11="OK",F815/INDEX(F$5:F$1258,'Stock Price'!$I$9)-1,"")</f>
        <v>-0.32050534499514094</v>
      </c>
      <c r="T815" s="19">
        <f ca="1">IF('Stock Price'!$I$11="OK",G815/INDEX(G$5:G$1258,'Stock Price'!$I$9)-1,"")</f>
        <v>1.2440389798880069E-3</v>
      </c>
      <c r="U815" s="19">
        <f ca="1">IF('Stock Price'!$I$11="OK",H815/INDEX(H$5:H$1258,'Stock Price'!$I$9)-1,"")</f>
        <v>-0.50289473684210528</v>
      </c>
      <c r="V815" s="19">
        <f ca="1">IF('Stock Price'!$I$11="OK",I815/INDEX(I$5:I$1258,'Stock Price'!$I$9)-1,"")</f>
        <v>6.1953931691818953E-2</v>
      </c>
      <c r="W815" s="19">
        <f ca="1">IF('Stock Price'!$I$11="OK",J815/INDEX(J$5:J$1258,'Stock Price'!$I$9)-1,"")</f>
        <v>-0.26351401384723605</v>
      </c>
      <c r="X815" s="19">
        <f ca="1">IF('Stock Price'!$I$11="OK",K815/INDEX(K$5:K$1258,'Stock Price'!$I$9)-1,"")</f>
        <v>8.0433969322858179E-2</v>
      </c>
      <c r="Y815" s="19">
        <f ca="1">IF('Stock Price'!$I$11="OK",L815/INDEX(L$5:L$1258,'Stock Price'!$I$9)-1,"")</f>
        <v>-0.29659995177236553</v>
      </c>
      <c r="Z815" s="19">
        <f ca="1">IF('Stock Price'!$I$11="OK",M815/INDEX(M$5:M$1258,'Stock Price'!$I$9)-1,"")</f>
        <v>-0.21503641358859182</v>
      </c>
    </row>
    <row r="816" spans="1:26" x14ac:dyDescent="0.2">
      <c r="A816" s="16">
        <f>'Stock Price'!A816</f>
        <v>45652</v>
      </c>
      <c r="B816" s="17">
        <f>'Stock Price'!E816</f>
        <v>99.87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-6.1813057773602575E-2</v>
      </c>
      <c r="P816" s="19">
        <f ca="1">IF('Stock Price'!$I$11="OK",C816/INDEX(C$5:C$1258,'Stock Price'!$I$9)-1,"")</f>
        <v>-0.28973581637072321</v>
      </c>
      <c r="Q816" s="19">
        <f ca="1">IF('Stock Price'!$I$11="OK",D816/INDEX(D$5:D$1258,'Stock Price'!$I$9)-1,"")</f>
        <v>-0.26284384836458197</v>
      </c>
      <c r="R816" s="19">
        <f ca="1">IF('Stock Price'!$I$11="OK",E816/INDEX(E$5:E$1258,'Stock Price'!$I$9)-1,"")</f>
        <v>-0.31251259318960312</v>
      </c>
      <c r="S816" s="19">
        <f ca="1">IF('Stock Price'!$I$11="OK",F816/INDEX(F$5:F$1258,'Stock Price'!$I$9)-1,"")</f>
        <v>-0.31972789115646261</v>
      </c>
      <c r="T816" s="19">
        <f ca="1">IF('Stock Price'!$I$11="OK",G816/INDEX(G$5:G$1258,'Stock Price'!$I$9)-1,"")</f>
        <v>4.1467965996269118E-3</v>
      </c>
      <c r="U816" s="19">
        <f ca="1">IF('Stock Price'!$I$11="OK",H816/INDEX(H$5:H$1258,'Stock Price'!$I$9)-1,"")</f>
        <v>-0.50289473684210528</v>
      </c>
      <c r="V816" s="19">
        <f ca="1">IF('Stock Price'!$I$11="OK",I816/INDEX(I$5:I$1258,'Stock Price'!$I$9)-1,"")</f>
        <v>5.4805401111993612E-2</v>
      </c>
      <c r="W816" s="19">
        <f ca="1">IF('Stock Price'!$I$11="OK",J816/INDEX(J$5:J$1258,'Stock Price'!$I$9)-1,"")</f>
        <v>-0.26493020844903548</v>
      </c>
      <c r="X816" s="19">
        <f ca="1">IF('Stock Price'!$I$11="OK",K816/INDEX(K$5:K$1258,'Stock Price'!$I$9)-1,"")</f>
        <v>8.4923307145529314E-2</v>
      </c>
      <c r="Y816" s="19">
        <f ca="1">IF('Stock Price'!$I$11="OK",L816/INDEX(L$5:L$1258,'Stock Price'!$I$9)-1,"")</f>
        <v>-0.29790209790209787</v>
      </c>
      <c r="Z816" s="19">
        <f ca="1">IF('Stock Price'!$I$11="OK",M816/INDEX(M$5:M$1258,'Stock Price'!$I$9)-1,"")</f>
        <v>-0.21852514063930928</v>
      </c>
    </row>
    <row r="817" spans="1:26" x14ac:dyDescent="0.2">
      <c r="A817" s="16">
        <f>'Stock Price'!A817</f>
        <v>45653</v>
      </c>
      <c r="B817" s="17">
        <f>'Stock Price'!E817</f>
        <v>99.7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-6.3410051667449507E-2</v>
      </c>
      <c r="P817" s="19">
        <f ca="1">IF('Stock Price'!$I$11="OK",C817/INDEX(C$5:C$1258,'Stock Price'!$I$9)-1,"")</f>
        <v>-0.28980799769019772</v>
      </c>
      <c r="Q817" s="19">
        <f ca="1">IF('Stock Price'!$I$11="OK",D817/INDEX(D$5:D$1258,'Stock Price'!$I$9)-1,"")</f>
        <v>-0.27740522786369237</v>
      </c>
      <c r="R817" s="19">
        <f ca="1">IF('Stock Price'!$I$11="OK",E817/INDEX(E$5:E$1258,'Stock Price'!$I$9)-1,"")</f>
        <v>-0.31331855732419911</v>
      </c>
      <c r="S817" s="19">
        <f ca="1">IF('Stock Price'!$I$11="OK",F817/INDEX(F$5:F$1258,'Stock Price'!$I$9)-1,"")</f>
        <v>-0.31836734693877555</v>
      </c>
      <c r="T817" s="19">
        <f ca="1">IF('Stock Price'!$I$11="OK",G817/INDEX(G$5:G$1258,'Stock Price'!$I$9)-1,"")</f>
        <v>1.0366991499066947E-2</v>
      </c>
      <c r="U817" s="19">
        <f ca="1">IF('Stock Price'!$I$11="OK",H817/INDEX(H$5:H$1258,'Stock Price'!$I$9)-1,"")</f>
        <v>-0.49257894736842101</v>
      </c>
      <c r="V817" s="19">
        <f ca="1">IF('Stock Price'!$I$11="OK",I817/INDEX(I$5:I$1258,'Stock Price'!$I$9)-1,"")</f>
        <v>5.7188244638602059E-2</v>
      </c>
      <c r="W817" s="19">
        <f ca="1">IF('Stock Price'!$I$11="OK",J817/INDEX(J$5:J$1258,'Stock Price'!$I$9)-1,"")</f>
        <v>-0.27508423118219849</v>
      </c>
      <c r="X817" s="19">
        <f ca="1">IF('Stock Price'!$I$11="OK",K817/INDEX(K$5:K$1258,'Stock Price'!$I$9)-1,"")</f>
        <v>7.89375233819678E-2</v>
      </c>
      <c r="Y817" s="19">
        <f ca="1">IF('Stock Price'!$I$11="OK",L817/INDEX(L$5:L$1258,'Stock Price'!$I$9)-1,"")</f>
        <v>-0.30045816252712798</v>
      </c>
      <c r="Z817" s="19">
        <f ca="1">IF('Stock Price'!$I$11="OK",M817/INDEX(M$5:M$1258,'Stock Price'!$I$9)-1,"")</f>
        <v>-0.22371462212725135</v>
      </c>
    </row>
    <row r="818" spans="1:26" x14ac:dyDescent="0.2">
      <c r="A818" s="16">
        <f>'Stock Price'!A818</f>
        <v>45656</v>
      </c>
      <c r="B818" s="17">
        <f>'Stock Price'!E818</f>
        <v>98.37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-7.5904180366369145E-2</v>
      </c>
      <c r="P818" s="19">
        <f ca="1">IF('Stock Price'!$I$11="OK",C818/INDEX(C$5:C$1258,'Stock Price'!$I$9)-1,"")</f>
        <v>-0.29745921755449689</v>
      </c>
      <c r="Q818" s="19">
        <f ca="1">IF('Stock Price'!$I$11="OK",D818/INDEX(D$5:D$1258,'Stock Price'!$I$9)-1,"")</f>
        <v>-0.28731353496647061</v>
      </c>
      <c r="R818" s="19">
        <f ca="1">IF('Stock Price'!$I$11="OK",E818/INDEX(E$5:E$1258,'Stock Price'!$I$9)-1,"")</f>
        <v>-0.32198267177110629</v>
      </c>
      <c r="S818" s="19">
        <f ca="1">IF('Stock Price'!$I$11="OK",F818/INDEX(F$5:F$1258,'Stock Price'!$I$9)-1,"")</f>
        <v>-0.31661807580174939</v>
      </c>
      <c r="T818" s="19">
        <f ca="1">IF('Stock Price'!$I$11="OK",G818/INDEX(G$5:G$1258,'Stock Price'!$I$9)-1,"")</f>
        <v>0</v>
      </c>
      <c r="U818" s="19">
        <f ca="1">IF('Stock Price'!$I$11="OK",H818/INDEX(H$5:H$1258,'Stock Price'!$I$9)-1,"")</f>
        <v>-0.49173684210526314</v>
      </c>
      <c r="V818" s="19">
        <f ca="1">IF('Stock Price'!$I$11="OK",I818/INDEX(I$5:I$1258,'Stock Price'!$I$9)-1,"")</f>
        <v>4.9245432883240792E-2</v>
      </c>
      <c r="W818" s="19">
        <f ca="1">IF('Stock Price'!$I$11="OK",J818/INDEX(J$5:J$1258,'Stock Price'!$I$9)-1,"")</f>
        <v>-0.28372024140101437</v>
      </c>
      <c r="X818" s="19">
        <f ca="1">IF('Stock Price'!$I$11="OK",K818/INDEX(K$5:K$1258,'Stock Price'!$I$9)-1,"")</f>
        <v>4.8634493078937524E-2</v>
      </c>
      <c r="Y818" s="19">
        <f ca="1">IF('Stock Price'!$I$11="OK",L818/INDEX(L$5:L$1258,'Stock Price'!$I$9)-1,"")</f>
        <v>-0.30870508801543284</v>
      </c>
      <c r="Z818" s="19">
        <f ca="1">IF('Stock Price'!$I$11="OK",M818/INDEX(M$5:M$1258,'Stock Price'!$I$9)-1,"")</f>
        <v>-0.23160786707949943</v>
      </c>
    </row>
    <row r="819" spans="1:26" x14ac:dyDescent="0.2">
      <c r="A819" s="16">
        <f>'Stock Price'!A819</f>
        <v>45657</v>
      </c>
      <c r="B819" s="17">
        <f>'Stock Price'!E819</f>
        <v>99.48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-6.5476749647721877E-2</v>
      </c>
      <c r="P819" s="19">
        <f ca="1">IF('Stock Price'!$I$11="OK",C819/INDEX(C$5:C$1258,'Stock Price'!$I$9)-1,"")</f>
        <v>-0.2976035801934459</v>
      </c>
      <c r="Q819" s="19">
        <f ca="1">IF('Stock Price'!$I$11="OK",D819/INDEX(D$5:D$1258,'Stock Price'!$I$9)-1,"")</f>
        <v>-0.28835363350212129</v>
      </c>
      <c r="R819" s="19">
        <f ca="1">IF('Stock Price'!$I$11="OK",E819/INDEX(E$5:E$1258,'Stock Price'!$I$9)-1,"")</f>
        <v>-0.31855732419907312</v>
      </c>
      <c r="S819" s="19">
        <f ca="1">IF('Stock Price'!$I$11="OK",F819/INDEX(F$5:F$1258,'Stock Price'!$I$9)-1,"")</f>
        <v>-0.3220602526724976</v>
      </c>
      <c r="T819" s="19">
        <f ca="1">IF('Stock Price'!$I$11="OK",G819/INDEX(G$5:G$1258,'Stock Price'!$I$9)-1,"")</f>
        <v>0</v>
      </c>
      <c r="U819" s="19">
        <f ca="1">IF('Stock Price'!$I$11="OK",H819/INDEX(H$5:H$1258,'Stock Price'!$I$9)-1,"")</f>
        <v>-0.49173684210526314</v>
      </c>
      <c r="V819" s="19">
        <f ca="1">IF('Stock Price'!$I$11="OK",I819/INDEX(I$5:I$1258,'Stock Price'!$I$9)-1,"")</f>
        <v>5.3613979348689389E-2</v>
      </c>
      <c r="W819" s="19">
        <f ca="1">IF('Stock Price'!$I$11="OK",J819/INDEX(J$5:J$1258,'Stock Price'!$I$9)-1,"")</f>
        <v>-0.28542337739272083</v>
      </c>
      <c r="X819" s="19">
        <f ca="1">IF('Stock Price'!$I$11="OK",K819/INDEX(K$5:K$1258,'Stock Price'!$I$9)-1,"")</f>
        <v>5.7987280209502501E-2</v>
      </c>
      <c r="Y819" s="19">
        <f ca="1">IF('Stock Price'!$I$11="OK",L819/INDEX(L$5:L$1258,'Stock Price'!$I$9)-1,"")</f>
        <v>-0.30253195080781281</v>
      </c>
      <c r="Z819" s="19">
        <f ca="1">IF('Stock Price'!$I$11="OK",M819/INDEX(M$5:M$1258,'Stock Price'!$I$9)-1,"")</f>
        <v>-0.22506650385940441</v>
      </c>
    </row>
    <row r="820" spans="1:26" x14ac:dyDescent="0.2">
      <c r="A820" s="16">
        <f>'Stock Price'!A820</f>
        <v>45659</v>
      </c>
      <c r="B820" s="17">
        <f>'Stock Price'!E820</f>
        <v>99.17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-6.8388914983560367E-2</v>
      </c>
      <c r="P820" s="19">
        <f ca="1">IF('Stock Price'!$I$11="OK",C820/INDEX(C$5:C$1258,'Stock Price'!$I$9)-1,"")</f>
        <v>-0.29883066262451274</v>
      </c>
      <c r="Q820" s="19">
        <f ca="1">IF('Stock Price'!$I$11="OK",D820/INDEX(D$5:D$1258,'Stock Price'!$I$9)-1,"")</f>
        <v>-0.26689475845080068</v>
      </c>
      <c r="R820" s="19">
        <f ca="1">IF('Stock Price'!$I$11="OK",E820/INDEX(E$5:E$1258,'Stock Price'!$I$9)-1,"")</f>
        <v>-0.31593794076163606</v>
      </c>
      <c r="S820" s="19">
        <f ca="1">IF('Stock Price'!$I$11="OK",F820/INDEX(F$5:F$1258,'Stock Price'!$I$9)-1,"")</f>
        <v>-0.32089407191448016</v>
      </c>
      <c r="T820" s="19">
        <f ca="1">IF('Stock Price'!$I$11="OK",G820/INDEX(G$5:G$1258,'Stock Price'!$I$9)-1,"")</f>
        <v>-8.2935931992533796E-4</v>
      </c>
      <c r="U820" s="19">
        <f ca="1">IF('Stock Price'!$I$11="OK",H820/INDEX(H$5:H$1258,'Stock Price'!$I$9)-1,"")</f>
        <v>-0.48978947368421044</v>
      </c>
      <c r="V820" s="19">
        <f ca="1">IF('Stock Price'!$I$11="OK",I820/INDEX(I$5:I$1258,'Stock Price'!$I$9)-1,"")</f>
        <v>5.6791104050833985E-2</v>
      </c>
      <c r="W820" s="19">
        <f ca="1">IF('Stock Price'!$I$11="OK",J820/INDEX(J$5:J$1258,'Stock Price'!$I$9)-1,"")</f>
        <v>-0.27980487985486313</v>
      </c>
      <c r="X820" s="19">
        <f ca="1">IF('Stock Price'!$I$11="OK",K820/INDEX(K$5:K$1258,'Stock Price'!$I$9)-1,"")</f>
        <v>6.2289562289562284E-2</v>
      </c>
      <c r="Y820" s="19">
        <f ca="1">IF('Stock Price'!$I$11="OK",L820/INDEX(L$5:L$1258,'Stock Price'!$I$9)-1,"")</f>
        <v>-0.3054256088738847</v>
      </c>
      <c r="Z820" s="19">
        <f ca="1">IF('Stock Price'!$I$11="OK",M820/INDEX(M$5:M$1258,'Stock Price'!$I$9)-1,"")</f>
        <v>-0.21747852252409405</v>
      </c>
    </row>
    <row r="821" spans="1:26" x14ac:dyDescent="0.2">
      <c r="A821" s="16">
        <f>'Stock Price'!A821</f>
        <v>45660</v>
      </c>
      <c r="B821" s="17">
        <f>'Stock Price'!E821</f>
        <v>99.14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-6.8670737435415741E-2</v>
      </c>
      <c r="P821" s="19">
        <f ca="1">IF('Stock Price'!$I$11="OK",C821/INDEX(C$5:C$1258,'Stock Price'!$I$9)-1,"")</f>
        <v>-0.29522159665078673</v>
      </c>
      <c r="Q821" s="19">
        <f ca="1">IF('Stock Price'!$I$11="OK",D821/INDEX(D$5:D$1258,'Stock Price'!$I$9)-1,"")</f>
        <v>-0.2815108799781032</v>
      </c>
      <c r="R821" s="19">
        <f ca="1">IF('Stock Price'!$I$11="OK",E821/INDEX(E$5:E$1258,'Stock Price'!$I$9)-1,"")</f>
        <v>-0.32560951037678831</v>
      </c>
      <c r="S821" s="19">
        <f ca="1">IF('Stock Price'!$I$11="OK",F821/INDEX(F$5:F$1258,'Stock Price'!$I$9)-1,"")</f>
        <v>-0.31622934888241017</v>
      </c>
      <c r="T821" s="19">
        <f ca="1">IF('Stock Price'!$I$11="OK",G821/INDEX(G$5:G$1258,'Stock Price'!$I$9)-1,"")</f>
        <v>-1.6587186398506759E-3</v>
      </c>
      <c r="U821" s="19">
        <f ca="1">IF('Stock Price'!$I$11="OK",H821/INDEX(H$5:H$1258,'Stock Price'!$I$9)-1,"")</f>
        <v>-0.50026315789473697</v>
      </c>
      <c r="V821" s="19">
        <f ca="1">IF('Stock Price'!$I$11="OK",I821/INDEX(I$5:I$1258,'Stock Price'!$I$9)-1,"")</f>
        <v>5.5996822875297836E-2</v>
      </c>
      <c r="W821" s="19">
        <f ca="1">IF('Stock Price'!$I$11="OK",J821/INDEX(J$5:J$1258,'Stock Price'!$I$9)-1,"")</f>
        <v>-0.27618571587248686</v>
      </c>
      <c r="X821" s="19">
        <f ca="1">IF('Stock Price'!$I$11="OK",K821/INDEX(K$5:K$1258,'Stock Price'!$I$9)-1,"")</f>
        <v>5.8174335952113632E-2</v>
      </c>
      <c r="Y821" s="19">
        <f ca="1">IF('Stock Price'!$I$11="OK",L821/INDEX(L$5:L$1258,'Stock Price'!$I$9)-1,"")</f>
        <v>-0.30460573908849775</v>
      </c>
      <c r="Z821" s="19">
        <f ca="1">IF('Stock Price'!$I$11="OK",M821/INDEX(M$5:M$1258,'Stock Price'!$I$9)-1,"")</f>
        <v>-0.20971610483624792</v>
      </c>
    </row>
    <row r="822" spans="1:26" x14ac:dyDescent="0.2">
      <c r="A822" s="16">
        <f>'Stock Price'!A822</f>
        <v>45663</v>
      </c>
      <c r="B822" s="17">
        <f>'Stock Price'!E822</f>
        <v>99.72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-6.3222170032879332E-2</v>
      </c>
      <c r="P822" s="19">
        <f ca="1">IF('Stock Price'!$I$11="OK",C822/INDEX(C$5:C$1258,'Stock Price'!$I$9)-1,"")</f>
        <v>-0.29478850873393958</v>
      </c>
      <c r="Q822" s="19">
        <f ca="1">IF('Stock Price'!$I$11="OK",D822/INDEX(D$5:D$1258,'Stock Price'!$I$9)-1,"")</f>
        <v>-0.28627343643081982</v>
      </c>
      <c r="R822" s="19">
        <f ca="1">IF('Stock Price'!$I$11="OK",E822/INDEX(E$5:E$1258,'Stock Price'!$I$9)-1,"")</f>
        <v>-0.31573644972798709</v>
      </c>
      <c r="S822" s="19">
        <f ca="1">IF('Stock Price'!$I$11="OK",F822/INDEX(F$5:F$1258,'Stock Price'!$I$9)-1,"")</f>
        <v>-0.30962099125364428</v>
      </c>
      <c r="T822" s="19">
        <f ca="1">IF('Stock Price'!$I$11="OK",G822/INDEX(G$5:G$1258,'Stock Price'!$I$9)-1,"")</f>
        <v>1.9904623678208555E-2</v>
      </c>
      <c r="U822" s="19">
        <f ca="1">IF('Stock Price'!$I$11="OK",H822/INDEX(H$5:H$1258,'Stock Price'!$I$9)-1,"")</f>
        <v>-0.4810526315789474</v>
      </c>
      <c r="V822" s="19">
        <f ca="1">IF('Stock Price'!$I$11="OK",I822/INDEX(I$5:I$1258,'Stock Price'!$I$9)-1,"")</f>
        <v>6.791104050834007E-2</v>
      </c>
      <c r="W822" s="19">
        <f ca="1">IF('Stock Price'!$I$11="OK",J822/INDEX(J$5:J$1258,'Stock Price'!$I$9)-1,"")</f>
        <v>-0.29181013736162009</v>
      </c>
      <c r="X822" s="19">
        <f ca="1">IF('Stock Price'!$I$11="OK",K822/INDEX(K$5:K$1258,'Stock Price'!$I$9)-1,"")</f>
        <v>6.0231949120838069E-2</v>
      </c>
      <c r="Y822" s="19">
        <f ca="1">IF('Stock Price'!$I$11="OK",L822/INDEX(L$5:L$1258,'Stock Price'!$I$9)-1,"")</f>
        <v>-0.30716180371352786</v>
      </c>
      <c r="Z822" s="19">
        <f ca="1">IF('Stock Price'!$I$11="OK",M822/INDEX(M$5:M$1258,'Stock Price'!$I$9)-1,"")</f>
        <v>-0.21460032270725227</v>
      </c>
    </row>
    <row r="823" spans="1:26" x14ac:dyDescent="0.2">
      <c r="A823" s="16">
        <f>'Stock Price'!A823</f>
        <v>45664</v>
      </c>
      <c r="B823" s="17">
        <f>'Stock Price'!E823</f>
        <v>101.02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-5.1009863785814957E-2</v>
      </c>
      <c r="P823" s="19">
        <f ca="1">IF('Stock Price'!$I$11="OK",C823/INDEX(C$5:C$1258,'Stock Price'!$I$9)-1,"")</f>
        <v>-0.28554929984120103</v>
      </c>
      <c r="Q823" s="19">
        <f ca="1">IF('Stock Price'!$I$11="OK",D823/INDEX(D$5:D$1258,'Stock Price'!$I$9)-1,"")</f>
        <v>-0.27806213220199816</v>
      </c>
      <c r="R823" s="19">
        <f ca="1">IF('Stock Price'!$I$11="OK",E823/INDEX(E$5:E$1258,'Stock Price'!$I$9)-1,"")</f>
        <v>-0.31311706629055003</v>
      </c>
      <c r="S823" s="19">
        <f ca="1">IF('Stock Price'!$I$11="OK",F823/INDEX(F$5:F$1258,'Stock Price'!$I$9)-1,"")</f>
        <v>-0.29154518950437314</v>
      </c>
      <c r="T823" s="19">
        <f ca="1">IF('Stock Price'!$I$11="OK",G823/INDEX(G$5:G$1258,'Stock Price'!$I$9)-1,"")</f>
        <v>3.4003732116939744E-2</v>
      </c>
      <c r="U823" s="19">
        <f ca="1">IF('Stock Price'!$I$11="OK",H823/INDEX(H$5:H$1258,'Stock Price'!$I$9)-1,"")</f>
        <v>-0.47931578947368414</v>
      </c>
      <c r="V823" s="19">
        <f ca="1">IF('Stock Price'!$I$11="OK",I823/INDEX(I$5:I$1258,'Stock Price'!$I$9)-1,"")</f>
        <v>7.7442414614773636E-2</v>
      </c>
      <c r="W823" s="19">
        <f ca="1">IF('Stock Price'!$I$11="OK",J823/INDEX(J$5:J$1258,'Stock Price'!$I$9)-1,"")</f>
        <v>-0.2842293309637528</v>
      </c>
      <c r="X823" s="19">
        <f ca="1">IF('Stock Price'!$I$11="OK",K823/INDEX(K$5:K$1258,'Stock Price'!$I$9)-1,"")</f>
        <v>6.8836513280957634E-2</v>
      </c>
      <c r="Y823" s="19">
        <f ca="1">IF('Stock Price'!$I$11="OK",L823/INDEX(L$5:L$1258,'Stock Price'!$I$9)-1,"")</f>
        <v>-0.29476730166385345</v>
      </c>
      <c r="Z823" s="19">
        <f ca="1">IF('Stock Price'!$I$11="OK",M823/INDEX(M$5:M$1258,'Stock Price'!$I$9)-1,"")</f>
        <v>-0.21708604073088833</v>
      </c>
    </row>
    <row r="824" spans="1:26" x14ac:dyDescent="0.2">
      <c r="A824" s="16">
        <f>'Stock Price'!A824</f>
        <v>45665</v>
      </c>
      <c r="B824" s="17">
        <f>'Stock Price'!E824</f>
        <v>99.85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-6.2000939408172973E-2</v>
      </c>
      <c r="P824" s="19">
        <f ca="1">IF('Stock Price'!$I$11="OK",C824/INDEX(C$5:C$1258,'Stock Price'!$I$9)-1,"")</f>
        <v>-0.27659881622636062</v>
      </c>
      <c r="Q824" s="19">
        <f ca="1">IF('Stock Price'!$I$11="OK",D824/INDEX(D$5:D$1258,'Stock Price'!$I$9)-1,"")</f>
        <v>-0.27379225400301088</v>
      </c>
      <c r="R824" s="19">
        <f ca="1">IF('Stock Price'!$I$11="OK",E824/INDEX(E$5:E$1258,'Stock Price'!$I$9)-1,"")</f>
        <v>-0.31996776143461625</v>
      </c>
      <c r="S824" s="19">
        <f ca="1">IF('Stock Price'!$I$11="OK",F824/INDEX(F$5:F$1258,'Stock Price'!$I$9)-1,"")</f>
        <v>-0.28668610301263364</v>
      </c>
      <c r="T824" s="19">
        <f ca="1">IF('Stock Price'!$I$11="OK",G824/INDEX(G$5:G$1258,'Stock Price'!$I$9)-1,"")</f>
        <v>2.0733982998133893E-2</v>
      </c>
      <c r="U824" s="19">
        <f ca="1">IF('Stock Price'!$I$11="OK",H824/INDEX(H$5:H$1258,'Stock Price'!$I$9)-1,"")</f>
        <v>-0.48247368421052628</v>
      </c>
      <c r="V824" s="19">
        <f ca="1">IF('Stock Price'!$I$11="OK",I824/INDEX(I$5:I$1258,'Stock Price'!$I$9)-1,"")</f>
        <v>6.6719618745035625E-2</v>
      </c>
      <c r="W824" s="19">
        <f ca="1">IF('Stock Price'!$I$11="OK",J824/INDEX(J$5:J$1258,'Stock Price'!$I$9)-1,"")</f>
        <v>-0.2713354807656706</v>
      </c>
      <c r="X824" s="19">
        <f ca="1">IF('Stock Price'!$I$11="OK",K824/INDEX(K$5:K$1258,'Stock Price'!$I$9)-1,"")</f>
        <v>6.2663673774784989E-2</v>
      </c>
      <c r="Y824" s="19">
        <f ca="1">IF('Stock Price'!$I$11="OK",L824/INDEX(L$5:L$1258,'Stock Price'!$I$9)-1,"")</f>
        <v>-0.31386544489992763</v>
      </c>
      <c r="Z824" s="19">
        <f ca="1">IF('Stock Price'!$I$11="OK",M824/INDEX(M$5:M$1258,'Stock Price'!$I$9)-1,"")</f>
        <v>-0.22157777680868695</v>
      </c>
    </row>
    <row r="825" spans="1:26" x14ac:dyDescent="0.2">
      <c r="A825" s="16">
        <f>'Stock Price'!A825</f>
        <v>45667</v>
      </c>
      <c r="B825" s="17">
        <f>'Stock Price'!E825</f>
        <v>99.25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-6.7637388445279445E-2</v>
      </c>
      <c r="P825" s="19">
        <f ca="1">IF('Stock Price'!$I$11="OK",C825/INDEX(C$5:C$1258,'Stock Price'!$I$9)-1,"")</f>
        <v>-0.28482748664645585</v>
      </c>
      <c r="Q825" s="19">
        <f ca="1">IF('Stock Price'!$I$11="OK",D825/INDEX(D$5:D$1258,'Stock Price'!$I$9)-1,"")</f>
        <v>-0.2582455179964418</v>
      </c>
      <c r="R825" s="19">
        <f ca="1">IF('Stock Price'!$I$11="OK",E825/INDEX(E$5:E$1258,'Stock Price'!$I$9)-1,"")</f>
        <v>-0.33326616965545031</v>
      </c>
      <c r="S825" s="19">
        <f ca="1">IF('Stock Price'!$I$11="OK",F825/INDEX(F$5:F$1258,'Stock Price'!$I$9)-1,"")</f>
        <v>-0.29135082604470364</v>
      </c>
      <c r="T825" s="19">
        <f ca="1">IF('Stock Price'!$I$11="OK",G825/INDEX(G$5:G$1258,'Stock Price'!$I$9)-1,"")</f>
        <v>1.0366991499066947E-2</v>
      </c>
      <c r="U825" s="19">
        <f ca="1">IF('Stock Price'!$I$11="OK",H825/INDEX(H$5:H$1258,'Stock Price'!$I$9)-1,"")</f>
        <v>-0.47415789473684211</v>
      </c>
      <c r="V825" s="19">
        <f ca="1">IF('Stock Price'!$I$11="OK",I825/INDEX(I$5:I$1258,'Stock Price'!$I$9)-1,"")</f>
        <v>6.1159650516282804E-2</v>
      </c>
      <c r="W825" s="19">
        <f ca="1">IF('Stock Price'!$I$11="OK",J825/INDEX(J$5:J$1258,'Stock Price'!$I$9)-1,"")</f>
        <v>-0.25959865230108481</v>
      </c>
      <c r="X825" s="19">
        <f ca="1">IF('Stock Price'!$I$11="OK",K825/INDEX(K$5:K$1258,'Stock Price'!$I$9)-1,"")</f>
        <v>4.4332210998877519E-2</v>
      </c>
      <c r="Y825" s="19">
        <f ca="1">IF('Stock Price'!$I$11="OK",L825/INDEX(L$5:L$1258,'Stock Price'!$I$9)-1,"")</f>
        <v>-0.31487822522305275</v>
      </c>
      <c r="Z825" s="19">
        <f ca="1">IF('Stock Price'!$I$11="OK",M825/INDEX(M$5:M$1258,'Stock Price'!$I$9)-1,"")</f>
        <v>-0.23609960315729805</v>
      </c>
    </row>
    <row r="826" spans="1:26" x14ac:dyDescent="0.2">
      <c r="A826" s="16">
        <f>'Stock Price'!A826</f>
        <v>45670</v>
      </c>
      <c r="B826" s="17">
        <f>'Stock Price'!E826</f>
        <v>100.98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-5.1385627054955418E-2</v>
      </c>
      <c r="P826" s="19">
        <f ca="1">IF('Stock Price'!$I$11="OK",C826/INDEX(C$5:C$1258,'Stock Price'!$I$9)-1,"")</f>
        <v>-0.28345604157644</v>
      </c>
      <c r="Q826" s="19">
        <f ca="1">IF('Stock Price'!$I$11="OK",D826/INDEX(D$5:D$1258,'Stock Price'!$I$9)-1,"")</f>
        <v>-0.28137785684959626</v>
      </c>
      <c r="R826" s="19">
        <f ca="1">IF('Stock Price'!$I$11="OK",E826/INDEX(E$5:E$1258,'Stock Price'!$I$9)-1,"")</f>
        <v>-0.34112431996776138</v>
      </c>
      <c r="S826" s="19">
        <f ca="1">IF('Stock Price'!$I$11="OK",F826/INDEX(F$5:F$1258,'Stock Price'!$I$9)-1,"")</f>
        <v>-0.29659863945578235</v>
      </c>
      <c r="T826" s="19">
        <f ca="1">IF('Stock Price'!$I$11="OK",G826/INDEX(G$5:G$1258,'Stock Price'!$I$9)-1,"")</f>
        <v>7.8789135392909326E-3</v>
      </c>
      <c r="U826" s="19">
        <f ca="1">IF('Stock Price'!$I$11="OK",H826/INDEX(H$5:H$1258,'Stock Price'!$I$9)-1,"")</f>
        <v>-0.47276315789473689</v>
      </c>
      <c r="V826" s="19">
        <f ca="1">IF('Stock Price'!$I$11="OK",I826/INDEX(I$5:I$1258,'Stock Price'!$I$9)-1,"")</f>
        <v>6.43367752184274E-2</v>
      </c>
      <c r="W826" s="19">
        <f ca="1">IF('Stock Price'!$I$11="OK",J826/INDEX(J$5:J$1258,'Stock Price'!$I$9)-1,"")</f>
        <v>-0.2618386463771335</v>
      </c>
      <c r="X826" s="19">
        <f ca="1">IF('Stock Price'!$I$11="OK",K826/INDEX(K$5:K$1258,'Stock Price'!$I$9)-1,"")</f>
        <v>3.5540591096146601E-2</v>
      </c>
      <c r="Y826" s="19">
        <f ca="1">IF('Stock Price'!$I$11="OK",L826/INDEX(L$5:L$1258,'Stock Price'!$I$9)-1,"")</f>
        <v>-0.30325536532433084</v>
      </c>
      <c r="Z826" s="19">
        <f ca="1">IF('Stock Price'!$I$11="OK",M826/INDEX(M$5:M$1258,'Stock Price'!$I$9)-1,"")</f>
        <v>-0.22925297632026509</v>
      </c>
    </row>
    <row r="827" spans="1:26" x14ac:dyDescent="0.2">
      <c r="A827" s="16">
        <f>'Stock Price'!A827</f>
        <v>45671</v>
      </c>
      <c r="B827" s="17">
        <f>'Stock Price'!E827</f>
        <v>99.65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-6.3879755753875056E-2</v>
      </c>
      <c r="P827" s="19">
        <f ca="1">IF('Stock Price'!$I$11="OK",C827/INDEX(C$5:C$1258,'Stock Price'!$I$9)-1,"")</f>
        <v>-0.28273422838169471</v>
      </c>
      <c r="Q827" s="19">
        <f ca="1">IF('Stock Price'!$I$11="OK",D827/INDEX(D$5:D$1258,'Stock Price'!$I$9)-1,"")</f>
        <v>-0.27455864239770078</v>
      </c>
      <c r="R827" s="19">
        <f ca="1">IF('Stock Price'!$I$11="OK",E827/INDEX(E$5:E$1258,'Stock Price'!$I$9)-1,"")</f>
        <v>-0.35361676405399967</v>
      </c>
      <c r="S827" s="19">
        <f ca="1">IF('Stock Price'!$I$11="OK",F827/INDEX(F$5:F$1258,'Stock Price'!$I$9)-1,"")</f>
        <v>-0.2975704567541303</v>
      </c>
      <c r="T827" s="19">
        <f ca="1">IF('Stock Price'!$I$11="OK",G827/INDEX(G$5:G$1258,'Stock Price'!$I$9)-1,"")</f>
        <v>4.5614762595895808E-3</v>
      </c>
      <c r="U827" s="19">
        <f ca="1">IF('Stock Price'!$I$11="OK",H827/INDEX(H$5:H$1258,'Stock Price'!$I$9)-1,"")</f>
        <v>-0.48415789473684212</v>
      </c>
      <c r="V827" s="19">
        <f ca="1">IF('Stock Price'!$I$11="OK",I827/INDEX(I$5:I$1258,'Stock Price'!$I$9)-1,"")</f>
        <v>4.8848292295472717E-2</v>
      </c>
      <c r="W827" s="19">
        <f ca="1">IF('Stock Price'!$I$11="OK",J827/INDEX(J$5:J$1258,'Stock Price'!$I$9)-1,"")</f>
        <v>-0.3104983524010515</v>
      </c>
      <c r="X827" s="19">
        <f ca="1">IF('Stock Price'!$I$11="OK",K827/INDEX(K$5:K$1258,'Stock Price'!$I$9)-1,"")</f>
        <v>4.264870931537601E-2</v>
      </c>
      <c r="Y827" s="19">
        <f ca="1">IF('Stock Price'!$I$11="OK",L827/INDEX(L$5:L$1258,'Stock Price'!$I$9)-1,"")</f>
        <v>-0.30190499156016393</v>
      </c>
      <c r="Z827" s="19">
        <f ca="1">IF('Stock Price'!$I$11="OK",M827/INDEX(M$5:M$1258,'Stock Price'!$I$9)-1,"")</f>
        <v>-0.23444245780820716</v>
      </c>
    </row>
    <row r="828" spans="1:26" x14ac:dyDescent="0.2">
      <c r="A828" s="16">
        <f>'Stock Price'!A828</f>
        <v>45672</v>
      </c>
      <c r="B828" s="17">
        <f>'Stock Price'!E828</f>
        <v>100.09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-5.9746359793330206E-2</v>
      </c>
      <c r="P828" s="19">
        <f ca="1">IF('Stock Price'!$I$11="OK",C828/INDEX(C$5:C$1258,'Stock Price'!$I$9)-1,"")</f>
        <v>-0.28489966796593047</v>
      </c>
      <c r="Q828" s="19">
        <f ca="1">IF('Stock Price'!$I$11="OK",D828/INDEX(D$5:D$1258,'Stock Price'!$I$9)-1,"")</f>
        <v>-0.28966798959901474</v>
      </c>
      <c r="R828" s="19">
        <f ca="1">IF('Stock Price'!$I$11="OK",E828/INDEX(E$5:E$1258,'Stock Price'!$I$9)-1,"")</f>
        <v>-0.33910940963127145</v>
      </c>
      <c r="S828" s="19">
        <f ca="1">IF('Stock Price'!$I$11="OK",F828/INDEX(F$5:F$1258,'Stock Price'!$I$9)-1,"")</f>
        <v>-0.2905733722060253</v>
      </c>
      <c r="T828" s="19">
        <f ca="1">IF('Stock Price'!$I$11="OK",G828/INDEX(G$5:G$1258,'Stock Price'!$I$9)-1,"")</f>
        <v>2.3636740617872798E-2</v>
      </c>
      <c r="U828" s="19">
        <f ca="1">IF('Stock Price'!$I$11="OK",H828/INDEX(H$5:H$1258,'Stock Price'!$I$9)-1,"")</f>
        <v>-0.45447368421052625</v>
      </c>
      <c r="V828" s="19">
        <f ca="1">IF('Stock Price'!$I$11="OK",I828/INDEX(I$5:I$1258,'Stock Price'!$I$9)-1,"")</f>
        <v>4.1302621127879302E-2</v>
      </c>
      <c r="W828" s="19">
        <f ca="1">IF('Stock Price'!$I$11="OK",J828/INDEX(J$5:J$1258,'Stock Price'!$I$9)-1,"")</f>
        <v>-0.30880447258321297</v>
      </c>
      <c r="X828" s="19">
        <f ca="1">IF('Stock Price'!$I$11="OK",K828/INDEX(K$5:K$1258,'Stock Price'!$I$9)-1,"")</f>
        <v>4.5828656939767898E-2</v>
      </c>
      <c r="Y828" s="19">
        <f ca="1">IF('Stock Price'!$I$11="OK",L828/INDEX(L$5:L$1258,'Stock Price'!$I$9)-1,"")</f>
        <v>-0.30084398360260423</v>
      </c>
      <c r="Z828" s="19">
        <f ca="1">IF('Stock Price'!$I$11="OK",M828/INDEX(M$5:M$1258,'Stock Price'!$I$9)-1,"")</f>
        <v>-0.25275827482447344</v>
      </c>
    </row>
    <row r="829" spans="1:26" x14ac:dyDescent="0.2">
      <c r="A829" s="16">
        <f>'Stock Price'!A829</f>
        <v>45673</v>
      </c>
      <c r="B829" s="17">
        <f>'Stock Price'!E829</f>
        <v>100.7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-5.4015969938938424E-2</v>
      </c>
      <c r="P829" s="19">
        <f ca="1">IF('Stock Price'!$I$11="OK",C829/INDEX(C$5:C$1258,'Stock Price'!$I$9)-1,"")</f>
        <v>-0.29363360762234725</v>
      </c>
      <c r="Q829" s="19">
        <f ca="1">IF('Stock Price'!$I$11="OK",D829/INDEX(D$5:D$1258,'Stock Price'!$I$9)-1,"")</f>
        <v>-0.27669358149719459</v>
      </c>
      <c r="R829" s="19">
        <f ca="1">IF('Stock Price'!$I$11="OK",E829/INDEX(E$5:E$1258,'Stock Price'!$I$9)-1,"")</f>
        <v>-0.32621398347773534</v>
      </c>
      <c r="S829" s="19">
        <f ca="1">IF('Stock Price'!$I$11="OK",F829/INDEX(F$5:F$1258,'Stock Price'!$I$9)-1,"")</f>
        <v>-0.28726919339164236</v>
      </c>
      <c r="T829" s="19">
        <f ca="1">IF('Stock Price'!$I$11="OK",G829/INDEX(G$5:G$1258,'Stock Price'!$I$9)-1,"")</f>
        <v>5.2042297325316289E-2</v>
      </c>
      <c r="U829" s="19">
        <f ca="1">IF('Stock Price'!$I$11="OK",H829/INDEX(H$5:H$1258,'Stock Price'!$I$9)-1,"")</f>
        <v>-0.45421052631578951</v>
      </c>
      <c r="V829" s="19">
        <f ca="1">IF('Stock Price'!$I$11="OK",I829/INDEX(I$5:I$1258,'Stock Price'!$I$9)-1,"")</f>
        <v>5.2025416997617091E-2</v>
      </c>
      <c r="W829" s="19">
        <f ca="1">IF('Stock Price'!$I$11="OK",J829/INDEX(J$5:J$1258,'Stock Price'!$I$9)-1,"")</f>
        <v>-0.29875226776259756</v>
      </c>
      <c r="X829" s="19">
        <f ca="1">IF('Stock Price'!$I$11="OK",K829/INDEX(K$5:K$1258,'Stock Price'!$I$9)-1,"")</f>
        <v>5.4620276842499038E-2</v>
      </c>
      <c r="Y829" s="19">
        <f ca="1">IF('Stock Price'!$I$11="OK",L829/INDEX(L$5:L$1258,'Stock Price'!$I$9)-1,"")</f>
        <v>-0.28734024596093555</v>
      </c>
      <c r="Z829" s="19">
        <f ca="1">IF('Stock Price'!$I$11="OK",M829/INDEX(M$5:M$1258,'Stock Price'!$I$9)-1,"")</f>
        <v>-0.24251013911299124</v>
      </c>
    </row>
    <row r="830" spans="1:26" x14ac:dyDescent="0.2">
      <c r="A830" s="16">
        <f>'Stock Price'!A830</f>
        <v>45674</v>
      </c>
      <c r="B830" s="17">
        <f>'Stock Price'!E830</f>
        <v>97.92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-8.0131517144199194E-2</v>
      </c>
      <c r="P830" s="19">
        <f ca="1">IF('Stock Price'!$I$11="OK",C830/INDEX(C$5:C$1258,'Stock Price'!$I$9)-1,"")</f>
        <v>-0.29601559116500642</v>
      </c>
      <c r="Q830" s="19">
        <f ca="1">IF('Stock Price'!$I$11="OK",D830/INDEX(D$5:D$1258,'Stock Price'!$I$9)-1,"")</f>
        <v>-0.26109210346243339</v>
      </c>
      <c r="R830" s="19">
        <f ca="1">IF('Stock Price'!$I$11="OK",E830/INDEX(E$5:E$1258,'Stock Price'!$I$9)-1,"")</f>
        <v>-0.32641547451138431</v>
      </c>
      <c r="S830" s="19">
        <f ca="1">IF('Stock Price'!$I$11="OK",F830/INDEX(F$5:F$1258,'Stock Price'!$I$9)-1,"")</f>
        <v>-0.29348882410106902</v>
      </c>
      <c r="T830" s="19">
        <f ca="1">IF('Stock Price'!$I$11="OK",G830/INDEX(G$5:G$1258,'Stock Price'!$I$9)-1,"")</f>
        <v>5.2042297325316289E-2</v>
      </c>
      <c r="U830" s="19">
        <f ca="1">IF('Stock Price'!$I$11="OK",H830/INDEX(H$5:H$1258,'Stock Price'!$I$9)-1,"")</f>
        <v>-0.44355263157894742</v>
      </c>
      <c r="V830" s="19">
        <f ca="1">IF('Stock Price'!$I$11="OK",I830/INDEX(I$5:I$1258,'Stock Price'!$I$9)-1,"")</f>
        <v>4.4479745830023898E-2</v>
      </c>
      <c r="W830" s="19">
        <f ca="1">IF('Stock Price'!$I$11="OK",J830/INDEX(J$5:J$1258,'Stock Price'!$I$9)-1,"")</f>
        <v>-0.32826095005368572</v>
      </c>
      <c r="X830" s="19">
        <f ca="1">IF('Stock Price'!$I$11="OK",K830/INDEX(K$5:K$1258,'Stock Price'!$I$9)-1,"")</f>
        <v>5.2936775158997307E-2</v>
      </c>
      <c r="Y830" s="19">
        <f ca="1">IF('Stock Price'!$I$11="OK",L830/INDEX(L$5:L$1258,'Stock Price'!$I$9)-1,"")</f>
        <v>-0.29090909090909089</v>
      </c>
      <c r="Z830" s="19">
        <f ca="1">IF('Stock Price'!$I$11="OK",M830/INDEX(M$5:M$1258,'Stock Price'!$I$9)-1,"")</f>
        <v>-0.25184248397366016</v>
      </c>
    </row>
    <row r="831" spans="1:26" x14ac:dyDescent="0.2">
      <c r="A831" s="16">
        <f>'Stock Price'!A831</f>
        <v>45678</v>
      </c>
      <c r="B831" s="17">
        <f>'Stock Price'!E831</f>
        <v>96.24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-9.5913574448097783E-2</v>
      </c>
      <c r="P831" s="19">
        <f ca="1">IF('Stock Price'!$I$11="OK",C831/INDEX(C$5:C$1258,'Stock Price'!$I$9)-1,"")</f>
        <v>-0.28013570088061202</v>
      </c>
      <c r="Q831" s="19">
        <f ca="1">IF('Stock Price'!$I$11="OK",D831/INDEX(D$5:D$1258,'Stock Price'!$I$9)-1,"")</f>
        <v>-0.25665799917886967</v>
      </c>
      <c r="R831" s="19">
        <f ca="1">IF('Stock Price'!$I$11="OK",E831/INDEX(E$5:E$1258,'Stock Price'!$I$9)-1,"")</f>
        <v>-0.31936328833366912</v>
      </c>
      <c r="S831" s="19">
        <f ca="1">IF('Stock Price'!$I$11="OK",F831/INDEX(F$5:F$1258,'Stock Price'!$I$9)-1,"")</f>
        <v>-0.27191448007774544</v>
      </c>
      <c r="T831" s="19">
        <f ca="1">IF('Stock Price'!$I$11="OK",G831/INDEX(G$5:G$1258,'Stock Price'!$I$9)-1,"")</f>
        <v>7.173958117354351E-2</v>
      </c>
      <c r="U831" s="19">
        <f ca="1">IF('Stock Price'!$I$11="OK",H831/INDEX(H$5:H$1258,'Stock Price'!$I$9)-1,"")</f>
        <v>-0.4357894736842105</v>
      </c>
      <c r="V831" s="19">
        <f ca="1">IF('Stock Price'!$I$11="OK",I831/INDEX(I$5:I$1258,'Stock Price'!$I$9)-1,"")</f>
        <v>5.7982525814138208E-2</v>
      </c>
      <c r="W831" s="19">
        <f ca="1">IF('Stock Price'!$I$11="OK",J831/INDEX(J$5:J$1258,'Stock Price'!$I$9)-1,"")</f>
        <v>-0.3128679329112517</v>
      </c>
      <c r="X831" s="19">
        <f ca="1">IF('Stock Price'!$I$11="OK",K831/INDEX(K$5:K$1258,'Stock Price'!$I$9)-1,"")</f>
        <v>6.6965955854844772E-2</v>
      </c>
      <c r="Y831" s="19">
        <f ca="1">IF('Stock Price'!$I$11="OK",L831/INDEX(L$5:L$1258,'Stock Price'!$I$9)-1,"")</f>
        <v>-0.28550759585242336</v>
      </c>
      <c r="Z831" s="19">
        <f ca="1">IF('Stock Price'!$I$11="OK",M831/INDEX(M$5:M$1258,'Stock Price'!$I$9)-1,"")</f>
        <v>-0.24726352971959353</v>
      </c>
    </row>
    <row r="832" spans="1:26" x14ac:dyDescent="0.2">
      <c r="A832" s="16">
        <f>'Stock Price'!A832</f>
        <v>45679</v>
      </c>
      <c r="B832" s="17">
        <f>'Stock Price'!E832</f>
        <v>95.68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-0.10117426021606379</v>
      </c>
      <c r="P832" s="19">
        <f ca="1">IF('Stock Price'!$I$11="OK",C832/INDEX(C$5:C$1258,'Stock Price'!$I$9)-1,"")</f>
        <v>-0.2913959867186372</v>
      </c>
      <c r="Q832" s="19">
        <f ca="1">IF('Stock Price'!$I$11="OK",D832/INDEX(D$5:D$1258,'Stock Price'!$I$9)-1,"")</f>
        <v>-0.24423155877925284</v>
      </c>
      <c r="R832" s="19">
        <f ca="1">IF('Stock Price'!$I$11="OK",E832/INDEX(E$5:E$1258,'Stock Price'!$I$9)-1,"")</f>
        <v>-0.32641547451138431</v>
      </c>
      <c r="S832" s="19">
        <f ca="1">IF('Stock Price'!$I$11="OK",F832/INDEX(F$5:F$1258,'Stock Price'!$I$9)-1,"")</f>
        <v>-0.26433430515063172</v>
      </c>
      <c r="T832" s="19">
        <f ca="1">IF('Stock Price'!$I$11="OK",G832/INDEX(G$5:G$1258,'Stock Price'!$I$9)-1,"")</f>
        <v>6.8007464233879267E-2</v>
      </c>
      <c r="U832" s="19">
        <f ca="1">IF('Stock Price'!$I$11="OK",H832/INDEX(H$5:H$1258,'Stock Price'!$I$9)-1,"")</f>
        <v>-0.44776315789473686</v>
      </c>
      <c r="V832" s="19">
        <f ca="1">IF('Stock Price'!$I$11="OK",I832/INDEX(I$5:I$1258,'Stock Price'!$I$9)-1,"")</f>
        <v>3.296266878474996E-2</v>
      </c>
      <c r="W832" s="19">
        <f ca="1">IF('Stock Price'!$I$11="OK",J832/INDEX(J$5:J$1258,'Stock Price'!$I$9)-1,"")</f>
        <v>-0.30210300270280266</v>
      </c>
      <c r="X832" s="19">
        <f ca="1">IF('Stock Price'!$I$11="OK",K832/INDEX(K$5:K$1258,'Stock Price'!$I$9)-1,"")</f>
        <v>6.7901234567901314E-2</v>
      </c>
      <c r="Y832" s="19">
        <f ca="1">IF('Stock Price'!$I$11="OK",L832/INDEX(L$5:L$1258,'Stock Price'!$I$9)-1,"")</f>
        <v>-0.29939715456956828</v>
      </c>
      <c r="Z832" s="19">
        <f ca="1">IF('Stock Price'!$I$11="OK",M832/INDEX(M$5:M$1258,'Stock Price'!$I$9)-1,"")</f>
        <v>-0.26213422877327641</v>
      </c>
    </row>
    <row r="833" spans="1:26" x14ac:dyDescent="0.2">
      <c r="A833" s="16">
        <f>'Stock Price'!A833</f>
        <v>45680</v>
      </c>
      <c r="B833" s="17">
        <f>'Stock Price'!E833</f>
        <v>96.63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-9.2249882573978481E-2</v>
      </c>
      <c r="P833" s="19">
        <f ca="1">IF('Stock Price'!$I$11="OK",C833/INDEX(C$5:C$1258,'Stock Price'!$I$9)-1,"")</f>
        <v>-0.27797026129637648</v>
      </c>
      <c r="Q833" s="19">
        <f ca="1">IF('Stock Price'!$I$11="OK",D833/INDEX(D$5:D$1258,'Stock Price'!$I$9)-1,"")</f>
        <v>-0.25802709730395523</v>
      </c>
      <c r="R833" s="19">
        <f ca="1">IF('Stock Price'!$I$11="OK",E833/INDEX(E$5:E$1258,'Stock Price'!$I$9)-1,"")</f>
        <v>-0.31392303042514613</v>
      </c>
      <c r="S833" s="19">
        <f ca="1">IF('Stock Price'!$I$11="OK",F833/INDEX(F$5:F$1258,'Stock Price'!$I$9)-1,"")</f>
        <v>-0.26005830903790095</v>
      </c>
      <c r="T833" s="19">
        <f ca="1">IF('Stock Price'!$I$11="OK",G833/INDEX(G$5:G$1258,'Stock Price'!$I$9)-1,"")</f>
        <v>7.775243624300221E-2</v>
      </c>
      <c r="U833" s="19">
        <f ca="1">IF('Stock Price'!$I$11="OK",H833/INDEX(H$5:H$1258,'Stock Price'!$I$9)-1,"")</f>
        <v>-0.44539473684210529</v>
      </c>
      <c r="V833" s="19">
        <f ca="1">IF('Stock Price'!$I$11="OK",I833/INDEX(I$5:I$1258,'Stock Price'!$I$9)-1,"")</f>
        <v>5.0039714058776941E-2</v>
      </c>
      <c r="W833" s="19">
        <f ca="1">IF('Stock Price'!$I$11="OK",J833/INDEX(J$5:J$1258,'Stock Price'!$I$9)-1,"")</f>
        <v>-0.29042171128142458</v>
      </c>
      <c r="X833" s="19">
        <f ca="1">IF('Stock Price'!$I$11="OK",K833/INDEX(K$5:K$1258,'Stock Price'!$I$9)-1,"")</f>
        <v>0.10624766180321732</v>
      </c>
      <c r="Y833" s="19">
        <f ca="1">IF('Stock Price'!$I$11="OK",L833/INDEX(L$5:L$1258,'Stock Price'!$I$9)-1,"")</f>
        <v>-0.29278996865203766</v>
      </c>
      <c r="Z833" s="19">
        <f ca="1">IF('Stock Price'!$I$11="OK",M833/INDEX(M$5:M$1258,'Stock Price'!$I$9)-1,"")</f>
        <v>-0.25572369281758323</v>
      </c>
    </row>
    <row r="834" spans="1:26" x14ac:dyDescent="0.2">
      <c r="A834" s="16">
        <f>'Stock Price'!A834</f>
        <v>45681</v>
      </c>
      <c r="B834" s="17">
        <f>'Stock Price'!E834</f>
        <v>95.55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-0.10239549084077038</v>
      </c>
      <c r="P834" s="19">
        <f ca="1">IF('Stock Price'!$I$11="OK",C834/INDEX(C$5:C$1258,'Stock Price'!$I$9)-1,"")</f>
        <v>-0.27840334921322363</v>
      </c>
      <c r="Q834" s="19">
        <f ca="1">IF('Stock Price'!$I$11="OK",D834/INDEX(D$5:D$1258,'Stock Price'!$I$9)-1,"")</f>
        <v>-0.24485561790064325</v>
      </c>
      <c r="R834" s="19">
        <f ca="1">IF('Stock Price'!$I$11="OK",E834/INDEX(E$5:E$1258,'Stock Price'!$I$9)-1,"")</f>
        <v>-0.309490227684868</v>
      </c>
      <c r="S834" s="19">
        <f ca="1">IF('Stock Price'!$I$11="OK",F834/INDEX(F$5:F$1258,'Stock Price'!$I$9)-1,"")</f>
        <v>-0.26044703595724017</v>
      </c>
      <c r="T834" s="19">
        <f ca="1">IF('Stock Price'!$I$11="OK",G834/INDEX(G$5:G$1258,'Stock Price'!$I$9)-1,"")</f>
        <v>8.8119427742069156E-2</v>
      </c>
      <c r="U834" s="19">
        <f ca="1">IF('Stock Price'!$I$11="OK",H834/INDEX(H$5:H$1258,'Stock Price'!$I$9)-1,"")</f>
        <v>-0.45013157894736844</v>
      </c>
      <c r="V834" s="19">
        <f ca="1">IF('Stock Price'!$I$11="OK",I834/INDEX(I$5:I$1258,'Stock Price'!$I$9)-1,"")</f>
        <v>3.6139793486894334E-2</v>
      </c>
      <c r="W834" s="19">
        <f ca="1">IF('Stock Price'!$I$11="OK",J834/INDEX(J$5:J$1258,'Stock Price'!$I$9)-1,"")</f>
        <v>-0.27301084823577326</v>
      </c>
      <c r="X834" s="19">
        <f ca="1">IF('Stock Price'!$I$11="OK",K834/INDEX(K$5:K$1258,'Stock Price'!$I$9)-1,"")</f>
        <v>0.11616161616161613</v>
      </c>
      <c r="Y834" s="19">
        <f ca="1">IF('Stock Price'!$I$11="OK",L834/INDEX(L$5:L$1258,'Stock Price'!$I$9)-1,"")</f>
        <v>-0.29192187123221602</v>
      </c>
      <c r="Z834" s="19">
        <f ca="1">IF('Stock Price'!$I$11="OK",M834/INDEX(M$5:M$1258,'Stock Price'!$I$9)-1,"")</f>
        <v>-0.25733722907853995</v>
      </c>
    </row>
    <row r="835" spans="1:26" x14ac:dyDescent="0.2">
      <c r="A835" s="16">
        <f>'Stock Price'!A835</f>
        <v>45684</v>
      </c>
      <c r="B835" s="17">
        <f>'Stock Price'!E835</f>
        <v>97.94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-7.9943635509629019E-2</v>
      </c>
      <c r="P835" s="19">
        <f ca="1">IF('Stock Price'!$I$11="OK",C835/INDEX(C$5:C$1258,'Stock Price'!$I$9)-1,"")</f>
        <v>-0.2535729753139887</v>
      </c>
      <c r="Q835" s="19">
        <f ca="1">IF('Stock Price'!$I$11="OK",D835/INDEX(D$5:D$1258,'Stock Price'!$I$9)-1,"")</f>
        <v>-0.23952374435472845</v>
      </c>
      <c r="R835" s="19">
        <f ca="1">IF('Stock Price'!$I$11="OK",E835/INDEX(E$5:E$1258,'Stock Price'!$I$9)-1,"")</f>
        <v>-0.28470683054604073</v>
      </c>
      <c r="S835" s="19">
        <f ca="1">IF('Stock Price'!$I$11="OK",F835/INDEX(F$5:F$1258,'Stock Price'!$I$9)-1,"")</f>
        <v>-0.24003887269193391</v>
      </c>
      <c r="T835" s="19">
        <f ca="1">IF('Stock Price'!$I$11="OK",G835/INDEX(G$5:G$1258,'Stock Price'!$I$9)-1,"")</f>
        <v>0.10595065312046459</v>
      </c>
      <c r="U835" s="19">
        <f ca="1">IF('Stock Price'!$I$11="OK",H835/INDEX(H$5:H$1258,'Stock Price'!$I$9)-1,"")</f>
        <v>-0.43565789473684213</v>
      </c>
      <c r="V835" s="19">
        <f ca="1">IF('Stock Price'!$I$11="OK",I835/INDEX(I$5:I$1258,'Stock Price'!$I$9)-1,"")</f>
        <v>6.6719618745035625E-2</v>
      </c>
      <c r="W835" s="19">
        <f ca="1">IF('Stock Price'!$I$11="OK",J835/INDEX(J$5:J$1258,'Stock Price'!$I$9)-1,"")</f>
        <v>-0.25194379651227361</v>
      </c>
      <c r="X835" s="19">
        <f ca="1">IF('Stock Price'!$I$11="OK",K835/INDEX(K$5:K$1258,'Stock Price'!$I$9)-1,"")</f>
        <v>0.13355780022446684</v>
      </c>
      <c r="Y835" s="19">
        <f ca="1">IF('Stock Price'!$I$11="OK",L835/INDEX(L$5:L$1258,'Stock Price'!$I$9)-1,"")</f>
        <v>-0.26264769713045577</v>
      </c>
      <c r="Z835" s="19">
        <f ca="1">IF('Stock Price'!$I$11="OK",M835/INDEX(M$5:M$1258,'Stock Price'!$I$9)-1,"")</f>
        <v>-0.22855523091012164</v>
      </c>
    </row>
    <row r="836" spans="1:26" x14ac:dyDescent="0.2">
      <c r="A836" s="16">
        <f>'Stock Price'!A836</f>
        <v>45685</v>
      </c>
      <c r="B836" s="17">
        <f>'Stock Price'!E836</f>
        <v>97.45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-8.4546735556599306E-2</v>
      </c>
      <c r="P836" s="19">
        <f ca="1">IF('Stock Price'!$I$11="OK",C836/INDEX(C$5:C$1258,'Stock Price'!$I$9)-1,"")</f>
        <v>-0.26490544247148828</v>
      </c>
      <c r="Q836" s="19">
        <f ca="1">IF('Stock Price'!$I$11="OK",D836/INDEX(D$5:D$1258,'Stock Price'!$I$9)-1,"")</f>
        <v>-0.24888463117558501</v>
      </c>
      <c r="R836" s="19">
        <f ca="1">IF('Stock Price'!$I$11="OK",E836/INDEX(E$5:E$1258,'Stock Price'!$I$9)-1,"")</f>
        <v>-0.29276647189200078</v>
      </c>
      <c r="S836" s="19">
        <f ca="1">IF('Stock Price'!$I$11="OK",F836/INDEX(F$5:F$1258,'Stock Price'!$I$9)-1,"")</f>
        <v>-0.24314868804664735</v>
      </c>
      <c r="T836" s="19">
        <f ca="1">IF('Stock Price'!$I$11="OK",G836/INDEX(G$5:G$1258,'Stock Price'!$I$9)-1,"")</f>
        <v>9.827907941115499E-2</v>
      </c>
      <c r="U836" s="19">
        <f ca="1">IF('Stock Price'!$I$11="OK",H836/INDEX(H$5:H$1258,'Stock Price'!$I$9)-1,"")</f>
        <v>-0.43434210526315786</v>
      </c>
      <c r="V836" s="19">
        <f ca="1">IF('Stock Price'!$I$11="OK",I836/INDEX(I$5:I$1258,'Stock Price'!$I$9)-1,"")</f>
        <v>6.2351072279587028E-2</v>
      </c>
      <c r="W836" s="19">
        <f ca="1">IF('Stock Price'!$I$11="OK",J836/INDEX(J$5:J$1258,'Stock Price'!$I$9)-1,"")</f>
        <v>-0.2548872598022881</v>
      </c>
      <c r="X836" s="19">
        <f ca="1">IF('Stock Price'!$I$11="OK",K836/INDEX(K$5:K$1258,'Stock Price'!$I$9)-1,"")</f>
        <v>9.913954358398791E-2</v>
      </c>
      <c r="Y836" s="19">
        <f ca="1">IF('Stock Price'!$I$11="OK",L836/INDEX(L$5:L$1258,'Stock Price'!$I$9)-1,"")</f>
        <v>-0.27475283337352308</v>
      </c>
      <c r="Z836" s="19">
        <f ca="1">IF('Stock Price'!$I$11="OK",M836/INDEX(M$5:M$1258,'Stock Price'!$I$9)-1,"")</f>
        <v>-0.23766953033012084</v>
      </c>
    </row>
    <row r="837" spans="1:26" x14ac:dyDescent="0.2">
      <c r="A837" s="16">
        <f>'Stock Price'!A837</f>
        <v>45686</v>
      </c>
      <c r="B837" s="17">
        <f>'Stock Price'!E837</f>
        <v>98.28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-7.6749647721935155E-2</v>
      </c>
      <c r="P837" s="19">
        <f ca="1">IF('Stock Price'!$I$11="OK",C837/INDEX(C$5:C$1258,'Stock Price'!$I$9)-1,"")</f>
        <v>-0.25703767864876559</v>
      </c>
      <c r="Q837" s="19">
        <f ca="1">IF('Stock Price'!$I$11="OK",D837/INDEX(D$5:D$1258,'Stock Price'!$I$9)-1,"")</f>
        <v>-0.23733461064732464</v>
      </c>
      <c r="R837" s="19">
        <f ca="1">IF('Stock Price'!$I$11="OK",E837/INDEX(E$5:E$1258,'Stock Price'!$I$9)-1,"")</f>
        <v>-0.29357243602659677</v>
      </c>
      <c r="S837" s="19">
        <f ca="1">IF('Stock Price'!$I$11="OK",F837/INDEX(F$5:F$1258,'Stock Price'!$I$9)-1,"")</f>
        <v>-0.24470359572400391</v>
      </c>
      <c r="T837" s="19">
        <f ca="1">IF('Stock Price'!$I$11="OK",G837/INDEX(G$5:G$1258,'Stock Price'!$I$9)-1,"")</f>
        <v>8.1277213352685118E-2</v>
      </c>
      <c r="U837" s="19">
        <f ca="1">IF('Stock Price'!$I$11="OK",H837/INDEX(H$5:H$1258,'Stock Price'!$I$9)-1,"")</f>
        <v>-0.43315789473684208</v>
      </c>
      <c r="V837" s="19">
        <f ca="1">IF('Stock Price'!$I$11="OK",I837/INDEX(I$5:I$1258,'Stock Price'!$I$9)-1,"")</f>
        <v>5.7188244638602059E-2</v>
      </c>
      <c r="W837" s="19">
        <f ca="1">IF('Stock Price'!$I$11="OK",J837/INDEX(J$5:J$1258,'Stock Price'!$I$9)-1,"")</f>
        <v>-0.25572957162427323</v>
      </c>
      <c r="X837" s="19">
        <f ca="1">IF('Stock Price'!$I$11="OK",K837/INDEX(K$5:K$1258,'Stock Price'!$I$9)-1,"")</f>
        <v>0.10456416011971559</v>
      </c>
      <c r="Y837" s="19">
        <f ca="1">IF('Stock Price'!$I$11="OK",L837/INDEX(L$5:L$1258,'Stock Price'!$I$9)-1,"")</f>
        <v>-0.27103930552206412</v>
      </c>
      <c r="Z837" s="19">
        <f ca="1">IF('Stock Price'!$I$11="OK",M837/INDEX(M$5:M$1258,'Stock Price'!$I$9)-1,"")</f>
        <v>-0.23570712136409233</v>
      </c>
    </row>
    <row r="838" spans="1:26" x14ac:dyDescent="0.2">
      <c r="A838" s="16">
        <f>'Stock Price'!A838</f>
        <v>45687</v>
      </c>
      <c r="B838" s="17">
        <f>'Stock Price'!E838</f>
        <v>98.95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-7.0455612963832737E-2</v>
      </c>
      <c r="P838" s="19">
        <f ca="1">IF('Stock Price'!$I$11="OK",C838/INDEX(C$5:C$1258,'Stock Price'!$I$9)-1,"")</f>
        <v>-0.243900678504403</v>
      </c>
      <c r="Q838" s="19">
        <f ca="1">IF('Stock Price'!$I$11="OK",D838/INDEX(D$5:D$1258,'Stock Price'!$I$9)-1,"")</f>
        <v>-0.22791898179827574</v>
      </c>
      <c r="R838" s="19">
        <f ca="1">IF('Stock Price'!$I$11="OK",E838/INDEX(E$5:E$1258,'Stock Price'!$I$9)-1,"")</f>
        <v>-0.28752770501712677</v>
      </c>
      <c r="S838" s="19">
        <f ca="1">IF('Stock Price'!$I$11="OK",F838/INDEX(F$5:F$1258,'Stock Price'!$I$9)-1,"")</f>
        <v>-0.22565597667638482</v>
      </c>
      <c r="T838" s="19">
        <f ca="1">IF('Stock Price'!$I$11="OK",G838/INDEX(G$5:G$1258,'Stock Price'!$I$9)-1,"")</f>
        <v>0.1227451793489529</v>
      </c>
      <c r="U838" s="19">
        <f ca="1">IF('Stock Price'!$I$11="OK",H838/INDEX(H$5:H$1258,'Stock Price'!$I$9)-1,"")</f>
        <v>-0.42473684210526319</v>
      </c>
      <c r="V838" s="19">
        <f ca="1">IF('Stock Price'!$I$11="OK",I838/INDEX(I$5:I$1258,'Stock Price'!$I$9)-1,"")</f>
        <v>6.8705321683876219E-2</v>
      </c>
      <c r="W838" s="19">
        <f ca="1">IF('Stock Price'!$I$11="OK",J838/INDEX(J$5:J$1258,'Stock Price'!$I$9)-1,"")</f>
        <v>-0.23800399866711086</v>
      </c>
      <c r="X838" s="19">
        <f ca="1">IF('Stock Price'!$I$11="OK",K838/INDEX(K$5:K$1258,'Stock Price'!$I$9)-1,"")</f>
        <v>0.10624766180321732</v>
      </c>
      <c r="Y838" s="19">
        <f ca="1">IF('Stock Price'!$I$11="OK",L838/INDEX(L$5:L$1258,'Stock Price'!$I$9)-1,"")</f>
        <v>-0.2627441523993248</v>
      </c>
      <c r="Z838" s="19">
        <f ca="1">IF('Stock Price'!$I$11="OK",M838/INDEX(M$5:M$1258,'Stock Price'!$I$9)-1,"")</f>
        <v>-0.23400636692686749</v>
      </c>
    </row>
    <row r="839" spans="1:26" x14ac:dyDescent="0.2">
      <c r="A839" s="16">
        <f>'Stock Price'!A839</f>
        <v>45688</v>
      </c>
      <c r="B839" s="17">
        <f>'Stock Price'!E839</f>
        <v>98.82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-7.1676843588539318E-2</v>
      </c>
      <c r="P839" s="19">
        <f ca="1">IF('Stock Price'!$I$11="OK",C839/INDEX(C$5:C$1258,'Stock Price'!$I$9)-1,"")</f>
        <v>-0.24411722246282663</v>
      </c>
      <c r="Q839" s="19">
        <f ca="1">IF('Stock Price'!$I$11="OK",D839/INDEX(D$5:D$1258,'Stock Price'!$I$9)-1,"")</f>
        <v>-0.22967017928014233</v>
      </c>
      <c r="R839" s="19">
        <f ca="1">IF('Stock Price'!$I$11="OK",E839/INDEX(E$5:E$1258,'Stock Price'!$I$9)-1,"")</f>
        <v>-0.28934112431996772</v>
      </c>
      <c r="S839" s="19">
        <f ca="1">IF('Stock Price'!$I$11="OK",F839/INDEX(F$5:F$1258,'Stock Price'!$I$9)-1,"")</f>
        <v>-0.23712342079689019</v>
      </c>
      <c r="T839" s="19">
        <f ca="1">IF('Stock Price'!$I$11="OK",G839/INDEX(G$5:G$1258,'Stock Price'!$I$9)-1,"")</f>
        <v>0.12668463611859848</v>
      </c>
      <c r="U839" s="19">
        <f ca="1">IF('Stock Price'!$I$11="OK",H839/INDEX(H$5:H$1258,'Stock Price'!$I$9)-1,"")</f>
        <v>-0.43052631578947365</v>
      </c>
      <c r="V839" s="19">
        <f ca="1">IF('Stock Price'!$I$11="OK",I839/INDEX(I$5:I$1258,'Stock Price'!$I$9)-1,"")</f>
        <v>5.3216838760921314E-2</v>
      </c>
      <c r="W839" s="19">
        <f ca="1">IF('Stock Price'!$I$11="OK",J839/INDEX(J$5:J$1258,'Stock Price'!$I$9)-1,"")</f>
        <v>-0.24925024991669431</v>
      </c>
      <c r="X839" s="19">
        <f ca="1">IF('Stock Price'!$I$11="OK",K839/INDEX(K$5:K$1258,'Stock Price'!$I$9)-1,"")</f>
        <v>0.10269360269360273</v>
      </c>
      <c r="Y839" s="19">
        <f ca="1">IF('Stock Price'!$I$11="OK",L839/INDEX(L$5:L$1258,'Stock Price'!$I$9)-1,"")</f>
        <v>-0.26621654207861101</v>
      </c>
      <c r="Z839" s="19">
        <f ca="1">IF('Stock Price'!$I$11="OK",M839/INDEX(M$5:M$1258,'Stock Price'!$I$9)-1,"")</f>
        <v>-0.19802886921634466</v>
      </c>
    </row>
    <row r="840" spans="1:26" x14ac:dyDescent="0.2">
      <c r="A840" s="16">
        <f>'Stock Price'!A840</f>
        <v>45691</v>
      </c>
      <c r="B840" s="17">
        <f>'Stock Price'!E840</f>
        <v>99.79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-6.2564584311883498E-2</v>
      </c>
      <c r="P840" s="19">
        <f ca="1">IF('Stock Price'!$I$11="OK",C840/INDEX(C$5:C$1258,'Stock Price'!$I$9)-1,"")</f>
        <v>-0.238631442182763</v>
      </c>
      <c r="Q840" s="19">
        <f ca="1">IF('Stock Price'!$I$11="OK",D840/INDEX(D$5:D$1258,'Stock Price'!$I$9)-1,"")</f>
        <v>-0.22321061995346925</v>
      </c>
      <c r="R840" s="19">
        <f ca="1">IF('Stock Price'!$I$11="OK",E840/INDEX(E$5:E$1258,'Stock Price'!$I$9)-1,"")</f>
        <v>-0.29679629256498097</v>
      </c>
      <c r="S840" s="19">
        <f ca="1">IF('Stock Price'!$I$11="OK",F840/INDEX(F$5:F$1258,'Stock Price'!$I$9)-1,"")</f>
        <v>-0.23576287657920314</v>
      </c>
      <c r="T840" s="19">
        <f ca="1">IF('Stock Price'!$I$11="OK",G840/INDEX(G$5:G$1258,'Stock Price'!$I$9)-1,"")</f>
        <v>0.10615799295044592</v>
      </c>
      <c r="U840" s="19">
        <f ca="1">IF('Stock Price'!$I$11="OK",H840/INDEX(H$5:H$1258,'Stock Price'!$I$9)-1,"")</f>
        <v>-0.44710526315789467</v>
      </c>
      <c r="V840" s="19">
        <f ca="1">IF('Stock Price'!$I$11="OK",I840/INDEX(I$5:I$1258,'Stock Price'!$I$9)-1,"")</f>
        <v>4.0508339952343153E-2</v>
      </c>
      <c r="W840" s="19">
        <f ca="1">IF('Stock Price'!$I$11="OK",J840/INDEX(J$5:J$1258,'Stock Price'!$I$9)-1,"")</f>
        <v>-0.2498519012181124</v>
      </c>
      <c r="X840" s="19">
        <f ca="1">IF('Stock Price'!$I$11="OK",K840/INDEX(K$5:K$1258,'Stock Price'!$I$9)-1,"")</f>
        <v>0.12139917695473246</v>
      </c>
      <c r="Y840" s="19">
        <f ca="1">IF('Stock Price'!$I$11="OK",L840/INDEX(L$5:L$1258,'Stock Price'!$I$9)-1,"")</f>
        <v>-0.26756691584277792</v>
      </c>
      <c r="Z840" s="19">
        <f ca="1">IF('Stock Price'!$I$11="OK",M840/INDEX(M$5:M$1258,'Stock Price'!$I$9)-1,"")</f>
        <v>-0.17081679822074924</v>
      </c>
    </row>
    <row r="841" spans="1:26" x14ac:dyDescent="0.2">
      <c r="A841" s="16">
        <f>'Stock Price'!A841</f>
        <v>45692</v>
      </c>
      <c r="B841" s="17">
        <f>'Stock Price'!E841</f>
        <v>90.74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-0.14758102395490846</v>
      </c>
      <c r="P841" s="19">
        <f ca="1">IF('Stock Price'!$I$11="OK",C841/INDEX(C$5:C$1258,'Stock Price'!$I$9)-1,"")</f>
        <v>-0.23870362350223762</v>
      </c>
      <c r="Q841" s="19">
        <f ca="1">IF('Stock Price'!$I$11="OK",D841/INDEX(D$5:D$1258,'Stock Price'!$I$9)-1,"")</f>
        <v>-0.23612973860681552</v>
      </c>
      <c r="R841" s="19">
        <f ca="1">IF('Stock Price'!$I$11="OK",E841/INDEX(E$5:E$1258,'Stock Price'!$I$9)-1,"")</f>
        <v>-0.29800523876687479</v>
      </c>
      <c r="S841" s="19">
        <f ca="1">IF('Stock Price'!$I$11="OK",F841/INDEX(F$5:F$1258,'Stock Price'!$I$9)-1,"")</f>
        <v>-0.2299319727891157</v>
      </c>
      <c r="T841" s="19">
        <f ca="1">IF('Stock Price'!$I$11="OK",G841/INDEX(G$5:G$1258,'Stock Price'!$I$9)-1,"")</f>
        <v>0.10926809040016594</v>
      </c>
      <c r="U841" s="19">
        <f ca="1">IF('Stock Price'!$I$11="OK",H841/INDEX(H$5:H$1258,'Stock Price'!$I$9)-1,"")</f>
        <v>-0.44157894736842107</v>
      </c>
      <c r="V841" s="19">
        <f ca="1">IF('Stock Price'!$I$11="OK",I841/INDEX(I$5:I$1258,'Stock Price'!$I$9)-1,"")</f>
        <v>2.7402700555996917E-2</v>
      </c>
      <c r="W841" s="19">
        <f ca="1">IF('Stock Price'!$I$11="OK",J841/INDEX(J$5:J$1258,'Stock Price'!$I$9)-1,"")</f>
        <v>-0.23537524528860743</v>
      </c>
      <c r="X841" s="19">
        <f ca="1">IF('Stock Price'!$I$11="OK",K841/INDEX(K$5:K$1258,'Stock Price'!$I$9)-1,"")</f>
        <v>0.10587355031799461</v>
      </c>
      <c r="Y841" s="19">
        <f ca="1">IF('Stock Price'!$I$11="OK",L841/INDEX(L$5:L$1258,'Stock Price'!$I$9)-1,"")</f>
        <v>-0.25975403906438388</v>
      </c>
      <c r="Z841" s="19">
        <f ca="1">IF('Stock Price'!$I$11="OK",M841/INDEX(M$5:M$1258,'Stock Price'!$I$9)-1,"")</f>
        <v>-0.17164537089529464</v>
      </c>
    </row>
    <row r="842" spans="1:26" x14ac:dyDescent="0.2">
      <c r="A842" s="16">
        <f>'Stock Price'!A842</f>
        <v>45693</v>
      </c>
      <c r="B842" s="17">
        <f>'Stock Price'!E842</f>
        <v>89.67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-0.15763269140441527</v>
      </c>
      <c r="P842" s="19">
        <f ca="1">IF('Stock Price'!$I$11="OK",C842/INDEX(C$5:C$1258,'Stock Price'!$I$9)-1,"")</f>
        <v>-0.20737693085029585</v>
      </c>
      <c r="Q842" s="19">
        <f ca="1">IF('Stock Price'!$I$11="OK",D842/INDEX(D$5:D$1258,'Stock Price'!$I$9)-1,"")</f>
        <v>-0.26278910633638985</v>
      </c>
      <c r="R842" s="19">
        <f ca="1">IF('Stock Price'!$I$11="OK",E842/INDEX(E$5:E$1258,'Stock Price'!$I$9)-1,"")</f>
        <v>-0.2403788031432601</v>
      </c>
      <c r="S842" s="19">
        <f ca="1">IF('Stock Price'!$I$11="OK",F842/INDEX(F$5:F$1258,'Stock Price'!$I$9)-1,"")</f>
        <v>-0.21224489795918366</v>
      </c>
      <c r="T842" s="19">
        <f ca="1">IF('Stock Price'!$I$11="OK",G842/INDEX(G$5:G$1258,'Stock Price'!$I$9)-1,"")</f>
        <v>0.10926809040016594</v>
      </c>
      <c r="U842" s="19">
        <f ca="1">IF('Stock Price'!$I$11="OK",H842/INDEX(H$5:H$1258,'Stock Price'!$I$9)-1,"")</f>
        <v>-0.44631578947368422</v>
      </c>
      <c r="V842" s="19">
        <f ca="1">IF('Stock Price'!$I$11="OK",I842/INDEX(I$5:I$1258,'Stock Price'!$I$9)-1,"")</f>
        <v>5.0039714058776941E-2</v>
      </c>
      <c r="W842" s="19">
        <f ca="1">IF('Stock Price'!$I$11="OK",J842/INDEX(J$5:J$1258,'Stock Price'!$I$9)-1,"")</f>
        <v>-0.22046354918730793</v>
      </c>
      <c r="X842" s="19">
        <f ca="1">IF('Stock Price'!$I$11="OK",K842/INDEX(K$5:K$1258,'Stock Price'!$I$9)-1,"")</f>
        <v>0.11690983913206132</v>
      </c>
      <c r="Y842" s="19">
        <f ca="1">IF('Stock Price'!$I$11="OK",L842/INDEX(L$5:L$1258,'Stock Price'!$I$9)-1,"")</f>
        <v>-0.25396672293224021</v>
      </c>
      <c r="Z842" s="19">
        <f ca="1">IF('Stock Price'!$I$11="OK",M842/INDEX(M$5:M$1258,'Stock Price'!$I$9)-1,"")</f>
        <v>-0.1637957350311805</v>
      </c>
    </row>
    <row r="843" spans="1:26" x14ac:dyDescent="0.2">
      <c r="A843" s="16">
        <f>'Stock Price'!A843</f>
        <v>45694</v>
      </c>
      <c r="B843" s="17">
        <f>'Stock Price'!E843</f>
        <v>88.05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-0.17285110380460311</v>
      </c>
      <c r="P843" s="19">
        <f ca="1">IF('Stock Price'!$I$11="OK",C843/INDEX(C$5:C$1258,'Stock Price'!$I$9)-1,"")</f>
        <v>-0.22780424426158508</v>
      </c>
      <c r="Q843" s="19">
        <f ca="1">IF('Stock Price'!$I$11="OK",D843/INDEX(D$5:D$1258,'Stock Price'!$I$9)-1,"")</f>
        <v>-0.17065827288901059</v>
      </c>
      <c r="R843" s="19">
        <f ca="1">IF('Stock Price'!$I$11="OK",E843/INDEX(E$5:E$1258,'Stock Price'!$I$9)-1,"")</f>
        <v>-0.26697561958492844</v>
      </c>
      <c r="S843" s="19">
        <f ca="1">IF('Stock Price'!$I$11="OK",F843/INDEX(F$5:F$1258,'Stock Price'!$I$9)-1,"")</f>
        <v>-0.23012633624878531</v>
      </c>
      <c r="T843" s="19">
        <f ca="1">IF('Stock Price'!$I$11="OK",G843/INDEX(G$5:G$1258,'Stock Price'!$I$9)-1,"")</f>
        <v>9.6205681111341423E-2</v>
      </c>
      <c r="U843" s="19">
        <f ca="1">IF('Stock Price'!$I$11="OK",H843/INDEX(H$5:H$1258,'Stock Price'!$I$9)-1,"")</f>
        <v>-0.44157894736842107</v>
      </c>
      <c r="V843" s="19">
        <f ca="1">IF('Stock Price'!$I$11="OK",I843/INDEX(I$5:I$1258,'Stock Price'!$I$9)-1,"")</f>
        <v>2.5814138204924397E-2</v>
      </c>
      <c r="W843" s="19">
        <f ca="1">IF('Stock Price'!$I$11="OK",J843/INDEX(J$5:J$1258,'Stock Price'!$I$9)-1,"")</f>
        <v>-0.19437039505350062</v>
      </c>
      <c r="X843" s="19">
        <f ca="1">IF('Stock Price'!$I$11="OK",K843/INDEX(K$5:K$1258,'Stock Price'!$I$9)-1,"")</f>
        <v>7.4074074074074181E-2</v>
      </c>
      <c r="Y843" s="19">
        <f ca="1">IF('Stock Price'!$I$11="OK",L843/INDEX(L$5:L$1258,'Stock Price'!$I$9)-1,"")</f>
        <v>-0.25965758379551485</v>
      </c>
      <c r="Z843" s="19">
        <f ca="1">IF('Stock Price'!$I$11="OK",M843/INDEX(M$5:M$1258,'Stock Price'!$I$9)-1,"")</f>
        <v>-0.15847542627883648</v>
      </c>
    </row>
    <row r="844" spans="1:26" x14ac:dyDescent="0.2">
      <c r="A844" s="16">
        <f>'Stock Price'!A844</f>
        <v>45695</v>
      </c>
      <c r="B844" s="17">
        <f>'Stock Price'!E844</f>
        <v>87.28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-0.18008454673555663</v>
      </c>
      <c r="P844" s="19">
        <f ca="1">IF('Stock Price'!$I$11="OK",C844/INDEX(C$5:C$1258,'Stock Price'!$I$9)-1,"")</f>
        <v>-0.23300129926375046</v>
      </c>
      <c r="Q844" s="19">
        <f ca="1">IF('Stock Price'!$I$11="OK",D844/INDEX(D$5:D$1258,'Stock Price'!$I$9)-1,"")</f>
        <v>-0.21801067469549762</v>
      </c>
      <c r="R844" s="19">
        <f ca="1">IF('Stock Price'!$I$11="OK",E844/INDEX(E$5:E$1258,'Stock Price'!$I$9)-1,"")</f>
        <v>-0.27382631472899466</v>
      </c>
      <c r="S844" s="19">
        <f ca="1">IF('Stock Price'!$I$11="OK",F844/INDEX(F$5:F$1258,'Stock Price'!$I$9)-1,"")</f>
        <v>-0.22701652089407187</v>
      </c>
      <c r="T844" s="19">
        <f ca="1">IF('Stock Price'!$I$11="OK",G844/INDEX(G$5:G$1258,'Stock Price'!$I$9)-1,"")</f>
        <v>0.10615799295044592</v>
      </c>
      <c r="U844" s="19">
        <f ca="1">IF('Stock Price'!$I$11="OK",H844/INDEX(H$5:H$1258,'Stock Price'!$I$9)-1,"")</f>
        <v>-0.44881578947368417</v>
      </c>
      <c r="V844" s="19">
        <f ca="1">IF('Stock Price'!$I$11="OK",I844/INDEX(I$5:I$1258,'Stock Price'!$I$9)-1,"")</f>
        <v>2.2239872915011949E-2</v>
      </c>
      <c r="W844" s="19">
        <f ca="1">IF('Stock Price'!$I$11="OK",J844/INDEX(J$5:J$1258,'Stock Price'!$I$9)-1,"")</f>
        <v>-0.18702099300233255</v>
      </c>
      <c r="X844" s="19">
        <f ca="1">IF('Stock Price'!$I$11="OK",K844/INDEX(K$5:K$1258,'Stock Price'!$I$9)-1,"")</f>
        <v>6.3411896745230178E-2</v>
      </c>
      <c r="Y844" s="19">
        <f ca="1">IF('Stock Price'!$I$11="OK",L844/INDEX(L$5:L$1258,'Stock Price'!$I$9)-1,"")</f>
        <v>-0.2615384615384615</v>
      </c>
      <c r="Z844" s="19">
        <f ca="1">IF('Stock Price'!$I$11="OK",M844/INDEX(M$5:M$1258,'Stock Price'!$I$9)-1,"")</f>
        <v>-0.16881078016658679</v>
      </c>
    </row>
    <row r="845" spans="1:26" x14ac:dyDescent="0.2">
      <c r="A845" s="16">
        <f>'Stock Price'!A845</f>
        <v>45698</v>
      </c>
      <c r="B845" s="17">
        <f>'Stock Price'!E845</f>
        <v>86.4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-0.18835133865664633</v>
      </c>
      <c r="P845" s="19">
        <f ca="1">IF('Stock Price'!$I$11="OK",C845/INDEX(C$5:C$1258,'Stock Price'!$I$9)-1,"")</f>
        <v>-0.22874260141475389</v>
      </c>
      <c r="Q845" s="19">
        <f ca="1">IF('Stock Price'!$I$11="OK",D845/INDEX(D$5:D$1258,'Stock Price'!$I$9)-1,"")</f>
        <v>-0.18346790748597241</v>
      </c>
      <c r="R845" s="19">
        <f ca="1">IF('Stock Price'!$I$11="OK",E845/INDEX(E$5:E$1258,'Stock Price'!$I$9)-1,"")</f>
        <v>-0.26516220028208748</v>
      </c>
      <c r="S845" s="19">
        <f ca="1">IF('Stock Price'!$I$11="OK",F845/INDEX(F$5:F$1258,'Stock Price'!$I$9)-1,"")</f>
        <v>-0.22487852283770648</v>
      </c>
      <c r="T845" s="19">
        <f ca="1">IF('Stock Price'!$I$11="OK",G845/INDEX(G$5:G$1258,'Stock Price'!$I$9)-1,"")</f>
        <v>0.10470661414057658</v>
      </c>
      <c r="U845" s="19">
        <f ca="1">IF('Stock Price'!$I$11="OK",H845/INDEX(H$5:H$1258,'Stock Price'!$I$9)-1,"")</f>
        <v>-0.44684210526315793</v>
      </c>
      <c r="V845" s="19">
        <f ca="1">IF('Stock Price'!$I$11="OK",I845/INDEX(I$5:I$1258,'Stock Price'!$I$9)-1,"")</f>
        <v>2.7402700555996917E-2</v>
      </c>
      <c r="W845" s="19">
        <f ca="1">IF('Stock Price'!$I$11="OK",J845/INDEX(J$5:J$1258,'Stock Price'!$I$9)-1,"")</f>
        <v>-0.19574956495982809</v>
      </c>
      <c r="X845" s="19">
        <f ca="1">IF('Stock Price'!$I$11="OK",K845/INDEX(K$5:K$1258,'Stock Price'!$I$9)-1,"")</f>
        <v>3.8720538720538711E-2</v>
      </c>
      <c r="Y845" s="19">
        <f ca="1">IF('Stock Price'!$I$11="OK",L845/INDEX(L$5:L$1258,'Stock Price'!$I$9)-1,"")</f>
        <v>-0.25613696648179396</v>
      </c>
      <c r="Z845" s="19">
        <f ca="1">IF('Stock Price'!$I$11="OK",M845/INDEX(M$5:M$1258,'Stock Price'!$I$9)-1,"")</f>
        <v>-0.16994461645806991</v>
      </c>
    </row>
    <row r="846" spans="1:26" x14ac:dyDescent="0.2">
      <c r="A846" s="16">
        <f>'Stock Price'!A846</f>
        <v>45699</v>
      </c>
      <c r="B846" s="17">
        <f>'Stock Price'!E846</f>
        <v>86.54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-0.18703616721465477</v>
      </c>
      <c r="P846" s="19">
        <f ca="1">IF('Stock Price'!$I$11="OK",C846/INDEX(C$5:C$1258,'Stock Price'!$I$9)-1,"")</f>
        <v>-0.22224628266204705</v>
      </c>
      <c r="Q846" s="19">
        <f ca="1">IF('Stock Price'!$I$11="OK",D846/INDEX(D$5:D$1258,'Stock Price'!$I$9)-1,"")</f>
        <v>-0.22224168605446837</v>
      </c>
      <c r="R846" s="19">
        <f ca="1">IF('Stock Price'!$I$11="OK",E846/INDEX(E$5:E$1258,'Stock Price'!$I$9)-1,"")</f>
        <v>-0.27322184162804763</v>
      </c>
      <c r="S846" s="19">
        <f ca="1">IF('Stock Price'!$I$11="OK",F846/INDEX(F$5:F$1258,'Stock Price'!$I$9)-1,"")</f>
        <v>-0.23362487852283775</v>
      </c>
      <c r="T846" s="19">
        <f ca="1">IF('Stock Price'!$I$11="OK",G846/INDEX(G$5:G$1258,'Stock Price'!$I$9)-1,"")</f>
        <v>0.11756168359941954</v>
      </c>
      <c r="U846" s="19">
        <f ca="1">IF('Stock Price'!$I$11="OK",H846/INDEX(H$5:H$1258,'Stock Price'!$I$9)-1,"")</f>
        <v>-0.45447368421052625</v>
      </c>
      <c r="V846" s="19">
        <f ca="1">IF('Stock Price'!$I$11="OK",I846/INDEX(I$5:I$1258,'Stock Price'!$I$9)-1,"")</f>
        <v>1.3899920571882607E-2</v>
      </c>
      <c r="W846" s="19">
        <f ca="1">IF('Stock Price'!$I$11="OK",J846/INDEX(J$5:J$1258,'Stock Price'!$I$9)-1,"")</f>
        <v>-0.19934096042060045</v>
      </c>
      <c r="X846" s="19">
        <f ca="1">IF('Stock Price'!$I$11="OK",K846/INDEX(K$5:K$1258,'Stock Price'!$I$9)-1,"")</f>
        <v>4.6389824167601956E-2</v>
      </c>
      <c r="Y846" s="19">
        <f ca="1">IF('Stock Price'!$I$11="OK",L846/INDEX(L$5:L$1258,'Stock Price'!$I$9)-1,"")</f>
        <v>-0.24702194357366769</v>
      </c>
      <c r="Z846" s="19">
        <f ca="1">IF('Stock Price'!$I$11="OK",M846/INDEX(M$5:M$1258,'Stock Price'!$I$9)-1,"")</f>
        <v>-0.16344686232610872</v>
      </c>
    </row>
    <row r="847" spans="1:26" x14ac:dyDescent="0.2">
      <c r="A847" s="16">
        <f>'Stock Price'!A847</f>
        <v>45700</v>
      </c>
      <c r="B847" s="17">
        <f>'Stock Price'!E847</f>
        <v>85.67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-0.19520901831845938</v>
      </c>
      <c r="P847" s="19">
        <f ca="1">IF('Stock Price'!$I$11="OK",C847/INDEX(C$5:C$1258,'Stock Price'!$I$9)-1,"")</f>
        <v>-0.22765988162263606</v>
      </c>
      <c r="Q847" s="19">
        <f ca="1">IF('Stock Price'!$I$11="OK",D847/INDEX(D$5:D$1258,'Stock Price'!$I$9)-1,"")</f>
        <v>-0.19841248118242782</v>
      </c>
      <c r="R847" s="19">
        <f ca="1">IF('Stock Price'!$I$11="OK",E847/INDEX(E$5:E$1258,'Stock Price'!$I$9)-1,"")</f>
        <v>-0.27201289542615348</v>
      </c>
      <c r="S847" s="19">
        <f ca="1">IF('Stock Price'!$I$11="OK",F847/INDEX(F$5:F$1258,'Stock Price'!$I$9)-1,"")</f>
        <v>-0.21807580174927121</v>
      </c>
      <c r="T847" s="19">
        <f ca="1">IF('Stock Price'!$I$11="OK",G847/INDEX(G$5:G$1258,'Stock Price'!$I$9)-1,"")</f>
        <v>0.13124611237818806</v>
      </c>
      <c r="U847" s="19">
        <f ca="1">IF('Stock Price'!$I$11="OK",H847/INDEX(H$5:H$1258,'Stock Price'!$I$9)-1,"")</f>
        <v>-0.44789473684210523</v>
      </c>
      <c r="V847" s="19">
        <f ca="1">IF('Stock Price'!$I$11="OK",I847/INDEX(I$5:I$1258,'Stock Price'!$I$9)-1,"")</f>
        <v>1.1517077045273938E-2</v>
      </c>
      <c r="W847" s="19">
        <f ca="1">IF('Stock Price'!$I$11="OK",J847/INDEX(J$5:J$1258,'Stock Price'!$I$9)-1,"")</f>
        <v>-0.19196378984782836</v>
      </c>
      <c r="X847" s="19">
        <f ca="1">IF('Stock Price'!$I$11="OK",K847/INDEX(K$5:K$1258,'Stock Price'!$I$9)-1,"")</f>
        <v>5.0317994762439255E-2</v>
      </c>
      <c r="Y847" s="19">
        <f ca="1">IF('Stock Price'!$I$11="OK",L847/INDEX(L$5:L$1258,'Stock Price'!$I$9)-1,"")</f>
        <v>-0.25121774776947192</v>
      </c>
      <c r="Z847" s="19">
        <f ca="1">IF('Stock Price'!$I$11="OK",M847/INDEX(M$5:M$1258,'Stock Price'!$I$9)-1,"")</f>
        <v>-0.15834459901443465</v>
      </c>
    </row>
    <row r="848" spans="1:26" x14ac:dyDescent="0.2">
      <c r="A848" s="16">
        <f>'Stock Price'!A848</f>
        <v>45701</v>
      </c>
      <c r="B848" s="17">
        <f>'Stock Price'!E848</f>
        <v>84.42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-0.20695162047909821</v>
      </c>
      <c r="P848" s="19">
        <f ca="1">IF('Stock Price'!$I$11="OK",C848/INDEX(C$5:C$1258,'Stock Price'!$I$9)-1,"")</f>
        <v>-0.22253500793994518</v>
      </c>
      <c r="Q848" s="19">
        <f ca="1">IF('Stock Price'!$I$11="OK",D848/INDEX(D$5:D$1258,'Stock Price'!$I$9)-1,"")</f>
        <v>-0.18469960312029565</v>
      </c>
      <c r="R848" s="19">
        <f ca="1">IF('Stock Price'!$I$11="OK",E848/INDEX(E$5:E$1258,'Stock Price'!$I$9)-1,"")</f>
        <v>-0.26355027201289549</v>
      </c>
      <c r="S848" s="19">
        <f ca="1">IF('Stock Price'!$I$11="OK",F848/INDEX(F$5:F$1258,'Stock Price'!$I$9)-1,"")</f>
        <v>-0.19747327502429546</v>
      </c>
      <c r="T848" s="19">
        <f ca="1">IF('Stock Price'!$I$11="OK",G848/INDEX(G$5:G$1258,'Stock Price'!$I$9)-1,"")</f>
        <v>0.11942774206925155</v>
      </c>
      <c r="U848" s="19">
        <f ca="1">IF('Stock Price'!$I$11="OK",H848/INDEX(H$5:H$1258,'Stock Price'!$I$9)-1,"")</f>
        <v>-0.43105263157894735</v>
      </c>
      <c r="V848" s="19">
        <f ca="1">IF('Stock Price'!$I$11="OK",I848/INDEX(I$5:I$1258,'Stock Price'!$I$9)-1,"")</f>
        <v>1.8268467037331204E-2</v>
      </c>
      <c r="W848" s="19">
        <f ca="1">IF('Stock Price'!$I$11="OK",J848/INDEX(J$5:J$1258,'Stock Price'!$I$9)-1,"")</f>
        <v>-0.19299122514717304</v>
      </c>
      <c r="X848" s="19">
        <f ca="1">IF('Stock Price'!$I$11="OK",K848/INDEX(K$5:K$1258,'Stock Price'!$I$9)-1,"")</f>
        <v>4.6950991395435793E-2</v>
      </c>
      <c r="Y848" s="19">
        <f ca="1">IF('Stock Price'!$I$11="OK",L848/INDEX(L$5:L$1258,'Stock Price'!$I$9)-1,"")</f>
        <v>-0.24162044851700026</v>
      </c>
      <c r="Z848" s="19">
        <f ca="1">IF('Stock Price'!$I$11="OK",M848/INDEX(M$5:M$1258,'Stock Price'!$I$9)-1,"")</f>
        <v>-0.15638219004840614</v>
      </c>
    </row>
    <row r="849" spans="1:26" x14ac:dyDescent="0.2">
      <c r="A849" s="16">
        <f>'Stock Price'!A849</f>
        <v>45702</v>
      </c>
      <c r="B849" s="17">
        <f>'Stock Price'!E849</f>
        <v>83.01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-0.22019727571629866</v>
      </c>
      <c r="P849" s="19">
        <f ca="1">IF('Stock Price'!$I$11="OK",C849/INDEX(C$5:C$1258,'Stock Price'!$I$9)-1,"")</f>
        <v>-0.23899234878013564</v>
      </c>
      <c r="Q849" s="19">
        <f ca="1">IF('Stock Price'!$I$11="OK",D849/INDEX(D$5:D$1258,'Stock Price'!$I$9)-1,"")</f>
        <v>-0.18593129875461889</v>
      </c>
      <c r="R849" s="19">
        <f ca="1">IF('Stock Price'!$I$11="OK",E849/INDEX(E$5:E$1258,'Stock Price'!$I$9)-1,"")</f>
        <v>-0.27120693129155748</v>
      </c>
      <c r="S849" s="19">
        <f ca="1">IF('Stock Price'!$I$11="OK",F849/INDEX(F$5:F$1258,'Stock Price'!$I$9)-1,"")</f>
        <v>-0.20213799805636545</v>
      </c>
      <c r="T849" s="19">
        <f ca="1">IF('Stock Price'!$I$11="OK",G849/INDEX(G$5:G$1258,'Stock Price'!$I$9)-1,"")</f>
        <v>0.13000207339829983</v>
      </c>
      <c r="U849" s="19">
        <f ca="1">IF('Stock Price'!$I$11="OK",H849/INDEX(H$5:H$1258,'Stock Price'!$I$9)-1,"")</f>
        <v>-0.4375</v>
      </c>
      <c r="V849" s="19">
        <f ca="1">IF('Stock Price'!$I$11="OK",I849/INDEX(I$5:I$1258,'Stock Price'!$I$9)-1,"")</f>
        <v>1.3899920571882607E-2</v>
      </c>
      <c r="W849" s="19">
        <f ca="1">IF('Stock Price'!$I$11="OK",J849/INDEX(J$5:J$1258,'Stock Price'!$I$9)-1,"")</f>
        <v>-0.21852900884890214</v>
      </c>
      <c r="X849" s="19">
        <f ca="1">IF('Stock Price'!$I$11="OK",K849/INDEX(K$5:K$1258,'Stock Price'!$I$9)-1,"")</f>
        <v>8.2304526748970819E-3</v>
      </c>
      <c r="Y849" s="19">
        <f ca="1">IF('Stock Price'!$I$11="OK",L849/INDEX(L$5:L$1258,'Stock Price'!$I$9)-1,"")</f>
        <v>-0.24692548830479866</v>
      </c>
      <c r="Z849" s="19">
        <f ca="1">IF('Stock Price'!$I$11="OK",M849/INDEX(M$5:M$1258,'Stock Price'!$I$9)-1,"")</f>
        <v>-0.15891151716017615</v>
      </c>
    </row>
    <row r="850" spans="1:26" x14ac:dyDescent="0.2">
      <c r="A850" s="16">
        <f>'Stock Price'!A850</f>
        <v>45706</v>
      </c>
      <c r="B850" s="17">
        <f>'Stock Price'!E850</f>
        <v>83.29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-0.21756693283231565</v>
      </c>
      <c r="P850" s="19">
        <f ca="1">IF('Stock Price'!$I$11="OK",C850/INDEX(C$5:C$1258,'Stock Price'!$I$9)-1,"")</f>
        <v>-0.23047495308214228</v>
      </c>
      <c r="Q850" s="19">
        <f ca="1">IF('Stock Price'!$I$11="OK",D850/INDEX(D$5:D$1258,'Stock Price'!$I$9)-1,"")</f>
        <v>-0.19011961133159994</v>
      </c>
      <c r="R850" s="19">
        <f ca="1">IF('Stock Price'!$I$11="OK",E850/INDEX(E$5:E$1258,'Stock Price'!$I$9)-1,"")</f>
        <v>-0.26234132581100145</v>
      </c>
      <c r="S850" s="19">
        <f ca="1">IF('Stock Price'!$I$11="OK",F850/INDEX(F$5:F$1258,'Stock Price'!$I$9)-1,"")</f>
        <v>-0.20602526724975712</v>
      </c>
      <c r="T850" s="19">
        <f ca="1">IF('Stock Price'!$I$11="OK",G850/INDEX(G$5:G$1258,'Stock Price'!$I$9)-1,"")</f>
        <v>0.11859838274932621</v>
      </c>
      <c r="U850" s="19">
        <f ca="1">IF('Stock Price'!$I$11="OK",H850/INDEX(H$5:H$1258,'Stock Price'!$I$9)-1,"")</f>
        <v>-0.43052631578947365</v>
      </c>
      <c r="V850" s="19">
        <f ca="1">IF('Stock Price'!$I$11="OK",I850/INDEX(I$5:I$1258,'Stock Price'!$I$9)-1,"")</f>
        <v>1.5091342335186608E-2</v>
      </c>
      <c r="W850" s="19">
        <f ca="1">IF('Stock Price'!$I$11="OK",J850/INDEX(J$5:J$1258,'Stock Price'!$I$9)-1,"")</f>
        <v>-0.20656077603761702</v>
      </c>
      <c r="X850" s="19">
        <f ca="1">IF('Stock Price'!$I$11="OK",K850/INDEX(K$5:K$1258,'Stock Price'!$I$9)-1,"")</f>
        <v>1.8144407033295895E-2</v>
      </c>
      <c r="Y850" s="19">
        <f ca="1">IF('Stock Price'!$I$11="OK",L850/INDEX(L$5:L$1258,'Stock Price'!$I$9)-1,"")</f>
        <v>-0.25251989389920415</v>
      </c>
      <c r="Z850" s="19">
        <f ca="1">IF('Stock Price'!$I$11="OK",M850/INDEX(M$5:M$1258,'Stock Price'!$I$9)-1,"")</f>
        <v>-0.14417164537089533</v>
      </c>
    </row>
    <row r="851" spans="1:26" x14ac:dyDescent="0.2">
      <c r="A851" s="16">
        <f>'Stock Price'!A851</f>
        <v>45707</v>
      </c>
      <c r="B851" s="17">
        <f>'Stock Price'!E851</f>
        <v>85.6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-0.19586660403945522</v>
      </c>
      <c r="P851" s="19">
        <f ca="1">IF('Stock Price'!$I$11="OK",C851/INDEX(C$5:C$1258,'Stock Price'!$I$9)-1,"")</f>
        <v>-0.22830951349790674</v>
      </c>
      <c r="Q851" s="19">
        <f ca="1">IF('Stock Price'!$I$11="OK",D851/INDEX(D$5:D$1258,'Stock Price'!$I$9)-1,"")</f>
        <v>-0.20717175311345282</v>
      </c>
      <c r="R851" s="19">
        <f ca="1">IF('Stock Price'!$I$11="OK",E851/INDEX(E$5:E$1258,'Stock Price'!$I$9)-1,"")</f>
        <v>-0.26375176304654446</v>
      </c>
      <c r="S851" s="19">
        <f ca="1">IF('Stock Price'!$I$11="OK",F851/INDEX(F$5:F$1258,'Stock Price'!$I$9)-1,"")</f>
        <v>-0.20932944606413995</v>
      </c>
      <c r="T851" s="19">
        <f ca="1">IF('Stock Price'!$I$11="OK",G851/INDEX(G$5:G$1258,'Stock Price'!$I$9)-1,"")</f>
        <v>0.11134148869997929</v>
      </c>
      <c r="U851" s="19">
        <f ca="1">IF('Stock Price'!$I$11="OK",H851/INDEX(H$5:H$1258,'Stock Price'!$I$9)-1,"")</f>
        <v>-0.43947368421052635</v>
      </c>
      <c r="V851" s="19">
        <f ca="1">IF('Stock Price'!$I$11="OK",I851/INDEX(I$5:I$1258,'Stock Price'!$I$9)-1,"")</f>
        <v>2.8196981731533066E-2</v>
      </c>
      <c r="W851" s="19">
        <f ca="1">IF('Stock Price'!$I$11="OK",J851/INDEX(J$5:J$1258,'Stock Price'!$I$9)-1,"")</f>
        <v>-0.19744344477766662</v>
      </c>
      <c r="X851" s="19">
        <f ca="1">IF('Stock Price'!$I$11="OK",K851/INDEX(K$5:K$1258,'Stock Price'!$I$9)-1,"")</f>
        <v>2.8432472876917192E-2</v>
      </c>
      <c r="Y851" s="19">
        <f ca="1">IF('Stock Price'!$I$11="OK",L851/INDEX(L$5:L$1258,'Stock Price'!$I$9)-1,"")</f>
        <v>-0.23853387991319031</v>
      </c>
      <c r="Z851" s="19">
        <f ca="1">IF('Stock Price'!$I$11="OK",M851/INDEX(M$5:M$1258,'Stock Price'!$I$9)-1,"")</f>
        <v>-0.13937464567615898</v>
      </c>
    </row>
    <row r="852" spans="1:26" x14ac:dyDescent="0.2">
      <c r="A852" s="16">
        <f>'Stock Price'!A852</f>
        <v>45708</v>
      </c>
      <c r="B852" s="17">
        <f>'Stock Price'!E852</f>
        <v>87.68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-0.17632691404415213</v>
      </c>
      <c r="P852" s="19">
        <f ca="1">IF('Stock Price'!$I$11="OK",C852/INDEX(C$5:C$1258,'Stock Price'!$I$9)-1,"")</f>
        <v>-0.2254222607189259</v>
      </c>
      <c r="Q852" s="19">
        <f ca="1">IF('Stock Price'!$I$11="OK",D852/INDEX(D$5:D$1258,'Stock Price'!$I$9)-1,"")</f>
        <v>-0.20364034487477767</v>
      </c>
      <c r="R852" s="19">
        <f ca="1">IF('Stock Price'!$I$11="OK",E852/INDEX(E$5:E$1258,'Stock Price'!$I$9)-1,"")</f>
        <v>-0.25528913963328637</v>
      </c>
      <c r="S852" s="19">
        <f ca="1">IF('Stock Price'!$I$11="OK",F852/INDEX(F$5:F$1258,'Stock Price'!$I$9)-1,"")</f>
        <v>-0.20019436345966968</v>
      </c>
      <c r="T852" s="19">
        <f ca="1">IF('Stock Price'!$I$11="OK",G852/INDEX(G$5:G$1258,'Stock Price'!$I$9)-1,"")</f>
        <v>0.12233049968899046</v>
      </c>
      <c r="U852" s="19">
        <f ca="1">IF('Stock Price'!$I$11="OK",H852/INDEX(H$5:H$1258,'Stock Price'!$I$9)-1,"")</f>
        <v>-0.42960526315789471</v>
      </c>
      <c r="V852" s="19">
        <f ca="1">IF('Stock Price'!$I$11="OK",I852/INDEX(I$5:I$1258,'Stock Price'!$I$9)-1,"")</f>
        <v>2.8594122319300919E-2</v>
      </c>
      <c r="W852" s="19">
        <f ca="1">IF('Stock Price'!$I$11="OK",J852/INDEX(J$5:J$1258,'Stock Price'!$I$9)-1,"")</f>
        <v>-0.19182494723980892</v>
      </c>
      <c r="X852" s="19">
        <f ca="1">IF('Stock Price'!$I$11="OK",K852/INDEX(K$5:K$1258,'Stock Price'!$I$9)-1,"")</f>
        <v>4.358398802843233E-2</v>
      </c>
      <c r="Y852" s="19">
        <f ca="1">IF('Stock Price'!$I$11="OK",L852/INDEX(L$5:L$1258,'Stock Price'!$I$9)-1,"")</f>
        <v>-0.2299011333494092</v>
      </c>
      <c r="Z852" s="19">
        <f ca="1">IF('Stock Price'!$I$11="OK",M852/INDEX(M$5:M$1258,'Stock Price'!$I$9)-1,"")</f>
        <v>-0.12398063756486855</v>
      </c>
    </row>
    <row r="853" spans="1:26" x14ac:dyDescent="0.2">
      <c r="A853" s="16">
        <f>'Stock Price'!A853</f>
        <v>45709</v>
      </c>
      <c r="B853" s="17">
        <f>'Stock Price'!E853</f>
        <v>89.5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-0.15922968529826209</v>
      </c>
      <c r="P853" s="19">
        <f ca="1">IF('Stock Price'!$I$11="OK",C853/INDEX(C$5:C$1258,'Stock Price'!$I$9)-1,"")</f>
        <v>-0.21069727154612383</v>
      </c>
      <c r="Q853" s="19">
        <f ca="1">IF('Stock Price'!$I$11="OK",D853/INDEX(D$5:D$1258,'Stock Price'!$I$9)-1,"")</f>
        <v>-0.2204735185438621</v>
      </c>
      <c r="R853" s="19">
        <f ca="1">IF('Stock Price'!$I$11="OK",E853/INDEX(E$5:E$1258,'Stock Price'!$I$9)-1,"")</f>
        <v>-0.26173685271005442</v>
      </c>
      <c r="S853" s="19">
        <f ca="1">IF('Stock Price'!$I$11="OK",F853/INDEX(F$5:F$1258,'Stock Price'!$I$9)-1,"")</f>
        <v>-0.19494655004859085</v>
      </c>
      <c r="T853" s="19">
        <f ca="1">IF('Stock Price'!$I$11="OK",G853/INDEX(G$5:G$1258,'Stock Price'!$I$9)-1,"")</f>
        <v>0.1291727140783745</v>
      </c>
      <c r="U853" s="19">
        <f ca="1">IF('Stock Price'!$I$11="OK",H853/INDEX(H$5:H$1258,'Stock Price'!$I$9)-1,"")</f>
        <v>-0.41973684210526319</v>
      </c>
      <c r="V853" s="19">
        <f ca="1">IF('Stock Price'!$I$11="OK",I853/INDEX(I$5:I$1258,'Stock Price'!$I$9)-1,"")</f>
        <v>4.4479745830023898E-2</v>
      </c>
      <c r="W853" s="19">
        <f ca="1">IF('Stock Price'!$I$11="OK",J853/INDEX(J$5:J$1258,'Stock Price'!$I$9)-1,"")</f>
        <v>-0.19130660150320256</v>
      </c>
      <c r="X853" s="19">
        <f ca="1">IF('Stock Price'!$I$11="OK",K853/INDEX(K$5:K$1258,'Stock Price'!$I$9)-1,"")</f>
        <v>4.4332210998877519E-2</v>
      </c>
      <c r="Y853" s="19">
        <f ca="1">IF('Stock Price'!$I$11="OK",L853/INDEX(L$5:L$1258,'Stock Price'!$I$9)-1,"")</f>
        <v>-0.21726549312756205</v>
      </c>
      <c r="Z853" s="19">
        <f ca="1">IF('Stock Price'!$I$11="OK",M853/INDEX(M$5:M$1258,'Stock Price'!$I$9)-1,"")</f>
        <v>-0.11874754698879242</v>
      </c>
    </row>
    <row r="854" spans="1:26" x14ac:dyDescent="0.2">
      <c r="A854" s="16">
        <f>'Stock Price'!A854</f>
        <v>45712</v>
      </c>
      <c r="B854" s="17">
        <f>'Stock Price'!E854</f>
        <v>91.27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-0.1426021606387976</v>
      </c>
      <c r="P854" s="19">
        <f ca="1">IF('Stock Price'!$I$11="OK",C854/INDEX(C$5:C$1258,'Stock Price'!$I$9)-1,"")</f>
        <v>-0.21163562869929253</v>
      </c>
      <c r="Q854" s="19">
        <f ca="1">IF('Stock Price'!$I$11="OK",D854/INDEX(D$5:D$1258,'Stock Price'!$I$9)-1,"")</f>
        <v>-0.18976324072806905</v>
      </c>
      <c r="R854" s="19">
        <f ca="1">IF('Stock Price'!$I$11="OK",E854/INDEX(E$5:E$1258,'Stock Price'!$I$9)-1,"")</f>
        <v>-0.25287124722949839</v>
      </c>
      <c r="S854" s="19">
        <f ca="1">IF('Stock Price'!$I$11="OK",F854/INDEX(F$5:F$1258,'Stock Price'!$I$9)-1,"")</f>
        <v>-0.19319727891156468</v>
      </c>
      <c r="T854" s="19">
        <f ca="1">IF('Stock Price'!$I$11="OK",G854/INDEX(G$5:G$1258,'Stock Price'!$I$9)-1,"")</f>
        <v>0.11445158614969952</v>
      </c>
      <c r="U854" s="19">
        <f ca="1">IF('Stock Price'!$I$11="OK",H854/INDEX(H$5:H$1258,'Stock Price'!$I$9)-1,"")</f>
        <v>-0.41381578947368425</v>
      </c>
      <c r="V854" s="19">
        <f ca="1">IF('Stock Price'!$I$11="OK",I854/INDEX(I$5:I$1258,'Stock Price'!$I$9)-1,"")</f>
        <v>5.8379666401906283E-2</v>
      </c>
      <c r="W854" s="19">
        <f ca="1">IF('Stock Price'!$I$11="OK",J854/INDEX(J$5:J$1258,'Stock Price'!$I$9)-1,"")</f>
        <v>-0.18416083527712979</v>
      </c>
      <c r="X854" s="19">
        <f ca="1">IF('Stock Price'!$I$11="OK",K854/INDEX(K$5:K$1258,'Stock Price'!$I$9)-1,"")</f>
        <v>8.2678638234193746E-2</v>
      </c>
      <c r="Y854" s="19">
        <f ca="1">IF('Stock Price'!$I$11="OK",L854/INDEX(L$5:L$1258,'Stock Price'!$I$9)-1,"")</f>
        <v>-0.21032071376898953</v>
      </c>
      <c r="Z854" s="19">
        <f ca="1">IF('Stock Price'!$I$11="OK",M854/INDEX(M$5:M$1258,'Stock Price'!$I$9)-1,"")</f>
        <v>-0.11002572936199895</v>
      </c>
    </row>
    <row r="855" spans="1:26" x14ac:dyDescent="0.2">
      <c r="A855" s="16">
        <f>'Stock Price'!A855</f>
        <v>45713</v>
      </c>
      <c r="B855" s="17">
        <f>'Stock Price'!E855</f>
        <v>91.43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-0.14109910756223576</v>
      </c>
      <c r="P855" s="19">
        <f ca="1">IF('Stock Price'!$I$11="OK",C855/INDEX(C$5:C$1258,'Stock Price'!$I$9)-1,"")</f>
        <v>-0.2087483759203117</v>
      </c>
      <c r="Q855" s="19">
        <f ca="1">IF('Stock Price'!$I$11="OK",D855/INDEX(D$5:D$1258,'Stock Price'!$I$9)-1,"")</f>
        <v>-0.17224579170658272</v>
      </c>
      <c r="R855" s="19">
        <f ca="1">IF('Stock Price'!$I$11="OK",E855/INDEX(E$5:E$1258,'Stock Price'!$I$9)-1,"")</f>
        <v>-0.22708039492242604</v>
      </c>
      <c r="S855" s="19">
        <f ca="1">IF('Stock Price'!$I$11="OK",F855/INDEX(F$5:F$1258,'Stock Price'!$I$9)-1,"")</f>
        <v>-0.18775510204081636</v>
      </c>
      <c r="T855" s="19">
        <f ca="1">IF('Stock Price'!$I$11="OK",G855/INDEX(G$5:G$1258,'Stock Price'!$I$9)-1,"")</f>
        <v>0.1380883267675721</v>
      </c>
      <c r="U855" s="19">
        <f ca="1">IF('Stock Price'!$I$11="OK",H855/INDEX(H$5:H$1258,'Stock Price'!$I$9)-1,"")</f>
        <v>-0.40421052631578946</v>
      </c>
      <c r="V855" s="19">
        <f ca="1">IF('Stock Price'!$I$11="OK",I855/INDEX(I$5:I$1258,'Stock Price'!$I$9)-1,"")</f>
        <v>6.1953931691818953E-2</v>
      </c>
      <c r="W855" s="19">
        <f ca="1">IF('Stock Price'!$I$11="OK",J855/INDEX(J$5:J$1258,'Stock Price'!$I$9)-1,"")</f>
        <v>-0.16527824058647111</v>
      </c>
      <c r="X855" s="19">
        <f ca="1">IF('Stock Price'!$I$11="OK",K855/INDEX(K$5:K$1258,'Stock Price'!$I$9)-1,"")</f>
        <v>8.8851477740366613E-2</v>
      </c>
      <c r="Y855" s="19">
        <f ca="1">IF('Stock Price'!$I$11="OK",L855/INDEX(L$5:L$1258,'Stock Price'!$I$9)-1,"")</f>
        <v>-0.19898721967687483</v>
      </c>
      <c r="Z855" s="19">
        <f ca="1">IF('Stock Price'!$I$11="OK",M855/INDEX(M$5:M$1258,'Stock Price'!$I$9)-1,"")</f>
        <v>-0.10976407483319528</v>
      </c>
    </row>
    <row r="856" spans="1:26" x14ac:dyDescent="0.2">
      <c r="A856" s="16">
        <f>'Stock Price'!A856</f>
        <v>45714</v>
      </c>
      <c r="B856" s="17">
        <f>'Stock Price'!E856</f>
        <v>89.38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-0.16035697510568347</v>
      </c>
      <c r="P856" s="19">
        <f ca="1">IF('Stock Price'!$I$11="OK",C856/INDEX(C$5:C$1258,'Stock Price'!$I$9)-1,"")</f>
        <v>-0.22029738703623503</v>
      </c>
      <c r="Q856" s="19">
        <f ca="1">IF('Stock Price'!$I$11="OK",D856/INDEX(D$5:D$1258,'Stock Price'!$I$9)-1,"")</f>
        <v>-0.14794033118927064</v>
      </c>
      <c r="R856" s="19">
        <f ca="1">IF('Stock Price'!$I$11="OK",E856/INDEX(E$5:E$1258,'Stock Price'!$I$9)-1,"")</f>
        <v>-0.24642353415273022</v>
      </c>
      <c r="S856" s="19">
        <f ca="1">IF('Stock Price'!$I$11="OK",F856/INDEX(F$5:F$1258,'Stock Price'!$I$9)-1,"")</f>
        <v>-0.18289601554907686</v>
      </c>
      <c r="T856" s="19">
        <f ca="1">IF('Stock Price'!$I$11="OK",G856/INDEX(G$5:G$1258,'Stock Price'!$I$9)-1,"")</f>
        <v>0.13933236574746033</v>
      </c>
      <c r="U856" s="19">
        <f ca="1">IF('Stock Price'!$I$11="OK",H856/INDEX(H$5:H$1258,'Stock Price'!$I$9)-1,"")</f>
        <v>-0.39381578947368423</v>
      </c>
      <c r="V856" s="19">
        <f ca="1">IF('Stock Price'!$I$11="OK",I856/INDEX(I$5:I$1258,'Stock Price'!$I$9)-1,"")</f>
        <v>4.9245432883240792E-2</v>
      </c>
      <c r="W856" s="19">
        <f ca="1">IF('Stock Price'!$I$11="OK",J856/INDEX(J$5:J$1258,'Stock Price'!$I$9)-1,"")</f>
        <v>-0.15305083490688287</v>
      </c>
      <c r="X856" s="19">
        <f ca="1">IF('Stock Price'!$I$11="OK",K856/INDEX(K$5:K$1258,'Stock Price'!$I$9)-1,"")</f>
        <v>7.3325851103628992E-2</v>
      </c>
      <c r="Y856" s="19">
        <f ca="1">IF('Stock Price'!$I$11="OK",L856/INDEX(L$5:L$1258,'Stock Price'!$I$9)-1,"")</f>
        <v>-0.21350373764166863</v>
      </c>
      <c r="Z856" s="19">
        <f ca="1">IF('Stock Price'!$I$11="OK",M856/INDEX(M$5:M$1258,'Stock Price'!$I$9)-1,"")</f>
        <v>-0.11469190179233357</v>
      </c>
    </row>
    <row r="857" spans="1:26" x14ac:dyDescent="0.2">
      <c r="A857" s="16">
        <f>'Stock Price'!A857</f>
        <v>45715</v>
      </c>
      <c r="B857" s="17">
        <f>'Stock Price'!E857</f>
        <v>90.58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-0.1490840770314702</v>
      </c>
      <c r="P857" s="19">
        <f ca="1">IF('Stock Price'!$I$11="OK",C857/INDEX(C$5:C$1258,'Stock Price'!$I$9)-1,"")</f>
        <v>-0.21380106828352818</v>
      </c>
      <c r="Q857" s="19">
        <f ca="1">IF('Stock Price'!$I$11="OK",D857/INDEX(D$5:D$1258,'Stock Price'!$I$9)-1,"")</f>
        <v>-0.17635144382099355</v>
      </c>
      <c r="R857" s="19">
        <f ca="1">IF('Stock Price'!$I$11="OK",E857/INDEX(E$5:E$1258,'Stock Price'!$I$9)-1,"")</f>
        <v>-0.24843844448922037</v>
      </c>
      <c r="S857" s="19">
        <f ca="1">IF('Stock Price'!$I$11="OK",F857/INDEX(F$5:F$1258,'Stock Price'!$I$9)-1,"")</f>
        <v>-0.19455782312925174</v>
      </c>
      <c r="T857" s="19">
        <f ca="1">IF('Stock Price'!$I$11="OK",G857/INDEX(G$5:G$1258,'Stock Price'!$I$9)-1,"")</f>
        <v>0.12253783951897157</v>
      </c>
      <c r="U857" s="19">
        <f ca="1">IF('Stock Price'!$I$11="OK",H857/INDEX(H$5:H$1258,'Stock Price'!$I$9)-1,"")</f>
        <v>-0.40144736842105255</v>
      </c>
      <c r="V857" s="19">
        <f ca="1">IF('Stock Price'!$I$11="OK",I857/INDEX(I$5:I$1258,'Stock Price'!$I$9)-1,"")</f>
        <v>3.6536934074662408E-2</v>
      </c>
      <c r="W857" s="19">
        <f ca="1">IF('Stock Price'!$I$11="OK",J857/INDEX(J$5:J$1258,'Stock Price'!$I$9)-1,"")</f>
        <v>-0.16216816616683327</v>
      </c>
      <c r="X857" s="19">
        <f ca="1">IF('Stock Price'!$I$11="OK",K857/INDEX(K$5:K$1258,'Stock Price'!$I$9)-1,"")</f>
        <v>9.9887766554433099E-2</v>
      </c>
      <c r="Y857" s="19">
        <f ca="1">IF('Stock Price'!$I$11="OK",L857/INDEX(L$5:L$1258,'Stock Price'!$I$9)-1,"")</f>
        <v>-0.21036894140342421</v>
      </c>
      <c r="Z857" s="19">
        <f ca="1">IF('Stock Price'!$I$11="OK",M857/INDEX(M$5:M$1258,'Stock Price'!$I$9)-1,"")</f>
        <v>-0.10592647507740605</v>
      </c>
    </row>
    <row r="858" spans="1:26" x14ac:dyDescent="0.2">
      <c r="A858" s="16">
        <f>'Stock Price'!A858</f>
        <v>45716</v>
      </c>
      <c r="B858" s="17">
        <f>'Stock Price'!E858</f>
        <v>92.25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-0.13339596054485681</v>
      </c>
      <c r="P858" s="19">
        <f ca="1">IF('Stock Price'!$I$11="OK",C858/INDEX(C$5:C$1258,'Stock Price'!$I$9)-1,"")</f>
        <v>-0.21286271113035948</v>
      </c>
      <c r="Q858" s="19">
        <f ca="1">IF('Stock Price'!$I$11="OK",D858/INDEX(D$5:D$1258,'Stock Price'!$I$9)-1,"")</f>
        <v>-0.17635144382099355</v>
      </c>
      <c r="R858" s="19">
        <f ca="1">IF('Stock Price'!$I$11="OK",E858/INDEX(E$5:E$1258,'Stock Price'!$I$9)-1,"")</f>
        <v>-0.24259520451339911</v>
      </c>
      <c r="S858" s="19">
        <f ca="1">IF('Stock Price'!$I$11="OK",F858/INDEX(F$5:F$1258,'Stock Price'!$I$9)-1,"")</f>
        <v>-0.18872691933916419</v>
      </c>
      <c r="T858" s="19">
        <f ca="1">IF('Stock Price'!$I$11="OK",G858/INDEX(G$5:G$1258,'Stock Price'!$I$9)-1,"")</f>
        <v>0.12938005390835583</v>
      </c>
      <c r="U858" s="19">
        <f ca="1">IF('Stock Price'!$I$11="OK",H858/INDEX(H$5:H$1258,'Stock Price'!$I$9)-1,"")</f>
        <v>-0.4023684210526316</v>
      </c>
      <c r="V858" s="19">
        <f ca="1">IF('Stock Price'!$I$11="OK",I858/INDEX(I$5:I$1258,'Stock Price'!$I$9)-1,"")</f>
        <v>4.9642573471008644E-2</v>
      </c>
      <c r="W858" s="19">
        <f ca="1">IF('Stock Price'!$I$11="OK",J858/INDEX(J$5:J$1258,'Stock Price'!$I$9)-1,"")</f>
        <v>-0.14784886519308371</v>
      </c>
      <c r="X858" s="19">
        <f ca="1">IF('Stock Price'!$I$11="OK",K858/INDEX(K$5:K$1258,'Stock Price'!$I$9)-1,"")</f>
        <v>0.11522633744855959</v>
      </c>
      <c r="Y858" s="19">
        <f ca="1">IF('Stock Price'!$I$11="OK",L858/INDEX(L$5:L$1258,'Stock Price'!$I$9)-1,"")</f>
        <v>-0.20414757656136961</v>
      </c>
      <c r="Z858" s="19">
        <f ca="1">IF('Stock Price'!$I$11="OK",M858/INDEX(M$5:M$1258,'Stock Price'!$I$9)-1,"")</f>
        <v>-8.843923073568527E-2</v>
      </c>
    </row>
    <row r="859" spans="1:26" x14ac:dyDescent="0.2">
      <c r="A859" s="16">
        <f>'Stock Price'!A859</f>
        <v>45719</v>
      </c>
      <c r="B859" s="17">
        <f>'Stock Price'!E859</f>
        <v>93.15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-0.12494128698919682</v>
      </c>
      <c r="P859" s="19">
        <f ca="1">IF('Stock Price'!$I$11="OK",C859/INDEX(C$5:C$1258,'Stock Price'!$I$9)-1,"")</f>
        <v>-0.20153024397285979</v>
      </c>
      <c r="Q859" s="19">
        <f ca="1">IF('Stock Price'!$I$11="OK",D859/INDEX(D$5:D$1258,'Stock Price'!$I$9)-1,"")</f>
        <v>-0.1725195018475435</v>
      </c>
      <c r="R859" s="19">
        <f ca="1">IF('Stock Price'!$I$11="OK",E859/INDEX(E$5:E$1258,'Stock Price'!$I$9)-1,"")</f>
        <v>-0.23534152730203506</v>
      </c>
      <c r="S859" s="19">
        <f ca="1">IF('Stock Price'!$I$11="OK",F859/INDEX(F$5:F$1258,'Stock Price'!$I$9)-1,"")</f>
        <v>-0.18697764820213802</v>
      </c>
      <c r="T859" s="19">
        <f ca="1">IF('Stock Price'!$I$11="OK",G859/INDEX(G$5:G$1258,'Stock Price'!$I$9)-1,"")</f>
        <v>0.17188471905453051</v>
      </c>
      <c r="U859" s="19">
        <f ca="1">IF('Stock Price'!$I$11="OK",H859/INDEX(H$5:H$1258,'Stock Price'!$I$9)-1,"")</f>
        <v>-0.36842105263157898</v>
      </c>
      <c r="V859" s="19">
        <f ca="1">IF('Stock Price'!$I$11="OK",I859/INDEX(I$5:I$1258,'Stock Price'!$I$9)-1,"")</f>
        <v>4.2494042891183526E-2</v>
      </c>
      <c r="W859" s="19">
        <f ca="1">IF('Stock Price'!$I$11="OK",J859/INDEX(J$5:J$1258,'Stock Price'!$I$9)-1,"")</f>
        <v>-0.139435003147099</v>
      </c>
      <c r="X859" s="19">
        <f ca="1">IF('Stock Price'!$I$11="OK",K859/INDEX(K$5:K$1258,'Stock Price'!$I$9)-1,"")</f>
        <v>0.11990273101384208</v>
      </c>
      <c r="Y859" s="19">
        <f ca="1">IF('Stock Price'!$I$11="OK",L859/INDEX(L$5:L$1258,'Stock Price'!$I$9)-1,"")</f>
        <v>-0.19324813117916562</v>
      </c>
      <c r="Z859" s="19">
        <f ca="1">IF('Stock Price'!$I$11="OK",M859/INDEX(M$5:M$1258,'Stock Price'!$I$9)-1,"")</f>
        <v>-7.7755004142863404E-2</v>
      </c>
    </row>
    <row r="860" spans="1:26" x14ac:dyDescent="0.2">
      <c r="A860" s="16">
        <f>'Stock Price'!A860</f>
        <v>45720</v>
      </c>
      <c r="B860" s="17">
        <f>'Stock Price'!E860</f>
        <v>92.56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-0.13048379520901832</v>
      </c>
      <c r="P860" s="19">
        <f ca="1">IF('Stock Price'!$I$11="OK",C860/INDEX(C$5:C$1258,'Stock Price'!$I$9)-1,"")</f>
        <v>-0.19575573841489813</v>
      </c>
      <c r="Q860" s="19">
        <f ca="1">IF('Stock Price'!$I$11="OK",D860/INDEX(D$5:D$1258,'Stock Price'!$I$9)-1,"")</f>
        <v>-0.16157109620911458</v>
      </c>
      <c r="R860" s="19">
        <f ca="1">IF('Stock Price'!$I$11="OK",E860/INDEX(E$5:E$1258,'Stock Price'!$I$9)-1,"")</f>
        <v>-0.22566995768688303</v>
      </c>
      <c r="S860" s="19">
        <f ca="1">IF('Stock Price'!$I$11="OK",F860/INDEX(F$5:F$1258,'Stock Price'!$I$9)-1,"")</f>
        <v>-0.17376093294460648</v>
      </c>
      <c r="T860" s="19">
        <f ca="1">IF('Stock Price'!$I$11="OK",G860/INDEX(G$5:G$1258,'Stock Price'!$I$9)-1,"")</f>
        <v>0.19635081899232865</v>
      </c>
      <c r="U860" s="19">
        <f ca="1">IF('Stock Price'!$I$11="OK",H860/INDEX(H$5:H$1258,'Stock Price'!$I$9)-1,"")</f>
        <v>-0.38105263157894742</v>
      </c>
      <c r="V860" s="19">
        <f ca="1">IF('Stock Price'!$I$11="OK",I860/INDEX(I$5:I$1258,'Stock Price'!$I$9)-1,"")</f>
        <v>2.2637013502780023E-2</v>
      </c>
      <c r="W860" s="19">
        <f ca="1">IF('Stock Price'!$I$11="OK",J860/INDEX(J$5:J$1258,'Stock Price'!$I$9)-1,"")</f>
        <v>-0.15670702358473099</v>
      </c>
      <c r="X860" s="19">
        <f ca="1">IF('Stock Price'!$I$11="OK",K860/INDEX(K$5:K$1258,'Stock Price'!$I$9)-1,"")</f>
        <v>0.11185933408155635</v>
      </c>
      <c r="Y860" s="19">
        <f ca="1">IF('Stock Price'!$I$11="OK",L860/INDEX(L$5:L$1258,'Stock Price'!$I$9)-1,"")</f>
        <v>-0.2022184711839885</v>
      </c>
      <c r="Z860" s="19">
        <f ca="1">IF('Stock Price'!$I$11="OK",M860/INDEX(M$5:M$1258,'Stock Price'!$I$9)-1,"")</f>
        <v>-9.3977584928699232E-2</v>
      </c>
    </row>
    <row r="861" spans="1:26" x14ac:dyDescent="0.2">
      <c r="A861" s="16">
        <f>'Stock Price'!A861</f>
        <v>45721</v>
      </c>
      <c r="B861" s="17">
        <f>'Stock Price'!E861</f>
        <v>93.19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-0.12456552372005636</v>
      </c>
      <c r="P861" s="19">
        <f ca="1">IF('Stock Price'!$I$11="OK",C861/INDEX(C$5:C$1258,'Stock Price'!$I$9)-1,"")</f>
        <v>-0.19243539771907026</v>
      </c>
      <c r="Q861" s="19">
        <f ca="1">IF('Stock Price'!$I$11="OK",D861/INDEX(D$5:D$1258,'Stock Price'!$I$9)-1,"")</f>
        <v>-0.13737511974818661</v>
      </c>
      <c r="R861" s="19">
        <f ca="1">IF('Stock Price'!$I$11="OK",E861/INDEX(E$5:E$1258,'Stock Price'!$I$9)-1,"")</f>
        <v>-0.21801329840822081</v>
      </c>
      <c r="S861" s="19">
        <f ca="1">IF('Stock Price'!$I$11="OK",F861/INDEX(F$5:F$1258,'Stock Price'!$I$9)-1,"")</f>
        <v>-0.17434402332361532</v>
      </c>
      <c r="T861" s="19">
        <f ca="1">IF('Stock Price'!$I$11="OK",G861/INDEX(G$5:G$1258,'Stock Price'!$I$9)-1,"")</f>
        <v>0.22641509433962259</v>
      </c>
      <c r="U861" s="19">
        <f ca="1">IF('Stock Price'!$I$11="OK",H861/INDEX(H$5:H$1258,'Stock Price'!$I$9)-1,"")</f>
        <v>-0.35552631578947369</v>
      </c>
      <c r="V861" s="19">
        <f ca="1">IF('Stock Price'!$I$11="OK",I861/INDEX(I$5:I$1258,'Stock Price'!$I$9)-1,"")</f>
        <v>3.0182684670373439E-2</v>
      </c>
      <c r="W861" s="19">
        <f ca="1">IF('Stock Price'!$I$11="OK",J861/INDEX(J$5:J$1258,'Stock Price'!$I$9)-1,"")</f>
        <v>-0.139435003147099</v>
      </c>
      <c r="X861" s="19">
        <f ca="1">IF('Stock Price'!$I$11="OK",K861/INDEX(K$5:K$1258,'Stock Price'!$I$9)-1,"")</f>
        <v>0.11896745230078554</v>
      </c>
      <c r="Y861" s="19">
        <f ca="1">IF('Stock Price'!$I$11="OK",L861/INDEX(L$5:L$1258,'Stock Price'!$I$9)-1,"")</f>
        <v>-0.20366530021702434</v>
      </c>
      <c r="Z861" s="19">
        <f ca="1">IF('Stock Price'!$I$11="OK",M861/INDEX(M$5:M$1258,'Stock Price'!$I$9)-1,"")</f>
        <v>-7.7493349614059626E-2</v>
      </c>
    </row>
    <row r="862" spans="1:26" x14ac:dyDescent="0.2">
      <c r="A862" s="16">
        <f>'Stock Price'!A862</f>
        <v>45722</v>
      </c>
      <c r="B862" s="17">
        <f>'Stock Price'!E862</f>
        <v>94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-0.11695631751996249</v>
      </c>
      <c r="P862" s="19">
        <f ca="1">IF('Stock Price'!$I$11="OK",C862/INDEX(C$5:C$1258,'Stock Price'!$I$9)-1,"")</f>
        <v>-0.18528944709109274</v>
      </c>
      <c r="Q862" s="19">
        <f ca="1">IF('Stock Price'!$I$11="OK",D862/INDEX(D$5:D$1258,'Stock Price'!$I$9)-1,"")</f>
        <v>-0.18297522923224308</v>
      </c>
      <c r="R862" s="19">
        <f ca="1">IF('Stock Price'!$I$11="OK",E862/INDEX(E$5:E$1258,'Stock Price'!$I$9)-1,"")</f>
        <v>-0.20814023775941981</v>
      </c>
      <c r="S862" s="19">
        <f ca="1">IF('Stock Price'!$I$11="OK",F862/INDEX(F$5:F$1258,'Stock Price'!$I$9)-1,"")</f>
        <v>-0.16326530612244905</v>
      </c>
      <c r="T862" s="19">
        <f ca="1">IF('Stock Price'!$I$11="OK",G862/INDEX(G$5:G$1258,'Stock Price'!$I$9)-1,"")</f>
        <v>0.23201326974911884</v>
      </c>
      <c r="U862" s="19">
        <f ca="1">IF('Stock Price'!$I$11="OK",H862/INDEX(H$5:H$1258,'Stock Price'!$I$9)-1,"")</f>
        <v>-0.34592105263157891</v>
      </c>
      <c r="V862" s="19">
        <f ca="1">IF('Stock Price'!$I$11="OK",I862/INDEX(I$5:I$1258,'Stock Price'!$I$9)-1,"")</f>
        <v>4.2096902303415451E-2</v>
      </c>
      <c r="W862" s="19">
        <f ca="1">IF('Stock Price'!$I$11="OK",J862/INDEX(J$5:J$1258,'Stock Price'!$I$9)-1,"")</f>
        <v>-0.15513347402717603</v>
      </c>
      <c r="X862" s="19">
        <f ca="1">IF('Stock Price'!$I$11="OK",K862/INDEX(K$5:K$1258,'Stock Price'!$I$9)-1,"")</f>
        <v>0.12570145903479224</v>
      </c>
      <c r="Y862" s="19">
        <f ca="1">IF('Stock Price'!$I$11="OK",L862/INDEX(L$5:L$1258,'Stock Price'!$I$9)-1,"")</f>
        <v>-0.20024113817217259</v>
      </c>
      <c r="Z862" s="19">
        <f ca="1">IF('Stock Price'!$I$11="OK",M862/INDEX(M$5:M$1258,'Stock Price'!$I$9)-1,"")</f>
        <v>-8.0938467576643025E-2</v>
      </c>
    </row>
    <row r="863" spans="1:26" x14ac:dyDescent="0.2">
      <c r="A863" s="16">
        <f>'Stock Price'!A863</f>
        <v>45723</v>
      </c>
      <c r="B863" s="17">
        <f>'Stock Price'!E863</f>
        <v>94.65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-0.11085016439643025</v>
      </c>
      <c r="P863" s="19">
        <f ca="1">IF('Stock Price'!$I$11="OK",C863/INDEX(C$5:C$1258,'Stock Price'!$I$9)-1,"")</f>
        <v>-0.16580049083297244</v>
      </c>
      <c r="Q863" s="19">
        <f ca="1">IF('Stock Price'!$I$11="OK",D863/INDEX(D$5:D$1258,'Stock Price'!$I$9)-1,"")</f>
        <v>-0.18297522923224308</v>
      </c>
      <c r="R863" s="19">
        <f ca="1">IF('Stock Price'!$I$11="OK",E863/INDEX(E$5:E$1258,'Stock Price'!$I$9)-1,"")</f>
        <v>-0.19302841023574457</v>
      </c>
      <c r="S863" s="19">
        <f ca="1">IF('Stock Price'!$I$11="OK",F863/INDEX(F$5:F$1258,'Stock Price'!$I$9)-1,"")</f>
        <v>-0.14693877551020407</v>
      </c>
      <c r="T863" s="19">
        <f ca="1">IF('Stock Price'!$I$11="OK",G863/INDEX(G$5:G$1258,'Stock Price'!$I$9)-1,"")</f>
        <v>0.22848849263943616</v>
      </c>
      <c r="U863" s="19">
        <f ca="1">IF('Stock Price'!$I$11="OK",H863/INDEX(H$5:H$1258,'Stock Price'!$I$9)-1,"")</f>
        <v>-0.38815789473684215</v>
      </c>
      <c r="V863" s="19">
        <f ca="1">IF('Stock Price'!$I$11="OK",I863/INDEX(I$5:I$1258,'Stock Price'!$I$9)-1,"")</f>
        <v>6.1556791104050879E-2</v>
      </c>
      <c r="W863" s="19">
        <f ca="1">IF('Stock Price'!$I$11="OK",J863/INDEX(J$5:J$1258,'Stock Price'!$I$9)-1,"")</f>
        <v>-0.19510163278907022</v>
      </c>
      <c r="X863" s="19">
        <f ca="1">IF('Stock Price'!$I$11="OK",K863/INDEX(K$5:K$1258,'Stock Price'!$I$9)-1,"")</f>
        <v>0.14272353161242046</v>
      </c>
      <c r="Y863" s="19">
        <f ca="1">IF('Stock Price'!$I$11="OK",L863/INDEX(L$5:L$1258,'Stock Price'!$I$9)-1,"")</f>
        <v>-0.19609356161080294</v>
      </c>
      <c r="Z863" s="19">
        <f ca="1">IF('Stock Price'!$I$11="OK",M863/INDEX(M$5:M$1258,'Stock Price'!$I$9)-1,"")</f>
        <v>-6.5500850377218645E-2</v>
      </c>
    </row>
    <row r="864" spans="1:26" x14ac:dyDescent="0.2">
      <c r="A864" s="16">
        <f>'Stock Price'!A864</f>
        <v>45726</v>
      </c>
      <c r="B864" s="17">
        <f>'Stock Price'!E864</f>
        <v>95.23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-0.10540159699389384</v>
      </c>
      <c r="P864" s="19">
        <f ca="1">IF('Stock Price'!$I$11="OK",C864/INDEX(C$5:C$1258,'Stock Price'!$I$9)-1,"")</f>
        <v>-0.16652230402771762</v>
      </c>
      <c r="Q864" s="19">
        <f ca="1">IF('Stock Price'!$I$11="OK",D864/INDEX(D$5:D$1258,'Stock Price'!$I$9)-1,"")</f>
        <v>-0.15576844122074729</v>
      </c>
      <c r="R864" s="19">
        <f ca="1">IF('Stock Price'!$I$11="OK",E864/INDEX(E$5:E$1258,'Stock Price'!$I$9)-1,"")</f>
        <v>-0.18758815232722148</v>
      </c>
      <c r="S864" s="19">
        <f ca="1">IF('Stock Price'!$I$11="OK",F864/INDEX(F$5:F$1258,'Stock Price'!$I$9)-1,"")</f>
        <v>-0.16307094266277944</v>
      </c>
      <c r="T864" s="19">
        <f ca="1">IF('Stock Price'!$I$11="OK",G864/INDEX(G$5:G$1258,'Stock Price'!$I$9)-1,"")</f>
        <v>0.2305618909392495</v>
      </c>
      <c r="U864" s="19">
        <f ca="1">IF('Stock Price'!$I$11="OK",H864/INDEX(H$5:H$1258,'Stock Price'!$I$9)-1,"")</f>
        <v>-0.38013157894736838</v>
      </c>
      <c r="V864" s="19">
        <f ca="1">IF('Stock Price'!$I$11="OK",I864/INDEX(I$5:I$1258,'Stock Price'!$I$9)-1,"")</f>
        <v>5.7982525814138208E-2</v>
      </c>
      <c r="W864" s="19">
        <f ca="1">IF('Stock Price'!$I$11="OK",J864/INDEX(J$5:J$1258,'Stock Price'!$I$9)-1,"")</f>
        <v>-0.23195971713132657</v>
      </c>
      <c r="X864" s="19">
        <f ca="1">IF('Stock Price'!$I$11="OK",K864/INDEX(K$5:K$1258,'Stock Price'!$I$9)-1,"")</f>
        <v>0.18050879161990263</v>
      </c>
      <c r="Y864" s="19">
        <f ca="1">IF('Stock Price'!$I$11="OK",L864/INDEX(L$5:L$1258,'Stock Price'!$I$9)-1,"")</f>
        <v>-0.19122257053291536</v>
      </c>
      <c r="Z864" s="19">
        <f ca="1">IF('Stock Price'!$I$11="OK",M864/INDEX(M$5:M$1258,'Stock Price'!$I$9)-1,"")</f>
        <v>-5.5165496489468446E-2</v>
      </c>
    </row>
    <row r="865" spans="1:26" x14ac:dyDescent="0.2">
      <c r="A865" s="16">
        <f>'Stock Price'!A865</f>
        <v>45727</v>
      </c>
      <c r="B865" s="17">
        <f>'Stock Price'!E865</f>
        <v>94.73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-0.11009863785814933</v>
      </c>
      <c r="P865" s="19">
        <f ca="1">IF('Stock Price'!$I$11="OK",C865/INDEX(C$5:C$1258,'Stock Price'!$I$9)-1,"")</f>
        <v>-0.1962610076512199</v>
      </c>
      <c r="Q865" s="19">
        <f ca="1">IF('Stock Price'!$I$11="OK",D865/INDEX(D$5:D$1258,'Stock Price'!$I$9)-1,"")</f>
        <v>-0.15576844122074729</v>
      </c>
      <c r="R865" s="19">
        <f ca="1">IF('Stock Price'!$I$11="OK",E865/INDEX(E$5:E$1258,'Stock Price'!$I$9)-1,"")</f>
        <v>-0.20411041708643973</v>
      </c>
      <c r="S865" s="19">
        <f ca="1">IF('Stock Price'!$I$11="OK",F865/INDEX(F$5:F$1258,'Stock Price'!$I$9)-1,"")</f>
        <v>-0.18367346938775519</v>
      </c>
      <c r="T865" s="19">
        <f ca="1">IF('Stock Price'!$I$11="OK",G865/INDEX(G$5:G$1258,'Stock Price'!$I$9)-1,"")</f>
        <v>0.21791416131038788</v>
      </c>
      <c r="U865" s="19">
        <f ca="1">IF('Stock Price'!$I$11="OK",H865/INDEX(H$5:H$1258,'Stock Price'!$I$9)-1,"")</f>
        <v>-0.37789473684210528</v>
      </c>
      <c r="V865" s="19">
        <f ca="1">IF('Stock Price'!$I$11="OK",I865/INDEX(I$5:I$1258,'Stock Price'!$I$9)-1,"")</f>
        <v>3.2168387609213589E-2</v>
      </c>
      <c r="W865" s="19">
        <f ca="1">IF('Stock Price'!$I$11="OK",J865/INDEX(J$5:J$1258,'Stock Price'!$I$9)-1,"")</f>
        <v>-0.23723573623606942</v>
      </c>
      <c r="X865" s="19">
        <f ca="1">IF('Stock Price'!$I$11="OK",K865/INDEX(K$5:K$1258,'Stock Price'!$I$9)-1,"")</f>
        <v>0.15057987280209506</v>
      </c>
      <c r="Y865" s="19">
        <f ca="1">IF('Stock Price'!$I$11="OK",L865/INDEX(L$5:L$1258,'Stock Price'!$I$9)-1,"")</f>
        <v>-0.20009645526886899</v>
      </c>
      <c r="Z865" s="19">
        <f ca="1">IF('Stock Price'!$I$11="OK",M865/INDEX(M$5:M$1258,'Stock Price'!$I$9)-1,"")</f>
        <v>-6.8553486546596321E-2</v>
      </c>
    </row>
    <row r="866" spans="1:26" x14ac:dyDescent="0.2">
      <c r="A866" s="16">
        <f>'Stock Price'!A866</f>
        <v>45728</v>
      </c>
      <c r="B866" s="17">
        <f>'Stock Price'!E866</f>
        <v>93.35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-0.12306247064349463</v>
      </c>
      <c r="P866" s="19">
        <f ca="1">IF('Stock Price'!$I$11="OK",C866/INDEX(C$5:C$1258,'Stock Price'!$I$9)-1,"")</f>
        <v>-0.21582214522881471</v>
      </c>
      <c r="Q866" s="19">
        <f ca="1">IF('Stock Price'!$I$11="OK",D866/INDEX(D$5:D$1258,'Stock Price'!$I$9)-1,"")</f>
        <v>-0.18215409880936095</v>
      </c>
      <c r="R866" s="19">
        <f ca="1">IF('Stock Price'!$I$11="OK",E866/INDEX(E$5:E$1258,'Stock Price'!$I$9)-1,"")</f>
        <v>-0.2166028611726778</v>
      </c>
      <c r="S866" s="19">
        <f ca="1">IF('Stock Price'!$I$11="OK",F866/INDEX(F$5:F$1258,'Stock Price'!$I$9)-1,"")</f>
        <v>-0.15335276967930034</v>
      </c>
      <c r="T866" s="19">
        <f ca="1">IF('Stock Price'!$I$11="OK",G866/INDEX(G$5:G$1258,'Stock Price'!$I$9)-1,"")</f>
        <v>0.19614347916234709</v>
      </c>
      <c r="U866" s="19">
        <f ca="1">IF('Stock Price'!$I$11="OK",H866/INDEX(H$5:H$1258,'Stock Price'!$I$9)-1,"")</f>
        <v>-0.39473684210526316</v>
      </c>
      <c r="V866" s="19">
        <f ca="1">IF('Stock Price'!$I$11="OK",I866/INDEX(I$5:I$1258,'Stock Price'!$I$9)-1,"")</f>
        <v>2.1048451151707726E-2</v>
      </c>
      <c r="W866" s="19">
        <f ca="1">IF('Stock Price'!$I$11="OK",J866/INDEX(J$5:J$1258,'Stock Price'!$I$9)-1,"")</f>
        <v>-0.2392720944870228</v>
      </c>
      <c r="X866" s="19">
        <f ca="1">IF('Stock Price'!$I$11="OK",K866/INDEX(K$5:K$1258,'Stock Price'!$I$9)-1,"")</f>
        <v>0.11878039655817441</v>
      </c>
      <c r="Y866" s="19">
        <f ca="1">IF('Stock Price'!$I$11="OK",L866/INDEX(L$5:L$1258,'Stock Price'!$I$9)-1,"")</f>
        <v>-0.21461297323366291</v>
      </c>
      <c r="Z866" s="19">
        <f ca="1">IF('Stock Price'!$I$11="OK",M866/INDEX(M$5:M$1258,'Stock Price'!$I$9)-1,"")</f>
        <v>-7.5225677031093285E-2</v>
      </c>
    </row>
    <row r="867" spans="1:26" x14ac:dyDescent="0.2">
      <c r="A867" s="16">
        <f>'Stock Price'!A867</f>
        <v>45729</v>
      </c>
      <c r="B867" s="17">
        <f>'Stock Price'!E867</f>
        <v>94.71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-0.11028651949271961</v>
      </c>
      <c r="P867" s="19">
        <f ca="1">IF('Stock Price'!$I$11="OK",C867/INDEX(C$5:C$1258,'Stock Price'!$I$9)-1,"")</f>
        <v>-0.21242962321351233</v>
      </c>
      <c r="Q867" s="19">
        <f ca="1">IF('Stock Price'!$I$11="OK",D867/INDEX(D$5:D$1258,'Stock Price'!$I$9)-1,"")</f>
        <v>-0.15445463254413572</v>
      </c>
      <c r="R867" s="19">
        <f ca="1">IF('Stock Price'!$I$11="OK",E867/INDEX(E$5:E$1258,'Stock Price'!$I$9)-1,"")</f>
        <v>-0.20955067499496283</v>
      </c>
      <c r="S867" s="19">
        <f ca="1">IF('Stock Price'!$I$11="OK",F867/INDEX(F$5:F$1258,'Stock Price'!$I$9)-1,"")</f>
        <v>-0.1669582118561711</v>
      </c>
      <c r="T867" s="19">
        <f ca="1">IF('Stock Price'!$I$11="OK",G867/INDEX(G$5:G$1258,'Stock Price'!$I$9)-1,"")</f>
        <v>0.1973875181422351</v>
      </c>
      <c r="U867" s="19">
        <f ca="1">IF('Stock Price'!$I$11="OK",H867/INDEX(H$5:H$1258,'Stock Price'!$I$9)-1,"")</f>
        <v>-0.39736842105263159</v>
      </c>
      <c r="V867" s="19">
        <f ca="1">IF('Stock Price'!$I$11="OK",I867/INDEX(I$5:I$1258,'Stock Price'!$I$9)-1,"")</f>
        <v>1.6679904686258906E-2</v>
      </c>
      <c r="W867" s="19">
        <f ca="1">IF('Stock Price'!$I$11="OK",J867/INDEX(J$5:J$1258,'Stock Price'!$I$9)-1,"")</f>
        <v>-0.25797882187419008</v>
      </c>
      <c r="X867" s="19">
        <f ca="1">IF('Stock Price'!$I$11="OK",K867/INDEX(K$5:K$1258,'Stock Price'!$I$9)-1,"")</f>
        <v>0.12757201646090532</v>
      </c>
      <c r="Y867" s="19">
        <f ca="1">IF('Stock Price'!$I$11="OK",L867/INDEX(L$5:L$1258,'Stock Price'!$I$9)-1,"")</f>
        <v>-0.21393778635157934</v>
      </c>
      <c r="Z867" s="19">
        <f ca="1">IF('Stock Price'!$I$11="OK",M867/INDEX(M$5:M$1258,'Stock Price'!$I$9)-1,"")</f>
        <v>-7.744974052592557E-2</v>
      </c>
    </row>
    <row r="868" spans="1:26" x14ac:dyDescent="0.2">
      <c r="A868" s="16">
        <f>'Stock Price'!A868</f>
        <v>45730</v>
      </c>
      <c r="B868" s="17">
        <f>'Stock Price'!E868</f>
        <v>94.57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-0.11160169093471117</v>
      </c>
      <c r="P868" s="19">
        <f ca="1">IF('Stock Price'!$I$11="OK",C868/INDEX(C$5:C$1258,'Stock Price'!$I$9)-1,"")</f>
        <v>-0.21279052981088487</v>
      </c>
      <c r="Q868" s="19">
        <f ca="1">IF('Stock Price'!$I$11="OK",D868/INDEX(D$5:D$1258,'Stock Price'!$I$9)-1,"")</f>
        <v>-0.15938141508142878</v>
      </c>
      <c r="R868" s="19">
        <f ca="1">IF('Stock Price'!$I$11="OK",E868/INDEX(E$5:E$1258,'Stock Price'!$I$9)-1,"")</f>
        <v>-0.2043119081200887</v>
      </c>
      <c r="S868" s="19">
        <f ca="1">IF('Stock Price'!$I$11="OK",F868/INDEX(F$5:F$1258,'Stock Price'!$I$9)-1,"")</f>
        <v>-0.15918367346938789</v>
      </c>
      <c r="T868" s="19">
        <f ca="1">IF('Stock Price'!$I$11="OK",G868/INDEX(G$5:G$1258,'Stock Price'!$I$9)-1,"")</f>
        <v>0.1973875181422351</v>
      </c>
      <c r="U868" s="19">
        <f ca="1">IF('Stock Price'!$I$11="OK",H868/INDEX(H$5:H$1258,'Stock Price'!$I$9)-1,"")</f>
        <v>-0.3872368421052631</v>
      </c>
      <c r="V868" s="19">
        <f ca="1">IF('Stock Price'!$I$11="OK",I868/INDEX(I$5:I$1258,'Stock Price'!$I$9)-1,"")</f>
        <v>2.14455917394758E-2</v>
      </c>
      <c r="W868" s="19">
        <f ca="1">IF('Stock Price'!$I$11="OK",J868/INDEX(J$5:J$1258,'Stock Price'!$I$9)-1,"")</f>
        <v>-0.2470287681883816</v>
      </c>
      <c r="X868" s="19">
        <f ca="1">IF('Stock Price'!$I$11="OK",K868/INDEX(K$5:K$1258,'Stock Price'!$I$9)-1,"")</f>
        <v>0.1038159371492704</v>
      </c>
      <c r="Y868" s="19">
        <f ca="1">IF('Stock Price'!$I$11="OK",L868/INDEX(L$5:L$1258,'Stock Price'!$I$9)-1,"")</f>
        <v>-0.21480588377140097</v>
      </c>
      <c r="Z868" s="19">
        <f ca="1">IF('Stock Price'!$I$11="OK",M868/INDEX(M$5:M$1258,'Stock Price'!$I$9)-1,"")</f>
        <v>-7.6490340586978345E-2</v>
      </c>
    </row>
    <row r="869" spans="1:26" x14ac:dyDescent="0.2">
      <c r="A869" s="16">
        <f>'Stock Price'!A869</f>
        <v>45733</v>
      </c>
      <c r="B869" s="17">
        <f>'Stock Price'!E869</f>
        <v>94.79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-0.10953499295443869</v>
      </c>
      <c r="P869" s="19">
        <f ca="1">IF('Stock Price'!$I$11="OK",C869/INDEX(C$5:C$1258,'Stock Price'!$I$9)-1,"")</f>
        <v>-0.18998123285693658</v>
      </c>
      <c r="Q869" s="19">
        <f ca="1">IF('Stock Price'!$I$11="OK",D869/INDEX(D$5:D$1258,'Stock Price'!$I$9)-1,"")</f>
        <v>-0.15160804707814435</v>
      </c>
      <c r="R869" s="19">
        <f ca="1">IF('Stock Price'!$I$11="OK",E869/INDEX(E$5:E$1258,'Stock Price'!$I$9)-1,"")</f>
        <v>-0.1889985895627645</v>
      </c>
      <c r="S869" s="19">
        <f ca="1">IF('Stock Price'!$I$11="OK",F869/INDEX(F$5:F$1258,'Stock Price'!$I$9)-1,"")</f>
        <v>-0.14013605442176869</v>
      </c>
      <c r="T869" s="19">
        <f ca="1">IF('Stock Price'!$I$11="OK",G869/INDEX(G$5:G$1258,'Stock Price'!$I$9)-1,"")</f>
        <v>0.2216462782500519</v>
      </c>
      <c r="U869" s="19">
        <f ca="1">IF('Stock Price'!$I$11="OK",H869/INDEX(H$5:H$1258,'Stock Price'!$I$9)-1,"")</f>
        <v>-0.37394736842105269</v>
      </c>
      <c r="V869" s="19">
        <f ca="1">IF('Stock Price'!$I$11="OK",I869/INDEX(I$5:I$1258,'Stock Price'!$I$9)-1,"")</f>
        <v>3.4551231135822036E-2</v>
      </c>
      <c r="W869" s="19">
        <f ca="1">IF('Stock Price'!$I$11="OK",J869/INDEX(J$5:J$1258,'Stock Price'!$I$9)-1,"")</f>
        <v>-0.23658780406531155</v>
      </c>
      <c r="X869" s="19">
        <f ca="1">IF('Stock Price'!$I$11="OK",K869/INDEX(K$5:K$1258,'Stock Price'!$I$9)-1,"")</f>
        <v>0.12214739992517765</v>
      </c>
      <c r="Y869" s="19">
        <f ca="1">IF('Stock Price'!$I$11="OK",L869/INDEX(L$5:L$1258,'Stock Price'!$I$9)-1,"")</f>
        <v>-0.21466120086809737</v>
      </c>
      <c r="Z869" s="19">
        <f ca="1">IF('Stock Price'!$I$11="OK",M869/INDEX(M$5:M$1258,'Stock Price'!$I$9)-1,"")</f>
        <v>-6.4715886790807198E-2</v>
      </c>
    </row>
    <row r="870" spans="1:26" x14ac:dyDescent="0.2">
      <c r="A870" s="16">
        <f>'Stock Price'!A870</f>
        <v>45734</v>
      </c>
      <c r="B870" s="17">
        <f>'Stock Price'!E870</f>
        <v>94.72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-0.11019257867543453</v>
      </c>
      <c r="P870" s="19">
        <f ca="1">IF('Stock Price'!$I$11="OK",C870/INDEX(C$5:C$1258,'Stock Price'!$I$9)-1,"")</f>
        <v>-0.18998123285693658</v>
      </c>
      <c r="Q870" s="19">
        <f ca="1">IF('Stock Price'!$I$11="OK",D870/INDEX(D$5:D$1258,'Stock Price'!$I$9)-1,"")</f>
        <v>-0.1612973860681538</v>
      </c>
      <c r="R870" s="19">
        <f ca="1">IF('Stock Price'!$I$11="OK",E870/INDEX(E$5:E$1258,'Stock Price'!$I$9)-1,"")</f>
        <v>-0.18617771509167846</v>
      </c>
      <c r="S870" s="19">
        <f ca="1">IF('Stock Price'!$I$11="OK",F870/INDEX(F$5:F$1258,'Stock Price'!$I$9)-1,"")</f>
        <v>-0.14363459669582124</v>
      </c>
      <c r="T870" s="19">
        <f ca="1">IF('Stock Price'!$I$11="OK",G870/INDEX(G$5:G$1258,'Stock Price'!$I$9)-1,"")</f>
        <v>0.22558573501969725</v>
      </c>
      <c r="U870" s="19">
        <f ca="1">IF('Stock Price'!$I$11="OK",H870/INDEX(H$5:H$1258,'Stock Price'!$I$9)-1,"")</f>
        <v>-0.34842105263157885</v>
      </c>
      <c r="V870" s="19">
        <f ca="1">IF('Stock Price'!$I$11="OK",I870/INDEX(I$5:I$1258,'Stock Price'!$I$9)-1,"")</f>
        <v>4.487688641779175E-2</v>
      </c>
      <c r="W870" s="19">
        <f ca="1">IF('Stock Price'!$I$11="OK",J870/INDEX(J$5:J$1258,'Stock Price'!$I$9)-1,"")</f>
        <v>-0.23867044318560471</v>
      </c>
      <c r="X870" s="19">
        <f ca="1">IF('Stock Price'!$I$11="OK",K870/INDEX(K$5:K$1258,'Stock Price'!$I$9)-1,"")</f>
        <v>0.12046389824167592</v>
      </c>
      <c r="Y870" s="19">
        <f ca="1">IF('Stock Price'!$I$11="OK",L870/INDEX(L$5:L$1258,'Stock Price'!$I$9)-1,"")</f>
        <v>-0.20786110441282857</v>
      </c>
      <c r="Z870" s="19">
        <f ca="1">IF('Stock Price'!$I$11="OK",M870/INDEX(M$5:M$1258,'Stock Price'!$I$9)-1,"")</f>
        <v>-6.7419650255113206E-2</v>
      </c>
    </row>
    <row r="871" spans="1:26" x14ac:dyDescent="0.2">
      <c r="A871" s="16">
        <f>'Stock Price'!A871</f>
        <v>45735</v>
      </c>
      <c r="B871" s="17">
        <f>'Stock Price'!E871</f>
        <v>94.02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-0.11676843588539232</v>
      </c>
      <c r="P871" s="19">
        <f ca="1">IF('Stock Price'!$I$11="OK",C871/INDEX(C$5:C$1258,'Stock Price'!$I$9)-1,"")</f>
        <v>-0.19474519994225492</v>
      </c>
      <c r="Q871" s="19">
        <f ca="1">IF('Stock Price'!$I$11="OK",D871/INDEX(D$5:D$1258,'Stock Price'!$I$9)-1,"")</f>
        <v>-0.15587792527713162</v>
      </c>
      <c r="R871" s="19">
        <f ca="1">IF('Stock Price'!$I$11="OK",E871/INDEX(E$5:E$1258,'Stock Price'!$I$9)-1,"")</f>
        <v>-0.20310296191819477</v>
      </c>
      <c r="S871" s="19">
        <f ca="1">IF('Stock Price'!$I$11="OK",F871/INDEX(F$5:F$1258,'Stock Price'!$I$9)-1,"")</f>
        <v>-0.157240038872692</v>
      </c>
      <c r="T871" s="19">
        <f ca="1">IF('Stock Price'!$I$11="OK",G871/INDEX(G$5:G$1258,'Stock Price'!$I$9)-1,"")</f>
        <v>0.21501140369064897</v>
      </c>
      <c r="U871" s="19">
        <f ca="1">IF('Stock Price'!$I$11="OK",H871/INDEX(H$5:H$1258,'Stock Price'!$I$9)-1,"")</f>
        <v>-0.35828947368421049</v>
      </c>
      <c r="V871" s="19">
        <f ca="1">IF('Stock Price'!$I$11="OK",I871/INDEX(I$5:I$1258,'Stock Price'!$I$9)-1,"")</f>
        <v>4.0905480540111228E-2</v>
      </c>
      <c r="W871" s="19">
        <f ca="1">IF('Stock Price'!$I$11="OK",J871/INDEX(J$5:J$1258,'Stock Price'!$I$9)-1,"")</f>
        <v>-0.22524899107704832</v>
      </c>
      <c r="X871" s="19">
        <f ca="1">IF('Stock Price'!$I$11="OK",K871/INDEX(K$5:K$1258,'Stock Price'!$I$9)-1,"")</f>
        <v>0.12383090160867938</v>
      </c>
      <c r="Y871" s="19">
        <f ca="1">IF('Stock Price'!$I$11="OK",L871/INDEX(L$5:L$1258,'Stock Price'!$I$9)-1,"")</f>
        <v>-0.21393778635157934</v>
      </c>
      <c r="Z871" s="19">
        <f ca="1">IF('Stock Price'!$I$11="OK",M871/INDEX(M$5:M$1258,'Stock Price'!$I$9)-1,"")</f>
        <v>-7.4397104356547894E-2</v>
      </c>
    </row>
    <row r="872" spans="1:26" x14ac:dyDescent="0.2">
      <c r="A872" s="16">
        <f>'Stock Price'!A872</f>
        <v>45736</v>
      </c>
      <c r="B872" s="17">
        <f>'Stock Price'!E872</f>
        <v>94.73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-0.11009863785814933</v>
      </c>
      <c r="P872" s="19">
        <f ca="1">IF('Stock Price'!$I$11="OK",C872/INDEX(C$5:C$1258,'Stock Price'!$I$9)-1,"")</f>
        <v>-0.18283528222895917</v>
      </c>
      <c r="Q872" s="19">
        <f ca="1">IF('Stock Price'!$I$11="OK",D872/INDEX(D$5:D$1258,'Stock Price'!$I$9)-1,"")</f>
        <v>-0.15346927603667726</v>
      </c>
      <c r="R872" s="19">
        <f ca="1">IF('Stock Price'!$I$11="OK",E872/INDEX(E$5:E$1258,'Stock Price'!$I$9)-1,"")</f>
        <v>-0.2059238363892808</v>
      </c>
      <c r="S872" s="19">
        <f ca="1">IF('Stock Price'!$I$11="OK",F872/INDEX(F$5:F$1258,'Stock Price'!$I$9)-1,"")</f>
        <v>-0.15607385811467445</v>
      </c>
      <c r="T872" s="19">
        <f ca="1">IF('Stock Price'!$I$11="OK",G872/INDEX(G$5:G$1258,'Stock Price'!$I$9)-1,"")</f>
        <v>0.19821687746216043</v>
      </c>
      <c r="U872" s="19">
        <f ca="1">IF('Stock Price'!$I$11="OK",H872/INDEX(H$5:H$1258,'Stock Price'!$I$9)-1,"")</f>
        <v>-0.36855263157894735</v>
      </c>
      <c r="V872" s="19">
        <f ca="1">IF('Stock Price'!$I$11="OK",I872/INDEX(I$5:I$1258,'Stock Price'!$I$9)-1,"")</f>
        <v>4.0111199364575079E-2</v>
      </c>
      <c r="W872" s="19">
        <f ca="1">IF('Stock Price'!$I$11="OK",J872/INDEX(J$5:J$1258,'Stock Price'!$I$9)-1,"")</f>
        <v>-0.22010255840645698</v>
      </c>
      <c r="X872" s="19">
        <f ca="1">IF('Stock Price'!$I$11="OK",K872/INDEX(K$5:K$1258,'Stock Price'!$I$9)-1,"")</f>
        <v>0.1301907968574636</v>
      </c>
      <c r="Y872" s="19">
        <f ca="1">IF('Stock Price'!$I$11="OK",L872/INDEX(L$5:L$1258,'Stock Price'!$I$9)-1,"")</f>
        <v>-0.21379310344827585</v>
      </c>
      <c r="Z872" s="19">
        <f ca="1">IF('Stock Price'!$I$11="OK",M872/INDEX(M$5:M$1258,'Stock Price'!$I$9)-1,"")</f>
        <v>-7.5661767912432953E-2</v>
      </c>
    </row>
    <row r="873" spans="1:26" x14ac:dyDescent="0.2">
      <c r="A873" s="16">
        <f>'Stock Price'!A873</f>
        <v>45737</v>
      </c>
      <c r="B873" s="17">
        <f>'Stock Price'!E873</f>
        <v>93.11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-0.12531705025833728</v>
      </c>
      <c r="P873" s="19">
        <f ca="1">IF('Stock Price'!$I$11="OK",C873/INDEX(C$5:C$1258,'Stock Price'!$I$9)-1,"")</f>
        <v>-0.19063086473220725</v>
      </c>
      <c r="Q873" s="19">
        <f ca="1">IF('Stock Price'!$I$11="OK",D873/INDEX(D$5:D$1258,'Stock Price'!$I$9)-1,"")</f>
        <v>-0.1601478034761189</v>
      </c>
      <c r="R873" s="19">
        <f ca="1">IF('Stock Price'!$I$11="OK",E873/INDEX(E$5:E$1258,'Stock Price'!$I$9)-1,"")</f>
        <v>-0.20934918396131375</v>
      </c>
      <c r="S873" s="19">
        <f ca="1">IF('Stock Price'!$I$11="OK",F873/INDEX(F$5:F$1258,'Stock Price'!$I$9)-1,"")</f>
        <v>-0.15063168124392612</v>
      </c>
      <c r="T873" s="19">
        <f ca="1">IF('Stock Price'!$I$11="OK",G873/INDEX(G$5:G$1258,'Stock Price'!$I$9)-1,"")</f>
        <v>0.17976363259382122</v>
      </c>
      <c r="U873" s="19">
        <f ca="1">IF('Stock Price'!$I$11="OK",H873/INDEX(H$5:H$1258,'Stock Price'!$I$9)-1,"")</f>
        <v>-0.36631578947368426</v>
      </c>
      <c r="V873" s="19">
        <f ca="1">IF('Stock Price'!$I$11="OK",I873/INDEX(I$5:I$1258,'Stock Price'!$I$9)-1,"")</f>
        <v>4.3685464654487749E-2</v>
      </c>
      <c r="W873" s="19">
        <f ca="1">IF('Stock Price'!$I$11="OK",J873/INDEX(J$5:J$1258,'Stock Price'!$I$9)-1,"")</f>
        <v>-0.22473064534044196</v>
      </c>
      <c r="X873" s="19">
        <f ca="1">IF('Stock Price'!$I$11="OK",K873/INDEX(K$5:K$1258,'Stock Price'!$I$9)-1,"")</f>
        <v>0.14234942012719798</v>
      </c>
      <c r="Y873" s="19">
        <f ca="1">IF('Stock Price'!$I$11="OK",L873/INDEX(L$5:L$1258,'Stock Price'!$I$9)-1,"")</f>
        <v>-0.21085121774776949</v>
      </c>
      <c r="Z873" s="19">
        <f ca="1">IF('Stock Price'!$I$11="OK",M873/INDEX(M$5:M$1258,'Stock Price'!$I$9)-1,"")</f>
        <v>-8.416554009855659E-2</v>
      </c>
    </row>
    <row r="874" spans="1:26" x14ac:dyDescent="0.2">
      <c r="A874" s="16">
        <f>'Stock Price'!A874</f>
        <v>45740</v>
      </c>
      <c r="B874" s="17">
        <f>'Stock Price'!E874</f>
        <v>92.31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-0.13283231564114606</v>
      </c>
      <c r="P874" s="19">
        <f ca="1">IF('Stock Price'!$I$11="OK",C874/INDEX(C$5:C$1258,'Stock Price'!$I$9)-1,"")</f>
        <v>-0.1981377219575573</v>
      </c>
      <c r="Q874" s="19">
        <f ca="1">IF('Stock Price'!$I$11="OK",D874/INDEX(D$5:D$1258,'Stock Price'!$I$9)-1,"")</f>
        <v>-0.21492541398658827</v>
      </c>
      <c r="R874" s="19">
        <f ca="1">IF('Stock Price'!$I$11="OK",E874/INDEX(E$5:E$1258,'Stock Price'!$I$9)-1,"")</f>
        <v>-0.22284908321579688</v>
      </c>
      <c r="S874" s="19">
        <f ca="1">IF('Stock Price'!$I$11="OK",F874/INDEX(F$5:F$1258,'Stock Price'!$I$9)-1,"")</f>
        <v>-0.16598639455782327</v>
      </c>
      <c r="T874" s="19">
        <f ca="1">IF('Stock Price'!$I$11="OK",G874/INDEX(G$5:G$1258,'Stock Price'!$I$9)-1,"")</f>
        <v>0.15965166908563133</v>
      </c>
      <c r="U874" s="19">
        <f ca="1">IF('Stock Price'!$I$11="OK",H874/INDEX(H$5:H$1258,'Stock Price'!$I$9)-1,"")</f>
        <v>-0.41026315789473689</v>
      </c>
      <c r="V874" s="19">
        <f ca="1">IF('Stock Price'!$I$11="OK",I874/INDEX(I$5:I$1258,'Stock Price'!$I$9)-1,"")</f>
        <v>3.8125496425734706E-2</v>
      </c>
      <c r="W874" s="19">
        <f ca="1">IF('Stock Price'!$I$11="OK",J874/INDEX(J$5:J$1258,'Stock Price'!$I$9)-1,"")</f>
        <v>-0.19943352215928023</v>
      </c>
      <c r="X874" s="19">
        <f ca="1">IF('Stock Price'!$I$11="OK",K874/INDEX(K$5:K$1258,'Stock Price'!$I$9)-1,"")</f>
        <v>0.14197530864197527</v>
      </c>
      <c r="Y874" s="19">
        <f ca="1">IF('Stock Price'!$I$11="OK",L874/INDEX(L$5:L$1258,'Stock Price'!$I$9)-1,"")</f>
        <v>-0.21249095731854351</v>
      </c>
      <c r="Z874" s="19">
        <f ca="1">IF('Stock Price'!$I$11="OK",M874/INDEX(M$5:M$1258,'Stock Price'!$I$9)-1,"")</f>
        <v>-8.7828703501809824E-2</v>
      </c>
    </row>
    <row r="875" spans="1:26" x14ac:dyDescent="0.2">
      <c r="A875" s="16">
        <f>'Stock Price'!A875</f>
        <v>45741</v>
      </c>
      <c r="B875" s="17">
        <f>'Stock Price'!E875</f>
        <v>87.87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-0.17454203851573502</v>
      </c>
      <c r="P875" s="19">
        <f ca="1">IF('Stock Price'!$I$11="OK",C875/INDEX(C$5:C$1258,'Stock Price'!$I$9)-1,"")</f>
        <v>-0.20326259564024829</v>
      </c>
      <c r="Q875" s="19">
        <f ca="1">IF('Stock Price'!$I$11="OK",D875/INDEX(D$5:D$1258,'Stock Price'!$I$9)-1,"")</f>
        <v>-0.19228137402490764</v>
      </c>
      <c r="R875" s="19">
        <f ca="1">IF('Stock Price'!$I$11="OK",E875/INDEX(E$5:E$1258,'Stock Price'!$I$9)-1,"")</f>
        <v>-0.22264759218214802</v>
      </c>
      <c r="S875" s="19">
        <f ca="1">IF('Stock Price'!$I$11="OK",F875/INDEX(F$5:F$1258,'Stock Price'!$I$9)-1,"")</f>
        <v>-0.15685131195335278</v>
      </c>
      <c r="T875" s="19">
        <f ca="1">IF('Stock Price'!$I$11="OK",G875/INDEX(G$5:G$1258,'Stock Price'!$I$9)-1,"")</f>
        <v>0.14969935724652728</v>
      </c>
      <c r="U875" s="19">
        <f ca="1">IF('Stock Price'!$I$11="OK",H875/INDEX(H$5:H$1258,'Stock Price'!$I$9)-1,"")</f>
        <v>-0.37973684210526315</v>
      </c>
      <c r="V875" s="19">
        <f ca="1">IF('Stock Price'!$I$11="OK",I875/INDEX(I$5:I$1258,'Stock Price'!$I$9)-1,"")</f>
        <v>1.4694201747418534E-2</v>
      </c>
      <c r="W875" s="19">
        <f ca="1">IF('Stock Price'!$I$11="OK",J875/INDEX(J$5:J$1258,'Stock Price'!$I$9)-1,"")</f>
        <v>-0.21105002036358245</v>
      </c>
      <c r="X875" s="19">
        <f ca="1">IF('Stock Price'!$I$11="OK",K875/INDEX(K$5:K$1258,'Stock Price'!$I$9)-1,"")</f>
        <v>0.10718294051627386</v>
      </c>
      <c r="Y875" s="19">
        <f ca="1">IF('Stock Price'!$I$11="OK",L875/INDEX(L$5:L$1258,'Stock Price'!$I$9)-1,"")</f>
        <v>-0.22343863033518196</v>
      </c>
      <c r="Z875" s="19">
        <f ca="1">IF('Stock Price'!$I$11="OK",M875/INDEX(M$5:M$1258,'Stock Price'!$I$9)-1,"")</f>
        <v>-0.12197461951070598</v>
      </c>
    </row>
    <row r="876" spans="1:26" x14ac:dyDescent="0.2">
      <c r="A876" s="16">
        <f>'Stock Price'!A876</f>
        <v>45742</v>
      </c>
      <c r="B876" s="17">
        <f>'Stock Price'!E876</f>
        <v>88.11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-0.17228745890089248</v>
      </c>
      <c r="P876" s="19">
        <f ca="1">IF('Stock Price'!$I$11="OK",C876/INDEX(C$5:C$1258,'Stock Price'!$I$9)-1,"")</f>
        <v>-0.20499494730763679</v>
      </c>
      <c r="Q876" s="19">
        <f ca="1">IF('Stock Price'!$I$11="OK",D876/INDEX(D$5:D$1258,'Stock Price'!$I$9)-1,"")</f>
        <v>-0.21499931572464759</v>
      </c>
      <c r="R876" s="19">
        <f ca="1">IF('Stock Price'!$I$11="OK",E876/INDEX(E$5:E$1258,'Stock Price'!$I$9)-1,"")</f>
        <v>-0.22808785009067101</v>
      </c>
      <c r="S876" s="19">
        <f ca="1">IF('Stock Price'!$I$11="OK",F876/INDEX(F$5:F$1258,'Stock Price'!$I$9)-1,"")</f>
        <v>-0.17142857142857137</v>
      </c>
      <c r="T876" s="19">
        <f ca="1">IF('Stock Price'!$I$11="OK",G876/INDEX(G$5:G$1258,'Stock Price'!$I$9)-1,"")</f>
        <v>0.13000207339829983</v>
      </c>
      <c r="U876" s="19">
        <f ca="1">IF('Stock Price'!$I$11="OK",H876/INDEX(H$5:H$1258,'Stock Price'!$I$9)-1,"")</f>
        <v>-0.40039473684210525</v>
      </c>
      <c r="V876" s="19">
        <f ca="1">IF('Stock Price'!$I$11="OK",I876/INDEX(I$5:I$1258,'Stock Price'!$I$9)-1,"")</f>
        <v>1.1914217633042234E-3</v>
      </c>
      <c r="W876" s="19">
        <f ca="1">IF('Stock Price'!$I$11="OK",J876/INDEX(J$5:J$1258,'Stock Price'!$I$9)-1,"")</f>
        <v>-0.23473656929171749</v>
      </c>
      <c r="X876" s="19">
        <f ca="1">IF('Stock Price'!$I$11="OK",K876/INDEX(K$5:K$1258,'Stock Price'!$I$9)-1,"")</f>
        <v>0.10755705200149634</v>
      </c>
      <c r="Y876" s="19">
        <f ca="1">IF('Stock Price'!$I$11="OK",L876/INDEX(L$5:L$1258,'Stock Price'!$I$9)-1,"")</f>
        <v>-0.22006269592476491</v>
      </c>
      <c r="Z876" s="19">
        <f ca="1">IF('Stock Price'!$I$11="OK",M876/INDEX(M$5:M$1258,'Stock Price'!$I$9)-1,"")</f>
        <v>-0.12214905586324187</v>
      </c>
    </row>
    <row r="877" spans="1:26" x14ac:dyDescent="0.2">
      <c r="A877" s="16">
        <f>'Stock Price'!A877</f>
        <v>45743</v>
      </c>
      <c r="B877" s="17">
        <f>'Stock Price'!E877</f>
        <v>87.6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-0.17707844058243316</v>
      </c>
      <c r="P877" s="19">
        <f ca="1">IF('Stock Price'!$I$11="OK",C877/INDEX(C$5:C$1258,'Stock Price'!$I$9)-1,"")</f>
        <v>-0.19590010105384714</v>
      </c>
      <c r="Q877" s="19">
        <f ca="1">IF('Stock Price'!$I$11="OK",D877/INDEX(D$5:D$1258,'Stock Price'!$I$9)-1,"")</f>
        <v>-0.23306418502805537</v>
      </c>
      <c r="R877" s="19">
        <f ca="1">IF('Stock Price'!$I$11="OK",E877/INDEX(E$5:E$1258,'Stock Price'!$I$9)-1,"")</f>
        <v>-0.22385653838404185</v>
      </c>
      <c r="S877" s="19">
        <f ca="1">IF('Stock Price'!$I$11="OK",F877/INDEX(F$5:F$1258,'Stock Price'!$I$9)-1,"")</f>
        <v>-0.1768707482993197</v>
      </c>
      <c r="T877" s="19">
        <f ca="1">IF('Stock Price'!$I$11="OK",G877/INDEX(G$5:G$1258,'Stock Price'!$I$9)-1,"")</f>
        <v>0.13850300642753477</v>
      </c>
      <c r="U877" s="19">
        <f ca="1">IF('Stock Price'!$I$11="OK",H877/INDEX(H$5:H$1258,'Stock Price'!$I$9)-1,"")</f>
        <v>-0.4034210526315789</v>
      </c>
      <c r="V877" s="19">
        <f ca="1">IF('Stock Price'!$I$11="OK",I877/INDEX(I$5:I$1258,'Stock Price'!$I$9)-1,"")</f>
        <v>-6.7513899920571552E-3</v>
      </c>
      <c r="W877" s="19">
        <f ca="1">IF('Stock Price'!$I$11="OK",J877/INDEX(J$5:J$1258,'Stock Price'!$I$9)-1,"")</f>
        <v>-0.2394479617905142</v>
      </c>
      <c r="X877" s="19">
        <f ca="1">IF('Stock Price'!$I$11="OK",K877/INDEX(K$5:K$1258,'Stock Price'!$I$9)-1,"")</f>
        <v>0.10175832398054618</v>
      </c>
      <c r="Y877" s="19">
        <f ca="1">IF('Stock Price'!$I$11="OK",L877/INDEX(L$5:L$1258,'Stock Price'!$I$9)-1,"")</f>
        <v>-0.21326259946949599</v>
      </c>
      <c r="Z877" s="19">
        <f ca="1">IF('Stock Price'!$I$11="OK",M877/INDEX(M$5:M$1258,'Stock Price'!$I$9)-1,"")</f>
        <v>-0.11595656534821863</v>
      </c>
    </row>
    <row r="878" spans="1:26" x14ac:dyDescent="0.2">
      <c r="A878" s="16">
        <f>'Stock Price'!A878</f>
        <v>45744</v>
      </c>
      <c r="B878" s="17">
        <f>'Stock Price'!E878</f>
        <v>89.23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-0.16176608736496001</v>
      </c>
      <c r="P878" s="19">
        <f ca="1">IF('Stock Price'!$I$11="OK",C878/INDEX(C$5:C$1258,'Stock Price'!$I$9)-1,"")</f>
        <v>-0.18745488667532839</v>
      </c>
      <c r="Q878" s="19">
        <f ca="1">IF('Stock Price'!$I$11="OK",D878/INDEX(D$5:D$1258,'Stock Price'!$I$9)-1,"")</f>
        <v>-0.19271931025044486</v>
      </c>
      <c r="R878" s="19">
        <f ca="1">IF('Stock Price'!$I$11="OK",E878/INDEX(E$5:E$1258,'Stock Price'!$I$9)-1,"")</f>
        <v>-0.21942373564376383</v>
      </c>
      <c r="S878" s="19">
        <f ca="1">IF('Stock Price'!$I$11="OK",F878/INDEX(F$5:F$1258,'Stock Price'!$I$9)-1,"")</f>
        <v>-0.18522837706511175</v>
      </c>
      <c r="T878" s="19">
        <f ca="1">IF('Stock Price'!$I$11="OK",G878/INDEX(G$5:G$1258,'Stock Price'!$I$9)-1,"")</f>
        <v>0.15737093095583665</v>
      </c>
      <c r="U878" s="19">
        <f ca="1">IF('Stock Price'!$I$11="OK",H878/INDEX(H$5:H$1258,'Stock Price'!$I$9)-1,"")</f>
        <v>-0.40605263157894733</v>
      </c>
      <c r="V878" s="19">
        <f ca="1">IF('Stock Price'!$I$11="OK",I878/INDEX(I$5:I$1258,'Stock Price'!$I$9)-1,"")</f>
        <v>1.1914217633042234E-3</v>
      </c>
      <c r="W878" s="19">
        <f ca="1">IF('Stock Price'!$I$11="OK",J878/INDEX(J$5:J$1258,'Stock Price'!$I$9)-1,"")</f>
        <v>-0.23867044318560471</v>
      </c>
      <c r="X878" s="19">
        <f ca="1">IF('Stock Price'!$I$11="OK",K878/INDEX(K$5:K$1258,'Stock Price'!$I$9)-1,"")</f>
        <v>0.12270856715301171</v>
      </c>
      <c r="Y878" s="19">
        <f ca="1">IF('Stock Price'!$I$11="OK",L878/INDEX(L$5:L$1258,'Stock Price'!$I$9)-1,"")</f>
        <v>-0.21046539667229314</v>
      </c>
      <c r="Z878" s="19">
        <f ca="1">IF('Stock Price'!$I$11="OK",M878/INDEX(M$5:M$1258,'Stock Price'!$I$9)-1,"")</f>
        <v>-0.1047490296977891</v>
      </c>
    </row>
    <row r="879" spans="1:26" x14ac:dyDescent="0.2">
      <c r="A879" s="16">
        <f>'Stock Price'!A879</f>
        <v>45747</v>
      </c>
      <c r="B879" s="17">
        <f>'Stock Price'!E879</f>
        <v>89.76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-0.15678722404884915</v>
      </c>
      <c r="P879" s="19">
        <f ca="1">IF('Stock Price'!$I$11="OK",C879/INDEX(C$5:C$1258,'Stock Price'!$I$9)-1,"")</f>
        <v>-0.19532265049805098</v>
      </c>
      <c r="Q879" s="19">
        <f ca="1">IF('Stock Price'!$I$11="OK",D879/INDEX(D$5:D$1258,'Stock Price'!$I$9)-1,"")</f>
        <v>-0.19332147256055832</v>
      </c>
      <c r="R879" s="19">
        <f ca="1">IF('Stock Price'!$I$11="OK",E879/INDEX(E$5:E$1258,'Stock Price'!$I$9)-1,"")</f>
        <v>-0.21942373564376383</v>
      </c>
      <c r="S879" s="19">
        <f ca="1">IF('Stock Price'!$I$11="OK",F879/INDEX(F$5:F$1258,'Stock Price'!$I$9)-1,"")</f>
        <v>-0.20019436345966968</v>
      </c>
      <c r="T879" s="19">
        <f ca="1">IF('Stock Price'!$I$11="OK",G879/INDEX(G$5:G$1258,'Stock Price'!$I$9)-1,"")</f>
        <v>0.14990669707650839</v>
      </c>
      <c r="U879" s="19">
        <f ca="1">IF('Stock Price'!$I$11="OK",H879/INDEX(H$5:H$1258,'Stock Price'!$I$9)-1,"")</f>
        <v>-0.41921052631578948</v>
      </c>
      <c r="V879" s="19">
        <f ca="1">IF('Stock Price'!$I$11="OK",I879/INDEX(I$5:I$1258,'Stock Price'!$I$9)-1,"")</f>
        <v>6.3542494042891917E-3</v>
      </c>
      <c r="W879" s="19">
        <f ca="1">IF('Stock Price'!$I$11="OK",J879/INDEX(J$5:J$1258,'Stock Price'!$I$9)-1,"")</f>
        <v>-0.23552334407049502</v>
      </c>
      <c r="X879" s="19">
        <f ca="1">IF('Stock Price'!$I$11="OK",K879/INDEX(K$5:K$1258,'Stock Price'!$I$9)-1,"")</f>
        <v>0.1408529741863076</v>
      </c>
      <c r="Y879" s="19">
        <f ca="1">IF('Stock Price'!$I$11="OK",L879/INDEX(L$5:L$1258,'Stock Price'!$I$9)-1,"")</f>
        <v>-0.20019291053773813</v>
      </c>
      <c r="Z879" s="19">
        <f ca="1">IF('Stock Price'!$I$11="OK",M879/INDEX(M$5:M$1258,'Stock Price'!$I$9)-1,"")</f>
        <v>-8.6302385417120875E-2</v>
      </c>
    </row>
    <row r="880" spans="1:26" x14ac:dyDescent="0.2">
      <c r="A880" s="16">
        <f>'Stock Price'!A880</f>
        <v>45748</v>
      </c>
      <c r="B880" s="17">
        <f>'Stock Price'!E880</f>
        <v>87.12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-0.18158759981211836</v>
      </c>
      <c r="P880" s="19">
        <f ca="1">IF('Stock Price'!$I$11="OK",C880/INDEX(C$5:C$1258,'Stock Price'!$I$9)-1,"")</f>
        <v>-0.20882055723978632</v>
      </c>
      <c r="Q880" s="19">
        <f ca="1">IF('Stock Price'!$I$11="OK",D880/INDEX(D$5:D$1258,'Stock Price'!$I$9)-1,"")</f>
        <v>-0.18916107841795538</v>
      </c>
      <c r="R880" s="19">
        <f ca="1">IF('Stock Price'!$I$11="OK",E880/INDEX(E$5:E$1258,'Stock Price'!$I$9)-1,"")</f>
        <v>-0.23695345557122716</v>
      </c>
      <c r="S880" s="19">
        <f ca="1">IF('Stock Price'!$I$11="OK",F880/INDEX(F$5:F$1258,'Stock Price'!$I$9)-1,"")</f>
        <v>-0.20155490767735673</v>
      </c>
      <c r="T880" s="19">
        <f ca="1">IF('Stock Price'!$I$11="OK",G880/INDEX(G$5:G$1258,'Stock Price'!$I$9)-1,"")</f>
        <v>0.12668463611859848</v>
      </c>
      <c r="U880" s="19">
        <f ca="1">IF('Stock Price'!$I$11="OK",H880/INDEX(H$5:H$1258,'Stock Price'!$I$9)-1,"")</f>
        <v>-0.41276315789473683</v>
      </c>
      <c r="V880" s="19">
        <f ca="1">IF('Stock Price'!$I$11="OK",I880/INDEX(I$5:I$1258,'Stock Price'!$I$9)-1,"")</f>
        <v>-2.5416997617156545E-2</v>
      </c>
      <c r="W880" s="19">
        <f ca="1">IF('Stock Price'!$I$11="OK",J880/INDEX(J$5:J$1258,'Stock Price'!$I$9)-1,"")</f>
        <v>-0.25466511162945671</v>
      </c>
      <c r="X880" s="19">
        <f ca="1">IF('Stock Price'!$I$11="OK",K880/INDEX(K$5:K$1258,'Stock Price'!$I$9)-1,"")</f>
        <v>0.11391694725028056</v>
      </c>
      <c r="Y880" s="19">
        <f ca="1">IF('Stock Price'!$I$11="OK",L880/INDEX(L$5:L$1258,'Stock Price'!$I$9)-1,"")</f>
        <v>-0.26091150229081261</v>
      </c>
      <c r="Z880" s="19">
        <f ca="1">IF('Stock Price'!$I$11="OK",M880/INDEX(M$5:M$1258,'Stock Price'!$I$9)-1,"")</f>
        <v>-0.1004753390606602</v>
      </c>
    </row>
    <row r="881" spans="1:26" x14ac:dyDescent="0.2">
      <c r="A881" s="16">
        <f>'Stock Price'!A881</f>
        <v>45749</v>
      </c>
      <c r="B881" s="17">
        <f>'Stock Price'!E881</f>
        <v>86.6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-0.18647252231094413</v>
      </c>
      <c r="P881" s="19">
        <f ca="1">IF('Stock Price'!$I$11="OK",C881/INDEX(C$5:C$1258,'Stock Price'!$I$9)-1,"")</f>
        <v>-0.20044752418074196</v>
      </c>
      <c r="Q881" s="19">
        <f ca="1">IF('Stock Price'!$I$11="OK",D881/INDEX(D$5:D$1258,'Stock Price'!$I$9)-1,"")</f>
        <v>-0.1932393595182702</v>
      </c>
      <c r="R881" s="19">
        <f ca="1">IF('Stock Price'!$I$11="OK",E881/INDEX(E$5:E$1258,'Stock Price'!$I$9)-1,"")</f>
        <v>-0.24158774934515415</v>
      </c>
      <c r="S881" s="19">
        <f ca="1">IF('Stock Price'!$I$11="OK",F881/INDEX(F$5:F$1258,'Stock Price'!$I$9)-1,"")</f>
        <v>-0.23479105928085531</v>
      </c>
      <c r="T881" s="19">
        <f ca="1">IF('Stock Price'!$I$11="OK",G881/INDEX(G$5:G$1258,'Stock Price'!$I$9)-1,"")</f>
        <v>0.11859838274932621</v>
      </c>
      <c r="U881" s="19">
        <f ca="1">IF('Stock Price'!$I$11="OK",H881/INDEX(H$5:H$1258,'Stock Price'!$I$9)-1,"")</f>
        <v>-0.43618421052631573</v>
      </c>
      <c r="V881" s="19">
        <f ca="1">IF('Stock Price'!$I$11="OK",I881/INDEX(I$5:I$1258,'Stock Price'!$I$9)-1,"")</f>
        <v>-1.9062748212867353E-2</v>
      </c>
      <c r="W881" s="19">
        <f ca="1">IF('Stock Price'!$I$11="OK",J881/INDEX(J$5:J$1258,'Stock Price'!$I$9)-1,"")</f>
        <v>-0.24264134177496377</v>
      </c>
      <c r="X881" s="19">
        <f ca="1">IF('Stock Price'!$I$11="OK",K881/INDEX(K$5:K$1258,'Stock Price'!$I$9)-1,"")</f>
        <v>0.11485222596333711</v>
      </c>
      <c r="Y881" s="19">
        <f ca="1">IF('Stock Price'!$I$11="OK",L881/INDEX(L$5:L$1258,'Stock Price'!$I$9)-1,"")</f>
        <v>-0.25073547142512653</v>
      </c>
      <c r="Z881" s="19">
        <f ca="1">IF('Stock Price'!$I$11="OK",M881/INDEX(M$5:M$1258,'Stock Price'!$I$9)-1,"")</f>
        <v>-0.10518512057912865</v>
      </c>
    </row>
    <row r="882" spans="1:26" x14ac:dyDescent="0.2">
      <c r="A882" s="16">
        <f>'Stock Price'!A882</f>
        <v>45750</v>
      </c>
      <c r="B882" s="17">
        <f>'Stock Price'!E882</f>
        <v>86.39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-0.18844527947393142</v>
      </c>
      <c r="P882" s="19">
        <f ca="1">IF('Stock Price'!$I$11="OK",C882/INDEX(C$5:C$1258,'Stock Price'!$I$9)-1,"")</f>
        <v>-0.18969250757903844</v>
      </c>
      <c r="Q882" s="19">
        <f ca="1">IF('Stock Price'!$I$11="OK",D882/INDEX(D$5:D$1258,'Stock Price'!$I$9)-1,"")</f>
        <v>-0.17427124674969208</v>
      </c>
      <c r="R882" s="19">
        <f ca="1">IF('Stock Price'!$I$11="OK",E882/INDEX(E$5:E$1258,'Stock Price'!$I$9)-1,"")</f>
        <v>-0.21398347773524085</v>
      </c>
      <c r="S882" s="19">
        <f ca="1">IF('Stock Price'!$I$11="OK",F882/INDEX(F$5:F$1258,'Stock Price'!$I$9)-1,"")</f>
        <v>-0.22215743440233238</v>
      </c>
      <c r="T882" s="19">
        <f ca="1">IF('Stock Price'!$I$11="OK",G882/INDEX(G$5:G$1258,'Stock Price'!$I$9)-1,"")</f>
        <v>0.13249015135807585</v>
      </c>
      <c r="U882" s="19">
        <f ca="1">IF('Stock Price'!$I$11="OK",H882/INDEX(H$5:H$1258,'Stock Price'!$I$9)-1,"")</f>
        <v>-0.44039473684210528</v>
      </c>
      <c r="V882" s="19">
        <f ca="1">IF('Stock Price'!$I$11="OK",I882/INDEX(I$5:I$1258,'Stock Price'!$I$9)-1,"")</f>
        <v>-3.5345512311358296E-2</v>
      </c>
      <c r="W882" s="19">
        <f ca="1">IF('Stock Price'!$I$11="OK",J882/INDEX(J$5:J$1258,'Stock Price'!$I$9)-1,"")</f>
        <v>-0.26960457625236023</v>
      </c>
      <c r="X882" s="19">
        <f ca="1">IF('Stock Price'!$I$11="OK",K882/INDEX(K$5:K$1258,'Stock Price'!$I$9)-1,"")</f>
        <v>8.1556303778526074E-2</v>
      </c>
      <c r="Y882" s="19">
        <f ca="1">IF('Stock Price'!$I$11="OK",L882/INDEX(L$5:L$1258,'Stock Price'!$I$9)-1,"")</f>
        <v>-0.22922594646732575</v>
      </c>
      <c r="Z882" s="19">
        <f ca="1">IF('Stock Price'!$I$11="OK",M882/INDEX(M$5:M$1258,'Stock Price'!$I$9)-1,"")</f>
        <v>-0.12066634686668709</v>
      </c>
    </row>
    <row r="883" spans="1:26" x14ac:dyDescent="0.2">
      <c r="A883" s="16">
        <f>'Stock Price'!A883</f>
        <v>45751</v>
      </c>
      <c r="B883" s="17">
        <f>'Stock Price'!E883</f>
        <v>81.47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-0.2346641615782058</v>
      </c>
      <c r="P883" s="19">
        <f ca="1">IF('Stock Price'!$I$11="OK",C883/INDEX(C$5:C$1258,'Stock Price'!$I$9)-1,"")</f>
        <v>-0.23596073336220591</v>
      </c>
      <c r="Q883" s="19">
        <f ca="1">IF('Stock Price'!$I$11="OK",D883/INDEX(D$5:D$1258,'Stock Price'!$I$9)-1,"")</f>
        <v>-0.25200547420281916</v>
      </c>
      <c r="R883" s="19">
        <f ca="1">IF('Stock Price'!$I$11="OK",E883/INDEX(E$5:E$1258,'Stock Price'!$I$9)-1,"")</f>
        <v>-0.26395325408019343</v>
      </c>
      <c r="S883" s="19">
        <f ca="1">IF('Stock Price'!$I$11="OK",F883/INDEX(F$5:F$1258,'Stock Price'!$I$9)-1,"")</f>
        <v>-0.26822157434402338</v>
      </c>
      <c r="T883" s="19">
        <f ca="1">IF('Stock Price'!$I$11="OK",G883/INDEX(G$5:G$1258,'Stock Price'!$I$9)-1,"")</f>
        <v>7.775243624300221E-2</v>
      </c>
      <c r="U883" s="19">
        <f ca="1">IF('Stock Price'!$I$11="OK",H883/INDEX(H$5:H$1258,'Stock Price'!$I$9)-1,"")</f>
        <v>-0.47118421052631587</v>
      </c>
      <c r="V883" s="19">
        <f ca="1">IF('Stock Price'!$I$11="OK",I883/INDEX(I$5:I$1258,'Stock Price'!$I$9)-1,"")</f>
        <v>-8.7768069896743461E-2</v>
      </c>
      <c r="W883" s="19">
        <f ca="1">IF('Stock Price'!$I$11="OK",J883/INDEX(J$5:J$1258,'Stock Price'!$I$9)-1,"")</f>
        <v>-0.31669998889259121</v>
      </c>
      <c r="X883" s="19">
        <f ca="1">IF('Stock Price'!$I$11="OK",K883/INDEX(K$5:K$1258,'Stock Price'!$I$9)-1,"")</f>
        <v>3.4418256640478706E-2</v>
      </c>
      <c r="Y883" s="19">
        <f ca="1">IF('Stock Price'!$I$11="OK",L883/INDEX(L$5:L$1258,'Stock Price'!$I$9)-1,"")</f>
        <v>-0.26095972992524707</v>
      </c>
      <c r="Z883" s="19">
        <f ca="1">IF('Stock Price'!$I$11="OK",M883/INDEX(M$5:M$1258,'Stock Price'!$I$9)-1,"")</f>
        <v>-0.18468448824735073</v>
      </c>
    </row>
    <row r="884" spans="1:26" x14ac:dyDescent="0.2">
      <c r="A884" s="16">
        <f>'Stock Price'!A884</f>
        <v>45754</v>
      </c>
      <c r="B884" s="17">
        <f>'Stock Price'!E884</f>
        <v>81.180000000000007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-0.23738844527947389</v>
      </c>
      <c r="P884" s="19">
        <f ca="1">IF('Stock Price'!$I$11="OK",C884/INDEX(C$5:C$1258,'Stock Price'!$I$9)-1,"")</f>
        <v>-0.25747076656561274</v>
      </c>
      <c r="Q884" s="19">
        <f ca="1">IF('Stock Price'!$I$11="OK",D884/INDEX(D$5:D$1258,'Stock Price'!$I$9)-1,"")</f>
        <v>-0.28881948816203651</v>
      </c>
      <c r="R884" s="19">
        <f ca="1">IF('Stock Price'!$I$11="OK",E884/INDEX(E$5:E$1258,'Stock Price'!$I$9)-1,"")</f>
        <v>-0.29800523876687479</v>
      </c>
      <c r="S884" s="19">
        <f ca="1">IF('Stock Price'!$I$11="OK",F884/INDEX(F$5:F$1258,'Stock Price'!$I$9)-1,"")</f>
        <v>-0.30029154518950441</v>
      </c>
      <c r="T884" s="19">
        <f ca="1">IF('Stock Price'!$I$11="OK",G884/INDEX(G$5:G$1258,'Stock Price'!$I$9)-1,"")</f>
        <v>5.2456976985278958E-2</v>
      </c>
      <c r="U884" s="19">
        <f ca="1">IF('Stock Price'!$I$11="OK",H884/INDEX(H$5:H$1258,'Stock Price'!$I$9)-1,"")</f>
        <v>-0.4781052631578947</v>
      </c>
      <c r="V884" s="19">
        <f ca="1">IF('Stock Price'!$I$11="OK",I884/INDEX(I$5:I$1258,'Stock Price'!$I$9)-1,"")</f>
        <v>-0.10127084988085788</v>
      </c>
      <c r="W884" s="19">
        <f ca="1">IF('Stock Price'!$I$11="OK",J884/INDEX(J$5:J$1258,'Stock Price'!$I$9)-1,"")</f>
        <v>-0.33010292865341173</v>
      </c>
      <c r="X884" s="19">
        <f ca="1">IF('Stock Price'!$I$11="OK",K884/INDEX(K$5:K$1258,'Stock Price'!$I$9)-1,"")</f>
        <v>3.2360643471754491E-2</v>
      </c>
      <c r="Y884" s="19">
        <f ca="1">IF('Stock Price'!$I$11="OK",L884/INDEX(L$5:L$1258,'Stock Price'!$I$9)-1,"")</f>
        <v>-0.27359537014709423</v>
      </c>
      <c r="Z884" s="19">
        <f ca="1">IF('Stock Price'!$I$11="OK",M884/INDEX(M$5:M$1258,'Stock Price'!$I$9)-1,"")</f>
        <v>-0.18647246086084335</v>
      </c>
    </row>
    <row r="885" spans="1:26" x14ac:dyDescent="0.2">
      <c r="A885" s="16">
        <f>'Stock Price'!A885</f>
        <v>45755</v>
      </c>
      <c r="B885" s="17">
        <f>'Stock Price'!E885</f>
        <v>78.95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-0.25833724753405352</v>
      </c>
      <c r="P885" s="19">
        <f ca="1">IF('Stock Price'!$I$11="OK",C885/INDEX(C$5:C$1258,'Stock Price'!$I$9)-1,"")</f>
        <v>-0.26403926663779409</v>
      </c>
      <c r="Q885" s="19">
        <f ca="1">IF('Stock Price'!$I$11="OK",D885/INDEX(D$5:D$1258,'Stock Price'!$I$9)-1,"")</f>
        <v>-0.27521554673600657</v>
      </c>
      <c r="R885" s="19">
        <f ca="1">IF('Stock Price'!$I$11="OK",E885/INDEX(E$5:E$1258,'Stock Price'!$I$9)-1,"")</f>
        <v>-0.31231110215595403</v>
      </c>
      <c r="S885" s="19">
        <f ca="1">IF('Stock Price'!$I$11="OK",F885/INDEX(F$5:F$1258,'Stock Price'!$I$9)-1,"")</f>
        <v>-0.30223517978620029</v>
      </c>
      <c r="T885" s="19">
        <f ca="1">IF('Stock Price'!$I$11="OK",G885/INDEX(G$5:G$1258,'Stock Price'!$I$9)-1,"")</f>
        <v>3.379639228695841E-2</v>
      </c>
      <c r="U885" s="19">
        <f ca="1">IF('Stock Price'!$I$11="OK",H885/INDEX(H$5:H$1258,'Stock Price'!$I$9)-1,"")</f>
        <v>-0.46302631578947362</v>
      </c>
      <c r="V885" s="19">
        <f ca="1">IF('Stock Price'!$I$11="OK",I885/INDEX(I$5:I$1258,'Stock Price'!$I$9)-1,"")</f>
        <v>-0.13264495631453532</v>
      </c>
      <c r="W885" s="19">
        <f ca="1">IF('Stock Price'!$I$11="OK",J885/INDEX(J$5:J$1258,'Stock Price'!$I$9)-1,"")</f>
        <v>-0.32777962901255131</v>
      </c>
      <c r="X885" s="19">
        <f ca="1">IF('Stock Price'!$I$11="OK",K885/INDEX(K$5:K$1258,'Stock Price'!$I$9)-1,"")</f>
        <v>-7.2951739618406508E-3</v>
      </c>
      <c r="Y885" s="19">
        <f ca="1">IF('Stock Price'!$I$11="OK",L885/INDEX(L$5:L$1258,'Stock Price'!$I$9)-1,"")</f>
        <v>-0.27658548348203515</v>
      </c>
      <c r="Z885" s="19">
        <f ca="1">IF('Stock Price'!$I$11="OK",M885/INDEX(M$5:M$1258,'Stock Price'!$I$9)-1,"")</f>
        <v>-0.23391914875059971</v>
      </c>
    </row>
    <row r="886" spans="1:26" x14ac:dyDescent="0.2">
      <c r="A886" s="16">
        <f>'Stock Price'!A886</f>
        <v>45756</v>
      </c>
      <c r="B886" s="17">
        <f>'Stock Price'!E886</f>
        <v>81.91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-0.23053076561766095</v>
      </c>
      <c r="P886" s="19">
        <f ca="1">IF('Stock Price'!$I$11="OK",C886/INDEX(C$5:C$1258,'Stock Price'!$I$9)-1,"")</f>
        <v>-0.25039699725710984</v>
      </c>
      <c r="Q886" s="19">
        <f ca="1">IF('Stock Price'!$I$11="OK",D886/INDEX(D$5:D$1258,'Stock Price'!$I$9)-1,"")</f>
        <v>-0.29295196387026146</v>
      </c>
      <c r="R886" s="19">
        <f ca="1">IF('Stock Price'!$I$11="OK",E886/INDEX(E$5:E$1258,'Stock Price'!$I$9)-1,"")</f>
        <v>-0.30525891597823906</v>
      </c>
      <c r="S886" s="19">
        <f ca="1">IF('Stock Price'!$I$11="OK",F886/INDEX(F$5:F$1258,'Stock Price'!$I$9)-1,"")</f>
        <v>-0.27891156462585032</v>
      </c>
      <c r="T886" s="19">
        <f ca="1">IF('Stock Price'!$I$11="OK",G886/INDEX(G$5:G$1258,'Stock Price'!$I$9)-1,"")</f>
        <v>6.1787269334439232E-2</v>
      </c>
      <c r="U886" s="19">
        <f ca="1">IF('Stock Price'!$I$11="OK",H886/INDEX(H$5:H$1258,'Stock Price'!$I$9)-1,"")</f>
        <v>-0.48768421052631583</v>
      </c>
      <c r="V886" s="19">
        <f ca="1">IF('Stock Price'!$I$11="OK",I886/INDEX(I$5:I$1258,'Stock Price'!$I$9)-1,"")</f>
        <v>-0.10683081810961081</v>
      </c>
      <c r="W886" s="19">
        <f ca="1">IF('Stock Price'!$I$11="OK",J886/INDEX(J$5:J$1258,'Stock Price'!$I$9)-1,"")</f>
        <v>-0.30235291939723785</v>
      </c>
      <c r="X886" s="19">
        <f ca="1">IF('Stock Price'!$I$11="OK",K886/INDEX(K$5:K$1258,'Stock Price'!$I$9)-1,"")</f>
        <v>5.2375607931163248E-3</v>
      </c>
      <c r="Y886" s="19">
        <f ca="1">IF('Stock Price'!$I$11="OK",L886/INDEX(L$5:L$1258,'Stock Price'!$I$9)-1,"")</f>
        <v>-0.27190740294188565</v>
      </c>
      <c r="Z886" s="19">
        <f ca="1">IF('Stock Price'!$I$11="OK",M886/INDEX(M$5:M$1258,'Stock Price'!$I$9)-1,"")</f>
        <v>-0.21573415899873538</v>
      </c>
    </row>
    <row r="887" spans="1:26" x14ac:dyDescent="0.2">
      <c r="A887" s="16">
        <f>'Stock Price'!A887</f>
        <v>45757</v>
      </c>
      <c r="B887" s="17">
        <f>'Stock Price'!E887</f>
        <v>77.55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-0.2714889619539691</v>
      </c>
      <c r="P887" s="19">
        <f ca="1">IF('Stock Price'!$I$11="OK",C887/INDEX(C$5:C$1258,'Stock Price'!$I$9)-1,"")</f>
        <v>-0.25364515663346321</v>
      </c>
      <c r="Q887" s="19">
        <f ca="1">IF('Stock Price'!$I$11="OK",D887/INDEX(D$5:D$1258,'Stock Price'!$I$9)-1,"")</f>
        <v>-0.29432051457506503</v>
      </c>
      <c r="R887" s="19">
        <f ca="1">IF('Stock Price'!$I$11="OK",E887/INDEX(E$5:E$1258,'Stock Price'!$I$9)-1,"")</f>
        <v>-0.32299012693935125</v>
      </c>
      <c r="S887" s="19">
        <f ca="1">IF('Stock Price'!$I$11="OK",F887/INDEX(F$5:F$1258,'Stock Price'!$I$9)-1,"")</f>
        <v>-0.28357628765792031</v>
      </c>
      <c r="T887" s="19">
        <f ca="1">IF('Stock Price'!$I$11="OK",G887/INDEX(G$5:G$1258,'Stock Price'!$I$9)-1,"")</f>
        <v>2.9649595687331498E-2</v>
      </c>
      <c r="U887" s="19">
        <f ca="1">IF('Stock Price'!$I$11="OK",H887/INDEX(H$5:H$1258,'Stock Price'!$I$9)-1,"")</f>
        <v>-0.47652631578947369</v>
      </c>
      <c r="V887" s="19">
        <f ca="1">IF('Stock Price'!$I$11="OK",I887/INDEX(I$5:I$1258,'Stock Price'!$I$9)-1,"")</f>
        <v>-0.14257347100873707</v>
      </c>
      <c r="W887" s="19">
        <f ca="1">IF('Stock Price'!$I$11="OK",J887/INDEX(J$5:J$1258,'Stock Price'!$I$9)-1,"")</f>
        <v>-0.3327131696841793</v>
      </c>
      <c r="X887" s="19">
        <f ca="1">IF('Stock Price'!$I$11="OK",K887/INDEX(K$5:K$1258,'Stock Price'!$I$9)-1,"")</f>
        <v>-5.6116722783389417E-2</v>
      </c>
      <c r="Y887" s="19">
        <f ca="1">IF('Stock Price'!$I$11="OK",L887/INDEX(L$5:L$1258,'Stock Price'!$I$9)-1,"")</f>
        <v>-0.28290330359295879</v>
      </c>
      <c r="Z887" s="19">
        <f ca="1">IF('Stock Price'!$I$11="OK",M887/INDEX(M$5:M$1258,'Stock Price'!$I$9)-1,"")</f>
        <v>-0.2403296847062929</v>
      </c>
    </row>
    <row r="888" spans="1:26" x14ac:dyDescent="0.2">
      <c r="A888" s="16">
        <f>'Stock Price'!A888</f>
        <v>45758</v>
      </c>
      <c r="B888" s="17">
        <f>'Stock Price'!E888</f>
        <v>79.180000000000007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-0.25617660873649595</v>
      </c>
      <c r="P888" s="19">
        <f ca="1">IF('Stock Price'!$I$11="OK",C888/INDEX(C$5:C$1258,'Stock Price'!$I$9)-1,"")</f>
        <v>-0.22390645300996104</v>
      </c>
      <c r="Q888" s="19">
        <f ca="1">IF('Stock Price'!$I$11="OK",D888/INDEX(D$5:D$1258,'Stock Price'!$I$9)-1,"")</f>
        <v>-0.27368276994662655</v>
      </c>
      <c r="R888" s="19">
        <f ca="1">IF('Stock Price'!$I$11="OK",E888/INDEX(E$5:E$1258,'Stock Price'!$I$9)-1,"")</f>
        <v>-0.30203505943985498</v>
      </c>
      <c r="S888" s="19">
        <f ca="1">IF('Stock Price'!$I$11="OK",F888/INDEX(F$5:F$1258,'Stock Price'!$I$9)-1,"")</f>
        <v>-0.25947521865889212</v>
      </c>
      <c r="T888" s="19">
        <f ca="1">IF('Stock Price'!$I$11="OK",G888/INDEX(G$5:G$1258,'Stock Price'!$I$9)-1,"")</f>
        <v>6.7800124403898154E-2</v>
      </c>
      <c r="U888" s="19">
        <f ca="1">IF('Stock Price'!$I$11="OK",H888/INDEX(H$5:H$1258,'Stock Price'!$I$9)-1,"")</f>
        <v>-0.46947368421052627</v>
      </c>
      <c r="V888" s="19">
        <f ca="1">IF('Stock Price'!$I$11="OK",I888/INDEX(I$5:I$1258,'Stock Price'!$I$9)-1,"")</f>
        <v>-0.1298649722001588</v>
      </c>
      <c r="W888" s="19">
        <f ca="1">IF('Stock Price'!$I$11="OK",J888/INDEX(J$5:J$1258,'Stock Price'!$I$9)-1,"")</f>
        <v>-0.32206856973601394</v>
      </c>
      <c r="X888" s="19">
        <f ca="1">IF('Stock Price'!$I$11="OK",K888/INDEX(K$5:K$1258,'Stock Price'!$I$9)-1,"")</f>
        <v>-5.1440329218107039E-2</v>
      </c>
      <c r="Y888" s="19">
        <f ca="1">IF('Stock Price'!$I$11="OK",L888/INDEX(L$5:L$1258,'Stock Price'!$I$9)-1,"")</f>
        <v>-0.26824210272486138</v>
      </c>
      <c r="Z888" s="19">
        <f ca="1">IF('Stock Price'!$I$11="OK",M888/INDEX(M$5:M$1258,'Stock Price'!$I$9)-1,"")</f>
        <v>-0.2366229122149055</v>
      </c>
    </row>
    <row r="889" spans="1:26" x14ac:dyDescent="0.2">
      <c r="A889" s="16">
        <f>'Stock Price'!A889</f>
        <v>45761</v>
      </c>
      <c r="B889" s="17">
        <f>'Stock Price'!E889</f>
        <v>79.17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-0.25627054955378115</v>
      </c>
      <c r="P889" s="19">
        <f ca="1">IF('Stock Price'!$I$11="OK",C889/INDEX(C$5:C$1258,'Stock Price'!$I$9)-1,"")</f>
        <v>-0.20990327703190415</v>
      </c>
      <c r="Q889" s="19">
        <f ca="1">IF('Stock Price'!$I$11="OK",D889/INDEX(D$5:D$1258,'Stock Price'!$I$9)-1,"")</f>
        <v>-0.28118242780895031</v>
      </c>
      <c r="R889" s="19">
        <f ca="1">IF('Stock Price'!$I$11="OK",E889/INDEX(E$5:E$1258,'Stock Price'!$I$9)-1,"")</f>
        <v>-0.28913963328631875</v>
      </c>
      <c r="S889" s="19">
        <f ca="1">IF('Stock Price'!$I$11="OK",F889/INDEX(F$5:F$1258,'Stock Price'!$I$9)-1,"")</f>
        <v>-0.25617103984450917</v>
      </c>
      <c r="T889" s="19">
        <f ca="1">IF('Stock Price'!$I$11="OK",G889/INDEX(G$5:G$1258,'Stock Price'!$I$9)-1,"")</f>
        <v>7.4849678623263749E-2</v>
      </c>
      <c r="U889" s="19">
        <f ca="1">IF('Stock Price'!$I$11="OK",H889/INDEX(H$5:H$1258,'Stock Price'!$I$9)-1,"")</f>
        <v>-0.45026315789473681</v>
      </c>
      <c r="V889" s="19">
        <f ca="1">IF('Stock Price'!$I$11="OK",I889/INDEX(I$5:I$1258,'Stock Price'!$I$9)-1,"")</f>
        <v>-0.12152501985702935</v>
      </c>
      <c r="W889" s="19">
        <f ca="1">IF('Stock Price'!$I$11="OK",J889/INDEX(J$5:J$1258,'Stock Price'!$I$9)-1,"")</f>
        <v>-0.3017605242696878</v>
      </c>
      <c r="X889" s="19">
        <f ca="1">IF('Stock Price'!$I$11="OK",K889/INDEX(K$5:K$1258,'Stock Price'!$I$9)-1,"")</f>
        <v>-3.9655817433595142E-2</v>
      </c>
      <c r="Y889" s="19">
        <f ca="1">IF('Stock Price'!$I$11="OK",L889/INDEX(L$5:L$1258,'Stock Price'!$I$9)-1,"")</f>
        <v>-0.25555823486857965</v>
      </c>
      <c r="Z889" s="19">
        <f ca="1">IF('Stock Price'!$I$11="OK",M889/INDEX(M$5:M$1258,'Stock Price'!$I$9)-1,"")</f>
        <v>-0.21896123152064895</v>
      </c>
    </row>
    <row r="890" spans="1:26" x14ac:dyDescent="0.2">
      <c r="A890" s="16">
        <f>'Stock Price'!A890</f>
        <v>45762</v>
      </c>
      <c r="B890" s="17">
        <f>'Stock Price'!E890</f>
        <v>78.39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-0.26359793330201975</v>
      </c>
      <c r="P890" s="19">
        <f ca="1">IF('Stock Price'!$I$11="OK",C890/INDEX(C$5:C$1258,'Stock Price'!$I$9)-1,"")</f>
        <v>-0.20651075501660165</v>
      </c>
      <c r="Q890" s="19">
        <f ca="1">IF('Stock Price'!$I$11="OK",D890/INDEX(D$5:D$1258,'Stock Price'!$I$9)-1,"")</f>
        <v>-0.26525249760503633</v>
      </c>
      <c r="R890" s="19">
        <f ca="1">IF('Stock Price'!$I$11="OK",E890/INDEX(E$5:E$1258,'Stock Price'!$I$9)-1,"")</f>
        <v>-0.28107999194035871</v>
      </c>
      <c r="S890" s="19">
        <f ca="1">IF('Stock Price'!$I$11="OK",F890/INDEX(F$5:F$1258,'Stock Price'!$I$9)-1,"")</f>
        <v>-0.2517006802721089</v>
      </c>
      <c r="T890" s="19">
        <f ca="1">IF('Stock Price'!$I$11="OK",G890/INDEX(G$5:G$1258,'Stock Price'!$I$9)-1,"")</f>
        <v>4.9139539705577606E-2</v>
      </c>
      <c r="U890" s="19">
        <f ca="1">IF('Stock Price'!$I$11="OK",H890/INDEX(H$5:H$1258,'Stock Price'!$I$9)-1,"")</f>
        <v>-0.45197368421052631</v>
      </c>
      <c r="V890" s="19">
        <f ca="1">IF('Stock Price'!$I$11="OK",I890/INDEX(I$5:I$1258,'Stock Price'!$I$9)-1,"")</f>
        <v>-0.10881652104845108</v>
      </c>
      <c r="W890" s="19">
        <f ca="1">IF('Stock Price'!$I$11="OK",J890/INDEX(J$5:J$1258,'Stock Price'!$I$9)-1,"")</f>
        <v>-0.29914102706505241</v>
      </c>
      <c r="X890" s="19">
        <f ca="1">IF('Stock Price'!$I$11="OK",K890/INDEX(K$5:K$1258,'Stock Price'!$I$9)-1,"")</f>
        <v>-6.4721286943509204E-2</v>
      </c>
      <c r="Y890" s="19">
        <f ca="1">IF('Stock Price'!$I$11="OK",L890/INDEX(L$5:L$1258,'Stock Price'!$I$9)-1,"")</f>
        <v>-0.259127079816735</v>
      </c>
      <c r="Z890" s="19">
        <f ca="1">IF('Stock Price'!$I$11="OK",M890/INDEX(M$5:M$1258,'Stock Price'!$I$9)-1,"")</f>
        <v>-0.22899132179146131</v>
      </c>
    </row>
    <row r="891" spans="1:26" x14ac:dyDescent="0.2">
      <c r="A891" s="16">
        <f>'Stock Price'!A891</f>
        <v>45763</v>
      </c>
      <c r="B891" s="17">
        <f>'Stock Price'!E891</f>
        <v>76.459999999999994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-0.28172851103804608</v>
      </c>
      <c r="P891" s="19">
        <f ca="1">IF('Stock Price'!$I$11="OK",C891/INDEX(C$5:C$1258,'Stock Price'!$I$9)-1,"")</f>
        <v>-0.20903710119820984</v>
      </c>
      <c r="Q891" s="19">
        <f ca="1">IF('Stock Price'!$I$11="OK",D891/INDEX(D$5:D$1258,'Stock Price'!$I$9)-1,"")</f>
        <v>-0.26601888599972623</v>
      </c>
      <c r="R891" s="19">
        <f ca="1">IF('Stock Price'!$I$11="OK",E891/INDEX(E$5:E$1258,'Stock Price'!$I$9)-1,"")</f>
        <v>-0.2873262139834778</v>
      </c>
      <c r="S891" s="19">
        <f ca="1">IF('Stock Price'!$I$11="OK",F891/INDEX(F$5:F$1258,'Stock Price'!$I$9)-1,"")</f>
        <v>-0.25014577259475224</v>
      </c>
      <c r="T891" s="19">
        <f ca="1">IF('Stock Price'!$I$11="OK",G891/INDEX(G$5:G$1258,'Stock Price'!$I$9)-1,"")</f>
        <v>4.8310180385652268E-2</v>
      </c>
      <c r="U891" s="19">
        <f ca="1">IF('Stock Price'!$I$11="OK",H891/INDEX(H$5:H$1258,'Stock Price'!$I$9)-1,"")</f>
        <v>-0.44855263157894742</v>
      </c>
      <c r="V891" s="19">
        <f ca="1">IF('Stock Price'!$I$11="OK",I891/INDEX(I$5:I$1258,'Stock Price'!$I$9)-1,"")</f>
        <v>-0.12470214455917394</v>
      </c>
      <c r="W891" s="19">
        <f ca="1">IF('Stock Price'!$I$11="OK",J891/INDEX(J$5:J$1258,'Stock Price'!$I$9)-1,"")</f>
        <v>-0.31976378244288939</v>
      </c>
      <c r="X891" s="19">
        <f ca="1">IF('Stock Price'!$I$11="OK",K891/INDEX(K$5:K$1258,'Stock Price'!$I$9)-1,"")</f>
        <v>-7.6692854470632232E-2</v>
      </c>
      <c r="Y891" s="19">
        <f ca="1">IF('Stock Price'!$I$11="OK",L891/INDEX(L$5:L$1258,'Stock Price'!$I$9)-1,"")</f>
        <v>-0.25772847841813362</v>
      </c>
      <c r="Z891" s="19">
        <f ca="1">IF('Stock Price'!$I$11="OK",M891/INDEX(M$5:M$1258,'Stock Price'!$I$9)-1,"")</f>
        <v>-0.25131917491605249</v>
      </c>
    </row>
    <row r="892" spans="1:26" x14ac:dyDescent="0.2">
      <c r="A892" s="16">
        <f>'Stock Price'!A892</f>
        <v>45764</v>
      </c>
      <c r="B892" s="17">
        <f>'Stock Price'!E892</f>
        <v>78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-0.26726162517613905</v>
      </c>
      <c r="P892" s="19">
        <f ca="1">IF('Stock Price'!$I$11="OK",C892/INDEX(C$5:C$1258,'Stock Price'!$I$9)-1,"")</f>
        <v>-0.19979789230547129</v>
      </c>
      <c r="Q892" s="19">
        <f ca="1">IF('Stock Price'!$I$11="OK",D892/INDEX(D$5:D$1258,'Stock Price'!$I$9)-1,"")</f>
        <v>-0.23470644587381961</v>
      </c>
      <c r="R892" s="19">
        <f ca="1">IF('Stock Price'!$I$11="OK",E892/INDEX(E$5:E$1258,'Stock Price'!$I$9)-1,"")</f>
        <v>-0.27604271609913367</v>
      </c>
      <c r="S892" s="19">
        <f ca="1">IF('Stock Price'!$I$11="OK",F892/INDEX(F$5:F$1258,'Stock Price'!$I$9)-1,"")</f>
        <v>-0.24392614188532558</v>
      </c>
      <c r="T892" s="19">
        <f ca="1">IF('Stock Price'!$I$11="OK",G892/INDEX(G$5:G$1258,'Stock Price'!$I$9)-1,"")</f>
        <v>5.5359734605017641E-2</v>
      </c>
      <c r="U892" s="19">
        <f ca="1">IF('Stock Price'!$I$11="OK",H892/INDEX(H$5:H$1258,'Stock Price'!$I$9)-1,"")</f>
        <v>-0.44657894736842108</v>
      </c>
      <c r="V892" s="19">
        <f ca="1">IF('Stock Price'!$I$11="OK",I892/INDEX(I$5:I$1258,'Stock Price'!$I$9)-1,"")</f>
        <v>-0.1207307386814932</v>
      </c>
      <c r="W892" s="19">
        <f ca="1">IF('Stock Price'!$I$11="OK",J892/INDEX(J$5:J$1258,'Stock Price'!$I$9)-1,"")</f>
        <v>-0.22251841978599718</v>
      </c>
      <c r="X892" s="19">
        <f ca="1">IF('Stock Price'!$I$11="OK",K892/INDEX(K$5:K$1258,'Stock Price'!$I$9)-1,"")</f>
        <v>-7.9124579124579153E-2</v>
      </c>
      <c r="Y892" s="19">
        <f ca="1">IF('Stock Price'!$I$11="OK",L892/INDEX(L$5:L$1258,'Stock Price'!$I$9)-1,"")</f>
        <v>-0.24055944055944056</v>
      </c>
      <c r="Z892" s="19">
        <f ca="1">IF('Stock Price'!$I$11="OK",M892/INDEX(M$5:M$1258,'Stock Price'!$I$9)-1,"")</f>
        <v>-0.24560638437050275</v>
      </c>
    </row>
    <row r="893" spans="1:26" x14ac:dyDescent="0.2">
      <c r="A893" s="16">
        <f>'Stock Price'!A893</f>
        <v>45768</v>
      </c>
      <c r="B893" s="17">
        <f>'Stock Price'!E893</f>
        <v>77.849999999999994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-0.26867073743541581</v>
      </c>
      <c r="P893" s="19">
        <f ca="1">IF('Stock Price'!$I$11="OK",C893/INDEX(C$5:C$1258,'Stock Price'!$I$9)-1,"")</f>
        <v>-0.20210769452865585</v>
      </c>
      <c r="Q893" s="19">
        <f ca="1">IF('Stock Price'!$I$11="OK",D893/INDEX(D$5:D$1258,'Stock Price'!$I$9)-1,"")</f>
        <v>-0.2753250307923909</v>
      </c>
      <c r="R893" s="19">
        <f ca="1">IF('Stock Price'!$I$11="OK",E893/INDEX(E$5:E$1258,'Stock Price'!$I$9)-1,"")</f>
        <v>-0.26556518234938542</v>
      </c>
      <c r="S893" s="19">
        <f ca="1">IF('Stock Price'!$I$11="OK",F893/INDEX(F$5:F$1258,'Stock Price'!$I$9)-1,"")</f>
        <v>-0.24586977648202146</v>
      </c>
      <c r="T893" s="19">
        <f ca="1">IF('Stock Price'!$I$11="OK",G893/INDEX(G$5:G$1258,'Stock Price'!$I$9)-1,"")</f>
        <v>5.5981754094961644E-2</v>
      </c>
      <c r="U893" s="19">
        <f ca="1">IF('Stock Price'!$I$11="OK",H893/INDEX(H$5:H$1258,'Stock Price'!$I$9)-1,"")</f>
        <v>-0.44657894736842108</v>
      </c>
      <c r="V893" s="19">
        <f ca="1">IF('Stock Price'!$I$11="OK",I893/INDEX(I$5:I$1258,'Stock Price'!$I$9)-1,"")</f>
        <v>-0.12470214455917394</v>
      </c>
      <c r="W893" s="19">
        <f ca="1">IF('Stock Price'!$I$11="OK",J893/INDEX(J$5:J$1258,'Stock Price'!$I$9)-1,"")</f>
        <v>-0.24282646525232321</v>
      </c>
      <c r="X893" s="19">
        <f ca="1">IF('Stock Price'!$I$11="OK",K893/INDEX(K$5:K$1258,'Stock Price'!$I$9)-1,"")</f>
        <v>-8.4549195660306831E-2</v>
      </c>
      <c r="Y893" s="19">
        <f ca="1">IF('Stock Price'!$I$11="OK",L893/INDEX(L$5:L$1258,'Stock Price'!$I$9)-1,"")</f>
        <v>-0.24321196045333981</v>
      </c>
      <c r="Z893" s="19">
        <f ca="1">IF('Stock Price'!$I$11="OK",M893/INDEX(M$5:M$1258,'Stock Price'!$I$9)-1,"")</f>
        <v>-0.25794775631241551</v>
      </c>
    </row>
    <row r="894" spans="1:26" x14ac:dyDescent="0.2">
      <c r="A894" s="16">
        <f>'Stock Price'!A894</f>
        <v>45769</v>
      </c>
      <c r="B894" s="17">
        <f>'Stock Price'!E894</f>
        <v>78.97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-0.25814936589948334</v>
      </c>
      <c r="P894" s="19">
        <f ca="1">IF('Stock Price'!$I$11="OK",C894/INDEX(C$5:C$1258,'Stock Price'!$I$9)-1,"")</f>
        <v>-0.19582791973437275</v>
      </c>
      <c r="Q894" s="19">
        <f ca="1">IF('Stock Price'!$I$11="OK",D894/INDEX(D$5:D$1258,'Stock Price'!$I$9)-1,"")</f>
        <v>-0.29300670589845357</v>
      </c>
      <c r="R894" s="19">
        <f ca="1">IF('Stock Price'!$I$11="OK",E894/INDEX(E$5:E$1258,'Stock Price'!$I$9)-1,"")</f>
        <v>-0.26193834374370339</v>
      </c>
      <c r="S894" s="19">
        <f ca="1">IF('Stock Price'!$I$11="OK",F894/INDEX(F$5:F$1258,'Stock Price'!$I$9)-1,"")</f>
        <v>-0.24237123420796902</v>
      </c>
      <c r="T894" s="19">
        <f ca="1">IF('Stock Price'!$I$11="OK",G894/INDEX(G$5:G$1258,'Stock Price'!$I$9)-1,"")</f>
        <v>7.5057018453244861E-2</v>
      </c>
      <c r="U894" s="19">
        <f ca="1">IF('Stock Price'!$I$11="OK",H894/INDEX(H$5:H$1258,'Stock Price'!$I$9)-1,"")</f>
        <v>-0.43460526315789472</v>
      </c>
      <c r="V894" s="19">
        <f ca="1">IF('Stock Price'!$I$11="OK",I894/INDEX(I$5:I$1258,'Stock Price'!$I$9)-1,"")</f>
        <v>-0.10524225575853852</v>
      </c>
      <c r="W894" s="19">
        <f ca="1">IF('Stock Price'!$I$11="OK",J894/INDEX(J$5:J$1258,'Stock Price'!$I$9)-1,"")</f>
        <v>-0.23401458773001593</v>
      </c>
      <c r="X894" s="19">
        <f ca="1">IF('Stock Price'!$I$11="OK",K894/INDEX(K$5:K$1258,'Stock Price'!$I$9)-1,"")</f>
        <v>-6.8088290310512556E-2</v>
      </c>
      <c r="Y894" s="19">
        <f ca="1">IF('Stock Price'!$I$11="OK",L894/INDEX(L$5:L$1258,'Stock Price'!$I$9)-1,"")</f>
        <v>-0.23920906679527365</v>
      </c>
      <c r="Z894" s="19">
        <f ca="1">IF('Stock Price'!$I$11="OK",M894/INDEX(M$5:M$1258,'Stock Price'!$I$9)-1,"")</f>
        <v>-0.24216126640791946</v>
      </c>
    </row>
    <row r="895" spans="1:26" x14ac:dyDescent="0.2">
      <c r="A895" s="16">
        <f>'Stock Price'!A895</f>
        <v>45770</v>
      </c>
      <c r="B895" s="17">
        <f>'Stock Price'!E895</f>
        <v>78.739999999999995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-0.26031000469704091</v>
      </c>
      <c r="P895" s="19">
        <f ca="1">IF('Stock Price'!$I$11="OK",C895/INDEX(C$5:C$1258,'Stock Price'!$I$9)-1,"")</f>
        <v>-0.20506712862711129</v>
      </c>
      <c r="Q895" s="19">
        <f ca="1">IF('Stock Price'!$I$11="OK",D895/INDEX(D$5:D$1258,'Stock Price'!$I$9)-1,"")</f>
        <v>-0.25687696729163823</v>
      </c>
      <c r="R895" s="19">
        <f ca="1">IF('Stock Price'!$I$11="OK",E895/INDEX(E$5:E$1258,'Stock Price'!$I$9)-1,"")</f>
        <v>-0.25387870239774335</v>
      </c>
      <c r="S895" s="19">
        <f ca="1">IF('Stock Price'!$I$11="OK",F895/INDEX(F$5:F$1258,'Stock Price'!$I$9)-1,"")</f>
        <v>-0.23926141885325558</v>
      </c>
      <c r="T895" s="19">
        <f ca="1">IF('Stock Price'!$I$11="OK",G895/INDEX(G$5:G$1258,'Stock Price'!$I$9)-1,"")</f>
        <v>9.9315778561061663E-2</v>
      </c>
      <c r="U895" s="19">
        <f ca="1">IF('Stock Price'!$I$11="OK",H895/INDEX(H$5:H$1258,'Stock Price'!$I$9)-1,"")</f>
        <v>-0.41828947368421054</v>
      </c>
      <c r="V895" s="19">
        <f ca="1">IF('Stock Price'!$I$11="OK",I895/INDEX(I$5:I$1258,'Stock Price'!$I$9)-1,"")</f>
        <v>-0.11080222398729145</v>
      </c>
      <c r="W895" s="19">
        <f ca="1">IF('Stock Price'!$I$11="OK",J895/INDEX(J$5:J$1258,'Stock Price'!$I$9)-1,"")</f>
        <v>-0.23227442704283752</v>
      </c>
      <c r="X895" s="19">
        <f ca="1">IF('Stock Price'!$I$11="OK",K895/INDEX(K$5:K$1258,'Stock Price'!$I$9)-1,"")</f>
        <v>-9.2218481107369965E-2</v>
      </c>
      <c r="Y895" s="19">
        <f ca="1">IF('Stock Price'!$I$11="OK",L895/INDEX(L$5:L$1258,'Stock Price'!$I$9)-1,"")</f>
        <v>-0.2506390161562575</v>
      </c>
      <c r="Z895" s="19">
        <f ca="1">IF('Stock Price'!$I$11="OK",M895/INDEX(M$5:M$1258,'Stock Price'!$I$9)-1,"")</f>
        <v>-0.22790109458811214</v>
      </c>
    </row>
    <row r="896" spans="1:26" x14ac:dyDescent="0.2">
      <c r="A896" s="16">
        <f>'Stock Price'!A896</f>
        <v>45771</v>
      </c>
      <c r="B896" s="17">
        <f>'Stock Price'!E896</f>
        <v>79.84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-0.24997651479567873</v>
      </c>
      <c r="P896" s="19">
        <f ca="1">IF('Stock Price'!$I$11="OK",C896/INDEX(C$5:C$1258,'Stock Price'!$I$9)-1,"")</f>
        <v>-0.19756027140176113</v>
      </c>
      <c r="Q896" s="19">
        <f ca="1">IF('Stock Price'!$I$11="OK",D896/INDEX(D$5:D$1258,'Stock Price'!$I$9)-1,"")</f>
        <v>-0.24872040509100857</v>
      </c>
      <c r="R896" s="19">
        <f ca="1">IF('Stock Price'!$I$11="OK",E896/INDEX(E$5:E$1258,'Stock Price'!$I$9)-1,"")</f>
        <v>-0.24440862381624018</v>
      </c>
      <c r="S896" s="19">
        <f ca="1">IF('Stock Price'!$I$11="OK",F896/INDEX(F$5:F$1258,'Stock Price'!$I$9)-1,"")</f>
        <v>-0.22740524781341109</v>
      </c>
      <c r="T896" s="19">
        <f ca="1">IF('Stock Price'!$I$11="OK",G896/INDEX(G$5:G$1258,'Stock Price'!$I$9)-1,"")</f>
        <v>0.11009744972009128</v>
      </c>
      <c r="U896" s="19">
        <f ca="1">IF('Stock Price'!$I$11="OK",H896/INDEX(H$5:H$1258,'Stock Price'!$I$9)-1,"")</f>
        <v>-0.40842105263157891</v>
      </c>
      <c r="V896" s="19">
        <f ca="1">IF('Stock Price'!$I$11="OK",I896/INDEX(I$5:I$1258,'Stock Price'!$I$9)-1,"")</f>
        <v>-9.5313741064336766E-2</v>
      </c>
      <c r="W896" s="19">
        <f ca="1">IF('Stock Price'!$I$11="OK",J896/INDEX(J$5:J$1258,'Stock Price'!$I$9)-1,"")</f>
        <v>-0.20421896404902062</v>
      </c>
      <c r="X896" s="19">
        <f ca="1">IF('Stock Price'!$I$11="OK",K896/INDEX(K$5:K$1258,'Stock Price'!$I$9)-1,"")</f>
        <v>-8.9225589225589319E-2</v>
      </c>
      <c r="Y896" s="19">
        <f ca="1">IF('Stock Price'!$I$11="OK",L896/INDEX(L$5:L$1258,'Stock Price'!$I$9)-1,"")</f>
        <v>-0.25280925970581136</v>
      </c>
      <c r="Z896" s="19">
        <f ca="1">IF('Stock Price'!$I$11="OK",M896/INDEX(M$5:M$1258,'Stock Price'!$I$9)-1,"")</f>
        <v>-0.2134228773276351</v>
      </c>
    </row>
    <row r="897" spans="1:26" x14ac:dyDescent="0.2">
      <c r="A897" s="16">
        <f>'Stock Price'!A897</f>
        <v>45772</v>
      </c>
      <c r="B897" s="17">
        <f>'Stock Price'!E897</f>
        <v>82.74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-0.2227336777829968</v>
      </c>
      <c r="P897" s="19">
        <f ca="1">IF('Stock Price'!$I$11="OK",C897/INDEX(C$5:C$1258,'Stock Price'!$I$9)-1,"")</f>
        <v>-0.19055868341273274</v>
      </c>
      <c r="Q897" s="19">
        <f ca="1">IF('Stock Price'!$I$11="OK",D897/INDEX(D$5:D$1258,'Stock Price'!$I$9)-1,"")</f>
        <v>-0.26235117011085263</v>
      </c>
      <c r="R897" s="19">
        <f ca="1">IF('Stock Price'!$I$11="OK",E897/INDEX(E$5:E$1258,'Stock Price'!$I$9)-1,"")</f>
        <v>-0.24581906105178319</v>
      </c>
      <c r="S897" s="19">
        <f ca="1">IF('Stock Price'!$I$11="OK",F897/INDEX(F$5:F$1258,'Stock Price'!$I$9)-1,"")</f>
        <v>-0.23187560738581148</v>
      </c>
      <c r="T897" s="19">
        <f ca="1">IF('Stock Price'!$I$11="OK",G897/INDEX(G$5:G$1258,'Stock Price'!$I$9)-1,"")</f>
        <v>8.4801990462367804E-2</v>
      </c>
      <c r="U897" s="19">
        <f ca="1">IF('Stock Price'!$I$11="OK",H897/INDEX(H$5:H$1258,'Stock Price'!$I$9)-1,"")</f>
        <v>-0.39500000000000002</v>
      </c>
      <c r="V897" s="19">
        <f ca="1">IF('Stock Price'!$I$11="OK",I897/INDEX(I$5:I$1258,'Stock Price'!$I$9)-1,"")</f>
        <v>-8.9753772835583723E-2</v>
      </c>
      <c r="W897" s="19">
        <f ca="1">IF('Stock Price'!$I$11="OK",J897/INDEX(J$5:J$1258,'Stock Price'!$I$9)-1,"")</f>
        <v>-0.18125439668258725</v>
      </c>
      <c r="X897" s="19">
        <f ca="1">IF('Stock Price'!$I$11="OK",K897/INDEX(K$5:K$1258,'Stock Price'!$I$9)-1,"")</f>
        <v>-0.10400299289188186</v>
      </c>
      <c r="Y897" s="19">
        <f ca="1">IF('Stock Price'!$I$11="OK",L897/INDEX(L$5:L$1258,'Stock Price'!$I$9)-1,"")</f>
        <v>-0.25449722691101995</v>
      </c>
      <c r="Z897" s="19">
        <f ca="1">IF('Stock Price'!$I$11="OK",M897/INDEX(M$5:M$1258,'Stock Price'!$I$9)-1,"")</f>
        <v>-0.18860930617940774</v>
      </c>
    </row>
    <row r="898" spans="1:26" x14ac:dyDescent="0.2">
      <c r="A898" s="16">
        <f>'Stock Price'!A898</f>
        <v>45775</v>
      </c>
      <c r="B898" s="17">
        <f>'Stock Price'!E898</f>
        <v>83.19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-0.21850634100516675</v>
      </c>
      <c r="P898" s="19">
        <f ca="1">IF('Stock Price'!$I$11="OK",C898/INDEX(C$5:C$1258,'Stock Price'!$I$9)-1,"")</f>
        <v>-0.18702179875848124</v>
      </c>
      <c r="Q898" s="19">
        <f ca="1">IF('Stock Price'!$I$11="OK",D898/INDEX(D$5:D$1258,'Stock Price'!$I$9)-1,"")</f>
        <v>-0.24040016422608468</v>
      </c>
      <c r="R898" s="19">
        <f ca="1">IF('Stock Price'!$I$11="OK",E898/INDEX(E$5:E$1258,'Stock Price'!$I$9)-1,"")</f>
        <v>-0.23312512593189605</v>
      </c>
      <c r="S898" s="19">
        <f ca="1">IF('Stock Price'!$I$11="OK",F898/INDEX(F$5:F$1258,'Stock Price'!$I$9)-1,"")</f>
        <v>-0.21263362487852289</v>
      </c>
      <c r="T898" s="19">
        <f ca="1">IF('Stock Price'!$I$11="OK",G898/INDEX(G$5:G$1258,'Stock Price'!$I$9)-1,"")</f>
        <v>9.3924942981546744E-2</v>
      </c>
      <c r="U898" s="19">
        <f ca="1">IF('Stock Price'!$I$11="OK",H898/INDEX(H$5:H$1258,'Stock Price'!$I$9)-1,"")</f>
        <v>-0.39526315789473687</v>
      </c>
      <c r="V898" s="19">
        <f ca="1">IF('Stock Price'!$I$11="OK",I898/INDEX(I$5:I$1258,'Stock Price'!$I$9)-1,"")</f>
        <v>-8.4590945194598866E-2</v>
      </c>
      <c r="W898" s="19">
        <f ca="1">IF('Stock Price'!$I$11="OK",J898/INDEX(J$5:J$1258,'Stock Price'!$I$9)-1,"")</f>
        <v>-0.1879651227368655</v>
      </c>
      <c r="X898" s="19">
        <f ca="1">IF('Stock Price'!$I$11="OK",K898/INDEX(K$5:K$1258,'Stock Price'!$I$9)-1,"")</f>
        <v>-9.3527871305649102E-2</v>
      </c>
      <c r="Y898" s="19">
        <f ca="1">IF('Stock Price'!$I$11="OK",L898/INDEX(L$5:L$1258,'Stock Price'!$I$9)-1,"")</f>
        <v>-0.2507836990595611</v>
      </c>
      <c r="Z898" s="19">
        <f ca="1">IF('Stock Price'!$I$11="OK",M898/INDEX(M$5:M$1258,'Stock Price'!$I$9)-1,"")</f>
        <v>-0.16122279883127644</v>
      </c>
    </row>
    <row r="899" spans="1:26" x14ac:dyDescent="0.2">
      <c r="A899" s="16">
        <f>'Stock Price'!A899</f>
        <v>45776</v>
      </c>
      <c r="B899" s="17">
        <f>'Stock Price'!E899</f>
        <v>84.71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-0.20422733677783</v>
      </c>
      <c r="P899" s="19">
        <f ca="1">IF('Stock Price'!$I$11="OK",C899/INDEX(C$5:C$1258,'Stock Price'!$I$9)-1,"")</f>
        <v>-0.18110293056157056</v>
      </c>
      <c r="Q899" s="19">
        <f ca="1">IF('Stock Price'!$I$11="OK",D899/INDEX(D$5:D$1258,'Stock Price'!$I$9)-1,"")</f>
        <v>-0.20656904338305737</v>
      </c>
      <c r="R899" s="19">
        <f ca="1">IF('Stock Price'!$I$11="OK",E899/INDEX(E$5:E$1258,'Stock Price'!$I$9)-1,"")</f>
        <v>-0.21478944186983684</v>
      </c>
      <c r="S899" s="19">
        <f ca="1">IF('Stock Price'!$I$11="OK",F899/INDEX(F$5:F$1258,'Stock Price'!$I$9)-1,"")</f>
        <v>-0.20971817298347917</v>
      </c>
      <c r="T899" s="19">
        <f ca="1">IF('Stock Price'!$I$11="OK",G899/INDEX(G$5:G$1258,'Stock Price'!$I$9)-1,"")</f>
        <v>0.1138295666597553</v>
      </c>
      <c r="U899" s="19">
        <f ca="1">IF('Stock Price'!$I$11="OK",H899/INDEX(H$5:H$1258,'Stock Price'!$I$9)-1,"")</f>
        <v>-0.39026315789473676</v>
      </c>
      <c r="V899" s="19">
        <f ca="1">IF('Stock Price'!$I$11="OK",I899/INDEX(I$5:I$1258,'Stock Price'!$I$9)-1,"")</f>
        <v>-5.5202541699761687E-2</v>
      </c>
      <c r="W899" s="19">
        <f ca="1">IF('Stock Price'!$I$11="OK",J899/INDEX(J$5:J$1258,'Stock Price'!$I$9)-1,"")</f>
        <v>-0.18064348920730111</v>
      </c>
      <c r="X899" s="19">
        <f ca="1">IF('Stock Price'!$I$11="OK",K899/INDEX(K$5:K$1258,'Stock Price'!$I$9)-1,"")</f>
        <v>-7.9311634867190506E-2</v>
      </c>
      <c r="Y899" s="19">
        <f ca="1">IF('Stock Price'!$I$11="OK",L899/INDEX(L$5:L$1258,'Stock Price'!$I$9)-1,"")</f>
        <v>-0.24808295153122739</v>
      </c>
      <c r="Z899" s="19">
        <f ca="1">IF('Stock Price'!$I$11="OK",M899/INDEX(M$5:M$1258,'Stock Price'!$I$9)-1,"")</f>
        <v>-0.15612053551960237</v>
      </c>
    </row>
    <row r="900" spans="1:26" x14ac:dyDescent="0.2">
      <c r="A900" s="16">
        <f>'Stock Price'!A900</f>
        <v>45777</v>
      </c>
      <c r="B900" s="17">
        <f>'Stock Price'!E900</f>
        <v>85.2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-0.19962423673085961</v>
      </c>
      <c r="P900" s="19">
        <f ca="1">IF('Stock Price'!$I$11="OK",C900/INDEX(C$5:C$1258,'Stock Price'!$I$9)-1,"")</f>
        <v>-0.18081420528367254</v>
      </c>
      <c r="Q900" s="19">
        <f ca="1">IF('Stock Price'!$I$11="OK",D900/INDEX(D$5:D$1258,'Stock Price'!$I$9)-1,"")</f>
        <v>-0.20273710140960732</v>
      </c>
      <c r="R900" s="19">
        <f ca="1">IF('Stock Price'!$I$11="OK",E900/INDEX(E$5:E$1258,'Stock Price'!$I$9)-1,"")</f>
        <v>-0.19705823090872454</v>
      </c>
      <c r="S900" s="19">
        <f ca="1">IF('Stock Price'!$I$11="OK",F900/INDEX(F$5:F$1258,'Stock Price'!$I$9)-1,"")</f>
        <v>-0.20758017492711367</v>
      </c>
      <c r="T900" s="19">
        <f ca="1">IF('Stock Price'!$I$11="OK",G900/INDEX(G$5:G$1258,'Stock Price'!$I$9)-1,"")</f>
        <v>0.13933236574746033</v>
      </c>
      <c r="U900" s="19">
        <f ca="1">IF('Stock Price'!$I$11="OK",H900/INDEX(H$5:H$1258,'Stock Price'!$I$9)-1,"")</f>
        <v>-0.3939473684210526</v>
      </c>
      <c r="V900" s="19">
        <f ca="1">IF('Stock Price'!$I$11="OK",I900/INDEX(I$5:I$1258,'Stock Price'!$I$9)-1,"")</f>
        <v>-3.0579825258141402E-2</v>
      </c>
      <c r="W900" s="19">
        <f ca="1">IF('Stock Price'!$I$11="OK",J900/INDEX(J$5:J$1258,'Stock Price'!$I$9)-1,"")</f>
        <v>-0.16791625013884248</v>
      </c>
      <c r="X900" s="19">
        <f ca="1">IF('Stock Price'!$I$11="OK",K900/INDEX(K$5:K$1258,'Stock Price'!$I$9)-1,"")</f>
        <v>-6.0980172091283147E-2</v>
      </c>
      <c r="Y900" s="19">
        <f ca="1">IF('Stock Price'!$I$11="OK",L900/INDEX(L$5:L$1258,'Stock Price'!$I$9)-1,"")</f>
        <v>-0.24615384615384617</v>
      </c>
      <c r="Z900" s="19">
        <f ca="1">IF('Stock Price'!$I$11="OK",M900/INDEX(M$5:M$1258,'Stock Price'!$I$9)-1,"")</f>
        <v>-0.14918669050630151</v>
      </c>
    </row>
    <row r="901" spans="1:26" x14ac:dyDescent="0.2">
      <c r="A901" s="16">
        <f>'Stock Price'!A901</f>
        <v>45778</v>
      </c>
      <c r="B901" s="17">
        <f>'Stock Price'!E901</f>
        <v>83.26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-0.21784875528417091</v>
      </c>
      <c r="P901" s="19">
        <f ca="1">IF('Stock Price'!$I$11="OK",C901/INDEX(C$5:C$1258,'Stock Price'!$I$9)-1,"")</f>
        <v>-0.19640537029016891</v>
      </c>
      <c r="Q901" s="19">
        <f ca="1">IF('Stock Price'!$I$11="OK",D901/INDEX(D$5:D$1258,'Stock Price'!$I$9)-1,"")</f>
        <v>-0.23016285753387167</v>
      </c>
      <c r="R901" s="19">
        <f ca="1">IF('Stock Price'!$I$11="OK",E901/INDEX(E$5:E$1258,'Stock Price'!$I$9)-1,"")</f>
        <v>-0.21922224461011486</v>
      </c>
      <c r="S901" s="19">
        <f ca="1">IF('Stock Price'!$I$11="OK",F901/INDEX(F$5:F$1258,'Stock Price'!$I$9)-1,"")</f>
        <v>-0.23070942662779403</v>
      </c>
      <c r="T901" s="19">
        <f ca="1">IF('Stock Price'!$I$11="OK",G901/INDEX(G$5:G$1258,'Stock Price'!$I$9)-1,"")</f>
        <v>0.12170848019904623</v>
      </c>
      <c r="U901" s="19">
        <f ca="1">IF('Stock Price'!$I$11="OK",H901/INDEX(H$5:H$1258,'Stock Price'!$I$9)-1,"")</f>
        <v>-0.3939473684210526</v>
      </c>
      <c r="V901" s="19">
        <f ca="1">IF('Stock Price'!$I$11="OK",I901/INDEX(I$5:I$1258,'Stock Price'!$I$9)-1,"")</f>
        <v>-4.9642573471008755E-2</v>
      </c>
      <c r="W901" s="19">
        <f ca="1">IF('Stock Price'!$I$11="OK",J901/INDEX(J$5:J$1258,'Stock Price'!$I$9)-1,"")</f>
        <v>-0.26496723314450732</v>
      </c>
      <c r="X901" s="19">
        <f ca="1">IF('Stock Price'!$I$11="OK",K901/INDEX(K$5:K$1258,'Stock Price'!$I$9)-1,"")</f>
        <v>-7.2016460905349855E-2</v>
      </c>
      <c r="Y901" s="19">
        <f ca="1">IF('Stock Price'!$I$11="OK",L901/INDEX(L$5:L$1258,'Stock Price'!$I$9)-1,"")</f>
        <v>-0.25507595852423437</v>
      </c>
      <c r="Z901" s="19">
        <f ca="1">IF('Stock Price'!$I$11="OK",M901/INDEX(M$5:M$1258,'Stock Price'!$I$9)-1,"")</f>
        <v>-0.15686189001787976</v>
      </c>
    </row>
    <row r="902" spans="1:26" x14ac:dyDescent="0.2">
      <c r="A902" s="16">
        <f>'Stock Price'!A902</f>
        <v>45779</v>
      </c>
      <c r="B902" s="17">
        <f>'Stock Price'!E902</f>
        <v>83.18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-0.21860028182245184</v>
      </c>
      <c r="P902" s="19">
        <f ca="1">IF('Stock Price'!$I$11="OK",C902/INDEX(C$5:C$1258,'Stock Price'!$I$9)-1,"")</f>
        <v>-0.17503969972571087</v>
      </c>
      <c r="Q902" s="19">
        <f ca="1">IF('Stock Price'!$I$11="OK",D902/INDEX(D$5:D$1258,'Stock Price'!$I$9)-1,"")</f>
        <v>-0.19671547830847136</v>
      </c>
      <c r="R902" s="19">
        <f ca="1">IF('Stock Price'!$I$11="OK",E902/INDEX(E$5:E$1258,'Stock Price'!$I$9)-1,"")</f>
        <v>-0.2127745315333468</v>
      </c>
      <c r="S902" s="19">
        <f ca="1">IF('Stock Price'!$I$11="OK",F902/INDEX(F$5:F$1258,'Stock Price'!$I$9)-1,"")</f>
        <v>-0.20155490767735673</v>
      </c>
      <c r="T902" s="19">
        <f ca="1">IF('Stock Price'!$I$11="OK",G902/INDEX(G$5:G$1258,'Stock Price'!$I$9)-1,"")</f>
        <v>0.14949201741654572</v>
      </c>
      <c r="U902" s="19">
        <f ca="1">IF('Stock Price'!$I$11="OK",H902/INDEX(H$5:H$1258,'Stock Price'!$I$9)-1,"")</f>
        <v>-0.37157894736842112</v>
      </c>
      <c r="V902" s="19">
        <f ca="1">IF('Stock Price'!$I$11="OK",I902/INDEX(I$5:I$1258,'Stock Price'!$I$9)-1,"")</f>
        <v>-3.8919777601270855E-2</v>
      </c>
      <c r="W902" s="19">
        <f ca="1">IF('Stock Price'!$I$11="OK",J902/INDEX(J$5:J$1258,'Stock Price'!$I$9)-1,"")</f>
        <v>-0.23764300788626003</v>
      </c>
      <c r="X902" s="19">
        <f ca="1">IF('Stock Price'!$I$11="OK",K902/INDEX(K$5:K$1258,'Stock Price'!$I$9)-1,"")</f>
        <v>-5.4059109614665202E-2</v>
      </c>
      <c r="Y902" s="19">
        <f ca="1">IF('Stock Price'!$I$11="OK",L902/INDEX(L$5:L$1258,'Stock Price'!$I$9)-1,"")</f>
        <v>-0.24707017120810215</v>
      </c>
      <c r="Z902" s="19">
        <f ca="1">IF('Stock Price'!$I$11="OK",M902/INDEX(M$5:M$1258,'Stock Price'!$I$9)-1,"")</f>
        <v>-0.13449042780515463</v>
      </c>
    </row>
    <row r="903" spans="1:26" x14ac:dyDescent="0.2">
      <c r="A903" s="16">
        <f>'Stock Price'!A903</f>
        <v>45782</v>
      </c>
      <c r="B903" s="17">
        <f>'Stock Price'!E903</f>
        <v>82.84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-0.22179426961014559</v>
      </c>
      <c r="P903" s="19">
        <f ca="1">IF('Stock Price'!$I$11="OK",C903/INDEX(C$5:C$1258,'Stock Price'!$I$9)-1,"")</f>
        <v>-0.18377363938212787</v>
      </c>
      <c r="Q903" s="19">
        <f ca="1">IF('Stock Price'!$I$11="OK",D903/INDEX(D$5:D$1258,'Stock Price'!$I$9)-1,"")</f>
        <v>-0.20098535650745863</v>
      </c>
      <c r="R903" s="19">
        <f ca="1">IF('Stock Price'!$I$11="OK",E903/INDEX(E$5:E$1258,'Stock Price'!$I$9)-1,"")</f>
        <v>-0.21720733427362482</v>
      </c>
      <c r="S903" s="19">
        <f ca="1">IF('Stock Price'!$I$11="OK",F903/INDEX(F$5:F$1258,'Stock Price'!$I$9)-1,"")</f>
        <v>-0.19669582118561724</v>
      </c>
      <c r="T903" s="19">
        <f ca="1">IF('Stock Price'!$I$11="OK",G903/INDEX(G$5:G$1258,'Stock Price'!$I$9)-1,"")</f>
        <v>0.13186813186813207</v>
      </c>
      <c r="U903" s="19">
        <f ca="1">IF('Stock Price'!$I$11="OK",H903/INDEX(H$5:H$1258,'Stock Price'!$I$9)-1,"")</f>
        <v>-0.36315789473684212</v>
      </c>
      <c r="V903" s="19">
        <f ca="1">IF('Stock Price'!$I$11="OK",I903/INDEX(I$5:I$1258,'Stock Price'!$I$9)-1,"")</f>
        <v>-5.2025416997617091E-2</v>
      </c>
      <c r="W903" s="19">
        <f ca="1">IF('Stock Price'!$I$11="OK",J903/INDEX(J$5:J$1258,'Stock Price'!$I$9)-1,"")</f>
        <v>-0.23964234144174157</v>
      </c>
      <c r="X903" s="19">
        <f ca="1">IF('Stock Price'!$I$11="OK",K903/INDEX(K$5:K$1258,'Stock Price'!$I$9)-1,"")</f>
        <v>-6.3598952487841309E-2</v>
      </c>
      <c r="Y903" s="19">
        <f ca="1">IF('Stock Price'!$I$11="OK",L903/INDEX(L$5:L$1258,'Stock Price'!$I$9)-1,"")</f>
        <v>-0.25247166626476969</v>
      </c>
      <c r="Z903" s="19">
        <f ca="1">IF('Stock Price'!$I$11="OK",M903/INDEX(M$5:M$1258,'Stock Price'!$I$9)-1,"")</f>
        <v>-0.14495660895730678</v>
      </c>
    </row>
    <row r="904" spans="1:26" x14ac:dyDescent="0.2">
      <c r="A904" s="16">
        <f>'Stock Price'!A904</f>
        <v>45783</v>
      </c>
      <c r="B904" s="17">
        <f>'Stock Price'!E904</f>
        <v>79.040000000000006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-0.25749178017848751</v>
      </c>
      <c r="P904" s="19">
        <f ca="1">IF('Stock Price'!$I$11="OK",C904/INDEX(C$5:C$1258,'Stock Price'!$I$9)-1,"")</f>
        <v>-0.20203551320918145</v>
      </c>
      <c r="Q904" s="19">
        <f ca="1">IF('Stock Price'!$I$11="OK",D904/INDEX(D$5:D$1258,'Stock Price'!$I$9)-1,"")</f>
        <v>-0.23941426029834412</v>
      </c>
      <c r="R904" s="19">
        <f ca="1">IF('Stock Price'!$I$11="OK",E904/INDEX(E$5:E$1258,'Stock Price'!$I$9)-1,"")</f>
        <v>-0.24440862381624018</v>
      </c>
      <c r="S904" s="19">
        <f ca="1">IF('Stock Price'!$I$11="OK",F904/INDEX(F$5:F$1258,'Stock Price'!$I$9)-1,"")</f>
        <v>-0.20894071914480072</v>
      </c>
      <c r="T904" s="19">
        <f ca="1">IF('Stock Price'!$I$11="OK",G904/INDEX(G$5:G$1258,'Stock Price'!$I$9)-1,"")</f>
        <v>0.10201119635081901</v>
      </c>
      <c r="U904" s="19">
        <f ca="1">IF('Stock Price'!$I$11="OK",H904/INDEX(H$5:H$1258,'Stock Price'!$I$9)-1,"")</f>
        <v>-0.36710526315789471</v>
      </c>
      <c r="V904" s="19">
        <f ca="1">IF('Stock Price'!$I$11="OK",I904/INDEX(I$5:I$1258,'Stock Price'!$I$9)-1,"")</f>
        <v>-9.1342335186656132E-2</v>
      </c>
      <c r="W904" s="19">
        <f ca="1">IF('Stock Price'!$I$11="OK",J904/INDEX(J$5:J$1258,'Stock Price'!$I$9)-1,"")</f>
        <v>-0.28253545114591427</v>
      </c>
      <c r="X904" s="19">
        <f ca="1">IF('Stock Price'!$I$11="OK",K904/INDEX(K$5:K$1258,'Stock Price'!$I$9)-1,"")</f>
        <v>-0.11017583239805462</v>
      </c>
      <c r="Y904" s="19">
        <f ca="1">IF('Stock Price'!$I$11="OK",L904/INDEX(L$5:L$1258,'Stock Price'!$I$9)-1,"")</f>
        <v>-0.2550277308897998</v>
      </c>
      <c r="Z904" s="19">
        <f ca="1">IF('Stock Price'!$I$11="OK",M904/INDEX(M$5:M$1258,'Stock Price'!$I$9)-1,"")</f>
        <v>-0.18385591557280534</v>
      </c>
    </row>
    <row r="905" spans="1:26" x14ac:dyDescent="0.2">
      <c r="A905" s="16">
        <f>'Stock Price'!A905</f>
        <v>45784</v>
      </c>
      <c r="B905" s="17">
        <f>'Stock Price'!E905</f>
        <v>79.12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-0.25674025364020669</v>
      </c>
      <c r="P905" s="19">
        <f ca="1">IF('Stock Price'!$I$11="OK",C905/INDEX(C$5:C$1258,'Stock Price'!$I$9)-1,"")</f>
        <v>-0.1937346614696116</v>
      </c>
      <c r="Q905" s="19">
        <f ca="1">IF('Stock Price'!$I$11="OK",D905/INDEX(D$5:D$1258,'Stock Price'!$I$9)-1,"")</f>
        <v>-0.24094703708772414</v>
      </c>
      <c r="R905" s="19">
        <f ca="1">IF('Stock Price'!$I$11="OK",E905/INDEX(E$5:E$1258,'Stock Price'!$I$9)-1,"")</f>
        <v>-0.25105782792665732</v>
      </c>
      <c r="S905" s="19">
        <f ca="1">IF('Stock Price'!$I$11="OK",F905/INDEX(F$5:F$1258,'Stock Price'!$I$9)-1,"")</f>
        <v>-0.21613216715257544</v>
      </c>
      <c r="T905" s="19">
        <f ca="1">IF('Stock Price'!$I$11="OK",G905/INDEX(G$5:G$1258,'Stock Price'!$I$9)-1,"")</f>
        <v>8.3765291312461354E-2</v>
      </c>
      <c r="U905" s="19">
        <f ca="1">IF('Stock Price'!$I$11="OK",H905/INDEX(H$5:H$1258,'Stock Price'!$I$9)-1,"")</f>
        <v>-0.38315789473684203</v>
      </c>
      <c r="V905" s="19">
        <f ca="1">IF('Stock Price'!$I$11="OK",I905/INDEX(I$5:I$1258,'Stock Price'!$I$9)-1,"")</f>
        <v>-9.4916600476568691E-2</v>
      </c>
      <c r="W905" s="19">
        <f ca="1">IF('Stock Price'!$I$11="OK",J905/INDEX(J$5:J$1258,'Stock Price'!$I$9)-1,"")</f>
        <v>-0.28105446332703909</v>
      </c>
      <c r="X905" s="19">
        <f ca="1">IF('Stock Price'!$I$11="OK",K905/INDEX(K$5:K$1258,'Stock Price'!$I$9)-1,"")</f>
        <v>-0.10924055368499819</v>
      </c>
      <c r="Y905" s="19">
        <f ca="1">IF('Stock Price'!$I$11="OK",L905/INDEX(L$5:L$1258,'Stock Price'!$I$9)-1,"")</f>
        <v>-0.24137931034482751</v>
      </c>
      <c r="Z905" s="19">
        <f ca="1">IF('Stock Price'!$I$11="OK",M905/INDEX(M$5:M$1258,'Stock Price'!$I$9)-1,"")</f>
        <v>-0.17975666128821244</v>
      </c>
    </row>
    <row r="906" spans="1:26" x14ac:dyDescent="0.2">
      <c r="A906" s="16">
        <f>'Stock Price'!A906</f>
        <v>45785</v>
      </c>
      <c r="B906" s="17">
        <f>'Stock Price'!E906</f>
        <v>77.650000000000006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-0.27054955378111789</v>
      </c>
      <c r="P906" s="19">
        <f ca="1">IF('Stock Price'!$I$11="OK",C906/INDEX(C$5:C$1258,'Stock Price'!$I$9)-1,"")</f>
        <v>-0.20506712862711129</v>
      </c>
      <c r="Q906" s="19">
        <f ca="1">IF('Stock Price'!$I$11="OK",D906/INDEX(D$5:D$1258,'Stock Price'!$I$9)-1,"")</f>
        <v>-0.265909949363624</v>
      </c>
      <c r="R906" s="19">
        <f ca="1">IF('Stock Price'!$I$11="OK",E906/INDEX(E$5:E$1258,'Stock Price'!$I$9)-1,"")</f>
        <v>-0.25710255893612743</v>
      </c>
      <c r="S906" s="19">
        <f ca="1">IF('Stock Price'!$I$11="OK",F906/INDEX(F$5:F$1258,'Stock Price'!$I$9)-1,"")</f>
        <v>-0.23984450923226441</v>
      </c>
      <c r="T906" s="19">
        <f ca="1">IF('Stock Price'!$I$11="OK",G906/INDEX(G$5:G$1258,'Stock Price'!$I$9)-1,"")</f>
        <v>8.0862533692722449E-2</v>
      </c>
      <c r="U906" s="19">
        <f ca="1">IF('Stock Price'!$I$11="OK",H906/INDEX(H$5:H$1258,'Stock Price'!$I$9)-1,"")</f>
        <v>-0.38368421052631574</v>
      </c>
      <c r="V906" s="19">
        <f ca="1">IF('Stock Price'!$I$11="OK",I906/INDEX(I$5:I$1258,'Stock Price'!$I$9)-1,"")</f>
        <v>-8.7768069896743461E-2</v>
      </c>
      <c r="W906" s="19">
        <f ca="1">IF('Stock Price'!$I$11="OK",J906/INDEX(J$5:J$1258,'Stock Price'!$I$9)-1,"")</f>
        <v>-0.30444481469139906</v>
      </c>
      <c r="X906" s="19">
        <f ca="1">IF('Stock Price'!$I$11="OK",K906/INDEX(K$5:K$1258,'Stock Price'!$I$9)-1,"")</f>
        <v>-0.12308267863823419</v>
      </c>
      <c r="Y906" s="19">
        <f ca="1">IF('Stock Price'!$I$11="OK",L906/INDEX(L$5:L$1258,'Stock Price'!$I$9)-1,"")</f>
        <v>-0.2492886423920907</v>
      </c>
      <c r="Z906" s="19">
        <f ca="1">IF('Stock Price'!$I$11="OK",M906/INDEX(M$5:M$1258,'Stock Price'!$I$9)-1,"")</f>
        <v>-0.19070254240983819</v>
      </c>
    </row>
    <row r="907" spans="1:26" x14ac:dyDescent="0.2">
      <c r="A907" s="16">
        <f>'Stock Price'!A907</f>
        <v>45786</v>
      </c>
      <c r="B907" s="17">
        <f>'Stock Price'!E907</f>
        <v>75.97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-0.28633161108501648</v>
      </c>
      <c r="P907" s="19">
        <f ca="1">IF('Stock Price'!$I$11="OK",C907/INDEX(C$5:C$1258,'Stock Price'!$I$9)-1,"")</f>
        <v>-0.21538905731196756</v>
      </c>
      <c r="Q907" s="19">
        <f ca="1">IF('Stock Price'!$I$11="OK",D907/INDEX(D$5:D$1258,'Stock Price'!$I$9)-1,"")</f>
        <v>-0.25977829478582182</v>
      </c>
      <c r="R907" s="19">
        <f ca="1">IF('Stock Price'!$I$11="OK",E907/INDEX(E$5:E$1258,'Stock Price'!$I$9)-1,"")</f>
        <v>-0.26213983477735248</v>
      </c>
      <c r="S907" s="19">
        <f ca="1">IF('Stock Price'!$I$11="OK",F907/INDEX(F$5:F$1258,'Stock Price'!$I$9)-1,"")</f>
        <v>-0.25422740524781351</v>
      </c>
      <c r="T907" s="19">
        <f ca="1">IF('Stock Price'!$I$11="OK",G907/INDEX(G$5:G$1258,'Stock Price'!$I$9)-1,"")</f>
        <v>3.4625751606883748E-2</v>
      </c>
      <c r="U907" s="19">
        <f ca="1">IF('Stock Price'!$I$11="OK",H907/INDEX(H$5:H$1258,'Stock Price'!$I$9)-1,"")</f>
        <v>-0.36723684210526308</v>
      </c>
      <c r="V907" s="19">
        <f ca="1">IF('Stock Price'!$I$11="OK",I907/INDEX(I$5:I$1258,'Stock Price'!$I$9)-1,"")</f>
        <v>-0.11517077045274027</v>
      </c>
      <c r="W907" s="19">
        <f ca="1">IF('Stock Price'!$I$11="OK",J907/INDEX(J$5:J$1258,'Stock Price'!$I$9)-1,"")</f>
        <v>-0.32006923618053229</v>
      </c>
      <c r="X907" s="19">
        <f ca="1">IF('Stock Price'!$I$11="OK",K907/INDEX(K$5:K$1258,'Stock Price'!$I$9)-1,"")</f>
        <v>-0.13112607557052003</v>
      </c>
      <c r="Y907" s="19">
        <f ca="1">IF('Stock Price'!$I$11="OK",L907/INDEX(L$5:L$1258,'Stock Price'!$I$9)-1,"")</f>
        <v>-0.2562334217506631</v>
      </c>
      <c r="Z907" s="19">
        <f ca="1">IF('Stock Price'!$I$11="OK",M907/INDEX(M$5:M$1258,'Stock Price'!$I$9)-1,"")</f>
        <v>-0.19497623304696698</v>
      </c>
    </row>
    <row r="908" spans="1:26" x14ac:dyDescent="0.2">
      <c r="A908" s="16">
        <f>'Stock Price'!A908</f>
        <v>45789</v>
      </c>
      <c r="B908" s="17">
        <f>'Stock Price'!E908</f>
        <v>80.430000000000007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-0.24443400657585712</v>
      </c>
      <c r="P908" s="19">
        <f ca="1">IF('Stock Price'!$I$11="OK",C908/INDEX(C$5:C$1258,'Stock Price'!$I$9)-1,"")</f>
        <v>-0.21358452432510455</v>
      </c>
      <c r="Q908" s="19">
        <f ca="1">IF('Stock Price'!$I$11="OK",D908/INDEX(D$5:D$1258,'Stock Price'!$I$9)-1,"")</f>
        <v>-0.25901190639113181</v>
      </c>
      <c r="R908" s="19">
        <f ca="1">IF('Stock Price'!$I$11="OK",E908/INDEX(E$5:E$1258,'Stock Price'!$I$9)-1,"")</f>
        <v>-0.24702800725367735</v>
      </c>
      <c r="S908" s="19">
        <f ca="1">IF('Stock Price'!$I$11="OK",F908/INDEX(F$5:F$1258,'Stock Price'!$I$9)-1,"")</f>
        <v>-0.23517978620019442</v>
      </c>
      <c r="T908" s="19">
        <f ca="1">IF('Stock Price'!$I$11="OK",G908/INDEX(G$5:G$1258,'Stock Price'!$I$9)-1,"")</f>
        <v>5.8677171884719215E-2</v>
      </c>
      <c r="U908" s="19">
        <f ca="1">IF('Stock Price'!$I$11="OK",H908/INDEX(H$5:H$1258,'Stock Price'!$I$9)-1,"")</f>
        <v>-0.36684210526315797</v>
      </c>
      <c r="V908" s="19">
        <f ca="1">IF('Stock Price'!$I$11="OK",I908/INDEX(I$5:I$1258,'Stock Price'!$I$9)-1,"")</f>
        <v>-8.3002382843526568E-2</v>
      </c>
      <c r="W908" s="19">
        <f ca="1">IF('Stock Price'!$I$11="OK",J908/INDEX(J$5:J$1258,'Stock Price'!$I$9)-1,"")</f>
        <v>-0.30063127105779541</v>
      </c>
      <c r="X908" s="19">
        <f ca="1">IF('Stock Price'!$I$11="OK",K908/INDEX(K$5:K$1258,'Stock Price'!$I$9)-1,"")</f>
        <v>-9.8765432098765427E-2</v>
      </c>
      <c r="Y908" s="19">
        <f ca="1">IF('Stock Price'!$I$11="OK",L908/INDEX(L$5:L$1258,'Stock Price'!$I$9)-1,"")</f>
        <v>-0.25661924282613946</v>
      </c>
      <c r="Z908" s="19">
        <f ca="1">IF('Stock Price'!$I$11="OK",M908/INDEX(M$5:M$1258,'Stock Price'!$I$9)-1,"")</f>
        <v>-0.17112206183768697</v>
      </c>
    </row>
    <row r="909" spans="1:26" x14ac:dyDescent="0.2">
      <c r="A909" s="16">
        <f>'Stock Price'!A909</f>
        <v>45790</v>
      </c>
      <c r="B909" s="17">
        <f>'Stock Price'!E909</f>
        <v>76.63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-0.28013151714419926</v>
      </c>
      <c r="P909" s="19">
        <f ca="1">IF('Stock Price'!$I$11="OK",C909/INDEX(C$5:C$1258,'Stock Price'!$I$9)-1,"")</f>
        <v>-0.2288869640537029</v>
      </c>
      <c r="Q909" s="19">
        <f ca="1">IF('Stock Price'!$I$11="OK",D909/INDEX(D$5:D$1258,'Stock Price'!$I$9)-1,"")</f>
        <v>-0.25901190639113181</v>
      </c>
      <c r="R909" s="19">
        <f ca="1">IF('Stock Price'!$I$11="OK",E909/INDEX(E$5:E$1258,'Stock Price'!$I$9)-1,"")</f>
        <v>-0.26758009268587546</v>
      </c>
      <c r="S909" s="19">
        <f ca="1">IF('Stock Price'!$I$11="OK",F909/INDEX(F$5:F$1258,'Stock Price'!$I$9)-1,"")</f>
        <v>-0.25481049562682212</v>
      </c>
      <c r="T909" s="19">
        <f ca="1">IF('Stock Price'!$I$11="OK",G909/INDEX(G$5:G$1258,'Stock Price'!$I$9)-1,"")</f>
        <v>3.5869790586771755E-2</v>
      </c>
      <c r="U909" s="19">
        <f ca="1">IF('Stock Price'!$I$11="OK",H909/INDEX(H$5:H$1258,'Stock Price'!$I$9)-1,"")</f>
        <v>-0.34894736842105267</v>
      </c>
      <c r="V909" s="19">
        <f ca="1">IF('Stock Price'!$I$11="OK",I909/INDEX(I$5:I$1258,'Stock Price'!$I$9)-1,"")</f>
        <v>-9.1739475774424095E-2</v>
      </c>
      <c r="W909" s="19">
        <f ca="1">IF('Stock Price'!$I$11="OK",J909/INDEX(J$5:J$1258,'Stock Price'!$I$9)-1,"")</f>
        <v>-0.30943389240623498</v>
      </c>
      <c r="X909" s="19">
        <f ca="1">IF('Stock Price'!$I$11="OK",K909/INDEX(K$5:K$1258,'Stock Price'!$I$9)-1,"")</f>
        <v>-0.12850729517396176</v>
      </c>
      <c r="Y909" s="19">
        <f ca="1">IF('Stock Price'!$I$11="OK",L909/INDEX(L$5:L$1258,'Stock Price'!$I$9)-1,"")</f>
        <v>-0.28410899445382198</v>
      </c>
      <c r="Z909" s="19">
        <f ca="1">IF('Stock Price'!$I$11="OK",M909/INDEX(M$5:M$1258,'Stock Price'!$I$9)-1,"")</f>
        <v>-0.18014914308141816</v>
      </c>
    </row>
    <row r="910" spans="1:26" x14ac:dyDescent="0.2">
      <c r="A910" s="16">
        <f>'Stock Price'!A910</f>
        <v>45791</v>
      </c>
      <c r="B910" s="17">
        <f>'Stock Price'!E910</f>
        <v>73.47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-0.30981681540629402</v>
      </c>
      <c r="P910" s="19">
        <f ca="1">IF('Stock Price'!$I$11="OK",C910/INDEX(C$5:C$1258,'Stock Price'!$I$9)-1,"")</f>
        <v>-0.24216832683701461</v>
      </c>
      <c r="Q910" s="19">
        <f ca="1">IF('Stock Price'!$I$11="OK",D910/INDEX(D$5:D$1258,'Stock Price'!$I$9)-1,"")</f>
        <v>-0.25901190639113181</v>
      </c>
      <c r="R910" s="19">
        <f ca="1">IF('Stock Price'!$I$11="OK",E910/INDEX(E$5:E$1258,'Stock Price'!$I$9)-1,"")</f>
        <v>-0.27019947612331252</v>
      </c>
      <c r="S910" s="19">
        <f ca="1">IF('Stock Price'!$I$11="OK",F910/INDEX(F$5:F$1258,'Stock Price'!$I$9)-1,"")</f>
        <v>-0.27424684159378032</v>
      </c>
      <c r="T910" s="19">
        <f ca="1">IF('Stock Price'!$I$11="OK",G910/INDEX(G$5:G$1258,'Stock Price'!$I$9)-1,"")</f>
        <v>2.0319303338171446E-2</v>
      </c>
      <c r="U910" s="19">
        <f ca="1">IF('Stock Price'!$I$11="OK",H910/INDEX(H$5:H$1258,'Stock Price'!$I$9)-1,"")</f>
        <v>-0.41657894736842105</v>
      </c>
      <c r="V910" s="19">
        <f ca="1">IF('Stock Price'!$I$11="OK",I910/INDEX(I$5:I$1258,'Stock Price'!$I$9)-1,"")</f>
        <v>-0.12549642573471009</v>
      </c>
      <c r="W910" s="19">
        <f ca="1">IF('Stock Price'!$I$11="OK",J910/INDEX(J$5:J$1258,'Stock Price'!$I$9)-1,"")</f>
        <v>-0.33766522270354327</v>
      </c>
      <c r="X910" s="19">
        <f ca="1">IF('Stock Price'!$I$11="OK",K910/INDEX(K$5:K$1258,'Stock Price'!$I$9)-1,"")</f>
        <v>-0.17471006359895258</v>
      </c>
      <c r="Y910" s="19">
        <f ca="1">IF('Stock Price'!$I$11="OK",L910/INDEX(L$5:L$1258,'Stock Price'!$I$9)-1,"")</f>
        <v>-0.29414034241620435</v>
      </c>
      <c r="Z910" s="19">
        <f ca="1">IF('Stock Price'!$I$11="OK",M910/INDEX(M$5:M$1258,'Stock Price'!$I$9)-1,"")</f>
        <v>-0.22620034015088741</v>
      </c>
    </row>
    <row r="911" spans="1:26" x14ac:dyDescent="0.2">
      <c r="A911" s="16">
        <f>'Stock Price'!A911</f>
        <v>45792</v>
      </c>
      <c r="B911" s="17">
        <f>'Stock Price'!E911</f>
        <v>74.8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-0.29732268670737438</v>
      </c>
      <c r="P911" s="19">
        <f ca="1">IF('Stock Price'!$I$11="OK",C911/INDEX(C$5:C$1258,'Stock Price'!$I$9)-1,"")</f>
        <v>-0.21712140897935617</v>
      </c>
      <c r="Q911" s="19">
        <f ca="1">IF('Stock Price'!$I$11="OK",D911/INDEX(D$5:D$1258,'Stock Price'!$I$9)-1,"")</f>
        <v>-0.25616532092514033</v>
      </c>
      <c r="R911" s="19">
        <f ca="1">IF('Stock Price'!$I$11="OK",E911/INDEX(E$5:E$1258,'Stock Price'!$I$9)-1,"")</f>
        <v>-0.24299818658069716</v>
      </c>
      <c r="S911" s="19">
        <f ca="1">IF('Stock Price'!$I$11="OK",F911/INDEX(F$5:F$1258,'Stock Price'!$I$9)-1,"")</f>
        <v>-0.25364431486880479</v>
      </c>
      <c r="T911" s="19">
        <f ca="1">IF('Stock Price'!$I$11="OK",G911/INDEX(G$5:G$1258,'Stock Price'!$I$9)-1,"")</f>
        <v>5.4530375285092303E-2</v>
      </c>
      <c r="U911" s="19">
        <f ca="1">IF('Stock Price'!$I$11="OK",H911/INDEX(H$5:H$1258,'Stock Price'!$I$9)-1,"")</f>
        <v>-0.39828947368421053</v>
      </c>
      <c r="V911" s="19">
        <f ca="1">IF('Stock Price'!$I$11="OK",I911/INDEX(I$5:I$1258,'Stock Price'!$I$9)-1,"")</f>
        <v>-0.102462271644162</v>
      </c>
      <c r="W911" s="19">
        <f ca="1">IF('Stock Price'!$I$11="OK",J911/INDEX(J$5:J$1258,'Stock Price'!$I$9)-1,"")</f>
        <v>-0.3212540264356325</v>
      </c>
      <c r="X911" s="19">
        <f ca="1">IF('Stock Price'!$I$11="OK",K911/INDEX(K$5:K$1258,'Stock Price'!$I$9)-1,"")</f>
        <v>-0.14309764309764306</v>
      </c>
      <c r="Y911" s="19">
        <f ca="1">IF('Stock Price'!$I$11="OK",L911/INDEX(L$5:L$1258,'Stock Price'!$I$9)-1,"")</f>
        <v>-0.27846636122498181</v>
      </c>
      <c r="Z911" s="19">
        <f ca="1">IF('Stock Price'!$I$11="OK",M911/INDEX(M$5:M$1258,'Stock Price'!$I$9)-1,"")</f>
        <v>-0.20771008678208536</v>
      </c>
    </row>
    <row r="912" spans="1:26" x14ac:dyDescent="0.2">
      <c r="A912" s="16">
        <f>'Stock Price'!A912</f>
        <v>45793</v>
      </c>
      <c r="B912" s="17">
        <f>'Stock Price'!E912</f>
        <v>76.06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-0.28548614372945047</v>
      </c>
      <c r="P912" s="19">
        <f ca="1">IF('Stock Price'!$I$11="OK",C912/INDEX(C$5:C$1258,'Stock Price'!$I$9)-1,"")</f>
        <v>-0.20896491987873533</v>
      </c>
      <c r="Q912" s="19">
        <f ca="1">IF('Stock Price'!$I$11="OK",D912/INDEX(D$5:D$1258,'Stock Price'!$I$9)-1,"")</f>
        <v>-0.26393868892842476</v>
      </c>
      <c r="R912" s="19">
        <f ca="1">IF('Stock Price'!$I$11="OK",E912/INDEX(E$5:E$1258,'Stock Price'!$I$9)-1,"")</f>
        <v>-0.24158774934515415</v>
      </c>
      <c r="S912" s="19">
        <f ca="1">IF('Stock Price'!$I$11="OK",F912/INDEX(F$5:F$1258,'Stock Price'!$I$9)-1,"")</f>
        <v>-0.24139941690962097</v>
      </c>
      <c r="T912" s="19">
        <f ca="1">IF('Stock Price'!$I$11="OK",G912/INDEX(G$5:G$1258,'Stock Price'!$I$9)-1,"")</f>
        <v>7.1532241343562175E-2</v>
      </c>
      <c r="U912" s="19">
        <f ca="1">IF('Stock Price'!$I$11="OK",H912/INDEX(H$5:H$1258,'Stock Price'!$I$9)-1,"")</f>
        <v>-0.39815789473684204</v>
      </c>
      <c r="V912" s="19">
        <f ca="1">IF('Stock Price'!$I$11="OK",I912/INDEX(I$5:I$1258,'Stock Price'!$I$9)-1,"")</f>
        <v>-9.3328038125496504E-2</v>
      </c>
      <c r="W912" s="19">
        <f ca="1">IF('Stock Price'!$I$11="OK",J912/INDEX(J$5:J$1258,'Stock Price'!$I$9)-1,"")</f>
        <v>-0.29894664741382493</v>
      </c>
      <c r="X912" s="19">
        <f ca="1">IF('Stock Price'!$I$11="OK",K912/INDEX(K$5:K$1258,'Stock Price'!$I$9)-1,"")</f>
        <v>-0.12551440329218111</v>
      </c>
      <c r="Y912" s="19">
        <f ca="1">IF('Stock Price'!$I$11="OK",L912/INDEX(L$5:L$1258,'Stock Price'!$I$9)-1,"")</f>
        <v>-0.27017120810224249</v>
      </c>
      <c r="Z912" s="19">
        <f ca="1">IF('Stock Price'!$I$11="OK",M912/INDEX(M$5:M$1258,'Stock Price'!$I$9)-1,"")</f>
        <v>-0.19750556015873699</v>
      </c>
    </row>
    <row r="913" spans="1:26" x14ac:dyDescent="0.2">
      <c r="A913" s="16">
        <f>'Stock Price'!A913</f>
        <v>45796</v>
      </c>
      <c r="B913" s="17">
        <f>'Stock Price'!E913</f>
        <v>77.23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-0.27449506810709257</v>
      </c>
      <c r="P913" s="19">
        <f ca="1">IF('Stock Price'!$I$11="OK",C913/INDEX(C$5:C$1258,'Stock Price'!$I$9)-1,"")</f>
        <v>-0.20088061209758912</v>
      </c>
      <c r="Q913" s="19">
        <f ca="1">IF('Stock Price'!$I$11="OK",D913/INDEX(D$5:D$1258,'Stock Price'!$I$9)-1,"")</f>
        <v>-0.22813740249076231</v>
      </c>
      <c r="R913" s="19">
        <f ca="1">IF('Stock Price'!$I$11="OK",E913/INDEX(E$5:E$1258,'Stock Price'!$I$9)-1,"")</f>
        <v>-0.23514003626838609</v>
      </c>
      <c r="S913" s="19">
        <f ca="1">IF('Stock Price'!$I$11="OK",F913/INDEX(F$5:F$1258,'Stock Price'!$I$9)-1,"")</f>
        <v>-0.23673469387755097</v>
      </c>
      <c r="T913" s="19">
        <f ca="1">IF('Stock Price'!$I$11="OK",G913/INDEX(G$5:G$1258,'Stock Price'!$I$9)-1,"")</f>
        <v>8.3972631142442467E-2</v>
      </c>
      <c r="U913" s="19">
        <f ca="1">IF('Stock Price'!$I$11="OK",H913/INDEX(H$5:H$1258,'Stock Price'!$I$9)-1,"")</f>
        <v>-0.39697368421052637</v>
      </c>
      <c r="V913" s="19">
        <f ca="1">IF('Stock Price'!$I$11="OK",I913/INDEX(I$5:I$1258,'Stock Price'!$I$9)-1,"")</f>
        <v>-8.6576648133439238E-2</v>
      </c>
      <c r="W913" s="19">
        <f ca="1">IF('Stock Price'!$I$11="OK",J913/INDEX(J$5:J$1258,'Stock Price'!$I$9)-1,"")</f>
        <v>-0.30105705505572211</v>
      </c>
      <c r="X913" s="19">
        <f ca="1">IF('Stock Price'!$I$11="OK",K913/INDEX(K$5:K$1258,'Stock Price'!$I$9)-1,"")</f>
        <v>-0.11672278338945008</v>
      </c>
      <c r="Y913" s="19">
        <f ca="1">IF('Stock Price'!$I$11="OK",L913/INDEX(L$5:L$1258,'Stock Price'!$I$9)-1,"")</f>
        <v>-0.26457680250783688</v>
      </c>
      <c r="Z913" s="19">
        <f ca="1">IF('Stock Price'!$I$11="OK",M913/INDEX(M$5:M$1258,'Stock Price'!$I$9)-1,"")</f>
        <v>-0.19013562426409658</v>
      </c>
    </row>
    <row r="914" spans="1:26" x14ac:dyDescent="0.2">
      <c r="A914" s="16">
        <f>'Stock Price'!A914</f>
        <v>45797</v>
      </c>
      <c r="B914" s="17">
        <f>'Stock Price'!E914</f>
        <v>77.97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-0.26754344762799442</v>
      </c>
      <c r="P914" s="19">
        <f ca="1">IF('Stock Price'!$I$11="OK",C914/INDEX(C$5:C$1258,'Stock Price'!$I$9)-1,"")</f>
        <v>-0.18954814494008942</v>
      </c>
      <c r="Q914" s="19">
        <f ca="1">IF('Stock Price'!$I$11="OK",D914/INDEX(D$5:D$1258,'Stock Price'!$I$9)-1,"")</f>
        <v>-0.2408375530313398</v>
      </c>
      <c r="R914" s="19">
        <f ca="1">IF('Stock Price'!$I$11="OK",E914/INDEX(E$5:E$1258,'Stock Price'!$I$9)-1,"")</f>
        <v>-0.22627443078783005</v>
      </c>
      <c r="S914" s="19">
        <f ca="1">IF('Stock Price'!$I$11="OK",F914/INDEX(F$5:F$1258,'Stock Price'!$I$9)-1,"")</f>
        <v>-0.22818270165208943</v>
      </c>
      <c r="T914" s="19">
        <f ca="1">IF('Stock Price'!$I$11="OK",G914/INDEX(G$5:G$1258,'Stock Price'!$I$9)-1,"")</f>
        <v>9.6620360771304314E-2</v>
      </c>
      <c r="U914" s="19">
        <f ca="1">IF('Stock Price'!$I$11="OK",H914/INDEX(H$5:H$1258,'Stock Price'!$I$9)-1,"")</f>
        <v>-0.383421052631579</v>
      </c>
      <c r="V914" s="19">
        <f ca="1">IF('Stock Price'!$I$11="OK",I914/INDEX(I$5:I$1258,'Stock Price'!$I$9)-1,"")</f>
        <v>-6.5925337569499587E-2</v>
      </c>
      <c r="W914" s="19">
        <f ca="1">IF('Stock Price'!$I$11="OK",J914/INDEX(J$5:J$1258,'Stock Price'!$I$9)-1,"")</f>
        <v>-0.30855455588877778</v>
      </c>
      <c r="X914" s="19">
        <f ca="1">IF('Stock Price'!$I$11="OK",K914/INDEX(K$5:K$1258,'Stock Price'!$I$9)-1,"")</f>
        <v>-0.1045641601197157</v>
      </c>
      <c r="Y914" s="19">
        <f ca="1">IF('Stock Price'!$I$11="OK",L914/INDEX(L$5:L$1258,'Stock Price'!$I$9)-1,"")</f>
        <v>-0.25893416927899682</v>
      </c>
      <c r="Z914" s="19">
        <f ca="1">IF('Stock Price'!$I$11="OK",M914/INDEX(M$5:M$1258,'Stock Price'!$I$9)-1,"")</f>
        <v>-0.19388600584361781</v>
      </c>
    </row>
    <row r="915" spans="1:26" x14ac:dyDescent="0.2">
      <c r="A915" s="16">
        <f>'Stock Price'!A915</f>
        <v>45798</v>
      </c>
      <c r="B915" s="17">
        <f>'Stock Price'!E915</f>
        <v>76.98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-0.27684358853922031</v>
      </c>
      <c r="P915" s="19">
        <f ca="1">IF('Stock Price'!$I$11="OK",C915/INDEX(C$5:C$1258,'Stock Price'!$I$9)-1,"")</f>
        <v>-0.18593907896636341</v>
      </c>
      <c r="Q915" s="19">
        <f ca="1">IF('Stock Price'!$I$11="OK",D915/INDEX(D$5:D$1258,'Stock Price'!$I$9)-1,"")</f>
        <v>-0.24324620227179417</v>
      </c>
      <c r="R915" s="19">
        <f ca="1">IF('Stock Price'!$I$11="OK",E915/INDEX(E$5:E$1258,'Stock Price'!$I$9)-1,"")</f>
        <v>-0.22345355631674402</v>
      </c>
      <c r="S915" s="19">
        <f ca="1">IF('Stock Price'!$I$11="OK",F915/INDEX(F$5:F$1258,'Stock Price'!$I$9)-1,"")</f>
        <v>-0.23440233236151609</v>
      </c>
      <c r="T915" s="19">
        <f ca="1">IF('Stock Price'!$I$11="OK",G915/INDEX(G$5:G$1258,'Stock Price'!$I$9)-1,"")</f>
        <v>9.6827700601285649E-2</v>
      </c>
      <c r="U915" s="19">
        <f ca="1">IF('Stock Price'!$I$11="OK",H915/INDEX(H$5:H$1258,'Stock Price'!$I$9)-1,"")</f>
        <v>-0.37592105263157893</v>
      </c>
      <c r="V915" s="19">
        <f ca="1">IF('Stock Price'!$I$11="OK",I915/INDEX(I$5:I$1258,'Stock Price'!$I$9)-1,"")</f>
        <v>-8.498808578236694E-2</v>
      </c>
      <c r="W915" s="19">
        <f ca="1">IF('Stock Price'!$I$11="OK",J915/INDEX(J$5:J$1258,'Stock Price'!$I$9)-1,"")</f>
        <v>-0.32897367544151934</v>
      </c>
      <c r="X915" s="19">
        <f ca="1">IF('Stock Price'!$I$11="OK",K915/INDEX(K$5:K$1258,'Stock Price'!$I$9)-1,"")</f>
        <v>-0.12083800972689862</v>
      </c>
      <c r="Y915" s="19">
        <f ca="1">IF('Stock Price'!$I$11="OK",L915/INDEX(L$5:L$1258,'Stock Price'!$I$9)-1,"")</f>
        <v>-0.26124909573185429</v>
      </c>
      <c r="Z915" s="19">
        <f ca="1">IF('Stock Price'!$I$11="OK",M915/INDEX(M$5:M$1258,'Stock Price'!$I$9)-1,"")</f>
        <v>-0.20718677772447769</v>
      </c>
    </row>
    <row r="916" spans="1:26" x14ac:dyDescent="0.2">
      <c r="A916" s="16">
        <f>'Stock Price'!A916</f>
        <v>45799</v>
      </c>
      <c r="B916" s="17">
        <f>'Stock Price'!E916</f>
        <v>77.84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-0.26876467825270078</v>
      </c>
      <c r="P916" s="19">
        <f ca="1">IF('Stock Price'!$I$11="OK",C916/INDEX(C$5:C$1258,'Stock Price'!$I$9)-1,"")</f>
        <v>-0.18796015591165005</v>
      </c>
      <c r="Q916" s="19">
        <f ca="1">IF('Stock Price'!$I$11="OK",D916/INDEX(D$5:D$1258,'Stock Price'!$I$9)-1,"")</f>
        <v>-0.22748049815245652</v>
      </c>
      <c r="R916" s="19">
        <f ca="1">IF('Stock Price'!$I$11="OK",E916/INDEX(E$5:E$1258,'Stock Price'!$I$9)-1,"")</f>
        <v>-0.2157968970380818</v>
      </c>
      <c r="S916" s="19">
        <f ca="1">IF('Stock Price'!$I$11="OK",F916/INDEX(F$5:F$1258,'Stock Price'!$I$9)-1,"")</f>
        <v>-0.24042759961127314</v>
      </c>
      <c r="T916" s="19">
        <f ca="1">IF('Stock Price'!$I$11="OK",G916/INDEX(G$5:G$1258,'Stock Price'!$I$9)-1,"")</f>
        <v>8.8741447232013382E-2</v>
      </c>
      <c r="U916" s="19">
        <f ca="1">IF('Stock Price'!$I$11="OK",H916/INDEX(H$5:H$1258,'Stock Price'!$I$9)-1,"")</f>
        <v>-0.35894736842105268</v>
      </c>
      <c r="V916" s="19">
        <f ca="1">IF('Stock Price'!$I$11="OK",I916/INDEX(I$5:I$1258,'Stock Price'!$I$9)-1,"")</f>
        <v>-8.498808578236694E-2</v>
      </c>
      <c r="W916" s="19">
        <f ca="1">IF('Stock Price'!$I$11="OK",J916/INDEX(J$5:J$1258,'Stock Price'!$I$9)-1,"")</f>
        <v>-0.33799844496279008</v>
      </c>
      <c r="X916" s="19">
        <f ca="1">IF('Stock Price'!$I$11="OK",K916/INDEX(K$5:K$1258,'Stock Price'!$I$9)-1,"")</f>
        <v>-0.12027684249906467</v>
      </c>
      <c r="Y916" s="19">
        <f ca="1">IF('Stock Price'!$I$11="OK",L916/INDEX(L$5:L$1258,'Stock Price'!$I$9)-1,"")</f>
        <v>-0.26399807089462257</v>
      </c>
      <c r="Z916" s="19">
        <f ca="1">IF('Stock Price'!$I$11="OK",M916/INDEX(M$5:M$1258,'Stock Price'!$I$9)-1,"")</f>
        <v>-0.20395970520256423</v>
      </c>
    </row>
    <row r="917" spans="1:26" x14ac:dyDescent="0.2">
      <c r="A917" s="16">
        <f>'Stock Price'!A917</f>
        <v>45800</v>
      </c>
      <c r="B917" s="17">
        <f>'Stock Price'!E917</f>
        <v>77.58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-0.27120713950211373</v>
      </c>
      <c r="P917" s="19">
        <f ca="1">IF('Stock Price'!$I$11="OK",C917/INDEX(C$5:C$1258,'Stock Price'!$I$9)-1,"")</f>
        <v>-0.18615562292478705</v>
      </c>
      <c r="Q917" s="19">
        <f ca="1">IF('Stock Price'!$I$11="OK",D917/INDEX(D$5:D$1258,'Stock Price'!$I$9)-1,"")</f>
        <v>-0.21582044614752982</v>
      </c>
      <c r="R917" s="19">
        <f ca="1">IF('Stock Price'!$I$11="OK",E917/INDEX(E$5:E$1258,'Stock Price'!$I$9)-1,"")</f>
        <v>-0.22103566391295604</v>
      </c>
      <c r="S917" s="19">
        <f ca="1">IF('Stock Price'!$I$11="OK",F917/INDEX(F$5:F$1258,'Stock Price'!$I$9)-1,"")</f>
        <v>-0.22896015549076776</v>
      </c>
      <c r="T917" s="19">
        <f ca="1">IF('Stock Price'!$I$11="OK",G917/INDEX(G$5:G$1258,'Stock Price'!$I$9)-1,"")</f>
        <v>7.775243624300221E-2</v>
      </c>
      <c r="U917" s="19">
        <f ca="1">IF('Stock Price'!$I$11="OK",H917/INDEX(H$5:H$1258,'Stock Price'!$I$9)-1,"")</f>
        <v>-0.35592105263157892</v>
      </c>
      <c r="V917" s="19">
        <f ca="1">IF('Stock Price'!$I$11="OK",I917/INDEX(I$5:I$1258,'Stock Price'!$I$9)-1,"")</f>
        <v>-7.3868149324860966E-2</v>
      </c>
      <c r="W917" s="19">
        <f ca="1">IF('Stock Price'!$I$11="OK",J917/INDEX(J$5:J$1258,'Stock Price'!$I$9)-1,"")</f>
        <v>-0.33937761486911766</v>
      </c>
      <c r="X917" s="19">
        <f ca="1">IF('Stock Price'!$I$11="OK",K917/INDEX(K$5:K$1258,'Stock Price'!$I$9)-1,"")</f>
        <v>-0.12364384586606803</v>
      </c>
      <c r="Y917" s="19">
        <f ca="1">IF('Stock Price'!$I$11="OK",L917/INDEX(L$5:L$1258,'Stock Price'!$I$9)-1,"")</f>
        <v>-0.26240655895828313</v>
      </c>
      <c r="Z917" s="19">
        <f ca="1">IF('Stock Price'!$I$11="OK",M917/INDEX(M$5:M$1258,'Stock Price'!$I$9)-1,"")</f>
        <v>-0.20081985085691867</v>
      </c>
    </row>
    <row r="918" spans="1:26" x14ac:dyDescent="0.2">
      <c r="A918" s="16">
        <f>'Stock Price'!A918</f>
        <v>45804</v>
      </c>
      <c r="B918" s="17">
        <f>'Stock Price'!E918</f>
        <v>77.59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-0.27111319868482853</v>
      </c>
      <c r="P918" s="19">
        <f ca="1">IF('Stock Price'!$I$11="OK",C918/INDEX(C$5:C$1258,'Stock Price'!$I$9)-1,"")</f>
        <v>-0.18283528222895917</v>
      </c>
      <c r="Q918" s="19">
        <f ca="1">IF('Stock Price'!$I$11="OK",D918/INDEX(D$5:D$1258,'Stock Price'!$I$9)-1,"")</f>
        <v>-0.21185164910359933</v>
      </c>
      <c r="R918" s="19">
        <f ca="1">IF('Stock Price'!$I$11="OK",E918/INDEX(E$5:E$1258,'Stock Price'!$I$9)-1,"")</f>
        <v>-0.20531936328833378</v>
      </c>
      <c r="S918" s="19">
        <f ca="1">IF('Stock Price'!$I$11="OK",F918/INDEX(F$5:F$1258,'Stock Price'!$I$9)-1,"")</f>
        <v>-0.23206997084548109</v>
      </c>
      <c r="T918" s="19">
        <f ca="1">IF('Stock Price'!$I$11="OK",G918/INDEX(G$5:G$1258,'Stock Price'!$I$9)-1,"")</f>
        <v>8.6253369272237368E-2</v>
      </c>
      <c r="U918" s="19">
        <f ca="1">IF('Stock Price'!$I$11="OK",H918/INDEX(H$5:H$1258,'Stock Price'!$I$9)-1,"")</f>
        <v>-0.34394736842105267</v>
      </c>
      <c r="V918" s="19">
        <f ca="1">IF('Stock Price'!$I$11="OK",I918/INDEX(I$5:I$1258,'Stock Price'!$I$9)-1,"")</f>
        <v>-6.2351072279587028E-2</v>
      </c>
      <c r="W918" s="19">
        <f ca="1">IF('Stock Price'!$I$11="OK",J918/INDEX(J$5:J$1258,'Stock Price'!$I$9)-1,"")</f>
        <v>-0.32872375874708426</v>
      </c>
      <c r="X918" s="19">
        <f ca="1">IF('Stock Price'!$I$11="OK",K918/INDEX(K$5:K$1258,'Stock Price'!$I$9)-1,"")</f>
        <v>-0.12289562289562295</v>
      </c>
      <c r="Y918" s="19">
        <f ca="1">IF('Stock Price'!$I$11="OK",L918/INDEX(L$5:L$1258,'Stock Price'!$I$9)-1,"")</f>
        <v>-0.26091150229081261</v>
      </c>
      <c r="Z918" s="19">
        <f ca="1">IF('Stock Price'!$I$11="OK",M918/INDEX(M$5:M$1258,'Stock Price'!$I$9)-1,"")</f>
        <v>-0.19009201517596264</v>
      </c>
    </row>
    <row r="919" spans="1:26" x14ac:dyDescent="0.2">
      <c r="A919" s="16">
        <f>'Stock Price'!A919</f>
        <v>45805</v>
      </c>
      <c r="B919" s="17">
        <f>'Stock Price'!E919</f>
        <v>76.17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-0.28445279473931429</v>
      </c>
      <c r="P919" s="19">
        <f ca="1">IF('Stock Price'!$I$11="OK",C919/INDEX(C$5:C$1258,'Stock Price'!$I$9)-1,"")</f>
        <v>-0.19250757903854476</v>
      </c>
      <c r="Q919" s="19">
        <f ca="1">IF('Stock Price'!$I$11="OK",D919/INDEX(D$5:D$1258,'Stock Price'!$I$9)-1,"")</f>
        <v>-0.21185164910359933</v>
      </c>
      <c r="R919" s="19">
        <f ca="1">IF('Stock Price'!$I$11="OK",E919/INDEX(E$5:E$1258,'Stock Price'!$I$9)-1,"")</f>
        <v>-0.21055813016320779</v>
      </c>
      <c r="S919" s="19">
        <f ca="1">IF('Stock Price'!$I$11="OK",F919/INDEX(F$5:F$1258,'Stock Price'!$I$9)-1,"")</f>
        <v>-0.23673469387755097</v>
      </c>
      <c r="T919" s="19">
        <f ca="1">IF('Stock Price'!$I$11="OK",G919/INDEX(G$5:G$1258,'Stock Price'!$I$9)-1,"")</f>
        <v>7.7959776072983766E-2</v>
      </c>
      <c r="U919" s="19">
        <f ca="1">IF('Stock Price'!$I$11="OK",H919/INDEX(H$5:H$1258,'Stock Price'!$I$9)-1,"")</f>
        <v>-0.35078947368421043</v>
      </c>
      <c r="V919" s="19">
        <f ca="1">IF('Stock Price'!$I$11="OK",I919/INDEX(I$5:I$1258,'Stock Price'!$I$9)-1,"")</f>
        <v>-7.9428117553614008E-2</v>
      </c>
      <c r="W919" s="19">
        <f ca="1">IF('Stock Price'!$I$11="OK",J919/INDEX(J$5:J$1258,'Stock Price'!$I$9)-1,"")</f>
        <v>-0.33412010811211068</v>
      </c>
      <c r="X919" s="19">
        <f ca="1">IF('Stock Price'!$I$11="OK",K919/INDEX(K$5:K$1258,'Stock Price'!$I$9)-1,"")</f>
        <v>-0.12139917695473257</v>
      </c>
      <c r="Y919" s="19">
        <f ca="1">IF('Stock Price'!$I$11="OK",L919/INDEX(L$5:L$1258,'Stock Price'!$I$9)-1,"")</f>
        <v>-0.26486616831444409</v>
      </c>
      <c r="Z919" s="19">
        <f ca="1">IF('Stock Price'!$I$11="OK",M919/INDEX(M$5:M$1258,'Stock Price'!$I$9)-1,"")</f>
        <v>-0.20156120535519606</v>
      </c>
    </row>
    <row r="920" spans="1:26" x14ac:dyDescent="0.2">
      <c r="A920" s="16">
        <f>'Stock Price'!A920</f>
        <v>45806</v>
      </c>
      <c r="B920" s="17">
        <f>'Stock Price'!E920</f>
        <v>76.400000000000006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-0.28229215594175661</v>
      </c>
      <c r="P920" s="19">
        <f ca="1">IF('Stock Price'!$I$11="OK",C920/INDEX(C$5:C$1258,'Stock Price'!$I$9)-1,"")</f>
        <v>-0.18738270535585388</v>
      </c>
      <c r="Q920" s="19">
        <f ca="1">IF('Stock Price'!$I$11="OK",D920/INDEX(D$5:D$1258,'Stock Price'!$I$9)-1,"")</f>
        <v>-0.21664157657041205</v>
      </c>
      <c r="R920" s="19">
        <f ca="1">IF('Stock Price'!$I$11="OK",E920/INDEX(E$5:E$1258,'Stock Price'!$I$9)-1,"")</f>
        <v>-0.19403586540398954</v>
      </c>
      <c r="S920" s="19">
        <f ca="1">IF('Stock Price'!$I$11="OK",F920/INDEX(F$5:F$1258,'Stock Price'!$I$9)-1,"")</f>
        <v>-0.23168124392614187</v>
      </c>
      <c r="T920" s="19">
        <f ca="1">IF('Stock Price'!$I$11="OK",G920/INDEX(G$5:G$1258,'Stock Price'!$I$9)-1,"")</f>
        <v>8.542400995231203E-2</v>
      </c>
      <c r="U920" s="19">
        <f ca="1">IF('Stock Price'!$I$11="OK",H920/INDEX(H$5:H$1258,'Stock Price'!$I$9)-1,"")</f>
        <v>-0.3493421052631579</v>
      </c>
      <c r="V920" s="19">
        <f ca="1">IF('Stock Price'!$I$11="OK",I920/INDEX(I$5:I$1258,'Stock Price'!$I$9)-1,"")</f>
        <v>-6.8705321683876108E-2</v>
      </c>
      <c r="W920" s="19">
        <f ca="1">IF('Stock Price'!$I$11="OK",J920/INDEX(J$5:J$1258,'Stock Price'!$I$9)-1,"")</f>
        <v>-0.33117664482209619</v>
      </c>
      <c r="X920" s="19">
        <f ca="1">IF('Stock Price'!$I$11="OK",K920/INDEX(K$5:K$1258,'Stock Price'!$I$9)-1,"")</f>
        <v>-0.10493827160493829</v>
      </c>
      <c r="Y920" s="19">
        <f ca="1">IF('Stock Price'!$I$11="OK",L920/INDEX(L$5:L$1258,'Stock Price'!$I$9)-1,"")</f>
        <v>-0.25931999035447306</v>
      </c>
      <c r="Z920" s="19">
        <f ca="1">IF('Stock Price'!$I$11="OK",M920/INDEX(M$5:M$1258,'Stock Price'!$I$9)-1,"")</f>
        <v>-0.1905281060573023</v>
      </c>
    </row>
    <row r="921" spans="1:26" x14ac:dyDescent="0.2">
      <c r="A921" s="16">
        <f>'Stock Price'!A921</f>
        <v>45807</v>
      </c>
      <c r="B921" s="17">
        <f>'Stock Price'!E921</f>
        <v>76.84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-0.27815875998121187</v>
      </c>
      <c r="P921" s="19">
        <f ca="1">IF('Stock Price'!$I$11="OK",C921/INDEX(C$5:C$1258,'Stock Price'!$I$9)-1,"")</f>
        <v>-0.16442904576295647</v>
      </c>
      <c r="Q921" s="19">
        <f ca="1">IF('Stock Price'!$I$11="OK",D921/INDEX(D$5:D$1258,'Stock Price'!$I$9)-1,"")</f>
        <v>-0.22540030108115505</v>
      </c>
      <c r="R921" s="19">
        <f ca="1">IF('Stock Price'!$I$11="OK",E921/INDEX(E$5:E$1258,'Stock Price'!$I$9)-1,"")</f>
        <v>-0.17328228893814224</v>
      </c>
      <c r="S921" s="19">
        <f ca="1">IF('Stock Price'!$I$11="OK",F921/INDEX(F$5:F$1258,'Stock Price'!$I$9)-1,"")</f>
        <v>-0.21671525753158416</v>
      </c>
      <c r="T921" s="19">
        <f ca="1">IF('Stock Price'!$I$11="OK",G921/INDEX(G$5:G$1258,'Stock Price'!$I$9)-1,"")</f>
        <v>2.3636740617872798E-2</v>
      </c>
      <c r="U921" s="19">
        <f ca="1">IF('Stock Price'!$I$11="OK",H921/INDEX(H$5:H$1258,'Stock Price'!$I$9)-1,"")</f>
        <v>-0.34907894736842104</v>
      </c>
      <c r="V921" s="19">
        <f ca="1">IF('Stock Price'!$I$11="OK",I921/INDEX(I$5:I$1258,'Stock Price'!$I$9)-1,"")</f>
        <v>-6.711675933280381E-2</v>
      </c>
      <c r="W921" s="19">
        <f ca="1">IF('Stock Price'!$I$11="OK",J921/INDEX(J$5:J$1258,'Stock Price'!$I$9)-1,"")</f>
        <v>-0.31719982228146171</v>
      </c>
      <c r="X921" s="19">
        <f ca="1">IF('Stock Price'!$I$11="OK",K921/INDEX(K$5:K$1258,'Stock Price'!$I$9)-1,"")</f>
        <v>-9.6894874672652453E-2</v>
      </c>
      <c r="Y921" s="19">
        <f ca="1">IF('Stock Price'!$I$11="OK",L921/INDEX(L$5:L$1258,'Stock Price'!$I$9)-1,"")</f>
        <v>-0.25145888594164445</v>
      </c>
      <c r="Z921" s="19">
        <f ca="1">IF('Stock Price'!$I$11="OK",M921/INDEX(M$5:M$1258,'Stock Price'!$I$9)-1,"")</f>
        <v>-0.18839126073873791</v>
      </c>
    </row>
    <row r="922" spans="1:26" x14ac:dyDescent="0.2">
      <c r="A922" s="16">
        <f>'Stock Price'!A922</f>
        <v>45810</v>
      </c>
      <c r="B922" s="17">
        <f>'Stock Price'!E922</f>
        <v>76.25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-0.28370126820103336</v>
      </c>
      <c r="P922" s="19">
        <f ca="1">IF('Stock Price'!$I$11="OK",C922/INDEX(C$5:C$1258,'Stock Price'!$I$9)-1,"")</f>
        <v>-0.1576440017323516</v>
      </c>
      <c r="Q922" s="19">
        <f ca="1">IF('Stock Price'!$I$11="OK",D922/INDEX(D$5:D$1258,'Stock Price'!$I$9)-1,"")</f>
        <v>-0.21992609826194065</v>
      </c>
      <c r="R922" s="19">
        <f ca="1">IF('Stock Price'!$I$11="OK",E922/INDEX(E$5:E$1258,'Stock Price'!$I$9)-1,"")</f>
        <v>-0.1605883538182552</v>
      </c>
      <c r="S922" s="19">
        <f ca="1">IF('Stock Price'!$I$11="OK",F922/INDEX(F$5:F$1258,'Stock Price'!$I$9)-1,"")</f>
        <v>-0.20932944606413995</v>
      </c>
      <c r="T922" s="19">
        <f ca="1">IF('Stock Price'!$I$11="OK",G922/INDEX(G$5:G$1258,'Stock Price'!$I$9)-1,"")</f>
        <v>1.9904623678208555E-2</v>
      </c>
      <c r="U922" s="19">
        <f ca="1">IF('Stock Price'!$I$11="OK",H922/INDEX(H$5:H$1258,'Stock Price'!$I$9)-1,"")</f>
        <v>-0.33842105263157896</v>
      </c>
      <c r="V922" s="19">
        <f ca="1">IF('Stock Price'!$I$11="OK",I922/INDEX(I$5:I$1258,'Stock Price'!$I$9)-1,"")</f>
        <v>-6.8308181096107923E-2</v>
      </c>
      <c r="W922" s="19">
        <f ca="1">IF('Stock Price'!$I$11="OK",J922/INDEX(J$5:J$1258,'Stock Price'!$I$9)-1,"")</f>
        <v>-0.30845273797623007</v>
      </c>
      <c r="X922" s="19">
        <f ca="1">IF('Stock Price'!$I$11="OK",K922/INDEX(K$5:K$1258,'Stock Price'!$I$9)-1,"")</f>
        <v>-8.7355031799476235E-2</v>
      </c>
      <c r="Y922" s="19">
        <f ca="1">IF('Stock Price'!$I$11="OK",L922/INDEX(L$5:L$1258,'Stock Price'!$I$9)-1,"")</f>
        <v>-0.25054256088738847</v>
      </c>
      <c r="Z922" s="19">
        <f ca="1">IF('Stock Price'!$I$11="OK",M922/INDEX(M$5:M$1258,'Stock Price'!$I$9)-1,"")</f>
        <v>-0.18455366098294879</v>
      </c>
    </row>
    <row r="923" spans="1:26" x14ac:dyDescent="0.2">
      <c r="A923" s="16">
        <f>'Stock Price'!A923</f>
        <v>45811</v>
      </c>
      <c r="B923" s="17">
        <f>'Stock Price'!E923</f>
        <v>77.14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-0.27534053546265858</v>
      </c>
      <c r="P923" s="19">
        <f ca="1">IF('Stock Price'!$I$11="OK",C923/INDEX(C$5:C$1258,'Stock Price'!$I$9)-1,"")</f>
        <v>-0.16312978201241513</v>
      </c>
      <c r="Q923" s="19">
        <f ca="1">IF('Stock Price'!$I$11="OK",D923/INDEX(D$5:D$1258,'Stock Price'!$I$9)-1,"")</f>
        <v>-0.22003558231832498</v>
      </c>
      <c r="R923" s="19">
        <f ca="1">IF('Stock Price'!$I$11="OK",E923/INDEX(E$5:E$1258,'Stock Price'!$I$9)-1,"")</f>
        <v>-0.18476727785613545</v>
      </c>
      <c r="S923" s="19">
        <f ca="1">IF('Stock Price'!$I$11="OK",F923/INDEX(F$5:F$1258,'Stock Price'!$I$9)-1,"")</f>
        <v>-0.22293488824101082</v>
      </c>
      <c r="T923" s="19">
        <f ca="1">IF('Stock Price'!$I$11="OK",G923/INDEX(G$5:G$1258,'Stock Price'!$I$9)-1,"")</f>
        <v>1.9904623678208555E-2</v>
      </c>
      <c r="U923" s="19">
        <f ca="1">IF('Stock Price'!$I$11="OK",H923/INDEX(H$5:H$1258,'Stock Price'!$I$9)-1,"")</f>
        <v>-0.34315789473684211</v>
      </c>
      <c r="V923" s="19">
        <f ca="1">IF('Stock Price'!$I$11="OK",I923/INDEX(I$5:I$1258,'Stock Price'!$I$9)-1,"")</f>
        <v>-7.2676727561556742E-2</v>
      </c>
      <c r="W923" s="19">
        <f ca="1">IF('Stock Price'!$I$11="OK",J923/INDEX(J$5:J$1258,'Stock Price'!$I$9)-1,"")</f>
        <v>-0.30506497834055313</v>
      </c>
      <c r="X923" s="19">
        <f ca="1">IF('Stock Price'!$I$11="OK",K923/INDEX(K$5:K$1258,'Stock Price'!$I$9)-1,"")</f>
        <v>-0.10044893378226705</v>
      </c>
      <c r="Y923" s="19">
        <f ca="1">IF('Stock Price'!$I$11="OK",L923/INDEX(L$5:L$1258,'Stock Price'!$I$9)-1,"")</f>
        <v>-0.25526886906197255</v>
      </c>
      <c r="Z923" s="19">
        <f ca="1">IF('Stock Price'!$I$11="OK",M923/INDEX(M$5:M$1258,'Stock Price'!$I$9)-1,"")</f>
        <v>-0.18341982469146567</v>
      </c>
    </row>
    <row r="924" spans="1:26" x14ac:dyDescent="0.2">
      <c r="A924" s="16">
        <f>'Stock Price'!A924</f>
        <v>45812</v>
      </c>
      <c r="B924" s="17">
        <f>'Stock Price'!E924</f>
        <v>78.27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-0.26472522310944113</v>
      </c>
      <c r="P924" s="19">
        <f ca="1">IF('Stock Price'!$I$11="OK",C924/INDEX(C$5:C$1258,'Stock Price'!$I$9)-1,"")</f>
        <v>-0.1559116500649631</v>
      </c>
      <c r="Q924" s="19">
        <f ca="1">IF('Stock Price'!$I$11="OK",D924/INDEX(D$5:D$1258,'Stock Price'!$I$9)-1,"")</f>
        <v>-0.20281921445189555</v>
      </c>
      <c r="R924" s="19">
        <f ca="1">IF('Stock Price'!$I$11="OK",E924/INDEX(E$5:E$1258,'Stock Price'!$I$9)-1,"")</f>
        <v>-0.17791658271206945</v>
      </c>
      <c r="S924" s="19">
        <f ca="1">IF('Stock Price'!$I$11="OK",F924/INDEX(F$5:F$1258,'Stock Price'!$I$9)-1,"")</f>
        <v>-0.20699708454810506</v>
      </c>
      <c r="T924" s="19">
        <f ca="1">IF('Stock Price'!$I$11="OK",G924/INDEX(G$5:G$1258,'Stock Price'!$I$9)-1,"")</f>
        <v>2.6332158407630146E-2</v>
      </c>
      <c r="U924" s="19">
        <f ca="1">IF('Stock Price'!$I$11="OK",H924/INDEX(H$5:H$1258,'Stock Price'!$I$9)-1,"")</f>
        <v>-0.33368421052631581</v>
      </c>
      <c r="V924" s="19">
        <f ca="1">IF('Stock Price'!$I$11="OK",I924/INDEX(I$5:I$1258,'Stock Price'!$I$9)-1,"")</f>
        <v>-7.1088165210484444E-2</v>
      </c>
      <c r="W924" s="19">
        <f ca="1">IF('Stock Price'!$I$11="OK",J924/INDEX(J$5:J$1258,'Stock Price'!$I$9)-1,"")</f>
        <v>-0.29112518049539038</v>
      </c>
      <c r="X924" s="19">
        <f ca="1">IF('Stock Price'!$I$11="OK",K924/INDEX(K$5:K$1258,'Stock Price'!$I$9)-1,"")</f>
        <v>-0.10306771417882521</v>
      </c>
      <c r="Y924" s="19">
        <f ca="1">IF('Stock Price'!$I$11="OK",L924/INDEX(L$5:L$1258,'Stock Price'!$I$9)-1,"")</f>
        <v>-0.26105618519411622</v>
      </c>
      <c r="Z924" s="19">
        <f ca="1">IF('Stock Price'!$I$11="OK",M924/INDEX(M$5:M$1258,'Stock Price'!$I$9)-1,"")</f>
        <v>-0.18302734289825995</v>
      </c>
    </row>
    <row r="925" spans="1:26" x14ac:dyDescent="0.2">
      <c r="A925" s="16">
        <f>'Stock Price'!A925</f>
        <v>45813</v>
      </c>
      <c r="B925" s="17">
        <f>'Stock Price'!E925</f>
        <v>77.62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-0.27083137623297315</v>
      </c>
      <c r="P925" s="19">
        <f ca="1">IF('Stock Price'!$I$11="OK",C925/INDEX(C$5:C$1258,'Stock Price'!$I$9)-1,"")</f>
        <v>-0.14977623790962891</v>
      </c>
      <c r="Q925" s="19">
        <f ca="1">IF('Stock Price'!$I$11="OK",D925/INDEX(D$5:D$1258,'Stock Price'!$I$9)-1,"")</f>
        <v>-0.21855754755713708</v>
      </c>
      <c r="R925" s="19">
        <f ca="1">IF('Stock Price'!$I$11="OK",E925/INDEX(E$5:E$1258,'Stock Price'!$I$9)-1,"")</f>
        <v>-0.17086439653435426</v>
      </c>
      <c r="S925" s="19">
        <f ca="1">IF('Stock Price'!$I$11="OK",F925/INDEX(F$5:F$1258,'Stock Price'!$I$9)-1,"")</f>
        <v>-0.20777453838678339</v>
      </c>
      <c r="T925" s="19">
        <f ca="1">IF('Stock Price'!$I$11="OK",G925/INDEX(G$5:G$1258,'Stock Price'!$I$9)-1,"")</f>
        <v>3.1722993987145065E-2</v>
      </c>
      <c r="U925" s="19">
        <f ca="1">IF('Stock Price'!$I$11="OK",H925/INDEX(H$5:H$1258,'Stock Price'!$I$9)-1,"")</f>
        <v>-0.30447368421052634</v>
      </c>
      <c r="V925" s="19">
        <f ca="1">IF('Stock Price'!$I$11="OK",I925/INDEX(I$5:I$1258,'Stock Price'!$I$9)-1,"")</f>
        <v>-8.1810961080222344E-2</v>
      </c>
      <c r="W925" s="19">
        <f ca="1">IF('Stock Price'!$I$11="OK",J925/INDEX(J$5:J$1258,'Stock Price'!$I$9)-1,"")</f>
        <v>-0.29127327927727797</v>
      </c>
      <c r="X925" s="19">
        <f ca="1">IF('Stock Price'!$I$11="OK",K925/INDEX(K$5:K$1258,'Stock Price'!$I$9)-1,"")</f>
        <v>-0.10512532734754954</v>
      </c>
      <c r="Y925" s="19">
        <f ca="1">IF('Stock Price'!$I$11="OK",L925/INDEX(L$5:L$1258,'Stock Price'!$I$9)-1,"")</f>
        <v>-0.25893416927899682</v>
      </c>
      <c r="Z925" s="19">
        <f ca="1">IF('Stock Price'!$I$11="OK",M925/INDEX(M$5:M$1258,'Stock Price'!$I$9)-1,"")</f>
        <v>-0.18246042475251845</v>
      </c>
    </row>
    <row r="926" spans="1:26" x14ac:dyDescent="0.2">
      <c r="A926" s="16">
        <f>'Stock Price'!A926</f>
        <v>45814</v>
      </c>
      <c r="B926" s="17">
        <f>'Stock Price'!E926</f>
        <v>78.97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-0.25814936589948334</v>
      </c>
      <c r="P926" s="19">
        <f ca="1">IF('Stock Price'!$I$11="OK",C926/INDEX(C$5:C$1258,'Stock Price'!$I$9)-1,"")</f>
        <v>-0.14811606756171503</v>
      </c>
      <c r="Q926" s="19">
        <f ca="1">IF('Stock Price'!$I$11="OK",D926/INDEX(D$5:D$1258,'Stock Price'!$I$9)-1,"")</f>
        <v>-0.2099635965512523</v>
      </c>
      <c r="R926" s="19">
        <f ca="1">IF('Stock Price'!$I$11="OK",E926/INDEX(E$5:E$1258,'Stock Price'!$I$9)-1,"")</f>
        <v>-0.16985694136610918</v>
      </c>
      <c r="S926" s="19">
        <f ca="1">IF('Stock Price'!$I$11="OK",F926/INDEX(F$5:F$1258,'Stock Price'!$I$9)-1,"")</f>
        <v>-0.2058309037900875</v>
      </c>
      <c r="T926" s="19">
        <f ca="1">IF('Stock Price'!$I$11="OK",G926/INDEX(G$5:G$1258,'Stock Price'!$I$9)-1,"")</f>
        <v>4.6444121915820036E-2</v>
      </c>
      <c r="U926" s="19">
        <f ca="1">IF('Stock Price'!$I$11="OK",H926/INDEX(H$5:H$1258,'Stock Price'!$I$9)-1,"")</f>
        <v>-0.30434210526315797</v>
      </c>
      <c r="V926" s="19">
        <f ca="1">IF('Stock Price'!$I$11="OK",I926/INDEX(I$5:I$1258,'Stock Price'!$I$9)-1,"")</f>
        <v>-7.2676727561556742E-2</v>
      </c>
      <c r="W926" s="19">
        <f ca="1">IF('Stock Price'!$I$11="OK",J926/INDEX(J$5:J$1258,'Stock Price'!$I$9)-1,"")</f>
        <v>-0.28738568625273053</v>
      </c>
      <c r="X926" s="19">
        <f ca="1">IF('Stock Price'!$I$11="OK",K926/INDEX(K$5:K$1258,'Stock Price'!$I$9)-1,"")</f>
        <v>-9.4463150018705644E-2</v>
      </c>
      <c r="Y926" s="19">
        <f ca="1">IF('Stock Price'!$I$11="OK",L926/INDEX(L$5:L$1258,'Stock Price'!$I$9)-1,"")</f>
        <v>-0.25232698336146608</v>
      </c>
      <c r="Z926" s="19">
        <f ca="1">IF('Stock Price'!$I$11="OK",M926/INDEX(M$5:M$1258,'Stock Price'!$I$9)-1,"")</f>
        <v>-0.17216867995290219</v>
      </c>
    </row>
    <row r="927" spans="1:26" x14ac:dyDescent="0.2">
      <c r="A927" s="16">
        <f>'Stock Price'!A927</f>
        <v>45817</v>
      </c>
      <c r="B927" s="17">
        <f>'Stock Price'!E927</f>
        <v>79.33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-0.25476749647721941</v>
      </c>
      <c r="P927" s="19">
        <f ca="1">IF('Stock Price'!$I$11="OK",C927/INDEX(C$5:C$1258,'Stock Price'!$I$9)-1,"")</f>
        <v>-0.14811606756171503</v>
      </c>
      <c r="Q927" s="19">
        <f ca="1">IF('Stock Price'!$I$11="OK",D927/INDEX(D$5:D$1258,'Stock Price'!$I$9)-1,"")</f>
        <v>-0.19791980292869849</v>
      </c>
      <c r="R927" s="19">
        <f ca="1">IF('Stock Price'!$I$11="OK",E927/INDEX(E$5:E$1258,'Stock Price'!$I$9)-1,"")</f>
        <v>-0.1767076365101754</v>
      </c>
      <c r="S927" s="19">
        <f ca="1">IF('Stock Price'!$I$11="OK",F927/INDEX(F$5:F$1258,'Stock Price'!$I$9)-1,"")</f>
        <v>-0.20602526724975712</v>
      </c>
      <c r="T927" s="19">
        <f ca="1">IF('Stock Price'!$I$11="OK",G927/INDEX(G$5:G$1258,'Stock Price'!$I$9)-1,"")</f>
        <v>3.1515654157163731E-2</v>
      </c>
      <c r="U927" s="19">
        <f ca="1">IF('Stock Price'!$I$11="OK",H927/INDEX(H$5:H$1258,'Stock Price'!$I$9)-1,"")</f>
        <v>-0.3030263157894737</v>
      </c>
      <c r="V927" s="19">
        <f ca="1">IF('Stock Price'!$I$11="OK",I927/INDEX(I$5:I$1258,'Stock Price'!$I$9)-1,"")</f>
        <v>-4.8054011119936457E-2</v>
      </c>
      <c r="W927" s="19">
        <f ca="1">IF('Stock Price'!$I$11="OK",J927/INDEX(J$5:J$1258,'Stock Price'!$I$9)-1,"")</f>
        <v>-0.28384057166129795</v>
      </c>
      <c r="X927" s="19">
        <f ca="1">IF('Stock Price'!$I$11="OK",K927/INDEX(K$5:K$1258,'Stock Price'!$I$9)-1,"")</f>
        <v>-8.3426861204639047E-2</v>
      </c>
      <c r="Y927" s="19">
        <f ca="1">IF('Stock Price'!$I$11="OK",L927/INDEX(L$5:L$1258,'Stock Price'!$I$9)-1,"")</f>
        <v>-0.25136243067277553</v>
      </c>
      <c r="Z927" s="19">
        <f ca="1">IF('Stock Price'!$I$11="OK",M927/INDEX(M$5:M$1258,'Stock Price'!$I$9)-1,"")</f>
        <v>-0.17509048885787803</v>
      </c>
    </row>
    <row r="928" spans="1:26" x14ac:dyDescent="0.2">
      <c r="A928" s="16">
        <f>'Stock Price'!A928</f>
        <v>45818</v>
      </c>
      <c r="B928" s="17">
        <f>'Stock Price'!E928</f>
        <v>81.349999999999994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-0.23579145138562718</v>
      </c>
      <c r="P928" s="19">
        <f ca="1">IF('Stock Price'!$I$11="OK",C928/INDEX(C$5:C$1258,'Stock Price'!$I$9)-1,"")</f>
        <v>-0.14407391367114186</v>
      </c>
      <c r="Q928" s="19">
        <f ca="1">IF('Stock Price'!$I$11="OK",D928/INDEX(D$5:D$1258,'Stock Price'!$I$9)-1,"")</f>
        <v>-0.19734501163268103</v>
      </c>
      <c r="R928" s="19">
        <f ca="1">IF('Stock Price'!$I$11="OK",E928/INDEX(E$5:E$1258,'Stock Price'!$I$9)-1,"")</f>
        <v>-0.16784203102961925</v>
      </c>
      <c r="S928" s="19">
        <f ca="1">IF('Stock Price'!$I$11="OK",F928/INDEX(F$5:F$1258,'Stock Price'!$I$9)-1,"")</f>
        <v>-0.20174927113702623</v>
      </c>
      <c r="T928" s="19">
        <f ca="1">IF('Stock Price'!$I$11="OK",G928/INDEX(G$5:G$1258,'Stock Price'!$I$9)-1,"")</f>
        <v>3.4211071946921079E-2</v>
      </c>
      <c r="U928" s="19">
        <f ca="1">IF('Stock Price'!$I$11="OK",H928/INDEX(H$5:H$1258,'Stock Price'!$I$9)-1,"")</f>
        <v>-0.29618421052631572</v>
      </c>
      <c r="V928" s="19">
        <f ca="1">IF('Stock Price'!$I$11="OK",I928/INDEX(I$5:I$1258,'Stock Price'!$I$9)-1,"")</f>
        <v>-3.494837172359011E-2</v>
      </c>
      <c r="W928" s="19">
        <f ca="1">IF('Stock Price'!$I$11="OK",J928/INDEX(J$5:J$1258,'Stock Price'!$I$9)-1,"")</f>
        <v>-0.25285090155133461</v>
      </c>
      <c r="X928" s="19">
        <f ca="1">IF('Stock Price'!$I$11="OK",K928/INDEX(K$5:K$1258,'Stock Price'!$I$9)-1,"")</f>
        <v>-6.5282454171343152E-2</v>
      </c>
      <c r="Y928" s="19">
        <f ca="1">IF('Stock Price'!$I$11="OK",L928/INDEX(L$5:L$1258,'Stock Price'!$I$9)-1,"")</f>
        <v>-0.24547865927176271</v>
      </c>
      <c r="Z928" s="19">
        <f ca="1">IF('Stock Price'!$I$11="OK",M928/INDEX(M$5:M$1258,'Stock Price'!$I$9)-1,"")</f>
        <v>-0.17360777986132314</v>
      </c>
    </row>
    <row r="929" spans="1:26" x14ac:dyDescent="0.2">
      <c r="A929" s="16">
        <f>'Stock Price'!A929</f>
        <v>45819</v>
      </c>
      <c r="B929" s="17">
        <f>'Stock Price'!E929</f>
        <v>80.319999999999993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-0.24546735556599353</v>
      </c>
      <c r="P929" s="19">
        <f ca="1">IF('Stock Price'!$I$11="OK",C929/INDEX(C$5:C$1258,'Stock Price'!$I$9)-1,"")</f>
        <v>-0.14775516096434238</v>
      </c>
      <c r="Q929" s="19">
        <f ca="1">IF('Stock Price'!$I$11="OK",D929/INDEX(D$5:D$1258,'Stock Price'!$I$9)-1,"")</f>
        <v>-0.18864102915013004</v>
      </c>
      <c r="R929" s="19">
        <f ca="1">IF('Stock Price'!$I$11="OK",E929/INDEX(E$5:E$1258,'Stock Price'!$I$9)-1,"")</f>
        <v>-0.1613943179528512</v>
      </c>
      <c r="S929" s="19">
        <f ca="1">IF('Stock Price'!$I$11="OK",F929/INDEX(F$5:F$1258,'Stock Price'!$I$9)-1,"")</f>
        <v>-0.20136054421768701</v>
      </c>
      <c r="T929" s="19">
        <f ca="1">IF('Stock Price'!$I$11="OK",G929/INDEX(G$5:G$1258,'Stock Price'!$I$9)-1,"")</f>
        <v>3.0478955007257058E-2</v>
      </c>
      <c r="U929" s="19">
        <f ca="1">IF('Stock Price'!$I$11="OK",H929/INDEX(H$5:H$1258,'Stock Price'!$I$9)-1,"")</f>
        <v>-0.26960526315789479</v>
      </c>
      <c r="V929" s="19">
        <f ca="1">IF('Stock Price'!$I$11="OK",I929/INDEX(I$5:I$1258,'Stock Price'!$I$9)-1,"")</f>
        <v>-2.7799841143764881E-2</v>
      </c>
      <c r="W929" s="19">
        <f ca="1">IF('Stock Price'!$I$11="OK",J929/INDEX(J$5:J$1258,'Stock Price'!$I$9)-1,"")</f>
        <v>-0.25153652486208289</v>
      </c>
      <c r="X929" s="19">
        <f ca="1">IF('Stock Price'!$I$11="OK",K929/INDEX(K$5:K$1258,'Stock Price'!$I$9)-1,"")</f>
        <v>-6.1728395061728447E-2</v>
      </c>
      <c r="Y929" s="19">
        <f ca="1">IF('Stock Price'!$I$11="OK",L929/INDEX(L$5:L$1258,'Stock Price'!$I$9)-1,"")</f>
        <v>-0.25121774776947192</v>
      </c>
      <c r="Z929" s="19">
        <f ca="1">IF('Stock Price'!$I$11="OK",M929/INDEX(M$5:M$1258,'Stock Price'!$I$9)-1,"")</f>
        <v>-0.16488596223452967</v>
      </c>
    </row>
    <row r="930" spans="1:26" x14ac:dyDescent="0.2">
      <c r="A930" s="16">
        <f>'Stock Price'!A930</f>
        <v>45820</v>
      </c>
      <c r="B930" s="17">
        <f>'Stock Price'!E930</f>
        <v>81.819999999999993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-0.23137623297322696</v>
      </c>
      <c r="P930" s="19">
        <f ca="1">IF('Stock Price'!$I$11="OK",C930/INDEX(C$5:C$1258,'Stock Price'!$I$9)-1,"")</f>
        <v>-0.12826620470622196</v>
      </c>
      <c r="Q930" s="19">
        <f ca="1">IF('Stock Price'!$I$11="OK",D930/INDEX(D$5:D$1258,'Stock Price'!$I$9)-1,"")</f>
        <v>-0.17829533324209679</v>
      </c>
      <c r="R930" s="19">
        <f ca="1">IF('Stock Price'!$I$11="OK",E930/INDEX(E$5:E$1258,'Stock Price'!$I$9)-1,"")</f>
        <v>-0.14386459802538787</v>
      </c>
      <c r="S930" s="19">
        <f ca="1">IF('Stock Price'!$I$11="OK",F930/INDEX(F$5:F$1258,'Stock Price'!$I$9)-1,"")</f>
        <v>-0.18464528668610303</v>
      </c>
      <c r="T930" s="19">
        <f ca="1">IF('Stock Price'!$I$11="OK",G930/INDEX(G$5:G$1258,'Stock Price'!$I$9)-1,"")</f>
        <v>5.3908355795148299E-2</v>
      </c>
      <c r="U930" s="19">
        <f ca="1">IF('Stock Price'!$I$11="OK",H930/INDEX(H$5:H$1258,'Stock Price'!$I$9)-1,"")</f>
        <v>-0.2678947368421053</v>
      </c>
      <c r="V930" s="19">
        <f ca="1">IF('Stock Price'!$I$11="OK",I930/INDEX(I$5:I$1258,'Stock Price'!$I$9)-1,"")</f>
        <v>-1.3502779984114421E-2</v>
      </c>
      <c r="W930" s="19">
        <f ca="1">IF('Stock Price'!$I$11="OK",J930/INDEX(J$5:J$1258,'Stock Price'!$I$9)-1,"")</f>
        <v>-0.24837091339923723</v>
      </c>
      <c r="X930" s="19">
        <f ca="1">IF('Stock Price'!$I$11="OK",K930/INDEX(K$5:K$1258,'Stock Price'!$I$9)-1,"")</f>
        <v>-5.1814440703329634E-2</v>
      </c>
      <c r="Y930" s="19">
        <f ca="1">IF('Stock Price'!$I$11="OK",L930/INDEX(L$5:L$1258,'Stock Price'!$I$9)-1,"")</f>
        <v>-0.24446587894863758</v>
      </c>
      <c r="Z930" s="19">
        <f ca="1">IF('Stock Price'!$I$11="OK",M930/INDEX(M$5:M$1258,'Stock Price'!$I$9)-1,"")</f>
        <v>-0.16087392612620477</v>
      </c>
    </row>
    <row r="931" spans="1:26" x14ac:dyDescent="0.2">
      <c r="A931" s="16">
        <f>'Stock Price'!A931</f>
        <v>45821</v>
      </c>
      <c r="B931" s="17">
        <f>'Stock Price'!E931</f>
        <v>81.709999999999994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-0.23240958196336314</v>
      </c>
      <c r="P931" s="19">
        <f ca="1">IF('Stock Price'!$I$11="OK",C931/INDEX(C$5:C$1258,'Stock Price'!$I$9)-1,"")</f>
        <v>-0.13779413887685865</v>
      </c>
      <c r="Q931" s="19">
        <f ca="1">IF('Stock Price'!$I$11="OK",D931/INDEX(D$5:D$1258,'Stock Price'!$I$9)-1,"")</f>
        <v>-0.1895995620637746</v>
      </c>
      <c r="R931" s="19">
        <f ca="1">IF('Stock Price'!$I$11="OK",E931/INDEX(E$5:E$1258,'Stock Price'!$I$9)-1,"")</f>
        <v>-0.1767076365101754</v>
      </c>
      <c r="S931" s="19">
        <f ca="1">IF('Stock Price'!$I$11="OK",F931/INDEX(F$5:F$1258,'Stock Price'!$I$9)-1,"")</f>
        <v>-0.19689018464528674</v>
      </c>
      <c r="T931" s="19">
        <f ca="1">IF('Stock Price'!$I$11="OK",G931/INDEX(G$5:G$1258,'Stock Price'!$I$9)-1,"")</f>
        <v>2.9856935517313055E-2</v>
      </c>
      <c r="U931" s="19">
        <f ca="1">IF('Stock Price'!$I$11="OK",H931/INDEX(H$5:H$1258,'Stock Price'!$I$9)-1,"")</f>
        <v>-0.27684210526315789</v>
      </c>
      <c r="V931" s="19">
        <f ca="1">IF('Stock Price'!$I$11="OK",I931/INDEX(I$5:I$1258,'Stock Price'!$I$9)-1,"")</f>
        <v>-2.5416997617156545E-2</v>
      </c>
      <c r="W931" s="19">
        <f ca="1">IF('Stock Price'!$I$11="OK",J931/INDEX(J$5:J$1258,'Stock Price'!$I$9)-1,"")</f>
        <v>-0.24158613795401529</v>
      </c>
      <c r="X931" s="19">
        <f ca="1">IF('Stock Price'!$I$11="OK",K931/INDEX(K$5:K$1258,'Stock Price'!$I$9)-1,"")</f>
        <v>-6.9397680508791582E-2</v>
      </c>
      <c r="Y931" s="19">
        <f ca="1">IF('Stock Price'!$I$11="OK",L931/INDEX(L$5:L$1258,'Stock Price'!$I$9)-1,"")</f>
        <v>-0.24234386303351818</v>
      </c>
      <c r="Z931" s="19">
        <f ca="1">IF('Stock Price'!$I$11="OK",M931/INDEX(M$5:M$1258,'Stock Price'!$I$9)-1,"")</f>
        <v>-0.16671754393615623</v>
      </c>
    </row>
    <row r="932" spans="1:26" x14ac:dyDescent="0.2">
      <c r="A932" s="16">
        <f>'Stock Price'!A932</f>
        <v>45824</v>
      </c>
      <c r="B932" s="17">
        <f>'Stock Price'!E932</f>
        <v>80.959999999999994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-0.23945514325974648</v>
      </c>
      <c r="P932" s="19">
        <f ca="1">IF('Stock Price'!$I$11="OK",C932/INDEX(C$5:C$1258,'Stock Price'!$I$9)-1,"")</f>
        <v>-0.14761079832539337</v>
      </c>
      <c r="Q932" s="19">
        <f ca="1">IF('Stock Price'!$I$11="OK",D932/INDEX(D$5:D$1258,'Stock Price'!$I$9)-1,"")</f>
        <v>-0.18790201176953614</v>
      </c>
      <c r="R932" s="19">
        <f ca="1">IF('Stock Price'!$I$11="OK",E932/INDEX(E$5:E$1258,'Stock Price'!$I$9)-1,"")</f>
        <v>-0.18416280475518843</v>
      </c>
      <c r="S932" s="19">
        <f ca="1">IF('Stock Price'!$I$11="OK",F932/INDEX(F$5:F$1258,'Stock Price'!$I$9)-1,"")</f>
        <v>-0.21943634596695827</v>
      </c>
      <c r="T932" s="19">
        <f ca="1">IF('Stock Price'!$I$11="OK",G932/INDEX(G$5:G$1258,'Stock Price'!$I$9)-1,"")</f>
        <v>2.4466099937798136E-2</v>
      </c>
      <c r="U932" s="19">
        <f ca="1">IF('Stock Price'!$I$11="OK",H932/INDEX(H$5:H$1258,'Stock Price'!$I$9)-1,"")</f>
        <v>-0.27434210526315794</v>
      </c>
      <c r="V932" s="19">
        <f ca="1">IF('Stock Price'!$I$11="OK",I932/INDEX(I$5:I$1258,'Stock Price'!$I$9)-1,"")</f>
        <v>-3.0976965845909477E-2</v>
      </c>
      <c r="W932" s="19">
        <f ca="1">IF('Stock Price'!$I$11="OK",J932/INDEX(J$5:J$1258,'Stock Price'!$I$9)-1,"")</f>
        <v>-0.25248991077048377</v>
      </c>
      <c r="X932" s="19">
        <f ca="1">IF('Stock Price'!$I$11="OK",K932/INDEX(K$5:K$1258,'Stock Price'!$I$9)-1,"")</f>
        <v>-8.9786756453423155E-2</v>
      </c>
      <c r="Y932" s="19">
        <f ca="1">IF('Stock Price'!$I$11="OK",L932/INDEX(L$5:L$1258,'Stock Price'!$I$9)-1,"")</f>
        <v>-0.25141065830720999</v>
      </c>
      <c r="Z932" s="19">
        <f ca="1">IF('Stock Price'!$I$11="OK",M932/INDEX(M$5:M$1258,'Stock Price'!$I$9)-1,"")</f>
        <v>-0.16767694387510357</v>
      </c>
    </row>
    <row r="933" spans="1:26" x14ac:dyDescent="0.2">
      <c r="A933" s="16">
        <f>'Stock Price'!A933</f>
        <v>45825</v>
      </c>
      <c r="B933" s="17">
        <f>'Stock Price'!E933</f>
        <v>78.28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-0.26463128229215593</v>
      </c>
      <c r="P933" s="19">
        <f ca="1">IF('Stock Price'!$I$11="OK",C933/INDEX(C$5:C$1258,'Stock Price'!$I$9)-1,"")</f>
        <v>-0.15973725999711275</v>
      </c>
      <c r="Q933" s="19">
        <f ca="1">IF('Stock Price'!$I$11="OK",D933/INDEX(D$5:D$1258,'Stock Price'!$I$9)-1,"")</f>
        <v>-0.22830162857533876</v>
      </c>
      <c r="R933" s="19">
        <f ca="1">IF('Stock Price'!$I$11="OK",E933/INDEX(E$5:E$1258,'Stock Price'!$I$9)-1,"")</f>
        <v>-0.19967761434616171</v>
      </c>
      <c r="S933" s="19">
        <f ca="1">IF('Stock Price'!$I$11="OK",F933/INDEX(F$5:F$1258,'Stock Price'!$I$9)-1,"")</f>
        <v>-0.22215743440233238</v>
      </c>
      <c r="T933" s="19">
        <f ca="1">IF('Stock Price'!$I$11="OK",G933/INDEX(G$5:G$1258,'Stock Price'!$I$9)-1,"")</f>
        <v>-2.0733982998133449E-4</v>
      </c>
      <c r="U933" s="19">
        <f ca="1">IF('Stock Price'!$I$11="OK",H933/INDEX(H$5:H$1258,'Stock Price'!$I$9)-1,"")</f>
        <v>-0.28526315789473689</v>
      </c>
      <c r="V933" s="19">
        <f ca="1">IF('Stock Price'!$I$11="OK",I933/INDEX(I$5:I$1258,'Stock Price'!$I$9)-1,"")</f>
        <v>-4.6862589356632234E-2</v>
      </c>
      <c r="W933" s="19">
        <f ca="1">IF('Stock Price'!$I$11="OK",J933/INDEX(J$5:J$1258,'Stock Price'!$I$9)-1,"")</f>
        <v>-0.26761449887074673</v>
      </c>
      <c r="X933" s="19">
        <f ca="1">IF('Stock Price'!$I$11="OK",K933/INDEX(K$5:K$1258,'Stock Price'!$I$9)-1,"")</f>
        <v>-0.11653572764683884</v>
      </c>
      <c r="Y933" s="19">
        <f ca="1">IF('Stock Price'!$I$11="OK",L933/INDEX(L$5:L$1258,'Stock Price'!$I$9)-1,"")</f>
        <v>-0.26510730648661684</v>
      </c>
      <c r="Z933" s="19">
        <f ca="1">IF('Stock Price'!$I$11="OK",M933/INDEX(M$5:M$1258,'Stock Price'!$I$9)-1,"")</f>
        <v>-0.19113863329117797</v>
      </c>
    </row>
    <row r="934" spans="1:26" x14ac:dyDescent="0.2">
      <c r="A934" s="16">
        <f>'Stock Price'!A934</f>
        <v>45826</v>
      </c>
      <c r="B934" s="17">
        <f>'Stock Price'!E934</f>
        <v>79.290000000000006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-0.25514325974635976</v>
      </c>
      <c r="P934" s="19">
        <f ca="1">IF('Stock Price'!$I$11="OK",C934/INDEX(C$5:C$1258,'Stock Price'!$I$9)-1,"")</f>
        <v>-0.16298541937346611</v>
      </c>
      <c r="Q934" s="19">
        <f ca="1">IF('Stock Price'!$I$11="OK",D934/INDEX(D$5:D$1258,'Stock Price'!$I$9)-1,"")</f>
        <v>-0.2139044751608048</v>
      </c>
      <c r="R934" s="19">
        <f ca="1">IF('Stock Price'!$I$11="OK",E934/INDEX(E$5:E$1258,'Stock Price'!$I$9)-1,"")</f>
        <v>-0.22143864598025387</v>
      </c>
      <c r="S934" s="19">
        <f ca="1">IF('Stock Price'!$I$11="OK",F934/INDEX(F$5:F$1258,'Stock Price'!$I$9)-1,"")</f>
        <v>-0.2299319727891157</v>
      </c>
      <c r="T934" s="19">
        <f ca="1">IF('Stock Price'!$I$11="OK",G934/INDEX(G$5:G$1258,'Stock Price'!$I$9)-1,"")</f>
        <v>-1.2647729628861737E-2</v>
      </c>
      <c r="U934" s="19">
        <f ca="1">IF('Stock Price'!$I$11="OK",H934/INDEX(H$5:H$1258,'Stock Price'!$I$9)-1,"")</f>
        <v>-0.2840789473684211</v>
      </c>
      <c r="V934" s="19">
        <f ca="1">IF('Stock Price'!$I$11="OK",I934/INDEX(I$5:I$1258,'Stock Price'!$I$9)-1,"")</f>
        <v>-5.1628276409849128E-2</v>
      </c>
      <c r="W934" s="19">
        <f ca="1">IF('Stock Price'!$I$11="OK",J934/INDEX(J$5:J$1258,'Stock Price'!$I$9)-1,"")</f>
        <v>-0.27336258284275605</v>
      </c>
      <c r="X934" s="19">
        <f ca="1">IF('Stock Price'!$I$11="OK",K934/INDEX(K$5:K$1258,'Stock Price'!$I$9)-1,"")</f>
        <v>-0.12383090160867938</v>
      </c>
      <c r="Y934" s="19">
        <f ca="1">IF('Stock Price'!$I$11="OK",L934/INDEX(L$5:L$1258,'Stock Price'!$I$9)-1,"")</f>
        <v>-0.27306486616831449</v>
      </c>
      <c r="Z934" s="19">
        <f ca="1">IF('Stock Price'!$I$11="OK",M934/INDEX(M$5:M$1258,'Stock Price'!$I$9)-1,"")</f>
        <v>-0.19109502420304392</v>
      </c>
    </row>
    <row r="935" spans="1:26" x14ac:dyDescent="0.2">
      <c r="A935" s="16">
        <f>'Stock Price'!A935</f>
        <v>45828</v>
      </c>
      <c r="B935" s="17">
        <f>'Stock Price'!E935</f>
        <v>79.06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-0.25730389854391733</v>
      </c>
      <c r="P935" s="19">
        <f ca="1">IF('Stock Price'!$I$11="OK",C935/INDEX(C$5:C$1258,'Stock Price'!$I$9)-1,"")</f>
        <v>-0.16435686444348196</v>
      </c>
      <c r="Q935" s="19">
        <f ca="1">IF('Stock Price'!$I$11="OK",D935/INDEX(D$5:D$1258,'Stock Price'!$I$9)-1,"")</f>
        <v>-0.23530806076365129</v>
      </c>
      <c r="R935" s="19">
        <f ca="1">IF('Stock Price'!$I$11="OK",E935/INDEX(E$5:E$1258,'Stock Price'!$I$9)-1,"")</f>
        <v>-0.23292363489824708</v>
      </c>
      <c r="S935" s="19">
        <f ca="1">IF('Stock Price'!$I$11="OK",F935/INDEX(F$5:F$1258,'Stock Price'!$I$9)-1,"")</f>
        <v>-0.23809523809523814</v>
      </c>
      <c r="T935" s="19">
        <f ca="1">IF('Stock Price'!$I$11="OK",G935/INDEX(G$5:G$1258,'Stock Price'!$I$9)-1,"")</f>
        <v>-7.6715737093094871E-3</v>
      </c>
      <c r="U935" s="19">
        <f ca="1">IF('Stock Price'!$I$11="OK",H935/INDEX(H$5:H$1258,'Stock Price'!$I$9)-1,"")</f>
        <v>-0.29776315789473684</v>
      </c>
      <c r="V935" s="19">
        <f ca="1">IF('Stock Price'!$I$11="OK",I935/INDEX(I$5:I$1258,'Stock Price'!$I$9)-1,"")</f>
        <v>-4.8054011119936457E-2</v>
      </c>
      <c r="W935" s="19">
        <f ca="1">IF('Stock Price'!$I$11="OK",J935/INDEX(J$5:J$1258,'Stock Price'!$I$9)-1,"")</f>
        <v>-0.29400385056832901</v>
      </c>
      <c r="X935" s="19">
        <f ca="1">IF('Stock Price'!$I$11="OK",K935/INDEX(K$5:K$1258,'Stock Price'!$I$9)-1,"")</f>
        <v>-0.12345679012345678</v>
      </c>
      <c r="Y935" s="19">
        <f ca="1">IF('Stock Price'!$I$11="OK",L935/INDEX(L$5:L$1258,'Stock Price'!$I$9)-1,"")</f>
        <v>-0.27759826380516039</v>
      </c>
      <c r="Z935" s="19">
        <f ca="1">IF('Stock Price'!$I$11="OK",M935/INDEX(M$5:M$1258,'Stock Price'!$I$9)-1,"")</f>
        <v>-0.1919235968775892</v>
      </c>
    </row>
    <row r="936" spans="1:26" x14ac:dyDescent="0.2">
      <c r="A936" s="16">
        <f>'Stock Price'!A936</f>
        <v>45831</v>
      </c>
      <c r="B936" s="17">
        <f>'Stock Price'!E936</f>
        <v>80.16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-0.24697040864255526</v>
      </c>
      <c r="P936" s="19">
        <f ca="1">IF('Stock Price'!$I$11="OK",C936/INDEX(C$5:C$1258,'Stock Price'!$I$9)-1,"")</f>
        <v>-0.15172513353544104</v>
      </c>
      <c r="Q936" s="19">
        <f ca="1">IF('Stock Price'!$I$11="OK",D936/INDEX(D$5:D$1258,'Stock Price'!$I$9)-1,"")</f>
        <v>-0.22260845764335579</v>
      </c>
      <c r="R936" s="19">
        <f ca="1">IF('Stock Price'!$I$11="OK",E936/INDEX(E$5:E$1258,'Stock Price'!$I$9)-1,"")</f>
        <v>-0.22909530525891608</v>
      </c>
      <c r="S936" s="19">
        <f ca="1">IF('Stock Price'!$I$11="OK",F936/INDEX(F$5:F$1258,'Stock Price'!$I$9)-1,"")</f>
        <v>-0.22176870748299327</v>
      </c>
      <c r="T936" s="19">
        <f ca="1">IF('Stock Price'!$I$11="OK",G936/INDEX(G$5:G$1258,'Stock Price'!$I$9)-1,"")</f>
        <v>-1.0366991499066724E-3</v>
      </c>
      <c r="U936" s="19">
        <f ca="1">IF('Stock Price'!$I$11="OK",H936/INDEX(H$5:H$1258,'Stock Price'!$I$9)-1,"")</f>
        <v>-0.30960526315789472</v>
      </c>
      <c r="V936" s="19">
        <f ca="1">IF('Stock Price'!$I$11="OK",I936/INDEX(I$5:I$1258,'Stock Price'!$I$9)-1,"")</f>
        <v>-4.567116759332801E-2</v>
      </c>
      <c r="W936" s="19">
        <f ca="1">IF('Stock Price'!$I$11="OK",J936/INDEX(J$5:J$1258,'Stock Price'!$I$9)-1,"")</f>
        <v>-0.28668221703876484</v>
      </c>
      <c r="X936" s="19">
        <f ca="1">IF('Stock Price'!$I$11="OK",K936/INDEX(K$5:K$1258,'Stock Price'!$I$9)-1,"")</f>
        <v>-0.122334455667789</v>
      </c>
      <c r="Y936" s="19">
        <f ca="1">IF('Stock Price'!$I$11="OK",L936/INDEX(L$5:L$1258,'Stock Price'!$I$9)-1,"")</f>
        <v>-0.27021943573667717</v>
      </c>
      <c r="Z936" s="19">
        <f ca="1">IF('Stock Price'!$I$11="OK",M936/INDEX(M$5:M$1258,'Stock Price'!$I$9)-1,"")</f>
        <v>-0.19863939645022022</v>
      </c>
    </row>
    <row r="937" spans="1:26" x14ac:dyDescent="0.2">
      <c r="A937" s="16">
        <f>'Stock Price'!A937</f>
        <v>45832</v>
      </c>
      <c r="B937" s="17">
        <f>'Stock Price'!E937</f>
        <v>80.319999999999993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-0.24546735556599353</v>
      </c>
      <c r="P937" s="19">
        <f ca="1">IF('Stock Price'!$I$11="OK",C937/INDEX(C$5:C$1258,'Stock Price'!$I$9)-1,"")</f>
        <v>-0.14226938068427886</v>
      </c>
      <c r="Q937" s="19">
        <f ca="1">IF('Stock Price'!$I$11="OK",D937/INDEX(D$5:D$1258,'Stock Price'!$I$9)-1,"")</f>
        <v>-0.22260845764335579</v>
      </c>
      <c r="R937" s="19">
        <f ca="1">IF('Stock Price'!$I$11="OK",E937/INDEX(E$5:E$1258,'Stock Price'!$I$9)-1,"")</f>
        <v>-0.22063268184565787</v>
      </c>
      <c r="S937" s="19">
        <f ca="1">IF('Stock Price'!$I$11="OK",F937/INDEX(F$5:F$1258,'Stock Price'!$I$9)-1,"")</f>
        <v>-0.20719144800777456</v>
      </c>
      <c r="T937" s="19">
        <f ca="1">IF('Stock Price'!$I$11="OK",G937/INDEX(G$5:G$1258,'Stock Price'!$I$9)-1,"")</f>
        <v>3.9394567696455773E-3</v>
      </c>
      <c r="U937" s="19">
        <f ca="1">IF('Stock Price'!$I$11="OK",H937/INDEX(H$5:H$1258,'Stock Price'!$I$9)-1,"")</f>
        <v>-0.3030263157894737</v>
      </c>
      <c r="V937" s="19">
        <f ca="1">IF('Stock Price'!$I$11="OK",I937/INDEX(I$5:I$1258,'Stock Price'!$I$9)-1,"")</f>
        <v>-3.4551231135822147E-2</v>
      </c>
      <c r="W937" s="19">
        <f ca="1">IF('Stock Price'!$I$11="OK",J937/INDEX(J$5:J$1258,'Stock Price'!$I$9)-1,"")</f>
        <v>-0.27979562368099509</v>
      </c>
      <c r="X937" s="19">
        <f ca="1">IF('Stock Price'!$I$11="OK",K937/INDEX(K$5:K$1258,'Stock Price'!$I$9)-1,"")</f>
        <v>-0.12027684249906467</v>
      </c>
      <c r="Y937" s="19">
        <f ca="1">IF('Stock Price'!$I$11="OK",L937/INDEX(L$5:L$1258,'Stock Price'!$I$9)-1,"")</f>
        <v>-0.26602363154087294</v>
      </c>
      <c r="Z937" s="19">
        <f ca="1">IF('Stock Price'!$I$11="OK",M937/INDEX(M$5:M$1258,'Stock Price'!$I$9)-1,"")</f>
        <v>-0.19083336967424003</v>
      </c>
    </row>
    <row r="938" spans="1:26" x14ac:dyDescent="0.2">
      <c r="A938" s="16">
        <f>'Stock Price'!A938</f>
        <v>45833</v>
      </c>
      <c r="B938" s="17">
        <f>'Stock Price'!E938</f>
        <v>79.67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-0.25157350868952555</v>
      </c>
      <c r="P938" s="19">
        <f ca="1">IF('Stock Price'!$I$11="OK",C938/INDEX(C$5:C$1258,'Stock Price'!$I$9)-1,"")</f>
        <v>-0.14826043020066404</v>
      </c>
      <c r="Q938" s="19">
        <f ca="1">IF('Stock Price'!$I$11="OK",D938/INDEX(D$5:D$1258,'Stock Price'!$I$9)-1,"")</f>
        <v>-0.19967154783084728</v>
      </c>
      <c r="R938" s="19">
        <f ca="1">IF('Stock Price'!$I$11="OK",E938/INDEX(E$5:E$1258,'Stock Price'!$I$9)-1,"")</f>
        <v>-0.22869232319161803</v>
      </c>
      <c r="S938" s="19">
        <f ca="1">IF('Stock Price'!$I$11="OK",F938/INDEX(F$5:F$1258,'Stock Price'!$I$9)-1,"")</f>
        <v>-0.21690962099125366</v>
      </c>
      <c r="T938" s="19">
        <f ca="1">IF('Stock Price'!$I$11="OK",G938/INDEX(G$5:G$1258,'Stock Price'!$I$9)-1,"")</f>
        <v>-8.9156126891976051E-3</v>
      </c>
      <c r="U938" s="19">
        <f ca="1">IF('Stock Price'!$I$11="OK",H938/INDEX(H$5:H$1258,'Stock Price'!$I$9)-1,"")</f>
        <v>-0.30500000000000005</v>
      </c>
      <c r="V938" s="19">
        <f ca="1">IF('Stock Price'!$I$11="OK",I938/INDEX(I$5:I$1258,'Stock Price'!$I$9)-1,"")</f>
        <v>-3.6536934074662408E-2</v>
      </c>
      <c r="W938" s="19">
        <f ca="1">IF('Stock Price'!$I$11="OK",J938/INDEX(J$5:J$1258,'Stock Price'!$I$9)-1,"")</f>
        <v>-0.26663334444074194</v>
      </c>
      <c r="X938" s="19">
        <f ca="1">IF('Stock Price'!$I$11="OK",K938/INDEX(K$5:K$1258,'Stock Price'!$I$9)-1,"")</f>
        <v>-0.12682379349046013</v>
      </c>
      <c r="Y938" s="19">
        <f ca="1">IF('Stock Price'!$I$11="OK",L938/INDEX(L$5:L$1258,'Stock Price'!$I$9)-1,"")</f>
        <v>-0.26558958283096212</v>
      </c>
      <c r="Z938" s="19">
        <f ca="1">IF('Stock Price'!$I$11="OK",M938/INDEX(M$5:M$1258,'Stock Price'!$I$9)-1,"")</f>
        <v>-0.1915311150843837</v>
      </c>
    </row>
    <row r="939" spans="1:26" x14ac:dyDescent="0.2">
      <c r="A939" s="16">
        <f>'Stock Price'!A939</f>
        <v>45834</v>
      </c>
      <c r="B939" s="17">
        <f>'Stock Price'!E939</f>
        <v>78.83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-0.2594645373414749</v>
      </c>
      <c r="P939" s="19">
        <f ca="1">IF('Stock Price'!$I$11="OK",C939/INDEX(C$5:C$1258,'Stock Price'!$I$9)-1,"")</f>
        <v>-0.13151436408257544</v>
      </c>
      <c r="Q939" s="19">
        <f ca="1">IF('Stock Price'!$I$11="OK",D939/INDEX(D$5:D$1258,'Stock Price'!$I$9)-1,"")</f>
        <v>-0.23402217052141783</v>
      </c>
      <c r="R939" s="19">
        <f ca="1">IF('Stock Price'!$I$11="OK",E939/INDEX(E$5:E$1258,'Stock Price'!$I$9)-1,"")</f>
        <v>-0.22325206528309505</v>
      </c>
      <c r="S939" s="19">
        <f ca="1">IF('Stock Price'!$I$11="OK",F939/INDEX(F$5:F$1258,'Stock Price'!$I$9)-1,"")</f>
        <v>-0.19961127308066084</v>
      </c>
      <c r="T939" s="19">
        <f ca="1">IF('Stock Price'!$I$11="OK",G939/INDEX(G$5:G$1258,'Stock Price'!$I$9)-1,"")</f>
        <v>2.9027576197386828E-3</v>
      </c>
      <c r="U939" s="19">
        <f ca="1">IF('Stock Price'!$I$11="OK",H939/INDEX(H$5:H$1258,'Stock Price'!$I$9)-1,"")</f>
        <v>-0.30842105263157893</v>
      </c>
      <c r="V939" s="19">
        <f ca="1">IF('Stock Price'!$I$11="OK",I939/INDEX(I$5:I$1258,'Stock Price'!$I$9)-1,"")</f>
        <v>-3.7331215250198668E-2</v>
      </c>
      <c r="W939" s="19">
        <f ca="1">IF('Stock Price'!$I$11="OK",J939/INDEX(J$5:J$1258,'Stock Price'!$I$9)-1,"")</f>
        <v>-0.26402310340997437</v>
      </c>
      <c r="X939" s="19">
        <f ca="1">IF('Stock Price'!$I$11="OK",K939/INDEX(K$5:K$1258,'Stock Price'!$I$9)-1,"")</f>
        <v>-0.12738496071829408</v>
      </c>
      <c r="Y939" s="19">
        <f ca="1">IF('Stock Price'!$I$11="OK",L939/INDEX(L$5:L$1258,'Stock Price'!$I$9)-1,"")</f>
        <v>-0.26689172896069446</v>
      </c>
      <c r="Z939" s="19">
        <f ca="1">IF('Stock Price'!$I$11="OK",M939/INDEX(M$5:M$1258,'Stock Price'!$I$9)-1,"")</f>
        <v>-0.18542584274562823</v>
      </c>
    </row>
    <row r="940" spans="1:26" x14ac:dyDescent="0.2">
      <c r="A940" s="16">
        <f>'Stock Price'!A940</f>
        <v>45835</v>
      </c>
      <c r="B940" s="17">
        <f>'Stock Price'!E940</f>
        <v>79.099999999999994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-0.25692813527477698</v>
      </c>
      <c r="P940" s="19">
        <f ca="1">IF('Stock Price'!$I$11="OK",C940/INDEX(C$5:C$1258,'Stock Price'!$I$9)-1,"")</f>
        <v>-0.13375198498628549</v>
      </c>
      <c r="Q940" s="19">
        <f ca="1">IF('Stock Price'!$I$11="OK",D940/INDEX(D$5:D$1258,'Stock Price'!$I$9)-1,"")</f>
        <v>-0.24357465444094706</v>
      </c>
      <c r="R940" s="19">
        <f ca="1">IF('Stock Price'!$I$11="OK",E940/INDEX(E$5:E$1258,'Stock Price'!$I$9)-1,"")</f>
        <v>-0.22264759218214802</v>
      </c>
      <c r="S940" s="19">
        <f ca="1">IF('Stock Price'!$I$11="OK",F940/INDEX(F$5:F$1258,'Stock Price'!$I$9)-1,"")</f>
        <v>-0.20485908649173967</v>
      </c>
      <c r="T940" s="19">
        <f ca="1">IF('Stock Price'!$I$11="OK",G940/INDEX(G$5:G$1258,'Stock Price'!$I$9)-1,"")</f>
        <v>-7.8789135392908216E-3</v>
      </c>
      <c r="U940" s="19">
        <f ca="1">IF('Stock Price'!$I$11="OK",H940/INDEX(H$5:H$1258,'Stock Price'!$I$9)-1,"")</f>
        <v>-0.29013157894736841</v>
      </c>
      <c r="V940" s="19">
        <f ca="1">IF('Stock Price'!$I$11="OK",I940/INDEX(I$5:I$1258,'Stock Price'!$I$9)-1,"")</f>
        <v>-3.9316918189038819E-2</v>
      </c>
      <c r="W940" s="19">
        <f ca="1">IF('Stock Price'!$I$11="OK",J940/INDEX(J$5:J$1258,'Stock Price'!$I$9)-1,"")</f>
        <v>-0.28222999740827126</v>
      </c>
      <c r="X940" s="19">
        <f ca="1">IF('Stock Price'!$I$11="OK",K940/INDEX(K$5:K$1258,'Stock Price'!$I$9)-1,"")</f>
        <v>-0.132996632996633</v>
      </c>
      <c r="Y940" s="19">
        <f ca="1">IF('Stock Price'!$I$11="OK",L940/INDEX(L$5:L$1258,'Stock Price'!$I$9)-1,"")</f>
        <v>-0.26496262358331324</v>
      </c>
      <c r="Z940" s="19">
        <f ca="1">IF('Stock Price'!$I$11="OK",M940/INDEX(M$5:M$1258,'Stock Price'!$I$9)-1,"")</f>
        <v>-0.2049627142296454</v>
      </c>
    </row>
    <row r="941" spans="1:26" x14ac:dyDescent="0.2">
      <c r="A941" s="16">
        <f>'Stock Price'!A941</f>
        <v>45838</v>
      </c>
      <c r="B941" s="17">
        <f>'Stock Price'!E941</f>
        <v>79.16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-0.25636449037106623</v>
      </c>
      <c r="P941" s="19">
        <f ca="1">IF('Stock Price'!$I$11="OK",C941/INDEX(C$5:C$1258,'Stock Price'!$I$9)-1,"")</f>
        <v>-0.12653385303883347</v>
      </c>
      <c r="Q941" s="19">
        <f ca="1">IF('Stock Price'!$I$11="OK",D941/INDEX(D$5:D$1258,'Stock Price'!$I$9)-1,"")</f>
        <v>-0.24357465444094706</v>
      </c>
      <c r="R941" s="19">
        <f ca="1">IF('Stock Price'!$I$11="OK",E941/INDEX(E$5:E$1258,'Stock Price'!$I$9)-1,"")</f>
        <v>-0.22627443078783005</v>
      </c>
      <c r="S941" s="19">
        <f ca="1">IF('Stock Price'!$I$11="OK",F941/INDEX(F$5:F$1258,'Stock Price'!$I$9)-1,"")</f>
        <v>-0.20777453838678339</v>
      </c>
      <c r="T941" s="19">
        <f ca="1">IF('Stock Price'!$I$11="OK",G941/INDEX(G$5:G$1258,'Stock Price'!$I$9)-1,"")</f>
        <v>1.658718639850898E-3</v>
      </c>
      <c r="U941" s="19">
        <f ca="1">IF('Stock Price'!$I$11="OK",H941/INDEX(H$5:H$1258,'Stock Price'!$I$9)-1,"")</f>
        <v>-0.32802631578947372</v>
      </c>
      <c r="V941" s="19">
        <f ca="1">IF('Stock Price'!$I$11="OK",I941/INDEX(I$5:I$1258,'Stock Price'!$I$9)-1,"")</f>
        <v>-3.7331215250198668E-2</v>
      </c>
      <c r="W941" s="19">
        <f ca="1">IF('Stock Price'!$I$11="OK",J941/INDEX(J$5:J$1258,'Stock Price'!$I$9)-1,"")</f>
        <v>-0.27845347847013957</v>
      </c>
      <c r="X941" s="19">
        <f ca="1">IF('Stock Price'!$I$11="OK",K941/INDEX(K$5:K$1258,'Stock Price'!$I$9)-1,"")</f>
        <v>-0.13411896745230079</v>
      </c>
      <c r="Y941" s="19">
        <f ca="1">IF('Stock Price'!$I$11="OK",L941/INDEX(L$5:L$1258,'Stock Price'!$I$9)-1,"")</f>
        <v>-0.26332288401253912</v>
      </c>
      <c r="Z941" s="19">
        <f ca="1">IF('Stock Price'!$I$11="OK",M941/INDEX(M$5:M$1258,'Stock Price'!$I$9)-1,"")</f>
        <v>-0.1905281060573023</v>
      </c>
    </row>
    <row r="942" spans="1:26" x14ac:dyDescent="0.2">
      <c r="A942" s="16">
        <f>'Stock Price'!A942</f>
        <v>45839</v>
      </c>
      <c r="B942" s="17">
        <f>'Stock Price'!E942</f>
        <v>81.81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-0.23147017379051193</v>
      </c>
      <c r="P942" s="19">
        <f ca="1">IF('Stock Price'!$I$11="OK",C942/INDEX(C$5:C$1258,'Stock Price'!$I$9)-1,"")</f>
        <v>-0.11144795726865886</v>
      </c>
      <c r="Q942" s="19">
        <f ca="1">IF('Stock Price'!$I$11="OK",D942/INDEX(D$5:D$1258,'Stock Price'!$I$9)-1,"")</f>
        <v>-0.23519912412754895</v>
      </c>
      <c r="R942" s="19">
        <f ca="1">IF('Stock Price'!$I$11="OK",E942/INDEX(E$5:E$1258,'Stock Price'!$I$9)-1,"")</f>
        <v>-0.21519242393713478</v>
      </c>
      <c r="S942" s="19">
        <f ca="1">IF('Stock Price'!$I$11="OK",F942/INDEX(F$5:F$1258,'Stock Price'!$I$9)-1,"")</f>
        <v>-0.20019436345966968</v>
      </c>
      <c r="T942" s="19">
        <f ca="1">IF('Stock Price'!$I$11="OK",G942/INDEX(G$5:G$1258,'Stock Price'!$I$9)-1,"")</f>
        <v>1.7001866058469872E-2</v>
      </c>
      <c r="U942" s="19">
        <f ca="1">IF('Stock Price'!$I$11="OK",H942/INDEX(H$5:H$1258,'Stock Price'!$I$9)-1,"")</f>
        <v>-0.30368421052631578</v>
      </c>
      <c r="V942" s="19">
        <f ca="1">IF('Stock Price'!$I$11="OK",I942/INDEX(I$5:I$1258,'Stock Price'!$I$9)-1,"")</f>
        <v>-5.5599682287530428E-3</v>
      </c>
      <c r="W942" s="19">
        <f ca="1">IF('Stock Price'!$I$11="OK",J942/INDEX(J$5:J$1258,'Stock Price'!$I$9)-1,"")</f>
        <v>-0.28181346958421261</v>
      </c>
      <c r="X942" s="19">
        <f ca="1">IF('Stock Price'!$I$11="OK",K942/INDEX(K$5:K$1258,'Stock Price'!$I$9)-1,"")</f>
        <v>-0.11129816685372251</v>
      </c>
      <c r="Y942" s="19">
        <f ca="1">IF('Stock Price'!$I$11="OK",L942/INDEX(L$5:L$1258,'Stock Price'!$I$9)-1,"")</f>
        <v>-0.24803472389679293</v>
      </c>
      <c r="Z942" s="19">
        <f ca="1">IF('Stock Price'!$I$11="OK",M942/INDEX(M$5:M$1258,'Stock Price'!$I$9)-1,"")</f>
        <v>-0.17147093454275864</v>
      </c>
    </row>
    <row r="943" spans="1:26" x14ac:dyDescent="0.2">
      <c r="A943" s="16">
        <f>'Stock Price'!A943</f>
        <v>45840</v>
      </c>
      <c r="B943" s="17">
        <f>'Stock Price'!E943</f>
        <v>82.39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-0.22602160638797564</v>
      </c>
      <c r="P943" s="19">
        <f ca="1">IF('Stock Price'!$I$11="OK",C943/INDEX(C$5:C$1258,'Stock Price'!$I$9)-1,"")</f>
        <v>-0.10632308358596787</v>
      </c>
      <c r="Q943" s="19">
        <f ca="1">IF('Stock Price'!$I$11="OK",D943/INDEX(D$5:D$1258,'Stock Price'!$I$9)-1,"")</f>
        <v>-0.21237169837142478</v>
      </c>
      <c r="R943" s="19">
        <f ca="1">IF('Stock Price'!$I$11="OK",E943/INDEX(E$5:E$1258,'Stock Price'!$I$9)-1,"")</f>
        <v>-0.22405802941769104</v>
      </c>
      <c r="S943" s="19">
        <f ca="1">IF('Stock Price'!$I$11="OK",F943/INDEX(F$5:F$1258,'Stock Price'!$I$9)-1,"")</f>
        <v>-0.20019436345966968</v>
      </c>
      <c r="T943" s="19">
        <f ca="1">IF('Stock Price'!$I$11="OK",G943/INDEX(G$5:G$1258,'Stock Price'!$I$9)-1,"")</f>
        <v>2.2392701637984791E-2</v>
      </c>
      <c r="U943" s="19">
        <f ca="1">IF('Stock Price'!$I$11="OK",H943/INDEX(H$5:H$1258,'Stock Price'!$I$9)-1,"")</f>
        <v>-0.30644736842105258</v>
      </c>
      <c r="V943" s="19">
        <f ca="1">IF('Stock Price'!$I$11="OK",I943/INDEX(I$5:I$1258,'Stock Price'!$I$9)-1,"")</f>
        <v>5.5599682287530428E-3</v>
      </c>
      <c r="W943" s="19">
        <f ca="1">IF('Stock Price'!$I$11="OK",J943/INDEX(J$5:J$1258,'Stock Price'!$I$9)-1,"")</f>
        <v>-0.27868488281683879</v>
      </c>
      <c r="X943" s="19">
        <f ca="1">IF('Stock Price'!$I$11="OK",K943/INDEX(K$5:K$1258,'Stock Price'!$I$9)-1,"")</f>
        <v>-0.10905349794238683</v>
      </c>
      <c r="Y943" s="19">
        <f ca="1">IF('Stock Price'!$I$11="OK",L943/INDEX(L$5:L$1258,'Stock Price'!$I$9)-1,"")</f>
        <v>-0.24977091873643598</v>
      </c>
      <c r="Z943" s="19">
        <f ca="1">IF('Stock Price'!$I$11="OK",M943/INDEX(M$5:M$1258,'Stock Price'!$I$9)-1,"")</f>
        <v>-0.16815664384457718</v>
      </c>
    </row>
    <row r="944" spans="1:26" x14ac:dyDescent="0.2">
      <c r="A944" s="16">
        <f>'Stock Price'!A944</f>
        <v>45841</v>
      </c>
      <c r="B944" s="17">
        <f>'Stock Price'!E944</f>
        <v>80.930000000000007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-0.23973696571160164</v>
      </c>
      <c r="P944" s="19">
        <f ca="1">IF('Stock Price'!$I$11="OK",C944/INDEX(C$5:C$1258,'Stock Price'!$I$9)-1,"")</f>
        <v>-0.12010971560560113</v>
      </c>
      <c r="Q944" s="19">
        <f ca="1">IF('Stock Price'!$I$11="OK",D944/INDEX(D$5:D$1258,'Stock Price'!$I$9)-1,"")</f>
        <v>-0.22986177637881489</v>
      </c>
      <c r="R944" s="19">
        <f ca="1">IF('Stock Price'!$I$11="OK",E944/INDEX(E$5:E$1258,'Stock Price'!$I$9)-1,"")</f>
        <v>-0.23070723352810807</v>
      </c>
      <c r="S944" s="19">
        <f ca="1">IF('Stock Price'!$I$11="OK",F944/INDEX(F$5:F$1258,'Stock Price'!$I$9)-1,"")</f>
        <v>-0.21399416909621005</v>
      </c>
      <c r="T944" s="19">
        <f ca="1">IF('Stock Price'!$I$11="OK",G944/INDEX(G$5:G$1258,'Stock Price'!$I$9)-1,"")</f>
        <v>1.4513788098693414E-3</v>
      </c>
      <c r="U944" s="19">
        <f ca="1">IF('Stock Price'!$I$11="OK",H944/INDEX(H$5:H$1258,'Stock Price'!$I$9)-1,"")</f>
        <v>-0.31447368421052635</v>
      </c>
      <c r="V944" s="19">
        <f ca="1">IF('Stock Price'!$I$11="OK",I944/INDEX(I$5:I$1258,'Stock Price'!$I$9)-1,"")</f>
        <v>7.9428117553612676E-3</v>
      </c>
      <c r="W944" s="19">
        <f ca="1">IF('Stock Price'!$I$11="OK",J944/INDEX(J$5:J$1258,'Stock Price'!$I$9)-1,"")</f>
        <v>-0.27739827464919098</v>
      </c>
      <c r="X944" s="19">
        <f ca="1">IF('Stock Price'!$I$11="OK",K944/INDEX(K$5:K$1258,'Stock Price'!$I$9)-1,"")</f>
        <v>-0.122334455667789</v>
      </c>
      <c r="Y944" s="19">
        <f ca="1">IF('Stock Price'!$I$11="OK",L944/INDEX(L$5:L$1258,'Stock Price'!$I$9)-1,"")</f>
        <v>-0.24760067518688211</v>
      </c>
      <c r="Z944" s="19">
        <f ca="1">IF('Stock Price'!$I$11="OK",M944/INDEX(M$5:M$1258,'Stock Price'!$I$9)-1,"")</f>
        <v>-0.17456717980027037</v>
      </c>
    </row>
    <row r="945" spans="1:26" x14ac:dyDescent="0.2">
      <c r="A945" s="16">
        <f>'Stock Price'!A945</f>
        <v>45845</v>
      </c>
      <c r="B945" s="17">
        <f>'Stock Price'!E945</f>
        <v>80.900000000000006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-0.24001878816345701</v>
      </c>
      <c r="P945" s="19">
        <f ca="1">IF('Stock Price'!$I$11="OK",C945/INDEX(C$5:C$1258,'Stock Price'!$I$9)-1,"")</f>
        <v>-0.11852172657716176</v>
      </c>
      <c r="Q945" s="19">
        <f ca="1">IF('Stock Price'!$I$11="OK",D945/INDEX(D$5:D$1258,'Stock Price'!$I$9)-1,"")</f>
        <v>-0.21921445189544275</v>
      </c>
      <c r="R945" s="19">
        <f ca="1">IF('Stock Price'!$I$11="OK",E945/INDEX(E$5:E$1258,'Stock Price'!$I$9)-1,"")</f>
        <v>-0.2305057424944591</v>
      </c>
      <c r="S945" s="19">
        <f ca="1">IF('Stock Price'!$I$11="OK",F945/INDEX(F$5:F$1258,'Stock Price'!$I$9)-1,"")</f>
        <v>-0.21632653061224494</v>
      </c>
      <c r="T945" s="19">
        <f ca="1">IF('Stock Price'!$I$11="OK",G945/INDEX(G$5:G$1258,'Stock Price'!$I$9)-1,"")</f>
        <v>1.8660584698322324E-3</v>
      </c>
      <c r="U945" s="19">
        <f ca="1">IF('Stock Price'!$I$11="OK",H945/INDEX(H$5:H$1258,'Stock Price'!$I$9)-1,"")</f>
        <v>-0.31184210526315792</v>
      </c>
      <c r="V945" s="19">
        <f ca="1">IF('Stock Price'!$I$11="OK",I945/INDEX(I$5:I$1258,'Stock Price'!$I$9)-1,"")</f>
        <v>2.3828435266084469E-3</v>
      </c>
      <c r="W945" s="19">
        <f ca="1">IF('Stock Price'!$I$11="OK",J945/INDEX(J$5:J$1258,'Stock Price'!$I$9)-1,"")</f>
        <v>-0.28461809026620744</v>
      </c>
      <c r="X945" s="19">
        <f ca="1">IF('Stock Price'!$I$11="OK",K945/INDEX(K$5:K$1258,'Stock Price'!$I$9)-1,"")</f>
        <v>-0.13037785260007484</v>
      </c>
      <c r="Y945" s="19">
        <f ca="1">IF('Stock Price'!$I$11="OK",L945/INDEX(L$5:L$1258,'Stock Price'!$I$9)-1,"")</f>
        <v>-0.25116952013503735</v>
      </c>
      <c r="Z945" s="19">
        <f ca="1">IF('Stock Price'!$I$11="OK",M945/INDEX(M$5:M$1258,'Stock Price'!$I$9)-1,"")</f>
        <v>-0.181762679342375</v>
      </c>
    </row>
    <row r="946" spans="1:26" x14ac:dyDescent="0.2">
      <c r="A946" s="16">
        <f>'Stock Price'!A946</f>
        <v>45846</v>
      </c>
      <c r="B946" s="17">
        <f>'Stock Price'!E946</f>
        <v>81.37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-0.23560356975105679</v>
      </c>
      <c r="P946" s="19">
        <f ca="1">IF('Stock Price'!$I$11="OK",C946/INDEX(C$5:C$1258,'Stock Price'!$I$9)-1,"")</f>
        <v>-0.12169770463404062</v>
      </c>
      <c r="Q946" s="19">
        <f ca="1">IF('Stock Price'!$I$11="OK",D946/INDEX(D$5:D$1258,'Stock Price'!$I$9)-1,"")</f>
        <v>-0.23279047488709459</v>
      </c>
      <c r="R946" s="19">
        <f ca="1">IF('Stock Price'!$I$11="OK",E946/INDEX(E$5:E$1258,'Stock Price'!$I$9)-1,"")</f>
        <v>-0.22466250251863806</v>
      </c>
      <c r="S946" s="19">
        <f ca="1">IF('Stock Price'!$I$11="OK",F946/INDEX(F$5:F$1258,'Stock Price'!$I$9)-1,"")</f>
        <v>-0.22079689018464521</v>
      </c>
      <c r="T946" s="19">
        <f ca="1">IF('Stock Price'!$I$11="OK",G946/INDEX(G$5:G$1258,'Stock Price'!$I$9)-1,"")</f>
        <v>-1.0366991499066724E-3</v>
      </c>
      <c r="U946" s="19">
        <f ca="1">IF('Stock Price'!$I$11="OK",H946/INDEX(H$5:H$1258,'Stock Price'!$I$9)-1,"")</f>
        <v>-0.28473684210526318</v>
      </c>
      <c r="V946" s="19">
        <f ca="1">IF('Stock Price'!$I$11="OK",I946/INDEX(I$5:I$1258,'Stock Price'!$I$9)-1,"")</f>
        <v>1.7474185861795055E-2</v>
      </c>
      <c r="W946" s="19">
        <f ca="1">IF('Stock Price'!$I$11="OK",J946/INDEX(J$5:J$1258,'Stock Price'!$I$9)-1,"")</f>
        <v>-0.28018438298344994</v>
      </c>
      <c r="X946" s="19">
        <f ca="1">IF('Stock Price'!$I$11="OK",K946/INDEX(K$5:K$1258,'Stock Price'!$I$9)-1,"")</f>
        <v>-0.12008978675645343</v>
      </c>
      <c r="Y946" s="19">
        <f ca="1">IF('Stock Price'!$I$11="OK",L946/INDEX(L$5:L$1258,'Stock Price'!$I$9)-1,"")</f>
        <v>-0.24866168314444181</v>
      </c>
      <c r="Z946" s="19">
        <f ca="1">IF('Stock Price'!$I$11="OK",M946/INDEX(M$5:M$1258,'Stock Price'!$I$9)-1,"")</f>
        <v>-0.17243033448170597</v>
      </c>
    </row>
    <row r="947" spans="1:26" x14ac:dyDescent="0.2">
      <c r="A947" s="16">
        <f>'Stock Price'!A947</f>
        <v>45847</v>
      </c>
      <c r="B947" s="17">
        <f>'Stock Price'!E947</f>
        <v>83.71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-0.21362141850634109</v>
      </c>
      <c r="P947" s="19">
        <f ca="1">IF('Stock Price'!$I$11="OK",C947/INDEX(C$5:C$1258,'Stock Price'!$I$9)-1,"")</f>
        <v>-0.11260285838025119</v>
      </c>
      <c r="Q947" s="19">
        <f ca="1">IF('Stock Price'!$I$11="OK",D947/INDEX(D$5:D$1258,'Stock Price'!$I$9)-1,"")</f>
        <v>-0.2259477213630765</v>
      </c>
      <c r="R947" s="19">
        <f ca="1">IF('Stock Price'!$I$11="OK",E947/INDEX(E$5:E$1258,'Stock Price'!$I$9)-1,"")</f>
        <v>-0.21337900463429382</v>
      </c>
      <c r="S947" s="19">
        <f ca="1">IF('Stock Price'!$I$11="OK",F947/INDEX(F$5:F$1258,'Stock Price'!$I$9)-1,"")</f>
        <v>-0.20563654033041801</v>
      </c>
      <c r="T947" s="19">
        <f ca="1">IF('Stock Price'!$I$11="OK",G947/INDEX(G$5:G$1258,'Stock Price'!$I$9)-1,"")</f>
        <v>1.2440389798880291E-2</v>
      </c>
      <c r="U947" s="19">
        <f ca="1">IF('Stock Price'!$I$11="OK",H947/INDEX(H$5:H$1258,'Stock Price'!$I$9)-1,"")</f>
        <v>-0.28078947368421059</v>
      </c>
      <c r="V947" s="19">
        <f ca="1">IF('Stock Price'!$I$11="OK",I947/INDEX(I$5:I$1258,'Stock Price'!$I$9)-1,"")</f>
        <v>1.5091342335186608E-2</v>
      </c>
      <c r="W947" s="19">
        <f ca="1">IF('Stock Price'!$I$11="OK",J947/INDEX(J$5:J$1258,'Stock Price'!$I$9)-1,"")</f>
        <v>-0.27161316598170981</v>
      </c>
      <c r="X947" s="19">
        <f ca="1">IF('Stock Price'!$I$11="OK",K947/INDEX(K$5:K$1258,'Stock Price'!$I$9)-1,"")</f>
        <v>-0.108492330714553</v>
      </c>
      <c r="Y947" s="19">
        <f ca="1">IF('Stock Price'!$I$11="OK",L947/INDEX(L$5:L$1258,'Stock Price'!$I$9)-1,"")</f>
        <v>-0.24629852905714977</v>
      </c>
      <c r="Z947" s="19">
        <f ca="1">IF('Stock Price'!$I$11="OK",M947/INDEX(M$5:M$1258,'Stock Price'!$I$9)-1,"")</f>
        <v>-0.16872356199031879</v>
      </c>
    </row>
    <row r="948" spans="1:26" x14ac:dyDescent="0.2">
      <c r="A948" s="16">
        <f>'Stock Price'!A948</f>
        <v>45848</v>
      </c>
      <c r="B948" s="17">
        <f>'Stock Price'!E948</f>
        <v>84.02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-0.2107092531705026</v>
      </c>
      <c r="P948" s="19">
        <f ca="1">IF('Stock Price'!$I$11="OK",C948/INDEX(C$5:C$1258,'Stock Price'!$I$9)-1,"")</f>
        <v>-0.10690053414176404</v>
      </c>
      <c r="Q948" s="19">
        <f ca="1">IF('Stock Price'!$I$11="OK",D948/INDEX(D$5:D$1258,'Stock Price'!$I$9)-1,"")</f>
        <v>-0.2259477213630765</v>
      </c>
      <c r="R948" s="19">
        <f ca="1">IF('Stock Price'!$I$11="OK",E948/INDEX(E$5:E$1258,'Stock Price'!$I$9)-1,"")</f>
        <v>-0.20249848881724775</v>
      </c>
      <c r="S948" s="19">
        <f ca="1">IF('Stock Price'!$I$11="OK",F948/INDEX(F$5:F$1258,'Stock Price'!$I$9)-1,"")</f>
        <v>-0.19883381924198262</v>
      </c>
      <c r="T948" s="19">
        <f ca="1">IF('Stock Price'!$I$11="OK",G948/INDEX(G$5:G$1258,'Stock Price'!$I$9)-1,"")</f>
        <v>2.3014721127928794E-2</v>
      </c>
      <c r="U948" s="19">
        <f ca="1">IF('Stock Price'!$I$11="OK",H948/INDEX(H$5:H$1258,'Stock Price'!$I$9)-1,"")</f>
        <v>-0.2689473684210526</v>
      </c>
      <c r="V948" s="19">
        <f ca="1">IF('Stock Price'!$I$11="OK",I948/INDEX(I$5:I$1258,'Stock Price'!$I$9)-1,"")</f>
        <v>2.3828435266084247E-2</v>
      </c>
      <c r="W948" s="19">
        <f ca="1">IF('Stock Price'!$I$11="OK",J948/INDEX(J$5:J$1258,'Stock Price'!$I$9)-1,"")</f>
        <v>-0.268160613128957</v>
      </c>
      <c r="X948" s="19">
        <f ca="1">IF('Stock Price'!$I$11="OK",K948/INDEX(K$5:K$1258,'Stock Price'!$I$9)-1,"")</f>
        <v>-9.2405536849981207E-2</v>
      </c>
      <c r="Y948" s="19">
        <f ca="1">IF('Stock Price'!$I$11="OK",L948/INDEX(L$5:L$1258,'Stock Price'!$I$9)-1,"")</f>
        <v>-0.23949843260188086</v>
      </c>
      <c r="Z948" s="19">
        <f ca="1">IF('Stock Price'!$I$11="OK",M948/INDEX(M$5:M$1258,'Stock Price'!$I$9)-1,"")</f>
        <v>-0.14962278138764118</v>
      </c>
    </row>
    <row r="949" spans="1:26" x14ac:dyDescent="0.2">
      <c r="A949" s="16">
        <f>'Stock Price'!A949</f>
        <v>45849</v>
      </c>
      <c r="B949" s="17">
        <f>'Stock Price'!E949</f>
        <v>83.36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-0.21690934711131993</v>
      </c>
      <c r="P949" s="19">
        <f ca="1">IF('Stock Price'!$I$11="OK",C949/INDEX(C$5:C$1258,'Stock Price'!$I$9)-1,"")</f>
        <v>-0.12646167171935896</v>
      </c>
      <c r="Q949" s="19">
        <f ca="1">IF('Stock Price'!$I$11="OK",D949/INDEX(D$5:D$1258,'Stock Price'!$I$9)-1,"")</f>
        <v>-0.23218885999726302</v>
      </c>
      <c r="R949" s="19">
        <f ca="1">IF('Stock Price'!$I$11="OK",E949/INDEX(E$5:E$1258,'Stock Price'!$I$9)-1,"")</f>
        <v>-0.22869232319161803</v>
      </c>
      <c r="S949" s="19">
        <f ca="1">IF('Stock Price'!$I$11="OK",F949/INDEX(F$5:F$1258,'Stock Price'!$I$9)-1,"")</f>
        <v>-0.213022351797862</v>
      </c>
      <c r="T949" s="19">
        <f ca="1">IF('Stock Price'!$I$11="OK",G949/INDEX(G$5:G$1258,'Stock Price'!$I$9)-1,"")</f>
        <v>7.8789135392909326E-3</v>
      </c>
      <c r="U949" s="19">
        <f ca="1">IF('Stock Price'!$I$11="OK",H949/INDEX(H$5:H$1258,'Stock Price'!$I$9)-1,"")</f>
        <v>-0.28052631578947373</v>
      </c>
      <c r="V949" s="19">
        <f ca="1">IF('Stock Price'!$I$11="OK",I949/INDEX(I$5:I$1258,'Stock Price'!$I$9)-1,"")</f>
        <v>1.8665607625099279E-2</v>
      </c>
      <c r="W949" s="19">
        <f ca="1">IF('Stock Price'!$I$11="OK",J949/INDEX(J$5:J$1258,'Stock Price'!$I$9)-1,"")</f>
        <v>-0.26597615609611602</v>
      </c>
      <c r="X949" s="19">
        <f ca="1">IF('Stock Price'!$I$11="OK",K949/INDEX(K$5:K$1258,'Stock Price'!$I$9)-1,"")</f>
        <v>-0.12345679012345678</v>
      </c>
      <c r="Y949" s="19">
        <f ca="1">IF('Stock Price'!$I$11="OK",L949/INDEX(L$5:L$1258,'Stock Price'!$I$9)-1,"")</f>
        <v>-0.24330841572220874</v>
      </c>
      <c r="Z949" s="19">
        <f ca="1">IF('Stock Price'!$I$11="OK",M949/INDEX(M$5:M$1258,'Stock Price'!$I$9)-1,"")</f>
        <v>-0.16074309886180282</v>
      </c>
    </row>
    <row r="950" spans="1:26" x14ac:dyDescent="0.2">
      <c r="A950" s="16">
        <f>'Stock Price'!A950</f>
        <v>45852</v>
      </c>
      <c r="B950" s="17">
        <f>'Stock Price'!E950</f>
        <v>83.67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-0.21399718177548144</v>
      </c>
      <c r="P950" s="19">
        <f ca="1">IF('Stock Price'!$I$11="OK",C950/INDEX(C$5:C$1258,'Stock Price'!$I$9)-1,"")</f>
        <v>-0.12631730908040995</v>
      </c>
      <c r="Q950" s="19">
        <f ca="1">IF('Stock Price'!$I$11="OK",D950/INDEX(D$5:D$1258,'Stock Price'!$I$9)-1,"")</f>
        <v>-0.21636786642945127</v>
      </c>
      <c r="R950" s="19">
        <f ca="1">IF('Stock Price'!$I$11="OK",E950/INDEX(E$5:E$1258,'Stock Price'!$I$9)-1,"")</f>
        <v>-0.22849083215796906</v>
      </c>
      <c r="S950" s="19">
        <f ca="1">IF('Stock Price'!$I$11="OK",F950/INDEX(F$5:F$1258,'Stock Price'!$I$9)-1,"")</f>
        <v>-0.21710398445092327</v>
      </c>
      <c r="T950" s="19">
        <f ca="1">IF('Stock Price'!$I$11="OK",G950/INDEX(G$5:G$1258,'Stock Price'!$I$9)-1,"")</f>
        <v>6.6348745594029257E-3</v>
      </c>
      <c r="U950" s="19">
        <f ca="1">IF('Stock Price'!$I$11="OK",H950/INDEX(H$5:H$1258,'Stock Price'!$I$9)-1,"")</f>
        <v>-0.27605263157894733</v>
      </c>
      <c r="V950" s="19">
        <f ca="1">IF('Stock Price'!$I$11="OK",I950/INDEX(I$5:I$1258,'Stock Price'!$I$9)-1,"")</f>
        <v>6.7513899920572662E-3</v>
      </c>
      <c r="W950" s="19">
        <f ca="1">IF('Stock Price'!$I$11="OK",J950/INDEX(J$5:J$1258,'Stock Price'!$I$9)-1,"")</f>
        <v>-0.26011699803769106</v>
      </c>
      <c r="X950" s="19">
        <f ca="1">IF('Stock Price'!$I$11="OK",K950/INDEX(K$5:K$1258,'Stock Price'!$I$9)-1,"")</f>
        <v>-0.1144781144781144</v>
      </c>
      <c r="Y950" s="19">
        <f ca="1">IF('Stock Price'!$I$11="OK",L950/INDEX(L$5:L$1258,'Stock Price'!$I$9)-1,"")</f>
        <v>-0.24369423679768509</v>
      </c>
      <c r="Z950" s="19">
        <f ca="1">IF('Stock Price'!$I$11="OK",M950/INDEX(M$5:M$1258,'Stock Price'!$I$9)-1,"")</f>
        <v>-0.16479874405826167</v>
      </c>
    </row>
    <row r="951" spans="1:26" x14ac:dyDescent="0.2">
      <c r="A951" s="16">
        <f>'Stock Price'!A951</f>
        <v>45853</v>
      </c>
      <c r="B951" s="17">
        <f>'Stock Price'!E951</f>
        <v>81.52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-0.23419445749178025</v>
      </c>
      <c r="P951" s="19">
        <f ca="1">IF('Stock Price'!$I$11="OK",C951/INDEX(C$5:C$1258,'Stock Price'!$I$9)-1,"")</f>
        <v>-0.13620614984841917</v>
      </c>
      <c r="Q951" s="19">
        <f ca="1">IF('Stock Price'!$I$11="OK",D951/INDEX(D$5:D$1258,'Stock Price'!$I$9)-1,"")</f>
        <v>-0.23142192418229102</v>
      </c>
      <c r="R951" s="19">
        <f ca="1">IF('Stock Price'!$I$11="OK",E951/INDEX(E$5:E$1258,'Stock Price'!$I$9)-1,"")</f>
        <v>-0.23796091073947212</v>
      </c>
      <c r="S951" s="19">
        <f ca="1">IF('Stock Price'!$I$11="OK",F951/INDEX(F$5:F$1258,'Stock Price'!$I$9)-1,"")</f>
        <v>-0.22973760932944609</v>
      </c>
      <c r="T951" s="19">
        <f ca="1">IF('Stock Price'!$I$11="OK",G951/INDEX(G$5:G$1258,'Stock Price'!$I$9)-1,"")</f>
        <v>-2.2807381297946794E-3</v>
      </c>
      <c r="U951" s="19">
        <f ca="1">IF('Stock Price'!$I$11="OK",H951/INDEX(H$5:H$1258,'Stock Price'!$I$9)-1,"")</f>
        <v>-0.2811842105263157</v>
      </c>
      <c r="V951" s="19">
        <f ca="1">IF('Stock Price'!$I$11="OK",I951/INDEX(I$5:I$1258,'Stock Price'!$I$9)-1,"")</f>
        <v>-2.2637013502780023E-2</v>
      </c>
      <c r="W951" s="19">
        <f ca="1">IF('Stock Price'!$I$11="OK",J951/INDEX(J$5:J$1258,'Stock Price'!$I$9)-1,"")</f>
        <v>-0.28565478173942016</v>
      </c>
      <c r="X951" s="19">
        <f ca="1">IF('Stock Price'!$I$11="OK",K951/INDEX(K$5:K$1258,'Stock Price'!$I$9)-1,"")</f>
        <v>-0.13150018705574262</v>
      </c>
      <c r="Y951" s="19">
        <f ca="1">IF('Stock Price'!$I$11="OK",L951/INDEX(L$5:L$1258,'Stock Price'!$I$9)-1,"")</f>
        <v>-0.25165179647938274</v>
      </c>
      <c r="Z951" s="19">
        <f ca="1">IF('Stock Price'!$I$11="OK",M951/INDEX(M$5:M$1258,'Stock Price'!$I$9)-1,"")</f>
        <v>-0.18717020627098691</v>
      </c>
    </row>
    <row r="952" spans="1:26" x14ac:dyDescent="0.2">
      <c r="A952" s="16">
        <f>'Stock Price'!A952</f>
        <v>45854</v>
      </c>
      <c r="B952" s="17">
        <f>'Stock Price'!E952</f>
        <v>82.43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-0.22564584311883507</v>
      </c>
      <c r="P952" s="19">
        <f ca="1">IF('Stock Price'!$I$11="OK",C952/INDEX(C$5:C$1258,'Stock Price'!$I$9)-1,"")</f>
        <v>-0.14558972138010673</v>
      </c>
      <c r="Q952" s="19">
        <f ca="1">IF('Stock Price'!$I$11="OK",D952/INDEX(D$5:D$1258,'Stock Price'!$I$9)-1,"")</f>
        <v>-0.22255371561516357</v>
      </c>
      <c r="R952" s="19">
        <f ca="1">IF('Stock Price'!$I$11="OK",E952/INDEX(E$5:E$1258,'Stock Price'!$I$9)-1,"")</f>
        <v>-0.22869232319161803</v>
      </c>
      <c r="S952" s="19">
        <f ca="1">IF('Stock Price'!$I$11="OK",F952/INDEX(F$5:F$1258,'Stock Price'!$I$9)-1,"")</f>
        <v>-0.21865889212827982</v>
      </c>
      <c r="T952" s="19">
        <f ca="1">IF('Stock Price'!$I$11="OK",G952/INDEX(G$5:G$1258,'Stock Price'!$I$9)-1,"")</f>
        <v>6.0128550694589222E-3</v>
      </c>
      <c r="U952" s="19">
        <f ca="1">IF('Stock Price'!$I$11="OK",H952/INDEX(H$5:H$1258,'Stock Price'!$I$9)-1,"")</f>
        <v>-0.27460526315789469</v>
      </c>
      <c r="V952" s="19">
        <f ca="1">IF('Stock Price'!$I$11="OK",I952/INDEX(I$5:I$1258,'Stock Price'!$I$9)-1,"")</f>
        <v>-2.2637013502780023E-2</v>
      </c>
      <c r="W952" s="19">
        <f ca="1">IF('Stock Price'!$I$11="OK",J952/INDEX(J$5:J$1258,'Stock Price'!$I$9)-1,"")</f>
        <v>-0.26894738790773443</v>
      </c>
      <c r="X952" s="19">
        <f ca="1">IF('Stock Price'!$I$11="OK",K952/INDEX(K$5:K$1258,'Stock Price'!$I$9)-1,"")</f>
        <v>-0.11765806210250651</v>
      </c>
      <c r="Y952" s="19">
        <f ca="1">IF('Stock Price'!$I$11="OK",L952/INDEX(L$5:L$1258,'Stock Price'!$I$9)-1,"")</f>
        <v>-0.20530503978779835</v>
      </c>
      <c r="Z952" s="19">
        <f ca="1">IF('Stock Price'!$I$11="OK",M952/INDEX(M$5:M$1258,'Stock Price'!$I$9)-1,"")</f>
        <v>-0.16889799834285457</v>
      </c>
    </row>
    <row r="953" spans="1:26" x14ac:dyDescent="0.2">
      <c r="A953" s="16">
        <f>'Stock Price'!A953</f>
        <v>45855</v>
      </c>
      <c r="B953" s="17">
        <f>'Stock Price'!E953</f>
        <v>81.52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-0.23419445749178025</v>
      </c>
      <c r="P953" s="19">
        <f ca="1">IF('Stock Price'!$I$11="OK",C953/INDEX(C$5:C$1258,'Stock Price'!$I$9)-1,"")</f>
        <v>-0.17337952937779699</v>
      </c>
      <c r="Q953" s="19">
        <f ca="1">IF('Stock Price'!$I$11="OK",D953/INDEX(D$5:D$1258,'Stock Price'!$I$9)-1,"")</f>
        <v>-0.22255371561516357</v>
      </c>
      <c r="R953" s="19">
        <f ca="1">IF('Stock Price'!$I$11="OK",E953/INDEX(E$5:E$1258,'Stock Price'!$I$9)-1,"")</f>
        <v>-0.26516220028208748</v>
      </c>
      <c r="S953" s="19">
        <f ca="1">IF('Stock Price'!$I$11="OK",F953/INDEX(F$5:F$1258,'Stock Price'!$I$9)-1,"")</f>
        <v>-0.22487852283770648</v>
      </c>
      <c r="T953" s="19">
        <f ca="1">IF('Stock Price'!$I$11="OK",G953/INDEX(G$5:G$1258,'Stock Price'!$I$9)-1,"")</f>
        <v>8.7082728592162706E-3</v>
      </c>
      <c r="U953" s="19">
        <f ca="1">IF('Stock Price'!$I$11="OK",H953/INDEX(H$5:H$1258,'Stock Price'!$I$9)-1,"")</f>
        <v>-0.26394736842105271</v>
      </c>
      <c r="V953" s="19">
        <f ca="1">IF('Stock Price'!$I$11="OK",I953/INDEX(I$5:I$1258,'Stock Price'!$I$9)-1,"")</f>
        <v>-2.3828435266084247E-2</v>
      </c>
      <c r="W953" s="19">
        <f ca="1">IF('Stock Price'!$I$11="OK",J953/INDEX(J$5:J$1258,'Stock Price'!$I$9)-1,"")</f>
        <v>-0.29514235995408933</v>
      </c>
      <c r="X953" s="19">
        <f ca="1">IF('Stock Price'!$I$11="OK",K953/INDEX(K$5:K$1258,'Stock Price'!$I$9)-1,"")</f>
        <v>-0.10101010101010099</v>
      </c>
      <c r="Y953" s="19">
        <f ca="1">IF('Stock Price'!$I$11="OK",L953/INDEX(L$5:L$1258,'Stock Price'!$I$9)-1,"")</f>
        <v>-0.21398601398601402</v>
      </c>
      <c r="Z953" s="19">
        <f ca="1">IF('Stock Price'!$I$11="OK",M953/INDEX(M$5:M$1258,'Stock Price'!$I$9)-1,"")</f>
        <v>-0.16532205311586934</v>
      </c>
    </row>
    <row r="954" spans="1:26" x14ac:dyDescent="0.2">
      <c r="A954" s="16">
        <f>'Stock Price'!A954</f>
        <v>45856</v>
      </c>
      <c r="B954" s="17">
        <f>'Stock Price'!E954</f>
        <v>79.959999999999994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-0.24884922498825746</v>
      </c>
      <c r="P954" s="19">
        <f ca="1">IF('Stock Price'!$I$11="OK",C954/INDEX(C$5:C$1258,'Stock Price'!$I$9)-1,"")</f>
        <v>-0.17532842500360901</v>
      </c>
      <c r="Q954" s="19">
        <f ca="1">IF('Stock Price'!$I$11="OK",D954/INDEX(D$5:D$1258,'Stock Price'!$I$9)-1,"")</f>
        <v>-0.22255371561516357</v>
      </c>
      <c r="R954" s="19">
        <f ca="1">IF('Stock Price'!$I$11="OK",E954/INDEX(E$5:E$1258,'Stock Price'!$I$9)-1,"")</f>
        <v>-0.26838605682047145</v>
      </c>
      <c r="S954" s="19">
        <f ca="1">IF('Stock Price'!$I$11="OK",F954/INDEX(F$5:F$1258,'Stock Price'!$I$9)-1,"")</f>
        <v>-0.22099125364431493</v>
      </c>
      <c r="T954" s="19">
        <f ca="1">IF('Stock Price'!$I$11="OK",G954/INDEX(G$5:G$1258,'Stock Price'!$I$9)-1,"")</f>
        <v>1.8660584698322324E-3</v>
      </c>
      <c r="U954" s="19">
        <f ca="1">IF('Stock Price'!$I$11="OK",H954/INDEX(H$5:H$1258,'Stock Price'!$I$9)-1,"")</f>
        <v>-0.27184210526315788</v>
      </c>
      <c r="V954" s="19">
        <f ca="1">IF('Stock Price'!$I$11="OK",I954/INDEX(I$5:I$1258,'Stock Price'!$I$9)-1,"")</f>
        <v>-2.8196981731532955E-2</v>
      </c>
      <c r="W954" s="19">
        <f ca="1">IF('Stock Price'!$I$11="OK",J954/INDEX(J$5:J$1258,'Stock Price'!$I$9)-1,"")</f>
        <v>-0.285691806434892</v>
      </c>
      <c r="X954" s="19">
        <f ca="1">IF('Stock Price'!$I$11="OK",K954/INDEX(K$5:K$1258,'Stock Price'!$I$9)-1,"")</f>
        <v>-0.11410400299289192</v>
      </c>
      <c r="Y954" s="19">
        <f ca="1">IF('Stock Price'!$I$11="OK",L954/INDEX(L$5:L$1258,'Stock Price'!$I$9)-1,"")</f>
        <v>-0.21051362430672782</v>
      </c>
      <c r="Z954" s="19">
        <f ca="1">IF('Stock Price'!$I$11="OK",M954/INDEX(M$5:M$1258,'Stock Price'!$I$9)-1,"")</f>
        <v>-0.17465439797653837</v>
      </c>
    </row>
    <row r="955" spans="1:26" x14ac:dyDescent="0.2">
      <c r="A955" s="16">
        <f>'Stock Price'!A955</f>
        <v>45859</v>
      </c>
      <c r="B955" s="17">
        <f>'Stock Price'!E955</f>
        <v>79.31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-0.25495537811178959</v>
      </c>
      <c r="P955" s="19">
        <f ca="1">IF('Stock Price'!$I$11="OK",C955/INDEX(C$5:C$1258,'Stock Price'!$I$9)-1,"")</f>
        <v>-0.1761224195178287</v>
      </c>
      <c r="Q955" s="19">
        <f ca="1">IF('Stock Price'!$I$11="OK",D955/INDEX(D$5:D$1258,'Stock Price'!$I$9)-1,"")</f>
        <v>-0.23525386615574118</v>
      </c>
      <c r="R955" s="19">
        <f ca="1">IF('Stock Price'!$I$11="OK",E955/INDEX(E$5:E$1258,'Stock Price'!$I$9)-1,"")</f>
        <v>-0.27060245819061046</v>
      </c>
      <c r="S955" s="19">
        <f ca="1">IF('Stock Price'!$I$11="OK",F955/INDEX(F$5:F$1258,'Stock Price'!$I$9)-1,"")</f>
        <v>-0.22662779397473276</v>
      </c>
      <c r="T955" s="19">
        <f ca="1">IF('Stock Price'!$I$11="OK",G955/INDEX(G$5:G$1258,'Stock Price'!$I$9)-1,"")</f>
        <v>-6.2201948994401457E-3</v>
      </c>
      <c r="U955" s="19">
        <f ca="1">IF('Stock Price'!$I$11="OK",H955/INDEX(H$5:H$1258,'Stock Price'!$I$9)-1,"")</f>
        <v>-0.27486842105263154</v>
      </c>
      <c r="V955" s="19">
        <f ca="1">IF('Stock Price'!$I$11="OK",I955/INDEX(I$5:I$1258,'Stock Price'!$I$9)-1,"")</f>
        <v>-3.6536934074662408E-2</v>
      </c>
      <c r="W955" s="19">
        <f ca="1">IF('Stock Price'!$I$11="OK",J955/INDEX(J$5:J$1258,'Stock Price'!$I$9)-1,"")</f>
        <v>-0.29451294013106744</v>
      </c>
      <c r="X955" s="19">
        <f ca="1">IF('Stock Price'!$I$11="OK",K955/INDEX(K$5:K$1258,'Stock Price'!$I$9)-1,"")</f>
        <v>-0.12663673774784889</v>
      </c>
      <c r="Y955" s="19">
        <f ca="1">IF('Stock Price'!$I$11="OK",L955/INDEX(L$5:L$1258,'Stock Price'!$I$9)-1,"")</f>
        <v>-0.20733060043404861</v>
      </c>
      <c r="Z955" s="19">
        <f ca="1">IF('Stock Price'!$I$11="OK",M955/INDEX(M$5:M$1258,'Stock Price'!$I$9)-1,"")</f>
        <v>-0.19388600584361781</v>
      </c>
    </row>
    <row r="956" spans="1:26" x14ac:dyDescent="0.2">
      <c r="A956" s="16">
        <f>'Stock Price'!A956</f>
        <v>45860</v>
      </c>
      <c r="B956" s="17">
        <f>'Stock Price'!E956</f>
        <v>81.61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-0.23334899013621424</v>
      </c>
      <c r="P956" s="19">
        <f ca="1">IF('Stock Price'!$I$11="OK",C956/INDEX(C$5:C$1258,'Stock Price'!$I$9)-1,"")</f>
        <v>-0.1567056445791829</v>
      </c>
      <c r="Q956" s="19">
        <f ca="1">IF('Stock Price'!$I$11="OK",D956/INDEX(D$5:D$1258,'Stock Price'!$I$9)-1,"")</f>
        <v>-0.22321061995346925</v>
      </c>
      <c r="R956" s="19">
        <f ca="1">IF('Stock Price'!$I$11="OK",E956/INDEX(E$5:E$1258,'Stock Price'!$I$9)-1,"")</f>
        <v>-0.25408019343139232</v>
      </c>
      <c r="S956" s="19">
        <f ca="1">IF('Stock Price'!$I$11="OK",F956/INDEX(F$5:F$1258,'Stock Price'!$I$9)-1,"")</f>
        <v>-0.21807580174927121</v>
      </c>
      <c r="T956" s="19">
        <f ca="1">IF('Stock Price'!$I$11="OK",G956/INDEX(G$5:G$1258,'Stock Price'!$I$9)-1,"")</f>
        <v>1.0781671159029615E-2</v>
      </c>
      <c r="U956" s="19">
        <f ca="1">IF('Stock Price'!$I$11="OK",H956/INDEX(H$5:H$1258,'Stock Price'!$I$9)-1,"")</f>
        <v>-0.26828947368421052</v>
      </c>
      <c r="V956" s="19">
        <f ca="1">IF('Stock Price'!$I$11="OK",I956/INDEX(I$5:I$1258,'Stock Price'!$I$9)-1,"")</f>
        <v>-1.5885623510722979E-3</v>
      </c>
      <c r="W956" s="19">
        <f ca="1">IF('Stock Price'!$I$11="OK",J956/INDEX(J$5:J$1258,'Stock Price'!$I$9)-1,"")</f>
        <v>-0.28131363619534222</v>
      </c>
      <c r="X956" s="19">
        <f ca="1">IF('Stock Price'!$I$11="OK",K956/INDEX(K$5:K$1258,'Stock Price'!$I$9)-1,"")</f>
        <v>-0.10175832398054618</v>
      </c>
      <c r="Y956" s="19">
        <f ca="1">IF('Stock Price'!$I$11="OK",L956/INDEX(L$5:L$1258,'Stock Price'!$I$9)-1,"")</f>
        <v>-0.19011333494092109</v>
      </c>
      <c r="Z956" s="19">
        <f ca="1">IF('Stock Price'!$I$11="OK",M956/INDEX(M$5:M$1258,'Stock Price'!$I$9)-1,"")</f>
        <v>-0.18403035192534123</v>
      </c>
    </row>
    <row r="957" spans="1:26" x14ac:dyDescent="0.2">
      <c r="A957" s="16">
        <f>'Stock Price'!A957</f>
        <v>45861</v>
      </c>
      <c r="B957" s="17">
        <f>'Stock Price'!E957</f>
        <v>83.98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-0.21108501643964306</v>
      </c>
      <c r="P957" s="19">
        <f ca="1">IF('Stock Price'!$I$11="OK",C957/INDEX(C$5:C$1258,'Stock Price'!$I$9)-1,"")</f>
        <v>-0.14847697415908756</v>
      </c>
      <c r="Q957" s="19">
        <f ca="1">IF('Stock Price'!$I$11="OK",D957/INDEX(D$5:D$1258,'Stock Price'!$I$9)-1,"")</f>
        <v>-0.19364992472971121</v>
      </c>
      <c r="R957" s="19">
        <f ca="1">IF('Stock Price'!$I$11="OK",E957/INDEX(E$5:E$1258,'Stock Price'!$I$9)-1,"")</f>
        <v>-0.23372959903284307</v>
      </c>
      <c r="S957" s="19">
        <f ca="1">IF('Stock Price'!$I$11="OK",F957/INDEX(F$5:F$1258,'Stock Price'!$I$9)-1,"")</f>
        <v>-0.20038872691933918</v>
      </c>
      <c r="T957" s="19">
        <f ca="1">IF('Stock Price'!$I$11="OK",G957/INDEX(G$5:G$1258,'Stock Price'!$I$9)-1,"")</f>
        <v>4.0016587186398445E-2</v>
      </c>
      <c r="U957" s="19">
        <f ca="1">IF('Stock Price'!$I$11="OK",H957/INDEX(H$5:H$1258,'Stock Price'!$I$9)-1,"")</f>
        <v>-0.25065789473684208</v>
      </c>
      <c r="V957" s="19">
        <f ca="1">IF('Stock Price'!$I$11="OK",I957/INDEX(I$5:I$1258,'Stock Price'!$I$9)-1,"")</f>
        <v>7.1485305798253407E-3</v>
      </c>
      <c r="W957" s="19">
        <f ca="1">IF('Stock Price'!$I$11="OK",J957/INDEX(J$5:J$1258,'Stock Price'!$I$9)-1,"")</f>
        <v>-0.26053352586174972</v>
      </c>
      <c r="X957" s="19">
        <f ca="1">IF('Stock Price'!$I$11="OK",K957/INDEX(K$5:K$1258,'Stock Price'!$I$9)-1,"")</f>
        <v>-8.3800972689861641E-2</v>
      </c>
      <c r="Y957" s="19">
        <f ca="1">IF('Stock Price'!$I$11="OK",L957/INDEX(L$5:L$1258,'Stock Price'!$I$9)-1,"")</f>
        <v>-0.18447070171208102</v>
      </c>
      <c r="Z957" s="19">
        <f ca="1">IF('Stock Price'!$I$11="OK",M957/INDEX(M$5:M$1258,'Stock Price'!$I$9)-1,"")</f>
        <v>-0.16902882560725652</v>
      </c>
    </row>
    <row r="958" spans="1:26" x14ac:dyDescent="0.2">
      <c r="A958" s="16">
        <f>'Stock Price'!A958</f>
        <v>45862</v>
      </c>
      <c r="B958" s="17">
        <f>'Stock Price'!E958</f>
        <v>84.11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-0.20986378581493659</v>
      </c>
      <c r="P958" s="19">
        <f ca="1">IF('Stock Price'!$I$11="OK",C958/INDEX(C$5:C$1258,'Stock Price'!$I$9)-1,"")</f>
        <v>-0.15215822145228819</v>
      </c>
      <c r="Q958" s="19">
        <f ca="1">IF('Stock Price'!$I$11="OK",D958/INDEX(D$5:D$1258,'Stock Price'!$I$9)-1,"")</f>
        <v>-0.19573012180101279</v>
      </c>
      <c r="R958" s="19">
        <f ca="1">IF('Stock Price'!$I$11="OK",E958/INDEX(E$5:E$1258,'Stock Price'!$I$9)-1,"")</f>
        <v>-0.2296997783598631</v>
      </c>
      <c r="S958" s="19">
        <f ca="1">IF('Stock Price'!$I$11="OK",F958/INDEX(F$5:F$1258,'Stock Price'!$I$9)-1,"")</f>
        <v>-0.19455782312925174</v>
      </c>
      <c r="T958" s="19">
        <f ca="1">IF('Stock Price'!$I$11="OK",G958/INDEX(G$5:G$1258,'Stock Price'!$I$9)-1,"")</f>
        <v>3.9394567696454663E-2</v>
      </c>
      <c r="U958" s="19">
        <f ca="1">IF('Stock Price'!$I$11="OK",H958/INDEX(H$5:H$1258,'Stock Price'!$I$9)-1,"")</f>
        <v>-0.23355263157894735</v>
      </c>
      <c r="V958" s="19">
        <f ca="1">IF('Stock Price'!$I$11="OK",I958/INDEX(I$5:I$1258,'Stock Price'!$I$9)-1,"")</f>
        <v>6.7513899920572662E-3</v>
      </c>
      <c r="W958" s="19">
        <f ca="1">IF('Stock Price'!$I$11="OK",J958/INDEX(J$5:J$1258,'Stock Price'!$I$9)-1,"")</f>
        <v>-0.25447998815209738</v>
      </c>
      <c r="X958" s="19">
        <f ca="1">IF('Stock Price'!$I$11="OK",K958/INDEX(K$5:K$1258,'Stock Price'!$I$9)-1,"")</f>
        <v>-8.4549195660306831E-2</v>
      </c>
      <c r="Y958" s="19">
        <f ca="1">IF('Stock Price'!$I$11="OK",L958/INDEX(L$5:L$1258,'Stock Price'!$I$9)-1,"")</f>
        <v>-0.18225223052809258</v>
      </c>
      <c r="Z958" s="19">
        <f ca="1">IF('Stock Price'!$I$11="OK",M958/INDEX(M$5:M$1258,'Stock Price'!$I$9)-1,"")</f>
        <v>-0.1678077711395054</v>
      </c>
    </row>
    <row r="959" spans="1:26" x14ac:dyDescent="0.2">
      <c r="A959" s="16">
        <f>'Stock Price'!A959</f>
        <v>45863</v>
      </c>
      <c r="B959" s="17">
        <f>'Stock Price'!E959</f>
        <v>84.71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-0.20422733677783</v>
      </c>
      <c r="P959" s="19">
        <f ca="1">IF('Stock Price'!$I$11="OK",C959/INDEX(C$5:C$1258,'Stock Price'!$I$9)-1,"")</f>
        <v>-0.15042586978489958</v>
      </c>
      <c r="Q959" s="19">
        <f ca="1">IF('Stock Price'!$I$11="OK",D959/INDEX(D$5:D$1258,'Stock Price'!$I$9)-1,"")</f>
        <v>-0.19573012180101279</v>
      </c>
      <c r="R959" s="19">
        <f ca="1">IF('Stock Price'!$I$11="OK",E959/INDEX(E$5:E$1258,'Stock Price'!$I$9)-1,"")</f>
        <v>-0.23493854523473712</v>
      </c>
      <c r="S959" s="19">
        <f ca="1">IF('Stock Price'!$I$11="OK",F959/INDEX(F$5:F$1258,'Stock Price'!$I$9)-1,"")</f>
        <v>-0.2033041788143829</v>
      </c>
      <c r="T959" s="19">
        <f ca="1">IF('Stock Price'!$I$11="OK",G959/INDEX(G$5:G$1258,'Stock Price'!$I$9)-1,"")</f>
        <v>4.4370723616006691E-2</v>
      </c>
      <c r="U959" s="19">
        <f ca="1">IF('Stock Price'!$I$11="OK",H959/INDEX(H$5:H$1258,'Stock Price'!$I$9)-1,"")</f>
        <v>-0.23131578947368414</v>
      </c>
      <c r="V959" s="19">
        <f ca="1">IF('Stock Price'!$I$11="OK",I959/INDEX(I$5:I$1258,'Stock Price'!$I$9)-1,"")</f>
        <v>-1.5488482922954794E-2</v>
      </c>
      <c r="W959" s="19">
        <f ca="1">IF('Stock Price'!$I$11="OK",J959/INDEX(J$5:J$1258,'Stock Price'!$I$9)-1,"")</f>
        <v>-0.2477600059239512</v>
      </c>
      <c r="X959" s="19">
        <f ca="1">IF('Stock Price'!$I$11="OK",K959/INDEX(K$5:K$1258,'Stock Price'!$I$9)-1,"")</f>
        <v>-9.4089038533483049E-2</v>
      </c>
      <c r="Y959" s="19">
        <f ca="1">IF('Stock Price'!$I$11="OK",L959/INDEX(L$5:L$1258,'Stock Price'!$I$9)-1,"")</f>
        <v>-0.18832891246684347</v>
      </c>
      <c r="Z959" s="19">
        <f ca="1">IF('Stock Price'!$I$11="OK",M959/INDEX(M$5:M$1258,'Stock Price'!$I$9)-1,"")</f>
        <v>-0.17020627098687369</v>
      </c>
    </row>
    <row r="960" spans="1:26" x14ac:dyDescent="0.2">
      <c r="A960" s="16">
        <f>'Stock Price'!A960</f>
        <v>45866</v>
      </c>
      <c r="B960" s="17">
        <f>'Stock Price'!E960</f>
        <v>84.06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-0.21033348990136214</v>
      </c>
      <c r="P960" s="19">
        <f ca="1">IF('Stock Price'!$I$11="OK",C960/INDEX(C$5:C$1258,'Stock Price'!$I$9)-1,"")</f>
        <v>-0.16139743034502663</v>
      </c>
      <c r="Q960" s="19">
        <f ca="1">IF('Stock Price'!$I$11="OK",D960/INDEX(D$5:D$1258,'Stock Price'!$I$9)-1,"")</f>
        <v>-0.21116737375119754</v>
      </c>
      <c r="R960" s="19">
        <f ca="1">IF('Stock Price'!$I$11="OK",E960/INDEX(E$5:E$1258,'Stock Price'!$I$9)-1,"")</f>
        <v>-0.24541607898448514</v>
      </c>
      <c r="S960" s="19">
        <f ca="1">IF('Stock Price'!$I$11="OK",F960/INDEX(F$5:F$1258,'Stock Price'!$I$9)-1,"")</f>
        <v>-0.21088435374149661</v>
      </c>
      <c r="T960" s="19">
        <f ca="1">IF('Stock Price'!$I$11="OK",G960/INDEX(G$5:G$1258,'Stock Price'!$I$9)-1,"")</f>
        <v>2.5917478747667477E-2</v>
      </c>
      <c r="U960" s="19">
        <f ca="1">IF('Stock Price'!$I$11="OK",H960/INDEX(H$5:H$1258,'Stock Price'!$I$9)-1,"")</f>
        <v>-0.23802631578947375</v>
      </c>
      <c r="V960" s="19">
        <f ca="1">IF('Stock Price'!$I$11="OK",I960/INDEX(I$5:I$1258,'Stock Price'!$I$9)-1,"")</f>
        <v>-3.4551231135822147E-2</v>
      </c>
      <c r="W960" s="19">
        <f ca="1">IF('Stock Price'!$I$11="OK",J960/INDEX(J$5:J$1258,'Stock Price'!$I$9)-1,"")</f>
        <v>-0.25199933355548143</v>
      </c>
      <c r="X960" s="19">
        <f ca="1">IF('Stock Price'!$I$11="OK",K960/INDEX(K$5:K$1258,'Stock Price'!$I$9)-1,"")</f>
        <v>-0.11129816685372251</v>
      </c>
      <c r="Y960" s="19">
        <f ca="1">IF('Stock Price'!$I$11="OK",L960/INDEX(L$5:L$1258,'Stock Price'!$I$9)-1,"")</f>
        <v>-0.19836026042922594</v>
      </c>
      <c r="Z960" s="19">
        <f ca="1">IF('Stock Price'!$I$11="OK",M960/INDEX(M$5:M$1258,'Stock Price'!$I$9)-1,"")</f>
        <v>-0.17788147049845182</v>
      </c>
    </row>
    <row r="961" spans="1:26" x14ac:dyDescent="0.2">
      <c r="A961" s="16">
        <f>'Stock Price'!A961</f>
        <v>45867</v>
      </c>
      <c r="B961" s="17">
        <f>'Stock Price'!E961</f>
        <v>82.63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-0.22376702677313298</v>
      </c>
      <c r="P961" s="19">
        <f ca="1">IF('Stock Price'!$I$11="OK",C961/INDEX(C$5:C$1258,'Stock Price'!$I$9)-1,"")</f>
        <v>-0.15389057311967658</v>
      </c>
      <c r="Q961" s="19">
        <f ca="1">IF('Stock Price'!$I$11="OK",D961/INDEX(D$5:D$1258,'Stock Price'!$I$9)-1,"")</f>
        <v>-0.17624195976460943</v>
      </c>
      <c r="R961" s="19">
        <f ca="1">IF('Stock Price'!$I$11="OK",E961/INDEX(E$5:E$1258,'Stock Price'!$I$9)-1,"")</f>
        <v>-0.24098327624420712</v>
      </c>
      <c r="S961" s="19">
        <f ca="1">IF('Stock Price'!$I$11="OK",F961/INDEX(F$5:F$1258,'Stock Price'!$I$9)-1,"")</f>
        <v>-0.21652089407191444</v>
      </c>
      <c r="T961" s="19">
        <f ca="1">IF('Stock Price'!$I$11="OK",G961/INDEX(G$5:G$1258,'Stock Price'!$I$9)-1,"")</f>
        <v>2.3222060957910129E-2</v>
      </c>
      <c r="U961" s="19">
        <f ca="1">IF('Stock Price'!$I$11="OK",H961/INDEX(H$5:H$1258,'Stock Price'!$I$9)-1,"")</f>
        <v>-0.24802631578947365</v>
      </c>
      <c r="V961" s="19">
        <f ca="1">IF('Stock Price'!$I$11="OK",I961/INDEX(I$5:I$1258,'Stock Price'!$I$9)-1,"")</f>
        <v>-3.494837172359011E-2</v>
      </c>
      <c r="W961" s="19">
        <f ca="1">IF('Stock Price'!$I$11="OK",J961/INDEX(J$5:J$1258,'Stock Price'!$I$9)-1,"")</f>
        <v>-0.29380021474323359</v>
      </c>
      <c r="X961" s="19">
        <f ca="1">IF('Stock Price'!$I$11="OK",K961/INDEX(K$5:K$1258,'Stock Price'!$I$9)-1,"")</f>
        <v>-0.12345679012345678</v>
      </c>
      <c r="Y961" s="19">
        <f ca="1">IF('Stock Price'!$I$11="OK",L961/INDEX(L$5:L$1258,'Stock Price'!$I$9)-1,"")</f>
        <v>-0.18924523752109945</v>
      </c>
      <c r="Z961" s="19">
        <f ca="1">IF('Stock Price'!$I$11="OK",M961/INDEX(M$5:M$1258,'Stock Price'!$I$9)-1,"")</f>
        <v>-0.16610701670228079</v>
      </c>
    </row>
    <row r="962" spans="1:26" x14ac:dyDescent="0.2">
      <c r="A962" s="16">
        <f>'Stock Price'!A962</f>
        <v>45868</v>
      </c>
      <c r="B962" s="17">
        <f>'Stock Price'!E962</f>
        <v>81.75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-0.23203381869422268</v>
      </c>
      <c r="P962" s="19">
        <f ca="1">IF('Stock Price'!$I$11="OK",C962/INDEX(C$5:C$1258,'Stock Price'!$I$9)-1,"")</f>
        <v>-0.15814927096867326</v>
      </c>
      <c r="Q962" s="19">
        <f ca="1">IF('Stock Price'!$I$11="OK",D962/INDEX(D$5:D$1258,'Stock Price'!$I$9)-1,"")</f>
        <v>-0.14783084713288641</v>
      </c>
      <c r="R962" s="19">
        <f ca="1">IF('Stock Price'!$I$11="OK",E962/INDEX(E$5:E$1258,'Stock Price'!$I$9)-1,"")</f>
        <v>-0.21478944186983684</v>
      </c>
      <c r="S962" s="19">
        <f ca="1">IF('Stock Price'!$I$11="OK",F962/INDEX(F$5:F$1258,'Stock Price'!$I$9)-1,"")</f>
        <v>-0.22137998056365404</v>
      </c>
      <c r="T962" s="19">
        <f ca="1">IF('Stock Price'!$I$11="OK",G962/INDEX(G$5:G$1258,'Stock Price'!$I$9)-1,"")</f>
        <v>2.1148662658096784E-2</v>
      </c>
      <c r="U962" s="19">
        <f ca="1">IF('Stock Price'!$I$11="OK",H962/INDEX(H$5:H$1258,'Stock Price'!$I$9)-1,"")</f>
        <v>-0.25776315789473692</v>
      </c>
      <c r="V962" s="19">
        <f ca="1">IF('Stock Price'!$I$11="OK",I962/INDEX(I$5:I$1258,'Stock Price'!$I$9)-1,"")</f>
        <v>-5.4408260524225649E-2</v>
      </c>
      <c r="W962" s="19">
        <f ca="1">IF('Stock Price'!$I$11="OK",J962/INDEX(J$5:J$1258,'Stock Price'!$I$9)-1,"")</f>
        <v>-0.29645673664334105</v>
      </c>
      <c r="X962" s="19">
        <f ca="1">IF('Stock Price'!$I$11="OK",K962/INDEX(K$5:K$1258,'Stock Price'!$I$9)-1,"")</f>
        <v>-0.13991769547325106</v>
      </c>
      <c r="Y962" s="19">
        <f ca="1">IF('Stock Price'!$I$11="OK",L962/INDEX(L$5:L$1258,'Stock Price'!$I$9)-1,"")</f>
        <v>-0.19334458644803476</v>
      </c>
      <c r="Z962" s="19">
        <f ca="1">IF('Stock Price'!$I$11="OK",M962/INDEX(M$5:M$1258,'Stock Price'!$I$9)-1,"")</f>
        <v>-0.17443635253586842</v>
      </c>
    </row>
    <row r="963" spans="1:26" x14ac:dyDescent="0.2">
      <c r="A963" s="16">
        <f>'Stock Price'!A963</f>
        <v>45869</v>
      </c>
      <c r="B963" s="17">
        <f>'Stock Price'!E963</f>
        <v>78.12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-0.26613433536871767</v>
      </c>
      <c r="P963" s="19">
        <f ca="1">IF('Stock Price'!$I$11="OK",C963/INDEX(C$5:C$1258,'Stock Price'!$I$9)-1,"")</f>
        <v>-0.17900967229680953</v>
      </c>
      <c r="Q963" s="19">
        <f ca="1">IF('Stock Price'!$I$11="OK",D963/INDEX(D$5:D$1258,'Stock Price'!$I$9)-1,"")</f>
        <v>-0.19315724647598209</v>
      </c>
      <c r="R963" s="19">
        <f ca="1">IF('Stock Price'!$I$11="OK",E963/INDEX(E$5:E$1258,'Stock Price'!$I$9)-1,"")</f>
        <v>-0.25146080999395537</v>
      </c>
      <c r="S963" s="19">
        <f ca="1">IF('Stock Price'!$I$11="OK",F963/INDEX(F$5:F$1258,'Stock Price'!$I$9)-1,"")</f>
        <v>-0.24373177842565608</v>
      </c>
      <c r="T963" s="19">
        <f ca="1">IF('Stock Price'!$I$11="OK",G963/INDEX(G$5:G$1258,'Stock Price'!$I$9)-1,"")</f>
        <v>-5.3701015965166854E-2</v>
      </c>
      <c r="U963" s="19">
        <f ca="1">IF('Stock Price'!$I$11="OK",H963/INDEX(H$5:H$1258,'Stock Price'!$I$9)-1,"")</f>
        <v>-0.28026315789473677</v>
      </c>
      <c r="V963" s="19">
        <f ca="1">IF('Stock Price'!$I$11="OK",I963/INDEX(I$5:I$1258,'Stock Price'!$I$9)-1,"")</f>
        <v>-7.5059571088165189E-2</v>
      </c>
      <c r="W963" s="19">
        <f ca="1">IF('Stock Price'!$I$11="OK",J963/INDEX(J$5:J$1258,'Stock Price'!$I$9)-1,"")</f>
        <v>-0.31497834055314888</v>
      </c>
      <c r="X963" s="19">
        <f ca="1">IF('Stock Price'!$I$11="OK",K963/INDEX(K$5:K$1258,'Stock Price'!$I$9)-1,"")</f>
        <v>-0.18986157875046761</v>
      </c>
      <c r="Y963" s="19">
        <f ca="1">IF('Stock Price'!$I$11="OK",L963/INDEX(L$5:L$1258,'Stock Price'!$I$9)-1,"")</f>
        <v>-0.20549795032553642</v>
      </c>
      <c r="Z963" s="19">
        <f ca="1">IF('Stock Price'!$I$11="OK",M963/INDEX(M$5:M$1258,'Stock Price'!$I$9)-1,"")</f>
        <v>-0.17570101609175348</v>
      </c>
    </row>
    <row r="964" spans="1:26" x14ac:dyDescent="0.2">
      <c r="A964" s="16">
        <f>'Stock Price'!A964</f>
        <v>45870</v>
      </c>
      <c r="B964" s="17">
        <f>'Stock Price'!E964</f>
        <v>79.290000000000006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-0.25514325974635976</v>
      </c>
      <c r="P964" s="19">
        <f ca="1">IF('Stock Price'!$I$11="OK",C964/INDEX(C$5:C$1258,'Stock Price'!$I$9)-1,"")</f>
        <v>-0.16774938645878446</v>
      </c>
      <c r="Q964" s="19">
        <f ca="1">IF('Stock Price'!$I$11="OK",D964/INDEX(D$5:D$1258,'Stock Price'!$I$9)-1,"")</f>
        <v>-0.19255508416586842</v>
      </c>
      <c r="R964" s="19">
        <f ca="1">IF('Stock Price'!$I$11="OK",E964/INDEX(E$5:E$1258,'Stock Price'!$I$9)-1,"")</f>
        <v>-0.24319967761434613</v>
      </c>
      <c r="S964" s="19">
        <f ca="1">IF('Stock Price'!$I$11="OK",F964/INDEX(F$5:F$1258,'Stock Price'!$I$9)-1,"")</f>
        <v>-0.24509232264334302</v>
      </c>
      <c r="T964" s="19">
        <f ca="1">IF('Stock Price'!$I$11="OK",G964/INDEX(G$5:G$1258,'Stock Price'!$I$9)-1,"")</f>
        <v>-3.0686294837238171E-2</v>
      </c>
      <c r="U964" s="19">
        <f ca="1">IF('Stock Price'!$I$11="OK",H964/INDEX(H$5:H$1258,'Stock Price'!$I$9)-1,"")</f>
        <v>-0.26</v>
      </c>
      <c r="V964" s="19">
        <f ca="1">IF('Stock Price'!$I$11="OK",I964/INDEX(I$5:I$1258,'Stock Price'!$I$9)-1,"")</f>
        <v>-6.711675933280381E-2</v>
      </c>
      <c r="W964" s="19">
        <f ca="1">IF('Stock Price'!$I$11="OK",J964/INDEX(J$5:J$1258,'Stock Price'!$I$9)-1,"")</f>
        <v>-0.29437409752304777</v>
      </c>
      <c r="X964" s="19">
        <f ca="1">IF('Stock Price'!$I$11="OK",K964/INDEX(K$5:K$1258,'Stock Price'!$I$9)-1,"")</f>
        <v>-0.17265245043022825</v>
      </c>
      <c r="Y964" s="19">
        <f ca="1">IF('Stock Price'!$I$11="OK",L964/INDEX(L$5:L$1258,'Stock Price'!$I$9)-1,"")</f>
        <v>-0.19300699300699298</v>
      </c>
      <c r="Z964" s="19">
        <f ca="1">IF('Stock Price'!$I$11="OK",M964/INDEX(M$5:M$1258,'Stock Price'!$I$9)-1,"")</f>
        <v>-0.14866338144869395</v>
      </c>
    </row>
    <row r="965" spans="1:26" x14ac:dyDescent="0.2">
      <c r="A965" s="16">
        <f>'Stock Price'!A965</f>
        <v>45873</v>
      </c>
      <c r="B965" s="17">
        <f>'Stock Price'!E965</f>
        <v>79.86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-0.24978863316110855</v>
      </c>
      <c r="P965" s="19">
        <f ca="1">IF('Stock Price'!$I$11="OK",C965/INDEX(C$5:C$1258,'Stock Price'!$I$9)-1,"")</f>
        <v>-0.14948751263173088</v>
      </c>
      <c r="Q965" s="19">
        <f ca="1">IF('Stock Price'!$I$11="OK",D965/INDEX(D$5:D$1258,'Stock Price'!$I$9)-1,"")</f>
        <v>-0.17711783221568367</v>
      </c>
      <c r="R965" s="19">
        <f ca="1">IF('Stock Price'!$I$11="OK",E965/INDEX(E$5:E$1258,'Stock Price'!$I$9)-1,"")</f>
        <v>-0.24078178521055815</v>
      </c>
      <c r="S965" s="19">
        <f ca="1">IF('Stock Price'!$I$11="OK",F965/INDEX(F$5:F$1258,'Stock Price'!$I$9)-1,"")</f>
        <v>-0.23362487852283775</v>
      </c>
      <c r="T965" s="19">
        <f ca="1">IF('Stock Price'!$I$11="OK",G965/INDEX(G$5:G$1258,'Stock Price'!$I$9)-1,"")</f>
        <v>-3.7321169396641318E-3</v>
      </c>
      <c r="U965" s="19">
        <f ca="1">IF('Stock Price'!$I$11="OK",H965/INDEX(H$5:H$1258,'Stock Price'!$I$9)-1,"")</f>
        <v>-0.27644736842105255</v>
      </c>
      <c r="V965" s="19">
        <f ca="1">IF('Stock Price'!$I$11="OK",I965/INDEX(I$5:I$1258,'Stock Price'!$I$9)-1,"")</f>
        <v>-6.5528196981731512E-2</v>
      </c>
      <c r="W965" s="19">
        <f ca="1">IF('Stock Price'!$I$11="OK",J965/INDEX(J$5:J$1258,'Stock Price'!$I$9)-1,"")</f>
        <v>-0.28820022955311186</v>
      </c>
      <c r="X965" s="19">
        <f ca="1">IF('Stock Price'!$I$11="OK",K965/INDEX(K$5:K$1258,'Stock Price'!$I$9)-1,"")</f>
        <v>-0.15076692854470641</v>
      </c>
      <c r="Y965" s="19">
        <f ca="1">IF('Stock Price'!$I$11="OK",L965/INDEX(L$5:L$1258,'Stock Price'!$I$9)-1,"")</f>
        <v>-0.175114540631782</v>
      </c>
      <c r="Z965" s="19">
        <f ca="1">IF('Stock Price'!$I$11="OK",M965/INDEX(M$5:M$1258,'Stock Price'!$I$9)-1,"")</f>
        <v>-0.14007239108630243</v>
      </c>
    </row>
    <row r="966" spans="1:26" x14ac:dyDescent="0.2">
      <c r="A966" s="16">
        <f>'Stock Price'!A966</f>
        <v>45874</v>
      </c>
      <c r="B966" s="17">
        <f>'Stock Price'!E966</f>
        <v>80.790000000000006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-0.24105213715359319</v>
      </c>
      <c r="P966" s="19">
        <f ca="1">IF('Stock Price'!$I$11="OK",C966/INDEX(C$5:C$1258,'Stock Price'!$I$9)-1,"")</f>
        <v>-0.15020932582647606</v>
      </c>
      <c r="Q966" s="19">
        <f ca="1">IF('Stock Price'!$I$11="OK",D966/INDEX(D$5:D$1258,'Stock Price'!$I$9)-1,"")</f>
        <v>-0.17728205830026011</v>
      </c>
      <c r="R966" s="19">
        <f ca="1">IF('Stock Price'!$I$11="OK",E966/INDEX(E$5:E$1258,'Stock Price'!$I$9)-1,"")</f>
        <v>-0.2480354624219222</v>
      </c>
      <c r="S966" s="19">
        <f ca="1">IF('Stock Price'!$I$11="OK",F966/INDEX(F$5:F$1258,'Stock Price'!$I$9)-1,"")</f>
        <v>-0.23381924198250725</v>
      </c>
      <c r="T966" s="19">
        <f ca="1">IF('Stock Price'!$I$11="OK",G966/INDEX(G$5:G$1258,'Stock Price'!$I$9)-1,"")</f>
        <v>-8.0862533692721561E-3</v>
      </c>
      <c r="U966" s="19">
        <f ca="1">IF('Stock Price'!$I$11="OK",H966/INDEX(H$5:H$1258,'Stock Price'!$I$9)-1,"")</f>
        <v>-0.27039473684210524</v>
      </c>
      <c r="V966" s="19">
        <f ca="1">IF('Stock Price'!$I$11="OK",I966/INDEX(I$5:I$1258,'Stock Price'!$I$9)-1,"")</f>
        <v>-1.7077045274026981E-2</v>
      </c>
      <c r="W966" s="19">
        <f ca="1">IF('Stock Price'!$I$11="OK",J966/INDEX(J$5:J$1258,'Stock Price'!$I$9)-1,"")</f>
        <v>-0.29102336258284267</v>
      </c>
      <c r="X966" s="19">
        <f ca="1">IF('Stock Price'!$I$11="OK",K966/INDEX(K$5:K$1258,'Stock Price'!$I$9)-1,"")</f>
        <v>-0.14234942012719787</v>
      </c>
      <c r="Y966" s="19">
        <f ca="1">IF('Stock Price'!$I$11="OK",L966/INDEX(L$5:L$1258,'Stock Price'!$I$9)-1,"")</f>
        <v>-0.17656136966481784</v>
      </c>
      <c r="Z966" s="19">
        <f ca="1">IF('Stock Price'!$I$11="OK",M966/INDEX(M$5:M$1258,'Stock Price'!$I$9)-1,"")</f>
        <v>-0.13414155510008285</v>
      </c>
    </row>
    <row r="967" spans="1:26" x14ac:dyDescent="0.2">
      <c r="A967" s="16">
        <f>'Stock Price'!A967</f>
        <v>45875</v>
      </c>
      <c r="B967" s="17">
        <f>'Stock Price'!E967</f>
        <v>79.44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-0.25373414748708323</v>
      </c>
      <c r="P967" s="19">
        <f ca="1">IF('Stock Price'!$I$11="OK",C967/INDEX(C$5:C$1258,'Stock Price'!$I$9)-1,"")</f>
        <v>-0.18074202396419803</v>
      </c>
      <c r="Q967" s="19">
        <f ca="1">IF('Stock Price'!$I$11="OK",D967/INDEX(D$5:D$1258,'Stock Price'!$I$9)-1,"")</f>
        <v>-0.18609552483919534</v>
      </c>
      <c r="R967" s="19">
        <f ca="1">IF('Stock Price'!$I$11="OK",E967/INDEX(E$5:E$1258,'Stock Price'!$I$9)-1,"")</f>
        <v>-0.25952045133991541</v>
      </c>
      <c r="S967" s="19">
        <f ca="1">IF('Stock Price'!$I$11="OK",F967/INDEX(F$5:F$1258,'Stock Price'!$I$9)-1,"")</f>
        <v>-0.25442176870748301</v>
      </c>
      <c r="T967" s="19">
        <f ca="1">IF('Stock Price'!$I$11="OK",G967/INDEX(G$5:G$1258,'Stock Price'!$I$9)-1,"")</f>
        <v>-4.2504665146174569E-2</v>
      </c>
      <c r="U967" s="19">
        <f ca="1">IF('Stock Price'!$I$11="OK",H967/INDEX(H$5:H$1258,'Stock Price'!$I$9)-1,"")</f>
        <v>-0.34276315789473677</v>
      </c>
      <c r="V967" s="19">
        <f ca="1">IF('Stock Price'!$I$11="OK",I967/INDEX(I$5:I$1258,'Stock Price'!$I$9)-1,"")</f>
        <v>-4.9642573471008755E-2</v>
      </c>
      <c r="W967" s="19">
        <f ca="1">IF('Stock Price'!$I$11="OK",J967/INDEX(J$5:J$1258,'Stock Price'!$I$9)-1,"")</f>
        <v>-0.30914695101632783</v>
      </c>
      <c r="X967" s="19">
        <f ca="1">IF('Stock Price'!$I$11="OK",K967/INDEX(K$5:K$1258,'Stock Price'!$I$9)-1,"")</f>
        <v>-0.16161616161616166</v>
      </c>
      <c r="Y967" s="19">
        <f ca="1">IF('Stock Price'!$I$11="OK",L967/INDEX(L$5:L$1258,'Stock Price'!$I$9)-1,"")</f>
        <v>-0.17728478418133586</v>
      </c>
      <c r="Z967" s="19">
        <f ca="1">IF('Stock Price'!$I$11="OK",M967/INDEX(M$5:M$1258,'Stock Price'!$I$9)-1,"")</f>
        <v>-0.14395359993022538</v>
      </c>
    </row>
    <row r="968" spans="1:26" x14ac:dyDescent="0.2">
      <c r="A968" s="16">
        <f>'Stock Price'!A968</f>
        <v>45876</v>
      </c>
      <c r="B968" s="17">
        <f>'Stock Price'!E968</f>
        <v>80.37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-0.24499765147956787</v>
      </c>
      <c r="P968" s="19">
        <f ca="1">IF('Stock Price'!$I$11="OK",C968/INDEX(C$5:C$1258,'Stock Price'!$I$9)-1,"")</f>
        <v>-0.16327414465136414</v>
      </c>
      <c r="Q968" s="19">
        <f ca="1">IF('Stock Price'!$I$11="OK",D968/INDEX(D$5:D$1258,'Stock Price'!$I$9)-1,"")</f>
        <v>-0.1940057479129601</v>
      </c>
      <c r="R968" s="19">
        <f ca="1">IF('Stock Price'!$I$11="OK",E968/INDEX(E$5:E$1258,'Stock Price'!$I$9)-1,"")</f>
        <v>-0.24279669554704819</v>
      </c>
      <c r="S968" s="19">
        <f ca="1">IF('Stock Price'!$I$11="OK",F968/INDEX(F$5:F$1258,'Stock Price'!$I$9)-1,"")</f>
        <v>-0.2493683187560739</v>
      </c>
      <c r="T968" s="19">
        <f ca="1">IF('Stock Price'!$I$11="OK",G968/INDEX(G$5:G$1258,'Stock Price'!$I$9)-1,"")</f>
        <v>-1.6587186398507092E-2</v>
      </c>
      <c r="U968" s="19">
        <f ca="1">IF('Stock Price'!$I$11="OK",H968/INDEX(H$5:H$1258,'Stock Price'!$I$9)-1,"")</f>
        <v>-0.33236842105263154</v>
      </c>
      <c r="V968" s="19">
        <f ca="1">IF('Stock Price'!$I$11="OK",I968/INDEX(I$5:I$1258,'Stock Price'!$I$9)-1,"")</f>
        <v>-3.7728355837966632E-2</v>
      </c>
      <c r="W968" s="19">
        <f ca="1">IF('Stock Price'!$I$11="OK",J968/INDEX(J$5:J$1258,'Stock Price'!$I$9)-1,"")</f>
        <v>-0.40680884149727858</v>
      </c>
      <c r="X968" s="19">
        <f ca="1">IF('Stock Price'!$I$11="OK",K968/INDEX(K$5:K$1258,'Stock Price'!$I$9)-1,"")</f>
        <v>-0.15151515151515149</v>
      </c>
      <c r="Y968" s="19">
        <f ca="1">IF('Stock Price'!$I$11="OK",L968/INDEX(L$5:L$1258,'Stock Price'!$I$9)-1,"")</f>
        <v>-0.17275138654448996</v>
      </c>
      <c r="Z968" s="19">
        <f ca="1">IF('Stock Price'!$I$11="OK",M968/INDEX(M$5:M$1258,'Stock Price'!$I$9)-1,"")</f>
        <v>-0.13278967336792979</v>
      </c>
    </row>
    <row r="969" spans="1:26" x14ac:dyDescent="0.2">
      <c r="A969" s="16">
        <f>'Stock Price'!A969</f>
        <v>45877</v>
      </c>
      <c r="B969" s="17">
        <f>'Stock Price'!E969</f>
        <v>80.69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-0.2419915453264444</v>
      </c>
      <c r="P969" s="19">
        <f ca="1">IF('Stock Price'!$I$11="OK",C969/INDEX(C$5:C$1258,'Stock Price'!$I$9)-1,"")</f>
        <v>-0.15663346325970828</v>
      </c>
      <c r="Q969" s="19">
        <f ca="1">IF('Stock Price'!$I$11="OK",D969/INDEX(D$5:D$1258,'Stock Price'!$I$9)-1,"")</f>
        <v>-0.22391131791432883</v>
      </c>
      <c r="R969" s="19">
        <f ca="1">IF('Stock Price'!$I$11="OK",E969/INDEX(E$5:E$1258,'Stock Price'!$I$9)-1,"")</f>
        <v>-0.23836389280677017</v>
      </c>
      <c r="S969" s="19">
        <f ca="1">IF('Stock Price'!$I$11="OK",F969/INDEX(F$5:F$1258,'Stock Price'!$I$9)-1,"")</f>
        <v>-0.25694849368318762</v>
      </c>
      <c r="T969" s="19">
        <f ca="1">IF('Stock Price'!$I$11="OK",G969/INDEX(G$5:G$1258,'Stock Price'!$I$9)-1,"")</f>
        <v>-2.2807381297947238E-2</v>
      </c>
      <c r="U969" s="19">
        <f ca="1">IF('Stock Price'!$I$11="OK",H969/INDEX(H$5:H$1258,'Stock Price'!$I$9)-1,"")</f>
        <v>-0.32328947368421057</v>
      </c>
      <c r="V969" s="19">
        <f ca="1">IF('Stock Price'!$I$11="OK",I969/INDEX(I$5:I$1258,'Stock Price'!$I$9)-1,"")</f>
        <v>-2.3828435266084247E-2</v>
      </c>
      <c r="W969" s="19">
        <f ca="1">IF('Stock Price'!$I$11="OK",J969/INDEX(J$5:J$1258,'Stock Price'!$I$9)-1,"")</f>
        <v>-0.42088748195046088</v>
      </c>
      <c r="X969" s="19">
        <f ca="1">IF('Stock Price'!$I$11="OK",K969/INDEX(K$5:K$1258,'Stock Price'!$I$9)-1,"")</f>
        <v>-0.14047886270108489</v>
      </c>
      <c r="Y969" s="19">
        <f ca="1">IF('Stock Price'!$I$11="OK",L969/INDEX(L$5:L$1258,'Stock Price'!$I$9)-1,"")</f>
        <v>-0.16407041234627429</v>
      </c>
      <c r="Z969" s="19">
        <f ca="1">IF('Stock Price'!$I$11="OK",M969/INDEX(M$5:M$1258,'Stock Price'!$I$9)-1,"")</f>
        <v>-0.13632200950678119</v>
      </c>
    </row>
    <row r="970" spans="1:26" x14ac:dyDescent="0.2">
      <c r="A970" s="16">
        <f>'Stock Price'!A970</f>
        <v>45880</v>
      </c>
      <c r="B970" s="17">
        <f>'Stock Price'!E970</f>
        <v>80.03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-0.24819163926726162</v>
      </c>
      <c r="P970" s="19">
        <f ca="1">IF('Stock Price'!$I$11="OK",C970/INDEX(C$5:C$1258,'Stock Price'!$I$9)-1,"")</f>
        <v>-0.14429045762956549</v>
      </c>
      <c r="Q970" s="19">
        <f ca="1">IF('Stock Price'!$I$11="OK",D970/INDEX(D$5:D$1258,'Stock Price'!$I$9)-1,"")</f>
        <v>-0.20010948405638429</v>
      </c>
      <c r="R970" s="19">
        <f ca="1">IF('Stock Price'!$I$11="OK",E970/INDEX(E$5:E$1258,'Stock Price'!$I$9)-1,"")</f>
        <v>-0.24017731210961113</v>
      </c>
      <c r="S970" s="19">
        <f ca="1">IF('Stock Price'!$I$11="OK",F970/INDEX(F$5:F$1258,'Stock Price'!$I$9)-1,"")</f>
        <v>-0.26977648202138005</v>
      </c>
      <c r="T970" s="19">
        <f ca="1">IF('Stock Price'!$I$11="OK",G970/INDEX(G$5:G$1258,'Stock Price'!$I$9)-1,"")</f>
        <v>-2.1148662658096562E-2</v>
      </c>
      <c r="U970" s="19">
        <f ca="1">IF('Stock Price'!$I$11="OK",H970/INDEX(H$5:H$1258,'Stock Price'!$I$9)-1,"")</f>
        <v>-0.32342105263157894</v>
      </c>
      <c r="V970" s="19">
        <f ca="1">IF('Stock Price'!$I$11="OK",I970/INDEX(I$5:I$1258,'Stock Price'!$I$9)-1,"")</f>
        <v>-2.3828435266084247E-2</v>
      </c>
      <c r="W970" s="19">
        <f ca="1">IF('Stock Price'!$I$11="OK",J970/INDEX(J$5:J$1258,'Stock Price'!$I$9)-1,"")</f>
        <v>-0.41202932355881361</v>
      </c>
      <c r="X970" s="19">
        <f ca="1">IF('Stock Price'!$I$11="OK",K970/INDEX(K$5:K$1258,'Stock Price'!$I$9)-1,"")</f>
        <v>-0.14085297418630749</v>
      </c>
      <c r="Y970" s="19">
        <f ca="1">IF('Stock Price'!$I$11="OK",L970/INDEX(L$5:L$1258,'Stock Price'!$I$9)-1,"")</f>
        <v>-0.16170725825898236</v>
      </c>
      <c r="Z970" s="19">
        <f ca="1">IF('Stock Price'!$I$11="OK",M970/INDEX(M$5:M$1258,'Stock Price'!$I$9)-1,"")</f>
        <v>-0.13374907330687724</v>
      </c>
    </row>
    <row r="971" spans="1:26" x14ac:dyDescent="0.2">
      <c r="A971" s="16">
        <f>'Stock Price'!A971</f>
        <v>45881</v>
      </c>
      <c r="B971" s="17">
        <f>'Stock Price'!E971</f>
        <v>80.3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-0.2456552372005637</v>
      </c>
      <c r="P971" s="19">
        <f ca="1">IF('Stock Price'!$I$11="OK",C971/INDEX(C$5:C$1258,'Stock Price'!$I$9)-1,"")</f>
        <v>-0.13880467734950186</v>
      </c>
      <c r="Q971" s="19">
        <f ca="1">IF('Stock Price'!$I$11="OK",D971/INDEX(D$5:D$1258,'Stock Price'!$I$9)-1,"")</f>
        <v>-0.18828520596688114</v>
      </c>
      <c r="R971" s="19">
        <f ca="1">IF('Stock Price'!$I$11="OK",E971/INDEX(E$5:E$1258,'Stock Price'!$I$9)-1,"")</f>
        <v>-0.22990126939351208</v>
      </c>
      <c r="S971" s="19">
        <f ca="1">IF('Stock Price'!$I$11="OK",F971/INDEX(F$5:F$1258,'Stock Price'!$I$9)-1,"")</f>
        <v>-0.259086491739553</v>
      </c>
      <c r="T971" s="19">
        <f ca="1">IF('Stock Price'!$I$11="OK",G971/INDEX(G$5:G$1258,'Stock Price'!$I$9)-1,"")</f>
        <v>-3.7321169396641318E-3</v>
      </c>
      <c r="U971" s="19">
        <f ca="1">IF('Stock Price'!$I$11="OK",H971/INDEX(H$5:H$1258,'Stock Price'!$I$9)-1,"")</f>
        <v>-0.31684210526315792</v>
      </c>
      <c r="V971" s="19">
        <f ca="1">IF('Stock Price'!$I$11="OK",I971/INDEX(I$5:I$1258,'Stock Price'!$I$9)-1,"")</f>
        <v>-2.1048451151707726E-2</v>
      </c>
      <c r="W971" s="19">
        <f ca="1">IF('Stock Price'!$I$11="OK",J971/INDEX(J$5:J$1258,'Stock Price'!$I$9)-1,"")</f>
        <v>-0.40813247436039835</v>
      </c>
      <c r="X971" s="19">
        <f ca="1">IF('Stock Price'!$I$11="OK",K971/INDEX(K$5:K$1258,'Stock Price'!$I$9)-1,"")</f>
        <v>-0.12925551814440706</v>
      </c>
      <c r="Y971" s="19">
        <f ca="1">IF('Stock Price'!$I$11="OK",L971/INDEX(L$5:L$1258,'Stock Price'!$I$9)-1,"")</f>
        <v>-0.16672293224017354</v>
      </c>
      <c r="Z971" s="19">
        <f ca="1">IF('Stock Price'!$I$11="OK",M971/INDEX(M$5:M$1258,'Stock Price'!$I$9)-1,"")</f>
        <v>-0.13374907330687724</v>
      </c>
    </row>
    <row r="972" spans="1:26" x14ac:dyDescent="0.2">
      <c r="A972" s="16">
        <f>'Stock Price'!A972</f>
        <v>45882</v>
      </c>
      <c r="B972" s="17">
        <f>'Stock Price'!E972</f>
        <v>82.71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-0.22301550023485217</v>
      </c>
      <c r="P972" s="19">
        <f ca="1">IF('Stock Price'!$I$11="OK",C972/INDEX(C$5:C$1258,'Stock Price'!$I$9)-1,"")</f>
        <v>-0.12516240796881761</v>
      </c>
      <c r="Q972" s="19">
        <f ca="1">IF('Stock Price'!$I$11="OK",D972/INDEX(D$5:D$1258,'Stock Price'!$I$9)-1,"")</f>
        <v>-0.15533050499521006</v>
      </c>
      <c r="R972" s="19">
        <f ca="1">IF('Stock Price'!$I$11="OK",E972/INDEX(E$5:E$1258,'Stock Price'!$I$9)-1,"")</f>
        <v>-0.21156558533145275</v>
      </c>
      <c r="S972" s="19">
        <f ca="1">IF('Stock Price'!$I$11="OK",F972/INDEX(F$5:F$1258,'Stock Price'!$I$9)-1,"")</f>
        <v>-0.24995140913508263</v>
      </c>
      <c r="T972" s="19">
        <f ca="1">IF('Stock Price'!$I$11="OK",G972/INDEX(G$5:G$1258,'Stock Price'!$I$9)-1,"")</f>
        <v>1.0574331329048503E-2</v>
      </c>
      <c r="U972" s="19">
        <f ca="1">IF('Stock Price'!$I$11="OK",H972/INDEX(H$5:H$1258,'Stock Price'!$I$9)-1,"")</f>
        <v>-0.29473684210526319</v>
      </c>
      <c r="V972" s="19">
        <f ca="1">IF('Stock Price'!$I$11="OK",I972/INDEX(I$5:I$1258,'Stock Price'!$I$9)-1,"")</f>
        <v>-7.9428117553614896E-4</v>
      </c>
      <c r="W972" s="19">
        <f ca="1">IF('Stock Price'!$I$11="OK",J972/INDEX(J$5:J$1258,'Stock Price'!$I$9)-1,"")</f>
        <v>-0.38863897219445365</v>
      </c>
      <c r="X972" s="19">
        <f ca="1">IF('Stock Price'!$I$11="OK",K972/INDEX(K$5:K$1258,'Stock Price'!$I$9)-1,"")</f>
        <v>-0.10493827160493829</v>
      </c>
      <c r="Y972" s="19">
        <f ca="1">IF('Stock Price'!$I$11="OK",L972/INDEX(L$5:L$1258,'Stock Price'!$I$9)-1,"")</f>
        <v>-0.15881360019291058</v>
      </c>
      <c r="Z972" s="19">
        <f ca="1">IF('Stock Price'!$I$11="OK",M972/INDEX(M$5:M$1258,'Stock Price'!$I$9)-1,"")</f>
        <v>-0.12140770136496448</v>
      </c>
    </row>
    <row r="973" spans="1:26" x14ac:dyDescent="0.2">
      <c r="A973" s="16">
        <f>'Stock Price'!A973</f>
        <v>45883</v>
      </c>
      <c r="B973" s="17">
        <f>'Stock Price'!E973</f>
        <v>82.76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-0.22254579614842651</v>
      </c>
      <c r="P973" s="19">
        <f ca="1">IF('Stock Price'!$I$11="OK",C973/INDEX(C$5:C$1258,'Stock Price'!$I$9)-1,"")</f>
        <v>-0.11873827053558528</v>
      </c>
      <c r="Q973" s="19">
        <f ca="1">IF('Stock Price'!$I$11="OK",D973/INDEX(D$5:D$1258,'Stock Price'!$I$9)-1,"")</f>
        <v>-0.14739291090734918</v>
      </c>
      <c r="R973" s="19">
        <f ca="1">IF('Stock Price'!$I$11="OK",E973/INDEX(E$5:E$1258,'Stock Price'!$I$9)-1,"")</f>
        <v>-0.20955067499496283</v>
      </c>
      <c r="S973" s="19">
        <f ca="1">IF('Stock Price'!$I$11="OK",F973/INDEX(F$5:F$1258,'Stock Price'!$I$9)-1,"")</f>
        <v>-0.24859086491739568</v>
      </c>
      <c r="T973" s="19">
        <f ca="1">IF('Stock Price'!$I$11="OK",G973/INDEX(G$5:G$1258,'Stock Price'!$I$9)-1,"")</f>
        <v>1.6794526228488538E-2</v>
      </c>
      <c r="U973" s="19">
        <f ca="1">IF('Stock Price'!$I$11="OK",H973/INDEX(H$5:H$1258,'Stock Price'!$I$9)-1,"")</f>
        <v>-0.29921052631578948</v>
      </c>
      <c r="V973" s="19">
        <f ca="1">IF('Stock Price'!$I$11="OK",I973/INDEX(I$5:I$1258,'Stock Price'!$I$9)-1,"")</f>
        <v>-2.7799841143765214E-3</v>
      </c>
      <c r="W973" s="19">
        <f ca="1">IF('Stock Price'!$I$11="OK",J973/INDEX(J$5:J$1258,'Stock Price'!$I$9)-1,"")</f>
        <v>-0.36647969195453367</v>
      </c>
      <c r="X973" s="19">
        <f ca="1">IF('Stock Price'!$I$11="OK",K973/INDEX(K$5:K$1258,'Stock Price'!$I$9)-1,"")</f>
        <v>-0.10568649457538348</v>
      </c>
      <c r="Y973" s="19">
        <f ca="1">IF('Stock Price'!$I$11="OK",L973/INDEX(L$5:L$1258,'Stock Price'!$I$9)-1,"")</f>
        <v>-0.15736677115987463</v>
      </c>
      <c r="Z973" s="19">
        <f ca="1">IF('Stock Price'!$I$11="OK",M973/INDEX(M$5:M$1258,'Stock Price'!$I$9)-1,"")</f>
        <v>-0.10740918407396094</v>
      </c>
    </row>
    <row r="974" spans="1:26" x14ac:dyDescent="0.2">
      <c r="A974" s="16">
        <f>'Stock Price'!A974</f>
        <v>45884</v>
      </c>
      <c r="B974" s="17">
        <f>'Stock Price'!E974</f>
        <v>84.21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-0.2089243776420856</v>
      </c>
      <c r="P974" s="19">
        <f ca="1">IF('Stock Price'!$I$11="OK",C974/INDEX(C$5:C$1258,'Stock Price'!$I$9)-1,"")</f>
        <v>-0.10343583080698715</v>
      </c>
      <c r="Q974" s="19">
        <f ca="1">IF('Stock Price'!$I$11="OK",D974/INDEX(D$5:D$1258,'Stock Price'!$I$9)-1,"")</f>
        <v>-0.14876146161215276</v>
      </c>
      <c r="R974" s="19">
        <f ca="1">IF('Stock Price'!$I$11="OK",E974/INDEX(E$5:E$1258,'Stock Price'!$I$9)-1,"")</f>
        <v>-0.20693129155752576</v>
      </c>
      <c r="S974" s="19">
        <f ca="1">IF('Stock Price'!$I$11="OK",F974/INDEX(F$5:F$1258,'Stock Price'!$I$9)-1,"")</f>
        <v>-0.23070942662779403</v>
      </c>
      <c r="T974" s="19">
        <f ca="1">IF('Stock Price'!$I$11="OK",G974/INDEX(G$5:G$1258,'Stock Price'!$I$9)-1,"")</f>
        <v>3.19303338171264E-2</v>
      </c>
      <c r="U974" s="19">
        <f ca="1">IF('Stock Price'!$I$11="OK",H974/INDEX(H$5:H$1258,'Stock Price'!$I$9)-1,"")</f>
        <v>-0.28828947368421043</v>
      </c>
      <c r="V974" s="19">
        <f ca="1">IF('Stock Price'!$I$11="OK",I974/INDEX(I$5:I$1258,'Stock Price'!$I$9)-1,"")</f>
        <v>-1.5885623510722979E-3</v>
      </c>
      <c r="W974" s="19">
        <f ca="1">IF('Stock Price'!$I$11="OK",J974/INDEX(J$5:J$1258,'Stock Price'!$I$9)-1,"")</f>
        <v>-0.35092931985634412</v>
      </c>
      <c r="X974" s="19">
        <f ca="1">IF('Stock Price'!$I$11="OK",K974/INDEX(K$5:K$1258,'Stock Price'!$I$9)-1,"")</f>
        <v>-9.3901982790871696E-2</v>
      </c>
      <c r="Y974" s="19">
        <f ca="1">IF('Stock Price'!$I$11="OK",L974/INDEX(L$5:L$1258,'Stock Price'!$I$9)-1,"")</f>
        <v>-0.14810706534844476</v>
      </c>
      <c r="Z974" s="19">
        <f ca="1">IF('Stock Price'!$I$11="OK",M974/INDEX(M$5:M$1258,'Stock Price'!$I$9)-1,"")</f>
        <v>-9.8643757359033635E-2</v>
      </c>
    </row>
    <row r="975" spans="1:26" x14ac:dyDescent="0.2">
      <c r="A975" s="16">
        <f>'Stock Price'!A975</f>
        <v>45887</v>
      </c>
      <c r="B975" s="17">
        <f>'Stock Price'!E975</f>
        <v>84.22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-0.2088304368248004</v>
      </c>
      <c r="P975" s="19">
        <f ca="1">IF('Stock Price'!$I$11="OK",C975/INDEX(C$5:C$1258,'Stock Price'!$I$9)-1,"")</f>
        <v>-0.10487945719647751</v>
      </c>
      <c r="Q975" s="19">
        <f ca="1">IF('Stock Price'!$I$11="OK",D975/INDEX(D$5:D$1258,'Stock Price'!$I$9)-1,"")</f>
        <v>-0.12160941562884908</v>
      </c>
      <c r="R975" s="19">
        <f ca="1">IF('Stock Price'!$I$11="OK",E975/INDEX(E$5:E$1258,'Stock Price'!$I$9)-1,"")</f>
        <v>-0.2127745315333468</v>
      </c>
      <c r="S975" s="19">
        <f ca="1">IF('Stock Price'!$I$11="OK",F975/INDEX(F$5:F$1258,'Stock Price'!$I$9)-1,"")</f>
        <v>-0.23012633624878531</v>
      </c>
      <c r="T975" s="19">
        <f ca="1">IF('Stock Price'!$I$11="OK",G975/INDEX(G$5:G$1258,'Stock Price'!$I$9)-1,"")</f>
        <v>3.3381712626995741E-2</v>
      </c>
      <c r="U975" s="19">
        <f ca="1">IF('Stock Price'!$I$11="OK",H975/INDEX(H$5:H$1258,'Stock Price'!$I$9)-1,"")</f>
        <v>-0.27184210526315788</v>
      </c>
      <c r="V975" s="19">
        <f ca="1">IF('Stock Price'!$I$11="OK",I975/INDEX(I$5:I$1258,'Stock Price'!$I$9)-1,"")</f>
        <v>-4.3685464654487083E-3</v>
      </c>
      <c r="W975" s="19">
        <f ca="1">IF('Stock Price'!$I$11="OK",J975/INDEX(J$5:J$1258,'Stock Price'!$I$9)-1,"")</f>
        <v>-0.35387278314635862</v>
      </c>
      <c r="X975" s="19">
        <f ca="1">IF('Stock Price'!$I$11="OK",K975/INDEX(K$5:K$1258,'Stock Price'!$I$9)-1,"")</f>
        <v>-9.8578376356154185E-2</v>
      </c>
      <c r="Y975" s="19">
        <f ca="1">IF('Stock Price'!$I$11="OK",L975/INDEX(L$5:L$1258,'Stock Price'!$I$9)-1,"")</f>
        <v>-0.1499879430913913</v>
      </c>
      <c r="Z975" s="19">
        <f ca="1">IF('Stock Price'!$I$11="OK",M975/INDEX(M$5:M$1258,'Stock Price'!$I$9)-1,"")</f>
        <v>-9.9167066416641303E-2</v>
      </c>
    </row>
    <row r="976" spans="1:26" x14ac:dyDescent="0.2">
      <c r="A976" s="16">
        <f>'Stock Price'!A976</f>
        <v>45888</v>
      </c>
      <c r="B976" s="17">
        <f>'Stock Price'!E976</f>
        <v>84.93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-0.20216063879755752</v>
      </c>
      <c r="P976" s="19">
        <f ca="1">IF('Stock Price'!$I$11="OK",C976/INDEX(C$5:C$1258,'Stock Price'!$I$9)-1,"")</f>
        <v>-9.809441316587264E-2</v>
      </c>
      <c r="Q976" s="19">
        <f ca="1">IF('Stock Price'!$I$11="OK",D976/INDEX(D$5:D$1258,'Stock Price'!$I$9)-1,"")</f>
        <v>-0.12160941562884908</v>
      </c>
      <c r="R976" s="19">
        <f ca="1">IF('Stock Price'!$I$11="OK",E976/INDEX(E$5:E$1258,'Stock Price'!$I$9)-1,"")</f>
        <v>-0.20169252468265175</v>
      </c>
      <c r="S976" s="19">
        <f ca="1">IF('Stock Price'!$I$11="OK",F976/INDEX(F$5:F$1258,'Stock Price'!$I$9)-1,"")</f>
        <v>-0.21671525753158416</v>
      </c>
      <c r="T976" s="19">
        <f ca="1">IF('Stock Price'!$I$11="OK",G976/INDEX(G$5:G$1258,'Stock Price'!$I$9)-1,"")</f>
        <v>4.0638606676342448E-2</v>
      </c>
      <c r="U976" s="19">
        <f ca="1">IF('Stock Price'!$I$11="OK",H976/INDEX(H$5:H$1258,'Stock Price'!$I$9)-1,"")</f>
        <v>-0.26078947368421057</v>
      </c>
      <c r="V976" s="19">
        <f ca="1">IF('Stock Price'!$I$11="OK",I976/INDEX(I$5:I$1258,'Stock Price'!$I$9)-1,"")</f>
        <v>5.5599682287530428E-3</v>
      </c>
      <c r="W976" s="19">
        <f ca="1">IF('Stock Price'!$I$11="OK",J976/INDEX(J$5:J$1258,'Stock Price'!$I$9)-1,"")</f>
        <v>-0.34909659743048604</v>
      </c>
      <c r="X976" s="19">
        <f ca="1">IF('Stock Price'!$I$11="OK",K976/INDEX(K$5:K$1258,'Stock Price'!$I$9)-1,"")</f>
        <v>-9.5772540216984559E-2</v>
      </c>
      <c r="Y976" s="19">
        <f ca="1">IF('Stock Price'!$I$11="OK",L976/INDEX(L$5:L$1258,'Stock Price'!$I$9)-1,"")</f>
        <v>-0.14251265975403904</v>
      </c>
      <c r="Z976" s="19">
        <f ca="1">IF('Stock Price'!$I$11="OK",M976/INDEX(M$5:M$1258,'Stock Price'!$I$9)-1,"")</f>
        <v>-0.10082421176573197</v>
      </c>
    </row>
    <row r="977" spans="1:26" x14ac:dyDescent="0.2">
      <c r="A977" s="16">
        <f>'Stock Price'!A977</f>
        <v>45889</v>
      </c>
      <c r="B977" s="17">
        <f>'Stock Price'!E977</f>
        <v>84.66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-0.20469704086425555</v>
      </c>
      <c r="P977" s="19">
        <f ca="1">IF('Stock Price'!$I$11="OK",C977/INDEX(C$5:C$1258,'Stock Price'!$I$9)-1,"")</f>
        <v>-8.1492709686733056E-2</v>
      </c>
      <c r="Q977" s="19">
        <f ca="1">IF('Stock Price'!$I$11="OK",D977/INDEX(D$5:D$1258,'Stock Price'!$I$9)-1,"")</f>
        <v>-0.13617079512795949</v>
      </c>
      <c r="R977" s="19">
        <f ca="1">IF('Stock Price'!$I$11="OK",E977/INDEX(E$5:E$1258,'Stock Price'!$I$9)-1,"")</f>
        <v>-0.19262542816844652</v>
      </c>
      <c r="S977" s="19">
        <f ca="1">IF('Stock Price'!$I$11="OK",F977/INDEX(F$5:F$1258,'Stock Price'!$I$9)-1,"")</f>
        <v>-0.20796890184645289</v>
      </c>
      <c r="T977" s="19">
        <f ca="1">IF('Stock Price'!$I$11="OK",G977/INDEX(G$5:G$1258,'Stock Price'!$I$9)-1,"")</f>
        <v>4.7688160895708265E-2</v>
      </c>
      <c r="U977" s="19">
        <f ca="1">IF('Stock Price'!$I$11="OK",H977/INDEX(H$5:H$1258,'Stock Price'!$I$9)-1,"")</f>
        <v>-0.26434210526315793</v>
      </c>
      <c r="V977" s="19">
        <f ca="1">IF('Stock Price'!$I$11="OK",I977/INDEX(I$5:I$1258,'Stock Price'!$I$9)-1,"")</f>
        <v>7.9428117553612676E-3</v>
      </c>
      <c r="W977" s="19">
        <f ca="1">IF('Stock Price'!$I$11="OK",J977/INDEX(J$5:J$1258,'Stock Price'!$I$9)-1,"")</f>
        <v>-0.34703247065792875</v>
      </c>
      <c r="X977" s="19">
        <f ca="1">IF('Stock Price'!$I$11="OK",K977/INDEX(K$5:K$1258,'Stock Price'!$I$9)-1,"")</f>
        <v>-9.7268986157875048E-2</v>
      </c>
      <c r="Y977" s="19">
        <f ca="1">IF('Stock Price'!$I$11="OK",L977/INDEX(L$5:L$1258,'Stock Price'!$I$9)-1,"")</f>
        <v>-0.13749698577284775</v>
      </c>
      <c r="Z977" s="19">
        <f ca="1">IF('Stock Price'!$I$11="OK",M977/INDEX(M$5:M$1258,'Stock Price'!$I$9)-1,"")</f>
        <v>-8.7915921678077713E-2</v>
      </c>
    </row>
    <row r="978" spans="1:26" x14ac:dyDescent="0.2">
      <c r="A978" s="16">
        <f>'Stock Price'!A978</f>
        <v>45890</v>
      </c>
      <c r="B978" s="17">
        <f>'Stock Price'!E978</f>
        <v>86.08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-0.19135744480976991</v>
      </c>
      <c r="P978" s="19">
        <f ca="1">IF('Stock Price'!$I$11="OK",C978/INDEX(C$5:C$1258,'Stock Price'!$I$9)-1,"")</f>
        <v>-8.4596506424137408E-2</v>
      </c>
      <c r="Q978" s="19">
        <f ca="1">IF('Stock Price'!$I$11="OK",D978/INDEX(D$5:D$1258,'Stock Price'!$I$9)-1,"")</f>
        <v>-0.13617079512795949</v>
      </c>
      <c r="R978" s="19">
        <f ca="1">IF('Stock Price'!$I$11="OK",E978/INDEX(E$5:E$1258,'Stock Price'!$I$9)-1,"")</f>
        <v>-0.19242393713479755</v>
      </c>
      <c r="S978" s="19">
        <f ca="1">IF('Stock Price'!$I$11="OK",F978/INDEX(F$5:F$1258,'Stock Price'!$I$9)-1,"")</f>
        <v>-0.21379980563654033</v>
      </c>
      <c r="T978" s="19">
        <f ca="1">IF('Stock Price'!$I$11="OK",G978/INDEX(G$5:G$1258,'Stock Price'!$I$9)-1,"")</f>
        <v>4.9346879535558941E-2</v>
      </c>
      <c r="U978" s="19">
        <f ca="1">IF('Stock Price'!$I$11="OK",H978/INDEX(H$5:H$1258,'Stock Price'!$I$9)-1,"")</f>
        <v>-0.25973684210526315</v>
      </c>
      <c r="V978" s="19">
        <f ca="1">IF('Stock Price'!$I$11="OK",I978/INDEX(I$5:I$1258,'Stock Price'!$I$9)-1,"")</f>
        <v>2.2239872915011949E-2</v>
      </c>
      <c r="W978" s="19">
        <f ca="1">IF('Stock Price'!$I$11="OK",J978/INDEX(J$5:J$1258,'Stock Price'!$I$9)-1,"")</f>
        <v>-0.34297826650375784</v>
      </c>
      <c r="X978" s="19">
        <f ca="1">IF('Stock Price'!$I$11="OK",K978/INDEX(K$5:K$1258,'Stock Price'!$I$9)-1,"")</f>
        <v>-9.4089038533483049E-2</v>
      </c>
      <c r="Y978" s="19">
        <f ca="1">IF('Stock Price'!$I$11="OK",L978/INDEX(L$5:L$1258,'Stock Price'!$I$9)-1,"")</f>
        <v>-0.13706293706293704</v>
      </c>
      <c r="Z978" s="19">
        <f ca="1">IF('Stock Price'!$I$11="OK",M978/INDEX(M$5:M$1258,'Stock Price'!$I$9)-1,"")</f>
        <v>-8.6389603593388875E-2</v>
      </c>
    </row>
    <row r="979" spans="1:26" x14ac:dyDescent="0.2">
      <c r="A979" s="16">
        <f>'Stock Price'!A979</f>
        <v>45891</v>
      </c>
      <c r="B979" s="17">
        <f>'Stock Price'!E979</f>
        <v>87.37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-0.17923907937999062</v>
      </c>
      <c r="P979" s="19">
        <f ca="1">IF('Stock Price'!$I$11="OK",C979/INDEX(C$5:C$1258,'Stock Price'!$I$9)-1,"")</f>
        <v>-8.3441605312545075E-2</v>
      </c>
      <c r="Q979" s="19">
        <f ca="1">IF('Stock Price'!$I$11="OK",D979/INDEX(D$5:D$1258,'Stock Price'!$I$9)-1,"")</f>
        <v>-0.14005747912960176</v>
      </c>
      <c r="R979" s="19">
        <f ca="1">IF('Stock Price'!$I$11="OK",E979/INDEX(E$5:E$1258,'Stock Price'!$I$9)-1,"")</f>
        <v>-0.19020753576465854</v>
      </c>
      <c r="S979" s="19">
        <f ca="1">IF('Stock Price'!$I$11="OK",F979/INDEX(F$5:F$1258,'Stock Price'!$I$9)-1,"")</f>
        <v>-0.20563654033041801</v>
      </c>
      <c r="T979" s="19">
        <f ca="1">IF('Stock Price'!$I$11="OK",G979/INDEX(G$5:G$1258,'Stock Price'!$I$9)-1,"")</f>
        <v>6.4690026954177915E-2</v>
      </c>
      <c r="U979" s="19">
        <f ca="1">IF('Stock Price'!$I$11="OK",H979/INDEX(H$5:H$1258,'Stock Price'!$I$9)-1,"")</f>
        <v>-0.24855263157894736</v>
      </c>
      <c r="V979" s="19">
        <f ca="1">IF('Stock Price'!$I$11="OK",I979/INDEX(I$5:I$1258,'Stock Price'!$I$9)-1,"")</f>
        <v>2.779984114376477E-2</v>
      </c>
      <c r="W979" s="19">
        <f ca="1">IF('Stock Price'!$I$11="OK",J979/INDEX(J$5:J$1258,'Stock Price'!$I$9)-1,"")</f>
        <v>-0.34125661816431563</v>
      </c>
      <c r="X979" s="19">
        <f ca="1">IF('Stock Price'!$I$11="OK",K979/INDEX(K$5:K$1258,'Stock Price'!$I$9)-1,"")</f>
        <v>-0.10362888140665916</v>
      </c>
      <c r="Y979" s="19">
        <f ca="1">IF('Stock Price'!$I$11="OK",L979/INDEX(L$5:L$1258,'Stock Price'!$I$9)-1,"")</f>
        <v>-0.13532674222329399</v>
      </c>
      <c r="Z979" s="19">
        <f ca="1">IF('Stock Price'!$I$11="OK",M979/INDEX(M$5:M$1258,'Stock Price'!$I$9)-1,"")</f>
        <v>-8.1592603898652527E-2</v>
      </c>
    </row>
    <row r="980" spans="1:26" x14ac:dyDescent="0.2">
      <c r="A980" s="16">
        <f>'Stock Price'!A980</f>
        <v>45894</v>
      </c>
      <c r="B980" s="17">
        <f>'Stock Price'!E980</f>
        <v>85.31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-0.19859088774072331</v>
      </c>
      <c r="P980" s="19">
        <f ca="1">IF('Stock Price'!$I$11="OK",C980/INDEX(C$5:C$1258,'Stock Price'!$I$9)-1,"")</f>
        <v>-9.7444781290601856E-2</v>
      </c>
      <c r="Q980" s="19">
        <f ca="1">IF('Stock Price'!$I$11="OK",D980/INDEX(D$5:D$1258,'Stock Price'!$I$9)-1,"")</f>
        <v>-0.10781442452442869</v>
      </c>
      <c r="R980" s="19">
        <f ca="1">IF('Stock Price'!$I$11="OK",E980/INDEX(E$5:E$1258,'Stock Price'!$I$9)-1,"")</f>
        <v>-0.2012895426153537</v>
      </c>
      <c r="S980" s="19">
        <f ca="1">IF('Stock Price'!$I$11="OK",F980/INDEX(F$5:F$1258,'Stock Price'!$I$9)-1,"")</f>
        <v>-0.2202137998056366</v>
      </c>
      <c r="T980" s="19">
        <f ca="1">IF('Stock Price'!$I$11="OK",G980/INDEX(G$5:G$1258,'Stock Price'!$I$9)-1,"")</f>
        <v>3.9394567696454663E-2</v>
      </c>
      <c r="U980" s="19">
        <f ca="1">IF('Stock Price'!$I$11="OK",H980/INDEX(H$5:H$1258,'Stock Price'!$I$9)-1,"")</f>
        <v>-0.26039473684210523</v>
      </c>
      <c r="V980" s="19">
        <f ca="1">IF('Stock Price'!$I$11="OK",I980/INDEX(I$5:I$1258,'Stock Price'!$I$9)-1,"")</f>
        <v>-1.5885623510722979E-3</v>
      </c>
      <c r="W980" s="19">
        <f ca="1">IF('Stock Price'!$I$11="OK",J980/INDEX(J$5:J$1258,'Stock Price'!$I$9)-1,"")</f>
        <v>-0.3563904624384463</v>
      </c>
      <c r="X980" s="19">
        <f ca="1">IF('Stock Price'!$I$11="OK",K980/INDEX(K$5:K$1258,'Stock Price'!$I$9)-1,"")</f>
        <v>-0.11821922933034046</v>
      </c>
      <c r="Y980" s="19">
        <f ca="1">IF('Stock Price'!$I$11="OK",L980/INDEX(L$5:L$1258,'Stock Price'!$I$9)-1,"")</f>
        <v>-0.13957077405353269</v>
      </c>
      <c r="Z980" s="19">
        <f ca="1">IF('Stock Price'!$I$11="OK",M980/INDEX(M$5:M$1258,'Stock Price'!$I$9)-1,"")</f>
        <v>-9.4893375779512401E-2</v>
      </c>
    </row>
    <row r="981" spans="1:26" x14ac:dyDescent="0.2">
      <c r="A981" s="16">
        <f>'Stock Price'!A981</f>
        <v>45895</v>
      </c>
      <c r="B981" s="17">
        <f>'Stock Price'!E981</f>
        <v>84.99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-0.201596993893847</v>
      </c>
      <c r="P981" s="19">
        <f ca="1">IF('Stock Price'!$I$11="OK",C981/INDEX(C$5:C$1258,'Stock Price'!$I$9)-1,"")</f>
        <v>-8.5895770174678754E-2</v>
      </c>
      <c r="Q981" s="19">
        <f ca="1">IF('Stock Price'!$I$11="OK",D981/INDEX(D$5:D$1258,'Stock Price'!$I$9)-1,"")</f>
        <v>-0.12248528807992332</v>
      </c>
      <c r="R981" s="19">
        <f ca="1">IF('Stock Price'!$I$11="OK",E981/INDEX(E$5:E$1258,'Stock Price'!$I$9)-1,"")</f>
        <v>-0.19746121297602259</v>
      </c>
      <c r="S981" s="19">
        <f ca="1">IF('Stock Price'!$I$11="OK",F981/INDEX(F$5:F$1258,'Stock Price'!$I$9)-1,"")</f>
        <v>-0.21554907677356661</v>
      </c>
      <c r="T981" s="19">
        <f ca="1">IF('Stock Price'!$I$11="OK",G981/INDEX(G$5:G$1258,'Stock Price'!$I$9)-1,"")</f>
        <v>4.2919344806137349E-2</v>
      </c>
      <c r="U981" s="19">
        <f ca="1">IF('Stock Price'!$I$11="OK",H981/INDEX(H$5:H$1258,'Stock Price'!$I$9)-1,"")</f>
        <v>-0.24763157894736842</v>
      </c>
      <c r="V981" s="19">
        <f ca="1">IF('Stock Price'!$I$11="OK",I981/INDEX(I$5:I$1258,'Stock Price'!$I$9)-1,"")</f>
        <v>-1.0325655281969714E-2</v>
      </c>
      <c r="W981" s="19">
        <f ca="1">IF('Stock Price'!$I$11="OK",J981/INDEX(J$5:J$1258,'Stock Price'!$I$9)-1,"")</f>
        <v>-0.31871783479580873</v>
      </c>
      <c r="X981" s="19">
        <f ca="1">IF('Stock Price'!$I$11="OK",K981/INDEX(K$5:K$1258,'Stock Price'!$I$9)-1,"")</f>
        <v>-0.11690983913206132</v>
      </c>
      <c r="Y981" s="19">
        <f ca="1">IF('Stock Price'!$I$11="OK",L981/INDEX(L$5:L$1258,'Stock Price'!$I$9)-1,"")</f>
        <v>-0.14883047986496256</v>
      </c>
      <c r="Z981" s="19">
        <f ca="1">IF('Stock Price'!$I$11="OK",M981/INDEX(M$5:M$1258,'Stock Price'!$I$9)-1,"")</f>
        <v>-9.1361039640661112E-2</v>
      </c>
    </row>
    <row r="982" spans="1:26" x14ac:dyDescent="0.2">
      <c r="A982" s="16">
        <f>'Stock Price'!A982</f>
        <v>45896</v>
      </c>
      <c r="B982" s="17">
        <f>'Stock Price'!E982</f>
        <v>84.07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-0.21023954908407716</v>
      </c>
      <c r="P982" s="19">
        <f ca="1">IF('Stock Price'!$I$11="OK",C982/INDEX(C$5:C$1258,'Stock Price'!$I$9)-1,"")</f>
        <v>-8.4091237187815748E-2</v>
      </c>
      <c r="Q982" s="19">
        <f ca="1">IF('Stock Price'!$I$11="OK",D982/INDEX(D$5:D$1258,'Stock Price'!$I$9)-1,"")</f>
        <v>-0.12056931709319829</v>
      </c>
      <c r="R982" s="19">
        <f ca="1">IF('Stock Price'!$I$11="OK",E982/INDEX(E$5:E$1258,'Stock Price'!$I$9)-1,"")</f>
        <v>-0.19584928470683061</v>
      </c>
      <c r="S982" s="19">
        <f ca="1">IF('Stock Price'!$I$11="OK",F982/INDEX(F$5:F$1258,'Stock Price'!$I$9)-1,"")</f>
        <v>-0.20485908649173967</v>
      </c>
      <c r="T982" s="19">
        <f ca="1">IF('Stock Price'!$I$11="OK",G982/INDEX(G$5:G$1258,'Stock Price'!$I$9)-1,"")</f>
        <v>3.8979888036491772E-2</v>
      </c>
      <c r="U982" s="19">
        <f ca="1">IF('Stock Price'!$I$11="OK",H982/INDEX(H$5:H$1258,'Stock Price'!$I$9)-1,"")</f>
        <v>-0.2522368421052632</v>
      </c>
      <c r="V982" s="19">
        <f ca="1">IF('Stock Price'!$I$11="OK",I982/INDEX(I$5:I$1258,'Stock Price'!$I$9)-1,"")</f>
        <v>-4.3685464654487083E-3</v>
      </c>
      <c r="W982" s="19">
        <f ca="1">IF('Stock Price'!$I$11="OK",J982/INDEX(J$5:J$1258,'Stock Price'!$I$9)-1,"")</f>
        <v>-0.32043948313525117</v>
      </c>
      <c r="X982" s="19">
        <f ca="1">IF('Stock Price'!$I$11="OK",K982/INDEX(K$5:K$1258,'Stock Price'!$I$9)-1,"")</f>
        <v>-0.10905349794238683</v>
      </c>
      <c r="Y982" s="19">
        <f ca="1">IF('Stock Price'!$I$11="OK",L982/INDEX(L$5:L$1258,'Stock Price'!$I$9)-1,"")</f>
        <v>-0.14738365083192673</v>
      </c>
      <c r="Z982" s="19">
        <f ca="1">IF('Stock Price'!$I$11="OK",M982/INDEX(M$5:M$1258,'Stock Price'!$I$9)-1,"")</f>
        <v>-9.2669312284680116E-2</v>
      </c>
    </row>
    <row r="983" spans="1:26" x14ac:dyDescent="0.2">
      <c r="A983" s="16">
        <f>'Stock Price'!A983</f>
        <v>45897</v>
      </c>
      <c r="B983" s="17">
        <f>'Stock Price'!E983</f>
        <v>83.21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-0.21831845937059657</v>
      </c>
      <c r="P983" s="19">
        <f ca="1">IF('Stock Price'!$I$11="OK",C983/INDEX(C$5:C$1258,'Stock Price'!$I$9)-1,"")</f>
        <v>-8.7122852605745593E-2</v>
      </c>
      <c r="Q983" s="19">
        <f ca="1">IF('Stock Price'!$I$11="OK",D983/INDEX(D$5:D$1258,'Stock Price'!$I$9)-1,"")</f>
        <v>-0.13398166142055556</v>
      </c>
      <c r="R983" s="19">
        <f ca="1">IF('Stock Price'!$I$11="OK",E983/INDEX(E$5:E$1258,'Stock Price'!$I$9)-1,"")</f>
        <v>-0.20531936328833378</v>
      </c>
      <c r="S983" s="19">
        <f ca="1">IF('Stock Price'!$I$11="OK",F983/INDEX(F$5:F$1258,'Stock Price'!$I$9)-1,"")</f>
        <v>-0.20544217687074828</v>
      </c>
      <c r="T983" s="19">
        <f ca="1">IF('Stock Price'!$I$11="OK",G983/INDEX(G$5:G$1258,'Stock Price'!$I$9)-1,"")</f>
        <v>3.5455110926809086E-2</v>
      </c>
      <c r="U983" s="19">
        <f ca="1">IF('Stock Price'!$I$11="OK",H983/INDEX(H$5:H$1258,'Stock Price'!$I$9)-1,"")</f>
        <v>-0.26513157894736838</v>
      </c>
      <c r="V983" s="19">
        <f ca="1">IF('Stock Price'!$I$11="OK",I983/INDEX(I$5:I$1258,'Stock Price'!$I$9)-1,"")</f>
        <v>-2.3034154090547987E-2</v>
      </c>
      <c r="W983" s="19">
        <f ca="1">IF('Stock Price'!$I$11="OK",J983/INDEX(J$5:J$1258,'Stock Price'!$I$9)-1,"")</f>
        <v>-0.32248509756007249</v>
      </c>
      <c r="X983" s="19">
        <f ca="1">IF('Stock Price'!$I$11="OK",K983/INDEX(K$5:K$1258,'Stock Price'!$I$9)-1,"")</f>
        <v>-0.12308267863823419</v>
      </c>
      <c r="Y983" s="19">
        <f ca="1">IF('Stock Price'!$I$11="OK",L983/INDEX(L$5:L$1258,'Stock Price'!$I$9)-1,"")</f>
        <v>-0.15384615384615385</v>
      </c>
      <c r="Z983" s="19">
        <f ca="1">IF('Stock Price'!$I$11="OK",M983/INDEX(M$5:M$1258,'Stock Price'!$I$9)-1,"")</f>
        <v>-9.3279839518555785E-2</v>
      </c>
    </row>
    <row r="984" spans="1:26" x14ac:dyDescent="0.2">
      <c r="A984" s="16">
        <f>'Stock Price'!A984</f>
        <v>45898</v>
      </c>
      <c r="B984" s="17">
        <f>'Stock Price'!E984</f>
        <v>84.12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-0.2097698449976515</v>
      </c>
      <c r="P984" s="19">
        <f ca="1">IF('Stock Price'!$I$11="OK",C984/INDEX(C$5:C$1258,'Stock Price'!$I$9)-1,"")</f>
        <v>-8.6545402049949427E-2</v>
      </c>
      <c r="Q984" s="19">
        <f ca="1">IF('Stock Price'!$I$11="OK",D984/INDEX(D$5:D$1258,'Stock Price'!$I$9)-1,"")</f>
        <v>-0.11794169973997548</v>
      </c>
      <c r="R984" s="19">
        <f ca="1">IF('Stock Price'!$I$11="OK",E984/INDEX(E$5:E$1258,'Stock Price'!$I$9)-1,"")</f>
        <v>-0.20068506951440657</v>
      </c>
      <c r="S984" s="19">
        <f ca="1">IF('Stock Price'!$I$11="OK",F984/INDEX(F$5:F$1258,'Stock Price'!$I$9)-1,"")</f>
        <v>-0.20758017492711367</v>
      </c>
      <c r="T984" s="19">
        <f ca="1">IF('Stock Price'!$I$11="OK",G984/INDEX(G$5:G$1258,'Stock Price'!$I$9)-1,"")</f>
        <v>2.5917478747667477E-2</v>
      </c>
      <c r="U984" s="19">
        <f ca="1">IF('Stock Price'!$I$11="OK",H984/INDEX(H$5:H$1258,'Stock Price'!$I$9)-1,"")</f>
        <v>-0.26157894736842113</v>
      </c>
      <c r="V984" s="19">
        <f ca="1">IF('Stock Price'!$I$11="OK",I984/INDEX(I$5:I$1258,'Stock Price'!$I$9)-1,"")</f>
        <v>-1.6679904686258906E-2</v>
      </c>
      <c r="W984" s="19">
        <f ca="1">IF('Stock Price'!$I$11="OK",J984/INDEX(J$5:J$1258,'Stock Price'!$I$9)-1,"")</f>
        <v>-0.3219112147802583</v>
      </c>
      <c r="X984" s="19">
        <f ca="1">IF('Stock Price'!$I$11="OK",K984/INDEX(K$5:K$1258,'Stock Price'!$I$9)-1,"")</f>
        <v>-0.11747100635989527</v>
      </c>
      <c r="Y984" s="19">
        <f ca="1">IF('Stock Price'!$I$11="OK",L984/INDEX(L$5:L$1258,'Stock Price'!$I$9)-1,"")</f>
        <v>-0.14555100072341454</v>
      </c>
      <c r="Z984" s="19">
        <f ca="1">IF('Stock Price'!$I$11="OK",M984/INDEX(M$5:M$1258,'Stock Price'!$I$9)-1,"")</f>
        <v>-8.2464785661331752E-2</v>
      </c>
    </row>
    <row r="985" spans="1:26" x14ac:dyDescent="0.2">
      <c r="A985" s="16">
        <f>'Stock Price'!A985</f>
        <v>45902</v>
      </c>
      <c r="B985" s="17">
        <f>'Stock Price'!E985</f>
        <v>85.48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-0.19699389384687649</v>
      </c>
      <c r="P985" s="19">
        <f ca="1">IF('Stock Price'!$I$11="OK",C985/INDEX(C$5:C$1258,'Stock Price'!$I$9)-1,"")</f>
        <v>-8.5895770174678754E-2</v>
      </c>
      <c r="Q985" s="19">
        <f ca="1">IF('Stock Price'!$I$11="OK",D985/INDEX(D$5:D$1258,'Stock Price'!$I$9)-1,"")</f>
        <v>-0.12051457506500618</v>
      </c>
      <c r="R985" s="19">
        <f ca="1">IF('Stock Price'!$I$11="OK",E985/INDEX(E$5:E$1258,'Stock Price'!$I$9)-1,"")</f>
        <v>-0.21499093290348581</v>
      </c>
      <c r="S985" s="19">
        <f ca="1">IF('Stock Price'!$I$11="OK",F985/INDEX(F$5:F$1258,'Stock Price'!$I$9)-1,"")</f>
        <v>-0.20272108843537417</v>
      </c>
      <c r="T985" s="19">
        <f ca="1">IF('Stock Price'!$I$11="OK",G985/INDEX(G$5:G$1258,'Stock Price'!$I$9)-1,"")</f>
        <v>2.7990877047480822E-2</v>
      </c>
      <c r="U985" s="19">
        <f ca="1">IF('Stock Price'!$I$11="OK",H985/INDEX(H$5:H$1258,'Stock Price'!$I$9)-1,"")</f>
        <v>-0.27802631578947368</v>
      </c>
      <c r="V985" s="19">
        <f ca="1">IF('Stock Price'!$I$11="OK",I985/INDEX(I$5:I$1258,'Stock Price'!$I$9)-1,"")</f>
        <v>-7.9428117553613786E-3</v>
      </c>
      <c r="W985" s="19">
        <f ca="1">IF('Stock Price'!$I$11="OK",J985/INDEX(J$5:J$1258,'Stock Price'!$I$9)-1,"")</f>
        <v>-0.31949535340071822</v>
      </c>
      <c r="X985" s="19">
        <f ca="1">IF('Stock Price'!$I$11="OK",K985/INDEX(K$5:K$1258,'Stock Price'!$I$9)-1,"")</f>
        <v>-0.11316872427983549</v>
      </c>
      <c r="Y985" s="19">
        <f ca="1">IF('Stock Price'!$I$11="OK",L985/INDEX(L$5:L$1258,'Stock Price'!$I$9)-1,"")</f>
        <v>-0.14125874125874127</v>
      </c>
      <c r="Z985" s="19">
        <f ca="1">IF('Stock Price'!$I$11="OK",M985/INDEX(M$5:M$1258,'Stock Price'!$I$9)-1,"")</f>
        <v>-7.5836204264968843E-2</v>
      </c>
    </row>
    <row r="986" spans="1:26" x14ac:dyDescent="0.2">
      <c r="A986" s="16">
        <f>'Stock Price'!A986</f>
        <v>45903</v>
      </c>
      <c r="B986" s="17">
        <f>'Stock Price'!E986</f>
        <v>84.18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-0.20920620009394075</v>
      </c>
      <c r="P986" s="19">
        <f ca="1">IF('Stock Price'!$I$11="OK",C986/INDEX(C$5:C$1258,'Stock Price'!$I$9)-1,"")</f>
        <v>-7.4418940378230158E-2</v>
      </c>
      <c r="Q986" s="19">
        <f ca="1">IF('Stock Price'!$I$11="OK",D986/INDEX(D$5:D$1258,'Stock Price'!$I$9)-1,"")</f>
        <v>-0.11175639797454506</v>
      </c>
      <c r="R986" s="19">
        <f ca="1">IF('Stock Price'!$I$11="OK",E986/INDEX(E$5:E$1258,'Stock Price'!$I$9)-1,"")</f>
        <v>-0.20693129155752576</v>
      </c>
      <c r="S986" s="19">
        <f ca="1">IF('Stock Price'!$I$11="OK",F986/INDEX(F$5:F$1258,'Stock Price'!$I$9)-1,"")</f>
        <v>-0.18289601554907686</v>
      </c>
      <c r="T986" s="19">
        <f ca="1">IF('Stock Price'!$I$11="OK",G986/INDEX(G$5:G$1258,'Stock Price'!$I$9)-1,"")</f>
        <v>3.4418411776902413E-2</v>
      </c>
      <c r="U986" s="19">
        <f ca="1">IF('Stock Price'!$I$11="OK",H986/INDEX(H$5:H$1258,'Stock Price'!$I$9)-1,"")</f>
        <v>-0.2622368421052631</v>
      </c>
      <c r="V986" s="19">
        <f ca="1">IF('Stock Price'!$I$11="OK",I986/INDEX(I$5:I$1258,'Stock Price'!$I$9)-1,"")</f>
        <v>-1.5488482922954794E-2</v>
      </c>
      <c r="W986" s="19">
        <f ca="1">IF('Stock Price'!$I$11="OK",J986/INDEX(J$5:J$1258,'Stock Price'!$I$9)-1,"")</f>
        <v>-0.31705172349957411</v>
      </c>
      <c r="X986" s="19">
        <f ca="1">IF('Stock Price'!$I$11="OK",K986/INDEX(K$5:K$1258,'Stock Price'!$I$9)-1,"")</f>
        <v>-0.11148522259633376</v>
      </c>
      <c r="Y986" s="19">
        <f ca="1">IF('Stock Price'!$I$11="OK",L986/INDEX(L$5:L$1258,'Stock Price'!$I$9)-1,"")</f>
        <v>-0.14154810706534837</v>
      </c>
      <c r="Z986" s="19">
        <f ca="1">IF('Stock Price'!$I$11="OK",M986/INDEX(M$5:M$1258,'Stock Price'!$I$9)-1,"")</f>
        <v>-7.6097858793772621E-2</v>
      </c>
    </row>
    <row r="987" spans="1:26" x14ac:dyDescent="0.2">
      <c r="A987" s="16">
        <f>'Stock Price'!A987</f>
        <v>45904</v>
      </c>
      <c r="B987" s="17">
        <f>'Stock Price'!E987</f>
        <v>84.05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-0.21042743071864733</v>
      </c>
      <c r="P987" s="19">
        <f ca="1">IF('Stock Price'!$I$11="OK",C987/INDEX(C$5:C$1258,'Stock Price'!$I$9)-1,"")</f>
        <v>-7.3047495308214305E-2</v>
      </c>
      <c r="Q987" s="19">
        <f ca="1">IF('Stock Price'!$I$11="OK",D987/INDEX(D$5:D$1258,'Stock Price'!$I$9)-1,"")</f>
        <v>-0.11317914328725887</v>
      </c>
      <c r="R987" s="19">
        <f ca="1">IF('Stock Price'!$I$11="OK",E987/INDEX(E$5:E$1258,'Stock Price'!$I$9)-1,"")</f>
        <v>-0.20189401571630072</v>
      </c>
      <c r="S987" s="19">
        <f ca="1">IF('Stock Price'!$I$11="OK",F987/INDEX(F$5:F$1258,'Stock Price'!$I$9)-1,"")</f>
        <v>-0.16929057337220599</v>
      </c>
      <c r="T987" s="19">
        <f ca="1">IF('Stock Price'!$I$11="OK",G987/INDEX(G$5:G$1258,'Stock Price'!$I$9)-1,"")</f>
        <v>-6.0128550694588445E-2</v>
      </c>
      <c r="U987" s="19">
        <f ca="1">IF('Stock Price'!$I$11="OK",H987/INDEX(H$5:H$1258,'Stock Price'!$I$9)-1,"")</f>
        <v>-0.24802631578947365</v>
      </c>
      <c r="V987" s="19">
        <f ca="1">IF('Stock Price'!$I$11="OK",I987/INDEX(I$5:I$1258,'Stock Price'!$I$9)-1,"")</f>
        <v>-2.5416997617156545E-2</v>
      </c>
      <c r="W987" s="19">
        <f ca="1">IF('Stock Price'!$I$11="OK",J987/INDEX(J$5:J$1258,'Stock Price'!$I$9)-1,"")</f>
        <v>-0.31234958717464545</v>
      </c>
      <c r="X987" s="19">
        <f ca="1">IF('Stock Price'!$I$11="OK",K987/INDEX(K$5:K$1258,'Stock Price'!$I$9)-1,"")</f>
        <v>-0.12663673774784889</v>
      </c>
      <c r="Y987" s="19">
        <f ca="1">IF('Stock Price'!$I$11="OK",L987/INDEX(L$5:L$1258,'Stock Price'!$I$9)-1,"")</f>
        <v>-0.1378828068483241</v>
      </c>
      <c r="Z987" s="19">
        <f ca="1">IF('Stock Price'!$I$11="OK",M987/INDEX(M$5:M$1258,'Stock Price'!$I$9)-1,"")</f>
        <v>-7.1126422746500384E-2</v>
      </c>
    </row>
    <row r="988" spans="1:26" x14ac:dyDescent="0.2">
      <c r="A988" s="16">
        <f>'Stock Price'!A988</f>
        <v>45905</v>
      </c>
      <c r="B988" s="17">
        <f>'Stock Price'!E988</f>
        <v>84.71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-0.20422733677783</v>
      </c>
      <c r="P988" s="19">
        <f ca="1">IF('Stock Price'!$I$11="OK",C988/INDEX(C$5:C$1258,'Stock Price'!$I$9)-1,"")</f>
        <v>-6.3591742457052125E-2</v>
      </c>
      <c r="Q988" s="19">
        <f ca="1">IF('Stock Price'!$I$11="OK",D988/INDEX(D$5:D$1258,'Stock Price'!$I$9)-1,"")</f>
        <v>-9.9493636239222694E-2</v>
      </c>
      <c r="R988" s="19">
        <f ca="1">IF('Stock Price'!$I$11="OK",E988/INDEX(E$5:E$1258,'Stock Price'!$I$9)-1,"")</f>
        <v>-0.18396131372153945</v>
      </c>
      <c r="S988" s="19">
        <f ca="1">IF('Stock Price'!$I$11="OK",F988/INDEX(F$5:F$1258,'Stock Price'!$I$9)-1,"")</f>
        <v>-0.16423712342079688</v>
      </c>
      <c r="T988" s="19">
        <f ca="1">IF('Stock Price'!$I$11="OK",G988/INDEX(G$5:G$1258,'Stock Price'!$I$9)-1,"")</f>
        <v>-3.5869790586771644E-2</v>
      </c>
      <c r="U988" s="19">
        <f ca="1">IF('Stock Price'!$I$11="OK",H988/INDEX(H$5:H$1258,'Stock Price'!$I$9)-1,"")</f>
        <v>-0.25907894736842108</v>
      </c>
      <c r="V988" s="19">
        <f ca="1">IF('Stock Price'!$I$11="OK",I988/INDEX(I$5:I$1258,'Stock Price'!$I$9)-1,"")</f>
        <v>-1.1914217633042123E-2</v>
      </c>
      <c r="W988" s="19">
        <f ca="1">IF('Stock Price'!$I$11="OK",J988/INDEX(J$5:J$1258,'Stock Price'!$I$9)-1,"")</f>
        <v>-0.32688178014735825</v>
      </c>
      <c r="X988" s="19">
        <f ca="1">IF('Stock Price'!$I$11="OK",K988/INDEX(K$5:K$1258,'Stock Price'!$I$9)-1,"")</f>
        <v>-0.11821922933034046</v>
      </c>
      <c r="Y988" s="19">
        <f ca="1">IF('Stock Price'!$I$11="OK",L988/INDEX(L$5:L$1258,'Stock Price'!$I$9)-1,"")</f>
        <v>-0.13947431878466354</v>
      </c>
      <c r="Z988" s="19">
        <f ca="1">IF('Stock Price'!$I$11="OK",M988/INDEX(M$5:M$1258,'Stock Price'!$I$9)-1,"")</f>
        <v>-7.3045222624394945E-2</v>
      </c>
    </row>
    <row r="989" spans="1:26" x14ac:dyDescent="0.2">
      <c r="A989" s="16">
        <f>'Stock Price'!A989</f>
        <v>45908</v>
      </c>
      <c r="B989" s="17">
        <f>'Stock Price'!E989</f>
        <v>84.09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-0.21005166744950676</v>
      </c>
      <c r="P989" s="19">
        <f ca="1">IF('Stock Price'!$I$11="OK",C989/INDEX(C$5:C$1258,'Stock Price'!$I$9)-1,"")</f>
        <v>-7.095423704345305E-2</v>
      </c>
      <c r="Q989" s="19">
        <f ca="1">IF('Stock Price'!$I$11="OK",D989/INDEX(D$5:D$1258,'Stock Price'!$I$9)-1,"")</f>
        <v>-9.9493636239222694E-2</v>
      </c>
      <c r="R989" s="19">
        <f ca="1">IF('Stock Price'!$I$11="OK",E989/INDEX(E$5:E$1258,'Stock Price'!$I$9)-1,"")</f>
        <v>-0.19302841023574457</v>
      </c>
      <c r="S989" s="19">
        <f ca="1">IF('Stock Price'!$I$11="OK",F989/INDEX(F$5:F$1258,'Stock Price'!$I$9)-1,"")</f>
        <v>-0.17453838678328482</v>
      </c>
      <c r="T989" s="19">
        <f ca="1">IF('Stock Price'!$I$11="OK",G989/INDEX(G$5:G$1258,'Stock Price'!$I$9)-1,"")</f>
        <v>-2.9649595687331498E-2</v>
      </c>
      <c r="U989" s="19">
        <f ca="1">IF('Stock Price'!$I$11="OK",H989/INDEX(H$5:H$1258,'Stock Price'!$I$9)-1,"")</f>
        <v>-0.25657894736842102</v>
      </c>
      <c r="V989" s="19">
        <f ca="1">IF('Stock Price'!$I$11="OK",I989/INDEX(I$5:I$1258,'Stock Price'!$I$9)-1,"")</f>
        <v>-2.5019857029388359E-2</v>
      </c>
      <c r="W989" s="19">
        <f ca="1">IF('Stock Price'!$I$11="OK",J989/INDEX(J$5:J$1258,'Stock Price'!$I$9)-1,"")</f>
        <v>-0.31630197341626864</v>
      </c>
      <c r="X989" s="19">
        <f ca="1">IF('Stock Price'!$I$11="OK",K989/INDEX(K$5:K$1258,'Stock Price'!$I$9)-1,"")</f>
        <v>-0.12607557052001495</v>
      </c>
      <c r="Y989" s="19">
        <f ca="1">IF('Stock Price'!$I$11="OK",L989/INDEX(L$5:L$1258,'Stock Price'!$I$9)-1,"")</f>
        <v>-0.14092114781769949</v>
      </c>
      <c r="Z989" s="19">
        <f ca="1">IF('Stock Price'!$I$11="OK",M989/INDEX(M$5:M$1258,'Stock Price'!$I$9)-1,"")</f>
        <v>-8.5124940037503816E-2</v>
      </c>
    </row>
    <row r="990" spans="1:26" x14ac:dyDescent="0.2">
      <c r="A990" s="16">
        <f>'Stock Price'!A990</f>
        <v>45909</v>
      </c>
      <c r="B990" s="17">
        <f>'Stock Price'!E990</f>
        <v>84.61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-0.2051667449506811</v>
      </c>
      <c r="P990" s="19">
        <f ca="1">IF('Stock Price'!$I$11="OK",C990/INDEX(C$5:C$1258,'Stock Price'!$I$9)-1,"")</f>
        <v>-7.5718204128771394E-2</v>
      </c>
      <c r="Q990" s="19">
        <f ca="1">IF('Stock Price'!$I$11="OK",D990/INDEX(D$5:D$1258,'Stock Price'!$I$9)-1,"")</f>
        <v>-0.12117202682359396</v>
      </c>
      <c r="R990" s="19">
        <f ca="1">IF('Stock Price'!$I$11="OK",E990/INDEX(E$5:E$1258,'Stock Price'!$I$9)-1,"")</f>
        <v>-0.17831956477936739</v>
      </c>
      <c r="S990" s="19">
        <f ca="1">IF('Stock Price'!$I$11="OK",F990/INDEX(F$5:F$1258,'Stock Price'!$I$9)-1,"")</f>
        <v>-0.17434402332361532</v>
      </c>
      <c r="T990" s="19">
        <f ca="1">IF('Stock Price'!$I$11="OK",G990/INDEX(G$5:G$1258,'Stock Price'!$I$9)-1,"")</f>
        <v>-1.6172506738544312E-2</v>
      </c>
      <c r="U990" s="19">
        <f ca="1">IF('Stock Price'!$I$11="OK",H990/INDEX(H$5:H$1258,'Stock Price'!$I$9)-1,"")</f>
        <v>-0.25697368421052635</v>
      </c>
      <c r="V990" s="19">
        <f ca="1">IF('Stock Price'!$I$11="OK",I990/INDEX(I$5:I$1258,'Stock Price'!$I$9)-1,"")</f>
        <v>-1.8665607625099279E-2</v>
      </c>
      <c r="W990" s="19">
        <f ca="1">IF('Stock Price'!$I$11="OK",J990/INDEX(J$5:J$1258,'Stock Price'!$I$9)-1,"")</f>
        <v>-0.30522233329630855</v>
      </c>
      <c r="X990" s="19">
        <f ca="1">IF('Stock Price'!$I$11="OK",K990/INDEX(K$5:K$1258,'Stock Price'!$I$9)-1,"")</f>
        <v>-0.11653572764683884</v>
      </c>
      <c r="Y990" s="19">
        <f ca="1">IF('Stock Price'!$I$11="OK",L990/INDEX(L$5:L$1258,'Stock Price'!$I$9)-1,"")</f>
        <v>-0.14656378104653955</v>
      </c>
      <c r="Z990" s="19">
        <f ca="1">IF('Stock Price'!$I$11="OK",M990/INDEX(M$5:M$1258,'Stock Price'!$I$9)-1,"")</f>
        <v>-8.2377567485063974E-2</v>
      </c>
    </row>
    <row r="991" spans="1:26" x14ac:dyDescent="0.2">
      <c r="A991" s="16">
        <f>'Stock Price'!A991</f>
        <v>45910</v>
      </c>
      <c r="B991" s="17">
        <f>'Stock Price'!E991</f>
        <v>84.03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-0.21061531235321751</v>
      </c>
      <c r="P991" s="19">
        <f ca="1">IF('Stock Price'!$I$11="OK",C991/INDEX(C$5:C$1258,'Stock Price'!$I$9)-1,"")</f>
        <v>-8.6545402049949427E-2</v>
      </c>
      <c r="Q991" s="19">
        <f ca="1">IF('Stock Price'!$I$11="OK",D991/INDEX(D$5:D$1258,'Stock Price'!$I$9)-1,"")</f>
        <v>-0.12336170795127954</v>
      </c>
      <c r="R991" s="19">
        <f ca="1">IF('Stock Price'!$I$11="OK",E991/INDEX(E$5:E$1258,'Stock Price'!$I$9)-1,"")</f>
        <v>-0.18396131372153945</v>
      </c>
      <c r="S991" s="19">
        <f ca="1">IF('Stock Price'!$I$11="OK",F991/INDEX(F$5:F$1258,'Stock Price'!$I$9)-1,"")</f>
        <v>-0.1865889212827988</v>
      </c>
      <c r="T991" s="19">
        <f ca="1">IF('Stock Price'!$I$11="OK",G991/INDEX(G$5:G$1258,'Stock Price'!$I$9)-1,"")</f>
        <v>-2.2185361808003345E-2</v>
      </c>
      <c r="U991" s="19">
        <f ca="1">IF('Stock Price'!$I$11="OK",H991/INDEX(H$5:H$1258,'Stock Price'!$I$9)-1,"")</f>
        <v>-0.26236842105263158</v>
      </c>
      <c r="V991" s="19">
        <f ca="1">IF('Stock Price'!$I$11="OK",I991/INDEX(I$5:I$1258,'Stock Price'!$I$9)-1,"")</f>
        <v>-2.422557585385221E-2</v>
      </c>
      <c r="W991" s="19">
        <f ca="1">IF('Stock Price'!$I$11="OK",J991/INDEX(J$5:J$1258,'Stock Price'!$I$9)-1,"")</f>
        <v>-0.30151060757525261</v>
      </c>
      <c r="X991" s="19">
        <f ca="1">IF('Stock Price'!$I$11="OK",K991/INDEX(K$5:K$1258,'Stock Price'!$I$9)-1,"")</f>
        <v>-0.11803217358772922</v>
      </c>
      <c r="Y991" s="19">
        <f ca="1">IF('Stock Price'!$I$11="OK",L991/INDEX(L$5:L$1258,'Stock Price'!$I$9)-1,"")</f>
        <v>-0.15220641427537984</v>
      </c>
      <c r="Z991" s="19">
        <f ca="1">IF('Stock Price'!$I$11="OK",M991/INDEX(M$5:M$1258,'Stock Price'!$I$9)-1,"")</f>
        <v>-7.7057258732719958E-2</v>
      </c>
    </row>
    <row r="992" spans="1:26" x14ac:dyDescent="0.2">
      <c r="A992" s="16">
        <f>'Stock Price'!A992</f>
        <v>45911</v>
      </c>
      <c r="B992" s="17">
        <f>'Stock Price'!E992</f>
        <v>85.15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-0.20009394081728504</v>
      </c>
      <c r="P992" s="19">
        <f ca="1">IF('Stock Price'!$I$11="OK",C992/INDEX(C$5:C$1258,'Stock Price'!$I$9)-1,"")</f>
        <v>-7.8244550310379579E-2</v>
      </c>
      <c r="Q992" s="19">
        <f ca="1">IF('Stock Price'!$I$11="OK",D992/INDEX(D$5:D$1258,'Stock Price'!$I$9)-1,"")</f>
        <v>-0.11317914328725887</v>
      </c>
      <c r="R992" s="19">
        <f ca="1">IF('Stock Price'!$I$11="OK",E992/INDEX(E$5:E$1258,'Stock Price'!$I$9)-1,"")</f>
        <v>-0.16421519242393723</v>
      </c>
      <c r="S992" s="19">
        <f ca="1">IF('Stock Price'!$I$11="OK",F992/INDEX(F$5:F$1258,'Stock Price'!$I$9)-1,"")</f>
        <v>-0.18231292517006803</v>
      </c>
      <c r="T992" s="19">
        <f ca="1">IF('Stock Price'!$I$11="OK",G992/INDEX(G$5:G$1258,'Stock Price'!$I$9)-1,"")</f>
        <v>-1.2025710138917622E-2</v>
      </c>
      <c r="U992" s="19">
        <f ca="1">IF('Stock Price'!$I$11="OK",H992/INDEX(H$5:H$1258,'Stock Price'!$I$9)-1,"")</f>
        <v>-0.24131578947368426</v>
      </c>
      <c r="V992" s="19">
        <f ca="1">IF('Stock Price'!$I$11="OK",I992/INDEX(I$5:I$1258,'Stock Price'!$I$9)-1,"")</f>
        <v>-1.2708498808578272E-2</v>
      </c>
      <c r="W992" s="19">
        <f ca="1">IF('Stock Price'!$I$11="OK",J992/INDEX(J$5:J$1258,'Stock Price'!$I$9)-1,"")</f>
        <v>-0.29997408271316961</v>
      </c>
      <c r="X992" s="19">
        <f ca="1">IF('Stock Price'!$I$11="OK",K992/INDEX(K$5:K$1258,'Stock Price'!$I$9)-1,"")</f>
        <v>-0.11073699962588857</v>
      </c>
      <c r="Y992" s="19">
        <f ca="1">IF('Stock Price'!$I$11="OK",L992/INDEX(L$5:L$1258,'Stock Price'!$I$9)-1,"")</f>
        <v>-0.13913672534362187</v>
      </c>
      <c r="Z992" s="19">
        <f ca="1">IF('Stock Price'!$I$11="OK",M992/INDEX(M$5:M$1258,'Stock Price'!$I$9)-1,"")</f>
        <v>-3.9640661113776177E-2</v>
      </c>
    </row>
    <row r="993" spans="1:26" x14ac:dyDescent="0.2">
      <c r="A993" s="16">
        <f>'Stock Price'!A993</f>
        <v>45912</v>
      </c>
      <c r="B993" s="17">
        <f>'Stock Price'!E993</f>
        <v>82.81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-0.22207609206200096</v>
      </c>
      <c r="P993" s="19">
        <f ca="1">IF('Stock Price'!$I$11="OK",C993/INDEX(C$5:C$1258,'Stock Price'!$I$9)-1,"")</f>
        <v>-0.10408546268225771</v>
      </c>
      <c r="Q993" s="19">
        <f ca="1">IF('Stock Price'!$I$11="OK",D993/INDEX(D$5:D$1258,'Stock Price'!$I$9)-1,"")</f>
        <v>-0.12653619816614214</v>
      </c>
      <c r="R993" s="19">
        <f ca="1">IF('Stock Price'!$I$11="OK",E993/INDEX(E$5:E$1258,'Stock Price'!$I$9)-1,"")</f>
        <v>-0.17731210961112243</v>
      </c>
      <c r="S993" s="19">
        <f ca="1">IF('Stock Price'!$I$11="OK",F993/INDEX(F$5:F$1258,'Stock Price'!$I$9)-1,"")</f>
        <v>-0.1963070942662779</v>
      </c>
      <c r="T993" s="19">
        <f ca="1">IF('Stock Price'!$I$11="OK",G993/INDEX(G$5:G$1258,'Stock Price'!$I$9)-1,"")</f>
        <v>-2.4880779597760694E-2</v>
      </c>
      <c r="U993" s="19">
        <f ca="1">IF('Stock Price'!$I$11="OK",H993/INDEX(H$5:H$1258,'Stock Price'!$I$9)-1,"")</f>
        <v>-0.26131578947368417</v>
      </c>
      <c r="V993" s="19">
        <f ca="1">IF('Stock Price'!$I$11="OK",I993/INDEX(I$5:I$1258,'Stock Price'!$I$9)-1,"")</f>
        <v>-5.2025416997617091E-2</v>
      </c>
      <c r="W993" s="19">
        <f ca="1">IF('Stock Price'!$I$11="OK",J993/INDEX(J$5:J$1258,'Stock Price'!$I$9)-1,"")</f>
        <v>-0.30079788218741899</v>
      </c>
      <c r="X993" s="19">
        <f ca="1">IF('Stock Price'!$I$11="OK",K993/INDEX(K$5:K$1258,'Stock Price'!$I$9)-1,"")</f>
        <v>-0.13580246913580241</v>
      </c>
      <c r="Y993" s="19">
        <f ca="1">IF('Stock Price'!$I$11="OK",L993/INDEX(L$5:L$1258,'Stock Price'!$I$9)-1,"")</f>
        <v>-0.14125874125874127</v>
      </c>
      <c r="Z993" s="19">
        <f ca="1">IF('Stock Price'!$I$11="OK",M993/INDEX(M$5:M$1258,'Stock Price'!$I$9)-1,"")</f>
        <v>-4.7839169682961868E-2</v>
      </c>
    </row>
    <row r="994" spans="1:26" x14ac:dyDescent="0.2">
      <c r="A994" s="16">
        <f>'Stock Price'!A994</f>
        <v>45915</v>
      </c>
      <c r="B994" s="17">
        <f>'Stock Price'!E994</f>
        <v>81.02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-0.23889149835603574</v>
      </c>
      <c r="P994" s="19">
        <f ca="1">IF('Stock Price'!$I$11="OK",C994/INDEX(C$5:C$1258,'Stock Price'!$I$9)-1,"")</f>
        <v>-0.10993214955969388</v>
      </c>
      <c r="Q994" s="19">
        <f ca="1">IF('Stock Price'!$I$11="OK",D994/INDEX(D$5:D$1258,'Stock Price'!$I$9)-1,"")</f>
        <v>-0.15379772820583004</v>
      </c>
      <c r="R994" s="19">
        <f ca="1">IF('Stock Price'!$I$11="OK",E994/INDEX(E$5:E$1258,'Stock Price'!$I$9)-1,"")</f>
        <v>-0.18799113439451953</v>
      </c>
      <c r="S994" s="19">
        <f ca="1">IF('Stock Price'!$I$11="OK",F994/INDEX(F$5:F$1258,'Stock Price'!$I$9)-1,"")</f>
        <v>-0.20349854227405262</v>
      </c>
      <c r="T994" s="19">
        <f ca="1">IF('Stock Price'!$I$11="OK",G994/INDEX(G$5:G$1258,'Stock Price'!$I$9)-1,"")</f>
        <v>-3.338171262699563E-2</v>
      </c>
      <c r="U994" s="19">
        <f ca="1">IF('Stock Price'!$I$11="OK",H994/INDEX(H$5:H$1258,'Stock Price'!$I$9)-1,"")</f>
        <v>-0.27631578947368418</v>
      </c>
      <c r="V994" s="19">
        <f ca="1">IF('Stock Price'!$I$11="OK",I994/INDEX(I$5:I$1258,'Stock Price'!$I$9)-1,"")</f>
        <v>-4.8054011119936457E-2</v>
      </c>
      <c r="W994" s="19">
        <f ca="1">IF('Stock Price'!$I$11="OK",J994/INDEX(J$5:J$1258,'Stock Price'!$I$9)-1,"")</f>
        <v>-0.30746232737235724</v>
      </c>
      <c r="X994" s="19">
        <f ca="1">IF('Stock Price'!$I$11="OK",K994/INDEX(K$5:K$1258,'Stock Price'!$I$9)-1,"")</f>
        <v>-0.132996632996633</v>
      </c>
      <c r="Y994" s="19">
        <f ca="1">IF('Stock Price'!$I$11="OK",L994/INDEX(L$5:L$1258,'Stock Price'!$I$9)-1,"")</f>
        <v>-0.14444176513142026</v>
      </c>
      <c r="Z994" s="19">
        <f ca="1">IF('Stock Price'!$I$11="OK",M994/INDEX(M$5:M$1258,'Stock Price'!$I$9)-1,"")</f>
        <v>-5.1022633116741489E-2</v>
      </c>
    </row>
    <row r="995" spans="1:26" x14ac:dyDescent="0.2">
      <c r="A995" s="16">
        <f>'Stock Price'!A995</f>
        <v>45916</v>
      </c>
      <c r="B995" s="17">
        <f>'Stock Price'!E995</f>
        <v>81.09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-0.2382339126350399</v>
      </c>
      <c r="P995" s="19">
        <f ca="1">IF('Stock Price'!$I$11="OK",C995/INDEX(C$5:C$1258,'Stock Price'!$I$9)-1,"")</f>
        <v>-0.11375775949184341</v>
      </c>
      <c r="Q995" s="19">
        <f ca="1">IF('Stock Price'!$I$11="OK",D995/INDEX(D$5:D$1258,'Stock Price'!$I$9)-1,"")</f>
        <v>-0.16243164089229511</v>
      </c>
      <c r="R995" s="19">
        <f ca="1">IF('Stock Price'!$I$11="OK",E995/INDEX(E$5:E$1258,'Stock Price'!$I$9)-1,"")</f>
        <v>-0.19302841023574457</v>
      </c>
      <c r="S995" s="19">
        <f ca="1">IF('Stock Price'!$I$11="OK",F995/INDEX(F$5:F$1258,'Stock Price'!$I$9)-1,"")</f>
        <v>-0.20019436345966968</v>
      </c>
      <c r="T995" s="19">
        <f ca="1">IF('Stock Price'!$I$11="OK",G995/INDEX(G$5:G$1258,'Stock Price'!$I$9)-1,"")</f>
        <v>-2.8405556707443491E-2</v>
      </c>
      <c r="U995" s="19">
        <f ca="1">IF('Stock Price'!$I$11="OK",H995/INDEX(H$5:H$1258,'Stock Price'!$I$9)-1,"")</f>
        <v>-0.29105263157894734</v>
      </c>
      <c r="V995" s="19">
        <f ca="1">IF('Stock Price'!$I$11="OK",I995/INDEX(I$5:I$1258,'Stock Price'!$I$9)-1,"")</f>
        <v>-5.0833995234312979E-2</v>
      </c>
      <c r="W995" s="19">
        <f ca="1">IF('Stock Price'!$I$11="OK",J995/INDEX(J$5:J$1258,'Stock Price'!$I$9)-1,"")</f>
        <v>-0.29217112814247093</v>
      </c>
      <c r="X995" s="19">
        <f ca="1">IF('Stock Price'!$I$11="OK",K995/INDEX(K$5:K$1258,'Stock Price'!$I$9)-1,"")</f>
        <v>-0.13318368873924424</v>
      </c>
      <c r="Y995" s="19">
        <f ca="1">IF('Stock Price'!$I$11="OK",L995/INDEX(L$5:L$1258,'Stock Price'!$I$9)-1,"")</f>
        <v>-0.14897516276826617</v>
      </c>
      <c r="Z995" s="19">
        <f ca="1">IF('Stock Price'!$I$11="OK",M995/INDEX(M$5:M$1258,'Stock Price'!$I$9)-1,"")</f>
        <v>-5.6909860014827118E-2</v>
      </c>
    </row>
    <row r="996" spans="1:26" x14ac:dyDescent="0.2">
      <c r="A996" s="16">
        <f>'Stock Price'!A996</f>
        <v>45917</v>
      </c>
      <c r="B996" s="17">
        <f>'Stock Price'!E996</f>
        <v>81.14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-0.23776420854861435</v>
      </c>
      <c r="P996" s="19">
        <f ca="1">IF('Stock Price'!$I$11="OK",C996/INDEX(C$5:C$1258,'Stock Price'!$I$9)-1,"")</f>
        <v>-0.11599538039555357</v>
      </c>
      <c r="Q996" s="19">
        <f ca="1">IF('Stock Price'!$I$11="OK",D996/INDEX(D$5:D$1258,'Stock Price'!$I$9)-1,"")</f>
        <v>-0.14588750513206517</v>
      </c>
      <c r="R996" s="19">
        <f ca="1">IF('Stock Price'!$I$11="OK",E996/INDEX(E$5:E$1258,'Stock Price'!$I$9)-1,"")</f>
        <v>-0.18678218819262549</v>
      </c>
      <c r="S996" s="19">
        <f ca="1">IF('Stock Price'!$I$11="OK",F996/INDEX(F$5:F$1258,'Stock Price'!$I$9)-1,"")</f>
        <v>-0.19980563654033046</v>
      </c>
      <c r="T996" s="19">
        <f ca="1">IF('Stock Price'!$I$11="OK",G996/INDEX(G$5:G$1258,'Stock Price'!$I$9)-1,"")</f>
        <v>-2.6124818577648701E-2</v>
      </c>
      <c r="U996" s="19">
        <f ca="1">IF('Stock Price'!$I$11="OK",H996/INDEX(H$5:H$1258,'Stock Price'!$I$9)-1,"")</f>
        <v>-0.27947368421052632</v>
      </c>
      <c r="V996" s="19">
        <f ca="1">IF('Stock Price'!$I$11="OK",I996/INDEX(I$5:I$1258,'Stock Price'!$I$9)-1,"")</f>
        <v>-4.4876886417791861E-2</v>
      </c>
      <c r="W996" s="19">
        <f ca="1">IF('Stock Price'!$I$11="OK",J996/INDEX(J$5:J$1258,'Stock Price'!$I$9)-1,"")</f>
        <v>-0.29641045577400116</v>
      </c>
      <c r="X996" s="19">
        <f ca="1">IF('Stock Price'!$I$11="OK",K996/INDEX(K$5:K$1258,'Stock Price'!$I$9)-1,"")</f>
        <v>-0.13673774784885895</v>
      </c>
      <c r="Y996" s="19">
        <f ca="1">IF('Stock Price'!$I$11="OK",L996/INDEX(L$5:L$1258,'Stock Price'!$I$9)-1,"")</f>
        <v>-0.14540631782011093</v>
      </c>
      <c r="Z996" s="19">
        <f ca="1">IF('Stock Price'!$I$11="OK",M996/INDEX(M$5:M$1258,'Stock Price'!$I$9)-1,"")</f>
        <v>-3.7067724913872002E-2</v>
      </c>
    </row>
    <row r="997" spans="1:26" x14ac:dyDescent="0.2">
      <c r="A997" s="16">
        <f>'Stock Price'!A997</f>
        <v>45918</v>
      </c>
      <c r="B997" s="17">
        <f>'Stock Price'!E997</f>
        <v>81.53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-0.23410051667449505</v>
      </c>
      <c r="P997" s="19">
        <f ca="1">IF('Stock Price'!$I$11="OK",C997/INDEX(C$5:C$1258,'Stock Price'!$I$9)-1,"")</f>
        <v>-0.11729464414609492</v>
      </c>
      <c r="Q997" s="19">
        <f ca="1">IF('Stock Price'!$I$11="OK",D997/INDEX(D$5:D$1258,'Stock Price'!$I$9)-1,"")</f>
        <v>-0.16033940057479135</v>
      </c>
      <c r="R997" s="19">
        <f ca="1">IF('Stock Price'!$I$11="OK",E997/INDEX(E$5:E$1258,'Stock Price'!$I$9)-1,"")</f>
        <v>-0.18799113439451953</v>
      </c>
      <c r="S997" s="19">
        <f ca="1">IF('Stock Price'!$I$11="OK",F997/INDEX(F$5:F$1258,'Stock Price'!$I$9)-1,"")</f>
        <v>-0.19941690962099134</v>
      </c>
      <c r="T997" s="19">
        <f ca="1">IF('Stock Price'!$I$11="OK",G997/INDEX(G$5:G$1258,'Stock Price'!$I$9)-1,"")</f>
        <v>-1.1403690648973619E-2</v>
      </c>
      <c r="U997" s="19">
        <f ca="1">IF('Stock Price'!$I$11="OK",H997/INDEX(H$5:H$1258,'Stock Price'!$I$9)-1,"")</f>
        <v>-0.27500000000000002</v>
      </c>
      <c r="V997" s="19">
        <f ca="1">IF('Stock Price'!$I$11="OK",I997/INDEX(I$5:I$1258,'Stock Price'!$I$9)-1,"")</f>
        <v>-4.0905480540111228E-2</v>
      </c>
      <c r="W997" s="19">
        <f ca="1">IF('Stock Price'!$I$11="OK",J997/INDEX(J$5:J$1258,'Stock Price'!$I$9)-1,"")</f>
        <v>-0.29381872709096968</v>
      </c>
      <c r="X997" s="19">
        <f ca="1">IF('Stock Price'!$I$11="OK",K997/INDEX(K$5:K$1258,'Stock Price'!$I$9)-1,"")</f>
        <v>-0.14702581369248036</v>
      </c>
      <c r="Y997" s="19">
        <f ca="1">IF('Stock Price'!$I$11="OK",L997/INDEX(L$5:L$1258,'Stock Price'!$I$9)-1,"")</f>
        <v>-0.16006751868820834</v>
      </c>
      <c r="Z997" s="19">
        <f ca="1">IF('Stock Price'!$I$11="OK",M997/INDEX(M$5:M$1258,'Stock Price'!$I$9)-1,"")</f>
        <v>-3.1921852514063875E-2</v>
      </c>
    </row>
    <row r="998" spans="1:26" x14ac:dyDescent="0.2">
      <c r="A998" s="16">
        <f>'Stock Price'!A998</f>
        <v>45919</v>
      </c>
      <c r="B998" s="17">
        <f>'Stock Price'!E998</f>
        <v>81.510000000000005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-0.23428839830906523</v>
      </c>
      <c r="P998" s="19">
        <f ca="1">IF('Stock Price'!$I$11="OK",C998/INDEX(C$5:C$1258,'Stock Price'!$I$9)-1,"")</f>
        <v>-0.11267503969972559</v>
      </c>
      <c r="Q998" s="19">
        <f ca="1">IF('Stock Price'!$I$11="OK",D998/INDEX(D$5:D$1258,'Stock Price'!$I$9)-1,"")</f>
        <v>-0.15489256876967294</v>
      </c>
      <c r="R998" s="19">
        <f ca="1">IF('Stock Price'!$I$11="OK",E998/INDEX(E$5:E$1258,'Stock Price'!$I$9)-1,"")</f>
        <v>-0.1805359661495064</v>
      </c>
      <c r="S998" s="19">
        <f ca="1">IF('Stock Price'!$I$11="OK",F998/INDEX(F$5:F$1258,'Stock Price'!$I$9)-1,"")</f>
        <v>-0.18775510204081636</v>
      </c>
      <c r="T998" s="19">
        <f ca="1">IF('Stock Price'!$I$11="OK",G998/INDEX(G$5:G$1258,'Stock Price'!$I$9)-1,"")</f>
        <v>-1.2233049968898957E-2</v>
      </c>
      <c r="U998" s="19">
        <f ca="1">IF('Stock Price'!$I$11="OK",H998/INDEX(H$5:H$1258,'Stock Price'!$I$9)-1,"")</f>
        <v>-0.27631578947368418</v>
      </c>
      <c r="V998" s="19">
        <f ca="1">IF('Stock Price'!$I$11="OK",I998/INDEX(I$5:I$1258,'Stock Price'!$I$9)-1,"")</f>
        <v>-4.567116759332801E-2</v>
      </c>
      <c r="W998" s="19">
        <f ca="1">IF('Stock Price'!$I$11="OK",J998/INDEX(J$5:J$1258,'Stock Price'!$I$9)-1,"")</f>
        <v>-0.30394498130252867</v>
      </c>
      <c r="X998" s="19">
        <f ca="1">IF('Stock Price'!$I$11="OK",K998/INDEX(K$5:K$1258,'Stock Price'!$I$9)-1,"")</f>
        <v>-0.1578750467639356</v>
      </c>
      <c r="Y998" s="19">
        <f ca="1">IF('Stock Price'!$I$11="OK",L998/INDEX(L$5:L$1258,'Stock Price'!$I$9)-1,"")</f>
        <v>-0.15027730889799851</v>
      </c>
      <c r="Z998" s="19">
        <f ca="1">IF('Stock Price'!$I$11="OK",M998/INDEX(M$5:M$1258,'Stock Price'!$I$9)-1,"")</f>
        <v>-2.9828616283633536E-2</v>
      </c>
    </row>
    <row r="999" spans="1:26" x14ac:dyDescent="0.2">
      <c r="A999" s="16">
        <f>'Stock Price'!A999</f>
        <v>45922</v>
      </c>
      <c r="B999" s="17">
        <f>'Stock Price'!E999</f>
        <v>80.400000000000006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-0.24471582902771249</v>
      </c>
      <c r="P999" s="19">
        <f ca="1">IF('Stock Price'!$I$11="OK",C999/INDEX(C$5:C$1258,'Stock Price'!$I$9)-1,"")</f>
        <v>-0.10957124296232135</v>
      </c>
      <c r="Q999" s="19">
        <f ca="1">IF('Stock Price'!$I$11="OK",D999/INDEX(D$5:D$1258,'Stock Price'!$I$9)-1,"")</f>
        <v>-0.14153551389078978</v>
      </c>
      <c r="R999" s="19">
        <f ca="1">IF('Stock Price'!$I$11="OK",E999/INDEX(E$5:E$1258,'Stock Price'!$I$9)-1,"")</f>
        <v>-0.17570018134193044</v>
      </c>
      <c r="S999" s="19">
        <f ca="1">IF('Stock Price'!$I$11="OK",F999/INDEX(F$5:F$1258,'Stock Price'!$I$9)-1,"")</f>
        <v>-0.17084548104956276</v>
      </c>
      <c r="T999" s="19">
        <f ca="1">IF('Stock Price'!$I$11="OK",G999/INDEX(G$5:G$1258,'Stock Price'!$I$9)-1,"")</f>
        <v>-2.5295459257723363E-2</v>
      </c>
      <c r="U999" s="19">
        <f ca="1">IF('Stock Price'!$I$11="OK",H999/INDEX(H$5:H$1258,'Stock Price'!$I$9)-1,"")</f>
        <v>-0.2773684210526316</v>
      </c>
      <c r="V999" s="19">
        <f ca="1">IF('Stock Price'!$I$11="OK",I999/INDEX(I$5:I$1258,'Stock Price'!$I$9)-1,"")</f>
        <v>-4.5274027005559936E-2</v>
      </c>
      <c r="W999" s="19">
        <f ca="1">IF('Stock Price'!$I$11="OK",J999/INDEX(J$5:J$1258,'Stock Price'!$I$9)-1,"")</f>
        <v>-0.3012051538376096</v>
      </c>
      <c r="X999" s="19">
        <f ca="1">IF('Stock Price'!$I$11="OK",K999/INDEX(K$5:K$1258,'Stock Price'!$I$9)-1,"")</f>
        <v>-0.1586232697343809</v>
      </c>
      <c r="Y999" s="19">
        <f ca="1">IF('Stock Price'!$I$11="OK",L999/INDEX(L$5:L$1258,'Stock Price'!$I$9)-1,"")</f>
        <v>-0.15982638051603559</v>
      </c>
      <c r="Z999" s="19">
        <f ca="1">IF('Stock Price'!$I$11="OK",M999/INDEX(M$5:M$1258,'Stock Price'!$I$9)-1,"")</f>
        <v>-2.9305307226025867E-2</v>
      </c>
    </row>
    <row r="1000" spans="1:26" x14ac:dyDescent="0.2">
      <c r="A1000" s="16">
        <f>'Stock Price'!A1000</f>
        <v>45923</v>
      </c>
      <c r="B1000" s="17">
        <f>'Stock Price'!E1000</f>
        <v>79.959999999999994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-0.24884922498825746</v>
      </c>
      <c r="P1000" s="19">
        <f ca="1">IF('Stock Price'!$I$11="OK",C1000/INDEX(C$5:C$1258,'Stock Price'!$I$9)-1,"")</f>
        <v>-0.11346903421394539</v>
      </c>
      <c r="Q1000" s="19">
        <f ca="1">IF('Stock Price'!$I$11="OK",D1000/INDEX(D$5:D$1258,'Stock Price'!$I$9)-1,"")</f>
        <v>-0.17481866703161353</v>
      </c>
      <c r="R1000" s="19">
        <f ca="1">IF('Stock Price'!$I$11="OK",E1000/INDEX(E$5:E$1258,'Stock Price'!$I$9)-1,"")</f>
        <v>-0.1835583316542414</v>
      </c>
      <c r="S1000" s="19">
        <f ca="1">IF('Stock Price'!$I$11="OK",F1000/INDEX(F$5:F$1258,'Stock Price'!$I$9)-1,"")</f>
        <v>-0.18853255587949469</v>
      </c>
      <c r="T1000" s="19">
        <f ca="1">IF('Stock Price'!$I$11="OK",G1000/INDEX(G$5:G$1258,'Stock Price'!$I$9)-1,"")</f>
        <v>-2.7990877047480711E-2</v>
      </c>
      <c r="U1000" s="19">
        <f ca="1">IF('Stock Price'!$I$11="OK",H1000/INDEX(H$5:H$1258,'Stock Price'!$I$9)-1,"")</f>
        <v>-0.27605263157894733</v>
      </c>
      <c r="V1000" s="19">
        <f ca="1">IF('Stock Price'!$I$11="OK",I1000/INDEX(I$5:I$1258,'Stock Price'!$I$9)-1,"")</f>
        <v>-4.1699761715647377E-2</v>
      </c>
      <c r="W1000" s="19">
        <f ca="1">IF('Stock Price'!$I$11="OK",J1000/INDEX(J$5:J$1258,'Stock Price'!$I$9)-1,"")</f>
        <v>-0.30858232441038169</v>
      </c>
      <c r="X1000" s="19">
        <f ca="1">IF('Stock Price'!$I$11="OK",K1000/INDEX(K$5:K$1258,'Stock Price'!$I$9)-1,"")</f>
        <v>-0.15993265993266004</v>
      </c>
      <c r="Y1000" s="19">
        <f ca="1">IF('Stock Price'!$I$11="OK",L1000/INDEX(L$5:L$1258,'Stock Price'!$I$9)-1,"")</f>
        <v>-0.14839643115505174</v>
      </c>
      <c r="Z1000" s="19">
        <f ca="1">IF('Stock Price'!$I$11="OK",M1000/INDEX(M$5:M$1258,'Stock Price'!$I$9)-1,"")</f>
        <v>-2.9218089049757867E-2</v>
      </c>
    </row>
    <row r="1001" spans="1:26" x14ac:dyDescent="0.2">
      <c r="A1001" s="16">
        <f>'Stock Price'!A1001</f>
        <v>45924</v>
      </c>
      <c r="B1001" s="17">
        <f>'Stock Price'!E1001</f>
        <v>79.67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-0.25157350868952555</v>
      </c>
      <c r="P1001" s="19">
        <f ca="1">IF('Stock Price'!$I$11="OK",C1001/INDEX(C$5:C$1258,'Stock Price'!$I$9)-1,"")</f>
        <v>-0.11216977046340404</v>
      </c>
      <c r="Q1001" s="19">
        <f ca="1">IF('Stock Price'!$I$11="OK",D1001/INDEX(D$5:D$1258,'Stock Price'!$I$9)-1,"")</f>
        <v>-0.18412535924456008</v>
      </c>
      <c r="R1001" s="19">
        <f ca="1">IF('Stock Price'!$I$11="OK",E1001/INDEX(E$5:E$1258,'Stock Price'!$I$9)-1,"")</f>
        <v>-0.19040902679830751</v>
      </c>
      <c r="S1001" s="19">
        <f ca="1">IF('Stock Price'!$I$11="OK",F1001/INDEX(F$5:F$1258,'Stock Price'!$I$9)-1,"")</f>
        <v>-0.20194363459669584</v>
      </c>
      <c r="T1001" s="19">
        <f ca="1">IF('Stock Price'!$I$11="OK",G1001/INDEX(G$5:G$1258,'Stock Price'!$I$9)-1,"")</f>
        <v>-3.79431888865851E-2</v>
      </c>
      <c r="U1001" s="19">
        <f ca="1">IF('Stock Price'!$I$11="OK",H1001/INDEX(H$5:H$1258,'Stock Price'!$I$9)-1,"")</f>
        <v>-0.27342105263157901</v>
      </c>
      <c r="V1001" s="19">
        <f ca="1">IF('Stock Price'!$I$11="OK",I1001/INDEX(I$5:I$1258,'Stock Price'!$I$9)-1,"")</f>
        <v>-4.3288324066719563E-2</v>
      </c>
      <c r="W1001" s="19">
        <f ca="1">IF('Stock Price'!$I$11="OK",J1001/INDEX(J$5:J$1258,'Stock Price'!$I$9)-1,"")</f>
        <v>-0.31333074160465024</v>
      </c>
      <c r="X1001" s="19">
        <f ca="1">IF('Stock Price'!$I$11="OK",K1001/INDEX(K$5:K$1258,'Stock Price'!$I$9)-1,"")</f>
        <v>-0.17396184062850739</v>
      </c>
      <c r="Y1001" s="19">
        <f ca="1">IF('Stock Price'!$I$11="OK",L1001/INDEX(L$5:L$1258,'Stock Price'!$I$9)-1,"")</f>
        <v>-0.14786592717627201</v>
      </c>
      <c r="Z1001" s="19">
        <f ca="1">IF('Stock Price'!$I$11="OK",M1001/INDEX(M$5:M$1258,'Stock Price'!$I$9)-1,"")</f>
        <v>-4.0643670140857346E-2</v>
      </c>
    </row>
    <row r="1002" spans="1:26" x14ac:dyDescent="0.2">
      <c r="A1002" s="16">
        <f>'Stock Price'!A1002</f>
        <v>45925</v>
      </c>
      <c r="B1002" s="17">
        <f>'Stock Price'!E1002</f>
        <v>77.599999999999994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-0.27101925786754355</v>
      </c>
      <c r="P1002" s="19">
        <f ca="1">IF('Stock Price'!$I$11="OK",C1002/INDEX(C$5:C$1258,'Stock Price'!$I$9)-1,"")</f>
        <v>-0.11772773206294207</v>
      </c>
      <c r="Q1002" s="19">
        <f ca="1">IF('Stock Price'!$I$11="OK",D1002/INDEX(D$5:D$1258,'Stock Price'!$I$9)-1,"")</f>
        <v>-0.18023812782263593</v>
      </c>
      <c r="R1002" s="19">
        <f ca="1">IF('Stock Price'!$I$11="OK",E1002/INDEX(E$5:E$1258,'Stock Price'!$I$9)-1,"")</f>
        <v>-0.20370743501914168</v>
      </c>
      <c r="S1002" s="19">
        <f ca="1">IF('Stock Price'!$I$11="OK",F1002/INDEX(F$5:F$1258,'Stock Price'!$I$9)-1,"")</f>
        <v>-0.22332361516034993</v>
      </c>
      <c r="T1002" s="19">
        <f ca="1">IF('Stock Price'!$I$11="OK",G1002/INDEX(G$5:G$1258,'Stock Price'!$I$9)-1,"")</f>
        <v>-6.5519386274103142E-2</v>
      </c>
      <c r="U1002" s="19">
        <f ca="1">IF('Stock Price'!$I$11="OK",H1002/INDEX(H$5:H$1258,'Stock Price'!$I$9)-1,"")</f>
        <v>-0.28302631578947368</v>
      </c>
      <c r="V1002" s="19">
        <f ca="1">IF('Stock Price'!$I$11="OK",I1002/INDEX(I$5:I$1258,'Stock Price'!$I$9)-1,"")</f>
        <v>-6.2748212867354991E-2</v>
      </c>
      <c r="W1002" s="19">
        <f ca="1">IF('Stock Price'!$I$11="OK",J1002/INDEX(J$5:J$1258,'Stock Price'!$I$9)-1,"")</f>
        <v>-0.33856307156873622</v>
      </c>
      <c r="X1002" s="19">
        <f ca="1">IF('Stock Price'!$I$11="OK",K1002/INDEX(K$5:K$1258,'Stock Price'!$I$9)-1,"")</f>
        <v>-0.18799102132435475</v>
      </c>
      <c r="Y1002" s="19">
        <f ca="1">IF('Stock Price'!$I$11="OK",L1002/INDEX(L$5:L$1258,'Stock Price'!$I$9)-1,"")</f>
        <v>-0.14285025319508082</v>
      </c>
      <c r="Z1002" s="19">
        <f ca="1">IF('Stock Price'!$I$11="OK",M1002/INDEX(M$5:M$1258,'Stock Price'!$I$9)-1,"")</f>
        <v>-4.6966987920282643E-2</v>
      </c>
    </row>
    <row r="1003" spans="1:26" x14ac:dyDescent="0.2">
      <c r="A1003" s="16">
        <f>'Stock Price'!A1003</f>
        <v>45926</v>
      </c>
      <c r="B1003" s="17">
        <f>'Stock Price'!E1003</f>
        <v>78.56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-0.26200093940817282</v>
      </c>
      <c r="P1003" s="19">
        <f ca="1">IF('Stock Price'!$I$11="OK",C1003/INDEX(C$5:C$1258,'Stock Price'!$I$9)-1,"")</f>
        <v>-0.1074779846975602</v>
      </c>
      <c r="Q1003" s="19">
        <f ca="1">IF('Stock Price'!$I$11="OK",D1003/INDEX(D$5:D$1258,'Stock Price'!$I$9)-1,"")</f>
        <v>-0.19989051594361573</v>
      </c>
      <c r="R1003" s="19">
        <f ca="1">IF('Stock Price'!$I$11="OK",E1003/INDEX(E$5:E$1258,'Stock Price'!$I$9)-1,"")</f>
        <v>-0.19705823090872454</v>
      </c>
      <c r="S1003" s="19">
        <f ca="1">IF('Stock Price'!$I$11="OK",F1003/INDEX(F$5:F$1258,'Stock Price'!$I$9)-1,"")</f>
        <v>-0.23051506316812442</v>
      </c>
      <c r="T1003" s="19">
        <f ca="1">IF('Stock Price'!$I$11="OK",G1003/INDEX(G$5:G$1258,'Stock Price'!$I$9)-1,"")</f>
        <v>-5.577441426498031E-2</v>
      </c>
      <c r="U1003" s="19">
        <f ca="1">IF('Stock Price'!$I$11="OK",H1003/INDEX(H$5:H$1258,'Stock Price'!$I$9)-1,"")</f>
        <v>-0.28289473684210531</v>
      </c>
      <c r="V1003" s="19">
        <f ca="1">IF('Stock Price'!$I$11="OK",I1003/INDEX(I$5:I$1258,'Stock Price'!$I$9)-1,"")</f>
        <v>-5.6393963463065799E-2</v>
      </c>
      <c r="W1003" s="19">
        <f ca="1">IF('Stock Price'!$I$11="OK",J1003/INDEX(J$5:J$1258,'Stock Price'!$I$9)-1,"")</f>
        <v>-0.32935317857010626</v>
      </c>
      <c r="X1003" s="19">
        <f ca="1">IF('Stock Price'!$I$11="OK",K1003/INDEX(K$5:K$1258,'Stock Price'!$I$9)-1,"")</f>
        <v>-0.17471006359895258</v>
      </c>
      <c r="Y1003" s="19">
        <f ca="1">IF('Stock Price'!$I$11="OK",L1003/INDEX(L$5:L$1258,'Stock Price'!$I$9)-1,"")</f>
        <v>-0.13330118157704363</v>
      </c>
      <c r="Z1003" s="19">
        <f ca="1">IF('Stock Price'!$I$11="OK",M1003/INDEX(M$5:M$1258,'Stock Price'!$I$9)-1,"")</f>
        <v>-3.7939906676551338E-2</v>
      </c>
    </row>
    <row r="1004" spans="1:26" x14ac:dyDescent="0.2">
      <c r="A1004" s="16">
        <f>'Stock Price'!A1004</f>
        <v>45929</v>
      </c>
      <c r="B1004" s="17">
        <f>'Stock Price'!E1004</f>
        <v>78.58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-0.26181305777360264</v>
      </c>
      <c r="P1004" s="19">
        <f ca="1">IF('Stock Price'!$I$11="OK",C1004/INDEX(C$5:C$1258,'Stock Price'!$I$9)-1,"")</f>
        <v>-0.10422982532120684</v>
      </c>
      <c r="Q1004" s="19">
        <f ca="1">IF('Stock Price'!$I$11="OK",D1004/INDEX(D$5:D$1258,'Stock Price'!$I$9)-1,"")</f>
        <v>-0.20021951553305062</v>
      </c>
      <c r="R1004" s="19">
        <f ca="1">IF('Stock Price'!$I$11="OK",E1004/INDEX(E$5:E$1258,'Stock Price'!$I$9)-1,"")</f>
        <v>-0.17187185170259922</v>
      </c>
      <c r="S1004" s="19">
        <f ca="1">IF('Stock Price'!$I$11="OK",F1004/INDEX(F$5:F$1258,'Stock Price'!$I$9)-1,"")</f>
        <v>-0.22157434402332377</v>
      </c>
      <c r="T1004" s="19">
        <f ca="1">IF('Stock Price'!$I$11="OK",G1004/INDEX(G$5:G$1258,'Stock Price'!$I$9)-1,"")</f>
        <v>-5.3493676135185519E-2</v>
      </c>
      <c r="U1004" s="19">
        <f ca="1">IF('Stock Price'!$I$11="OK",H1004/INDEX(H$5:H$1258,'Stock Price'!$I$9)-1,"")</f>
        <v>-0.2706578947368421</v>
      </c>
      <c r="V1004" s="19">
        <f ca="1">IF('Stock Price'!$I$11="OK",I1004/INDEX(I$5:I$1258,'Stock Price'!$I$9)-1,"")</f>
        <v>-5.281969817315324E-2</v>
      </c>
      <c r="W1004" s="19">
        <f ca="1">IF('Stock Price'!$I$11="OK",J1004/INDEX(J$5:J$1258,'Stock Price'!$I$9)-1,"")</f>
        <v>-0.32752971231811612</v>
      </c>
      <c r="X1004" s="19">
        <f ca="1">IF('Stock Price'!$I$11="OK",K1004/INDEX(K$5:K$1258,'Stock Price'!$I$9)-1,"")</f>
        <v>-0.17414889637111863</v>
      </c>
      <c r="Y1004" s="19">
        <f ca="1">IF('Stock Price'!$I$11="OK",L1004/INDEX(L$5:L$1258,'Stock Price'!$I$9)-1,"")</f>
        <v>-0.12408970340004821</v>
      </c>
      <c r="Z1004" s="19">
        <f ca="1">IF('Stock Price'!$I$11="OK",M1004/INDEX(M$5:M$1258,'Stock Price'!$I$9)-1,"")</f>
        <v>-2.6819589202389804E-2</v>
      </c>
    </row>
    <row r="1005" spans="1:26" x14ac:dyDescent="0.2">
      <c r="A1005" s="16">
        <f>'Stock Price'!A1005</f>
        <v>45930</v>
      </c>
      <c r="B1005" s="17">
        <f>'Stock Price'!E1005</f>
        <v>83.93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-0.2115547205260685</v>
      </c>
      <c r="P1005" s="19">
        <f ca="1">IF('Stock Price'!$I$11="OK",C1005/INDEX(C$5:C$1258,'Stock Price'!$I$9)-1,"")</f>
        <v>-7.4346759058755429E-2</v>
      </c>
      <c r="Q1005" s="19">
        <f ca="1">IF('Stock Price'!$I$11="OK",D1005/INDEX(D$5:D$1258,'Stock Price'!$I$9)-1,"")</f>
        <v>-0.1816066785274395</v>
      </c>
      <c r="R1005" s="19">
        <f ca="1">IF('Stock Price'!$I$11="OK",E1005/INDEX(E$5:E$1258,'Stock Price'!$I$9)-1,"")</f>
        <v>-0.13036469877090484</v>
      </c>
      <c r="S1005" s="19">
        <f ca="1">IF('Stock Price'!$I$11="OK",F1005/INDEX(F$5:F$1258,'Stock Price'!$I$9)-1,"")</f>
        <v>-0.18736637512147714</v>
      </c>
      <c r="T1005" s="19">
        <f ca="1">IF('Stock Price'!$I$11="OK",G1005/INDEX(G$5:G$1258,'Stock Price'!$I$9)-1,"")</f>
        <v>-2.1356002488077785E-2</v>
      </c>
      <c r="U1005" s="19">
        <f ca="1">IF('Stock Price'!$I$11="OK",H1005/INDEX(H$5:H$1258,'Stock Price'!$I$9)-1,"")</f>
        <v>-0.25710526315789473</v>
      </c>
      <c r="V1005" s="19">
        <f ca="1">IF('Stock Price'!$I$11="OK",I1005/INDEX(I$5:I$1258,'Stock Price'!$I$9)-1,"")</f>
        <v>1.1914217633042234E-2</v>
      </c>
      <c r="W1005" s="19">
        <f ca="1">IF('Stock Price'!$I$11="OK",J1005/INDEX(J$5:J$1258,'Stock Price'!$I$9)-1,"")</f>
        <v>-0.29375393387389381</v>
      </c>
      <c r="X1005" s="19">
        <f ca="1">IF('Stock Price'!$I$11="OK",K1005/INDEX(K$5:K$1258,'Stock Price'!$I$9)-1,"")</f>
        <v>-0.15637860082304522</v>
      </c>
      <c r="Y1005" s="19">
        <f ca="1">IF('Stock Price'!$I$11="OK",L1005/INDEX(L$5:L$1258,'Stock Price'!$I$9)-1,"")</f>
        <v>-0.10576320231492653</v>
      </c>
      <c r="Z1005" s="19">
        <f ca="1">IF('Stock Price'!$I$11="OK",M1005/INDEX(M$5:M$1258,'Stock Price'!$I$9)-1,"")</f>
        <v>9.7248266538745298E-3</v>
      </c>
    </row>
    <row r="1006" spans="1:26" x14ac:dyDescent="0.2">
      <c r="A1006" s="16">
        <f>'Stock Price'!A1006</f>
        <v>45931</v>
      </c>
      <c r="B1006" s="17">
        <f>'Stock Price'!E1006</f>
        <v>90.13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-0.15331141380930025</v>
      </c>
      <c r="P1006" s="19">
        <f ca="1">IF('Stock Price'!$I$11="OK",C1006/INDEX(C$5:C$1258,'Stock Price'!$I$9)-1,"")</f>
        <v>-4.9227659881622587E-2</v>
      </c>
      <c r="Q1006" s="19">
        <f ca="1">IF('Stock Price'!$I$11="OK",D1006/INDEX(D$5:D$1258,'Stock Price'!$I$9)-1,"")</f>
        <v>-0.11014096072259483</v>
      </c>
      <c r="R1006" s="19">
        <f ca="1">IF('Stock Price'!$I$11="OK",E1006/INDEX(E$5:E$1258,'Stock Price'!$I$9)-1,"")</f>
        <v>-8.3014305863389204E-2</v>
      </c>
      <c r="S1006" s="19">
        <f ca="1">IF('Stock Price'!$I$11="OK",F1006/INDEX(F$5:F$1258,'Stock Price'!$I$9)-1,"")</f>
        <v>-0.12866861030126342</v>
      </c>
      <c r="T1006" s="19">
        <f ca="1">IF('Stock Price'!$I$11="OK",G1006/INDEX(G$5:G$1258,'Stock Price'!$I$9)-1,"")</f>
        <v>3.1722993987145065E-2</v>
      </c>
      <c r="U1006" s="19">
        <f ca="1">IF('Stock Price'!$I$11="OK",H1006/INDEX(H$5:H$1258,'Stock Price'!$I$9)-1,"")</f>
        <v>-0.21999999999999997</v>
      </c>
      <c r="V1006" s="19">
        <f ca="1">IF('Stock Price'!$I$11="OK",I1006/INDEX(I$5:I$1258,'Stock Price'!$I$9)-1,"")</f>
        <v>8.0619539316918232E-2</v>
      </c>
      <c r="W1006" s="19">
        <f ca="1">IF('Stock Price'!$I$11="OK",J1006/INDEX(J$5:J$1258,'Stock Price'!$I$9)-1,"")</f>
        <v>-0.23597689659002552</v>
      </c>
      <c r="X1006" s="19">
        <f ca="1">IF('Stock Price'!$I$11="OK",K1006/INDEX(K$5:K$1258,'Stock Price'!$I$9)-1,"")</f>
        <v>-0.11279461279461278</v>
      </c>
      <c r="Y1006" s="19">
        <f ca="1">IF('Stock Price'!$I$11="OK",L1006/INDEX(L$5:L$1258,'Stock Price'!$I$9)-1,"")</f>
        <v>-0.10272486134555092</v>
      </c>
      <c r="Z1006" s="19">
        <f ca="1">IF('Stock Price'!$I$11="OK",M1006/INDEX(M$5:M$1258,'Stock Price'!$I$9)-1,"")</f>
        <v>6.5718895817888479E-2</v>
      </c>
    </row>
    <row r="1007" spans="1:26" x14ac:dyDescent="0.2">
      <c r="A1007" s="16">
        <f>'Stock Price'!A1007</f>
        <v>45932</v>
      </c>
      <c r="B1007" s="17">
        <f>'Stock Price'!E1007</f>
        <v>89.51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-0.159135744480977</v>
      </c>
      <c r="P1007" s="19">
        <f ca="1">IF('Stock Price'!$I$11="OK",C1007/INDEX(C$5:C$1258,'Stock Price'!$I$9)-1,"")</f>
        <v>-5.4641258842211604E-2</v>
      </c>
      <c r="Q1007" s="19">
        <f ca="1">IF('Stock Price'!$I$11="OK",D1007/INDEX(D$5:D$1258,'Stock Price'!$I$9)-1,"")</f>
        <v>-9.8535650745860126E-2</v>
      </c>
      <c r="R1007" s="19">
        <f ca="1">IF('Stock Price'!$I$11="OK",E1007/INDEX(E$5:E$1258,'Stock Price'!$I$9)-1,"")</f>
        <v>-0.11968567398750762</v>
      </c>
      <c r="S1007" s="19">
        <f ca="1">IF('Stock Price'!$I$11="OK",F1007/INDEX(F$5:F$1258,'Stock Price'!$I$9)-1,"")</f>
        <v>-0.13119533527696792</v>
      </c>
      <c r="T1007" s="19">
        <f ca="1">IF('Stock Price'!$I$11="OK",G1007/INDEX(G$5:G$1258,'Stock Price'!$I$9)-1,"")</f>
        <v>3.9601907526435998E-2</v>
      </c>
      <c r="U1007" s="19">
        <f ca="1">IF('Stock Price'!$I$11="OK",H1007/INDEX(H$5:H$1258,'Stock Price'!$I$9)-1,"")</f>
        <v>-0.23368421052631572</v>
      </c>
      <c r="V1007" s="19">
        <f ca="1">IF('Stock Price'!$I$11="OK",I1007/INDEX(I$5:I$1258,'Stock Price'!$I$9)-1,"")</f>
        <v>7.5456711675933263E-2</v>
      </c>
      <c r="W1007" s="19">
        <f ca="1">IF('Stock Price'!$I$11="OK",J1007/INDEX(J$5:J$1258,'Stock Price'!$I$9)-1,"")</f>
        <v>-0.24113258543448468</v>
      </c>
      <c r="X1007" s="19">
        <f ca="1">IF('Stock Price'!$I$11="OK",K1007/INDEX(K$5:K$1258,'Stock Price'!$I$9)-1,"")</f>
        <v>-0.14459408903853355</v>
      </c>
      <c r="Y1007" s="19">
        <f ca="1">IF('Stock Price'!$I$11="OK",L1007/INDEX(L$5:L$1258,'Stock Price'!$I$9)-1,"")</f>
        <v>-0.10306245478659271</v>
      </c>
      <c r="Z1007" s="19">
        <f ca="1">IF('Stock Price'!$I$11="OK",M1007/INDEX(M$5:M$1258,'Stock Price'!$I$9)-1,"")</f>
        <v>3.1616588897126263E-2</v>
      </c>
    </row>
    <row r="1008" spans="1:26" x14ac:dyDescent="0.2">
      <c r="A1008" s="16">
        <f>'Stock Price'!A1008</f>
        <v>45933</v>
      </c>
      <c r="B1008" s="17">
        <f>'Stock Price'!E1008</f>
        <v>89.19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-0.16214185063410058</v>
      </c>
      <c r="P1008" s="19">
        <f ca="1">IF('Stock Price'!$I$11="OK",C1008/INDEX(C$5:C$1258,'Stock Price'!$I$9)-1,"")</f>
        <v>-4.4391511476829848E-2</v>
      </c>
      <c r="Q1008" s="19">
        <f ca="1">IF('Stock Price'!$I$11="OK",D1008/INDEX(D$5:D$1258,'Stock Price'!$I$9)-1,"")</f>
        <v>-6.6593677295743947E-2</v>
      </c>
      <c r="R1008" s="19">
        <f ca="1">IF('Stock Price'!$I$11="OK",E1008/INDEX(E$5:E$1258,'Stock Price'!$I$9)-1,"")</f>
        <v>-0.12653636913157362</v>
      </c>
      <c r="S1008" s="19">
        <f ca="1">IF('Stock Price'!$I$11="OK",F1008/INDEX(F$5:F$1258,'Stock Price'!$I$9)-1,"")</f>
        <v>-0.11953352769679315</v>
      </c>
      <c r="T1008" s="19">
        <f ca="1">IF('Stock Price'!$I$11="OK",G1008/INDEX(G$5:G$1258,'Stock Price'!$I$9)-1,"")</f>
        <v>5.5359734605017641E-2</v>
      </c>
      <c r="U1008" s="19">
        <f ca="1">IF('Stock Price'!$I$11="OK",H1008/INDEX(H$5:H$1258,'Stock Price'!$I$9)-1,"")</f>
        <v>-0.24078947368421044</v>
      </c>
      <c r="V1008" s="19">
        <f ca="1">IF('Stock Price'!$I$11="OK",I1008/INDEX(I$5:I$1258,'Stock Price'!$I$9)-1,"")</f>
        <v>8.6973788721207423E-2</v>
      </c>
      <c r="W1008" s="19">
        <f ca="1">IF('Stock Price'!$I$11="OK",J1008/INDEX(J$5:J$1258,'Stock Price'!$I$9)-1,"")</f>
        <v>-0.22260172535080891</v>
      </c>
      <c r="X1008" s="19">
        <f ca="1">IF('Stock Price'!$I$11="OK",K1008/INDEX(K$5:K$1258,'Stock Price'!$I$9)-1,"")</f>
        <v>-0.14983164983164976</v>
      </c>
      <c r="Y1008" s="19">
        <f ca="1">IF('Stock Price'!$I$11="OK",L1008/INDEX(L$5:L$1258,'Stock Price'!$I$9)-1,"")</f>
        <v>-9.0233904027007483E-2</v>
      </c>
      <c r="Z1008" s="19">
        <f ca="1">IF('Stock Price'!$I$11="OK",M1008/INDEX(M$5:M$1258,'Stock Price'!$I$9)-1,"")</f>
        <v>2.006018054162495E-2</v>
      </c>
    </row>
    <row r="1009" spans="1:26" x14ac:dyDescent="0.2">
      <c r="A1009" s="16">
        <f>'Stock Price'!A1009</f>
        <v>45936</v>
      </c>
      <c r="B1009" s="17">
        <f>'Stock Price'!E1009</f>
        <v>88.8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-0.16580554250821988</v>
      </c>
      <c r="P1009" s="19">
        <f ca="1">IF('Stock Price'!$I$11="OK",C1009/INDEX(C$5:C$1258,'Stock Price'!$I$9)-1,"")</f>
        <v>-4.5402049949473056E-2</v>
      </c>
      <c r="Q1009" s="19">
        <f ca="1">IF('Stock Price'!$I$11="OK",D1009/INDEX(D$5:D$1258,'Stock Price'!$I$9)-1,"")</f>
        <v>-5.6794854249349935E-2</v>
      </c>
      <c r="R1009" s="19">
        <f ca="1">IF('Stock Price'!$I$11="OK",E1009/INDEX(E$5:E$1258,'Stock Price'!$I$9)-1,"")</f>
        <v>-0.12452145879508358</v>
      </c>
      <c r="S1009" s="19">
        <f ca="1">IF('Stock Price'!$I$11="OK",F1009/INDEX(F$5:F$1258,'Stock Price'!$I$9)-1,"")</f>
        <v>-0.1183673469387756</v>
      </c>
      <c r="T1009" s="19">
        <f ca="1">IF('Stock Price'!$I$11="OK",G1009/INDEX(G$5:G$1258,'Stock Price'!$I$9)-1,"")</f>
        <v>3.0686294837238393E-2</v>
      </c>
      <c r="U1009" s="19">
        <f ca="1">IF('Stock Price'!$I$11="OK",H1009/INDEX(H$5:H$1258,'Stock Price'!$I$9)-1,"")</f>
        <v>-0.25394736842105259</v>
      </c>
      <c r="V1009" s="19">
        <f ca="1">IF('Stock Price'!$I$11="OK",I1009/INDEX(I$5:I$1258,'Stock Price'!$I$9)-1,"")</f>
        <v>4.9642573471008644E-2</v>
      </c>
      <c r="W1009" s="19">
        <f ca="1">IF('Stock Price'!$I$11="OK",J1009/INDEX(J$5:J$1258,'Stock Price'!$I$9)-1,"")</f>
        <v>-0.21780702728720058</v>
      </c>
      <c r="X1009" s="19">
        <f ca="1">IF('Stock Price'!$I$11="OK",K1009/INDEX(K$5:K$1258,'Stock Price'!$I$9)-1,"")</f>
        <v>-0.15563037785260003</v>
      </c>
      <c r="Y1009" s="19">
        <f ca="1">IF('Stock Price'!$I$11="OK",L1009/INDEX(L$5:L$1258,'Stock Price'!$I$9)-1,"")</f>
        <v>-9.2548830479864952E-2</v>
      </c>
      <c r="Z1009" s="19">
        <f ca="1">IF('Stock Price'!$I$11="OK",M1009/INDEX(M$5:M$1258,'Stock Price'!$I$9)-1,"")</f>
        <v>3.8375997557891228E-3</v>
      </c>
    </row>
    <row r="1010" spans="1:26" x14ac:dyDescent="0.2">
      <c r="A1010" s="16">
        <f>'Stock Price'!A1010</f>
        <v>45937</v>
      </c>
      <c r="B1010" s="17">
        <f>'Stock Price'!E1010</f>
        <v>87.61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-0.17698449976514796</v>
      </c>
      <c r="P1010" s="19">
        <f ca="1">IF('Stock Price'!$I$11="OK",C1010/INDEX(C$5:C$1258,'Stock Price'!$I$9)-1,"")</f>
        <v>-5.0454742312689316E-2</v>
      </c>
      <c r="Q1010" s="19">
        <f ca="1">IF('Stock Price'!$I$11="OK",D1010/INDEX(D$5:D$1258,'Stock Price'!$I$9)-1,"")</f>
        <v>-6.9385520733543204E-2</v>
      </c>
      <c r="R1010" s="19">
        <f ca="1">IF('Stock Price'!$I$11="OK",E1010/INDEX(E$5:E$1258,'Stock Price'!$I$9)-1,"")</f>
        <v>-0.12351400362683862</v>
      </c>
      <c r="S1010" s="19">
        <f ca="1">IF('Stock Price'!$I$11="OK",F1010/INDEX(F$5:F$1258,'Stock Price'!$I$9)-1,"")</f>
        <v>-0.12244897959183676</v>
      </c>
      <c r="T1010" s="19">
        <f ca="1">IF('Stock Price'!$I$11="OK",G1010/INDEX(G$5:G$1258,'Stock Price'!$I$9)-1,"")</f>
        <v>2.0008293593199333E-2</v>
      </c>
      <c r="U1010" s="19">
        <f ca="1">IF('Stock Price'!$I$11="OK",H1010/INDEX(H$5:H$1258,'Stock Price'!$I$9)-1,"")</f>
        <v>-0.2689473684210526</v>
      </c>
      <c r="V1010" s="19">
        <f ca="1">IF('Stock Price'!$I$11="OK",I1010/INDEX(I$5:I$1258,'Stock Price'!$I$9)-1,"")</f>
        <v>4.3288324066719674E-2</v>
      </c>
      <c r="W1010" s="19">
        <f ca="1">IF('Stock Price'!$I$11="OK",J1010/INDEX(J$5:J$1258,'Stock Price'!$I$9)-1,"")</f>
        <v>-0.21912140397645219</v>
      </c>
      <c r="X1010" s="19">
        <f ca="1">IF('Stock Price'!$I$11="OK",K1010/INDEX(K$5:K$1258,'Stock Price'!$I$9)-1,"")</f>
        <v>-0.16460905349794241</v>
      </c>
      <c r="Y1010" s="19">
        <f ca="1">IF('Stock Price'!$I$11="OK",L1010/INDEX(L$5:L$1258,'Stock Price'!$I$9)-1,"")</f>
        <v>-8.9028213166144288E-2</v>
      </c>
      <c r="Z1010" s="19">
        <f ca="1">IF('Stock Price'!$I$11="OK",M1010/INDEX(M$5:M$1258,'Stock Price'!$I$9)-1,"")</f>
        <v>1.5350399023156491E-2</v>
      </c>
    </row>
    <row r="1011" spans="1:26" x14ac:dyDescent="0.2">
      <c r="A1011" s="16">
        <f>'Stock Price'!A1011</f>
        <v>45938</v>
      </c>
      <c r="B1011" s="17">
        <f>'Stock Price'!E1011</f>
        <v>86.4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-0.18835133865664633</v>
      </c>
      <c r="P1011" s="19">
        <f ca="1">IF('Stock Price'!$I$11="OK",C1011/INDEX(C$5:C$1258,'Stock Price'!$I$9)-1,"")</f>
        <v>-4.4968962032625903E-2</v>
      </c>
      <c r="Q1011" s="19">
        <f ca="1">IF('Stock Price'!$I$11="OK",D1011/INDEX(D$5:D$1258,'Stock Price'!$I$9)-1,"")</f>
        <v>-5.7889694813192949E-2</v>
      </c>
      <c r="R1011" s="19">
        <f ca="1">IF('Stock Price'!$I$11="OK",E1011/INDEX(E$5:E$1258,'Stock Price'!$I$9)-1,"")</f>
        <v>-0.12653636913157362</v>
      </c>
      <c r="S1011" s="19">
        <f ca="1">IF('Stock Price'!$I$11="OK",F1011/INDEX(F$5:F$1258,'Stock Price'!$I$9)-1,"")</f>
        <v>-0.11914480077745393</v>
      </c>
      <c r="T1011" s="19">
        <f ca="1">IF('Stock Price'!$I$11="OK",G1011/INDEX(G$5:G$1258,'Stock Price'!$I$9)-1,"")</f>
        <v>1.1818370308936288E-2</v>
      </c>
      <c r="U1011" s="19">
        <f ca="1">IF('Stock Price'!$I$11="OK",H1011/INDEX(H$5:H$1258,'Stock Price'!$I$9)-1,"")</f>
        <v>-0.2784210526315789</v>
      </c>
      <c r="V1011" s="19">
        <f ca="1">IF('Stock Price'!$I$11="OK",I1011/INDEX(I$5:I$1258,'Stock Price'!$I$9)-1,"")</f>
        <v>1.9857029388403502E-2</v>
      </c>
      <c r="W1011" s="19">
        <f ca="1">IF('Stock Price'!$I$11="OK",J1011/INDEX(J$5:J$1258,'Stock Price'!$I$9)-1,"")</f>
        <v>-0.21718686363804651</v>
      </c>
      <c r="X1011" s="19">
        <f ca="1">IF('Stock Price'!$I$11="OK",K1011/INDEX(K$5:K$1258,'Stock Price'!$I$9)-1,"")</f>
        <v>-0.16685372240927798</v>
      </c>
      <c r="Y1011" s="19">
        <f ca="1">IF('Stock Price'!$I$11="OK",L1011/INDEX(L$5:L$1258,'Stock Price'!$I$9)-1,"")</f>
        <v>-8.5170002411381729E-2</v>
      </c>
      <c r="Z1011" s="19">
        <f ca="1">IF('Stock Price'!$I$11="OK",M1011/INDEX(M$5:M$1258,'Stock Price'!$I$9)-1,"")</f>
        <v>8.4165540098557479E-3</v>
      </c>
    </row>
    <row r="1012" spans="1:26" x14ac:dyDescent="0.2">
      <c r="A1012" s="16">
        <f>'Stock Price'!A1012</f>
        <v>45939</v>
      </c>
      <c r="B1012" s="17">
        <f>'Stock Price'!E1012</f>
        <v>87.5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-0.17801784875528415</v>
      </c>
      <c r="P1012" s="19">
        <f ca="1">IF('Stock Price'!$I$11="OK",C1012/INDEX(C$5:C$1258,'Stock Price'!$I$9)-1,"")</f>
        <v>-5.3991626966940931E-2</v>
      </c>
      <c r="Q1012" s="19">
        <f ca="1">IF('Stock Price'!$I$11="OK",D1012/INDEX(D$5:D$1258,'Stock Price'!$I$9)-1,"")</f>
        <v>-7.0206651156425437E-2</v>
      </c>
      <c r="R1012" s="19">
        <f ca="1">IF('Stock Price'!$I$11="OK",E1012/INDEX(E$5:E$1258,'Stock Price'!$I$9)-1,"")</f>
        <v>-0.12472294982873267</v>
      </c>
      <c r="S1012" s="19">
        <f ca="1">IF('Stock Price'!$I$11="OK",F1012/INDEX(F$5:F$1258,'Stock Price'!$I$9)-1,"")</f>
        <v>-0.11486880466472305</v>
      </c>
      <c r="T1012" s="19">
        <f ca="1">IF('Stock Price'!$I$11="OK",G1012/INDEX(G$5:G$1258,'Stock Price'!$I$9)-1,"")</f>
        <v>1.2233049968899179E-2</v>
      </c>
      <c r="U1012" s="19">
        <f ca="1">IF('Stock Price'!$I$11="OK",H1012/INDEX(H$5:H$1258,'Stock Price'!$I$9)-1,"")</f>
        <v>-0.25789473684210529</v>
      </c>
      <c r="V1012" s="19">
        <f ca="1">IF('Stock Price'!$I$11="OK",I1012/INDEX(I$5:I$1258,'Stock Price'!$I$9)-1,"")</f>
        <v>2.3828435266084469E-3</v>
      </c>
      <c r="W1012" s="19">
        <f ca="1">IF('Stock Price'!$I$11="OK",J1012/INDEX(J$5:J$1258,'Stock Price'!$I$9)-1,"")</f>
        <v>-0.20827316820319142</v>
      </c>
      <c r="X1012" s="19">
        <f ca="1">IF('Stock Price'!$I$11="OK",K1012/INDEX(K$5:K$1258,'Stock Price'!$I$9)-1,"")</f>
        <v>-0.16423494201271982</v>
      </c>
      <c r="Y1012" s="19">
        <f ca="1">IF('Stock Price'!$I$11="OK",L1012/INDEX(L$5:L$1258,'Stock Price'!$I$9)-1,"")</f>
        <v>-7.8466361224981851E-2</v>
      </c>
      <c r="Z1012" s="19">
        <f ca="1">IF('Stock Price'!$I$11="OK",M1012/INDEX(M$5:M$1258,'Stock Price'!$I$9)-1,"")</f>
        <v>6.0180541624874628E-3</v>
      </c>
    </row>
    <row r="1013" spans="1:26" x14ac:dyDescent="0.2">
      <c r="A1013" s="16">
        <f>'Stock Price'!A1013</f>
        <v>45940</v>
      </c>
      <c r="B1013" s="17">
        <f>'Stock Price'!E1013</f>
        <v>85.99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-0.19220291216533592</v>
      </c>
      <c r="P1013" s="19">
        <f ca="1">IF('Stock Price'!$I$11="OK",C1013/INDEX(C$5:C$1258,'Stock Price'!$I$9)-1,"")</f>
        <v>-6.1426302872816474E-2</v>
      </c>
      <c r="Q1013" s="19">
        <f ca="1">IF('Stock Price'!$I$11="OK",D1013/INDEX(D$5:D$1258,'Stock Price'!$I$9)-1,"")</f>
        <v>-7.3024223347475159E-2</v>
      </c>
      <c r="R1013" s="19">
        <f ca="1">IF('Stock Price'!$I$11="OK",E1013/INDEX(E$5:E$1258,'Stock Price'!$I$9)-1,"")</f>
        <v>-0.12270803949224263</v>
      </c>
      <c r="S1013" s="19">
        <f ca="1">IF('Stock Price'!$I$11="OK",F1013/INDEX(F$5:F$1258,'Stock Price'!$I$9)-1,"")</f>
        <v>-0.11253644314868816</v>
      </c>
      <c r="T1013" s="19">
        <f ca="1">IF('Stock Price'!$I$11="OK",G1013/INDEX(G$5:G$1258,'Stock Price'!$I$9)-1,"")</f>
        <v>-2.9027576197385718E-3</v>
      </c>
      <c r="U1013" s="19">
        <f ca="1">IF('Stock Price'!$I$11="OK",H1013/INDEX(H$5:H$1258,'Stock Price'!$I$9)-1,"")</f>
        <v>-0.26368421052631574</v>
      </c>
      <c r="V1013" s="19">
        <f ca="1">IF('Stock Price'!$I$11="OK",I1013/INDEX(I$5:I$1258,'Stock Price'!$I$9)-1,"")</f>
        <v>-1.5885623510722757E-2</v>
      </c>
      <c r="W1013" s="19">
        <f ca="1">IF('Stock Price'!$I$11="OK",J1013/INDEX(J$5:J$1258,'Stock Price'!$I$9)-1,"")</f>
        <v>-0.22850716427857376</v>
      </c>
      <c r="X1013" s="19">
        <f ca="1">IF('Stock Price'!$I$11="OK",K1013/INDEX(K$5:K$1258,'Stock Price'!$I$9)-1,"")</f>
        <v>-0.17770295548073323</v>
      </c>
      <c r="Y1013" s="19">
        <f ca="1">IF('Stock Price'!$I$11="OK",L1013/INDEX(L$5:L$1258,'Stock Price'!$I$9)-1,"")</f>
        <v>-8.0202556064625008E-2</v>
      </c>
      <c r="Z1013" s="19">
        <f ca="1">IF('Stock Price'!$I$11="OK",M1013/INDEX(M$5:M$1258,'Stock Price'!$I$9)-1,"")</f>
        <v>5.1894814879420714E-3</v>
      </c>
    </row>
    <row r="1014" spans="1:26" x14ac:dyDescent="0.2">
      <c r="A1014" s="16">
        <f>'Stock Price'!A1014</f>
        <v>45943</v>
      </c>
      <c r="B1014" s="17">
        <f>'Stock Price'!E1014</f>
        <v>85.7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-0.19492719586660401</v>
      </c>
      <c r="P1014" s="19">
        <f ca="1">IF('Stock Price'!$I$11="OK",C1014/INDEX(C$5:C$1258,'Stock Price'!$I$9)-1,"")</f>
        <v>-6.7994802944997712E-2</v>
      </c>
      <c r="Q1014" s="19">
        <f ca="1">IF('Stock Price'!$I$11="OK",D1014/INDEX(D$5:D$1258,'Stock Price'!$I$9)-1,"")</f>
        <v>-7.3024223347475159E-2</v>
      </c>
      <c r="R1014" s="19">
        <f ca="1">IF('Stock Price'!$I$11="OK",E1014/INDEX(E$5:E$1258,'Stock Price'!$I$9)-1,"")</f>
        <v>-0.11968567398750762</v>
      </c>
      <c r="S1014" s="19">
        <f ca="1">IF('Stock Price'!$I$11="OK",F1014/INDEX(F$5:F$1258,'Stock Price'!$I$9)-1,"")</f>
        <v>-0.11992225461613215</v>
      </c>
      <c r="T1014" s="19">
        <f ca="1">IF('Stock Price'!$I$11="OK",G1014/INDEX(G$5:G$1258,'Stock Price'!$I$9)-1,"")</f>
        <v>1.1818370308936288E-2</v>
      </c>
      <c r="U1014" s="19">
        <f ca="1">IF('Stock Price'!$I$11="OK",H1014/INDEX(H$5:H$1258,'Stock Price'!$I$9)-1,"")</f>
        <v>-0.26960526315789479</v>
      </c>
      <c r="V1014" s="19">
        <f ca="1">IF('Stock Price'!$I$11="OK",I1014/INDEX(I$5:I$1258,'Stock Price'!$I$9)-1,"")</f>
        <v>-1.787132644956313E-2</v>
      </c>
      <c r="W1014" s="19">
        <f ca="1">IF('Stock Price'!$I$11="OK",J1014/INDEX(J$5:J$1258,'Stock Price'!$I$9)-1,"")</f>
        <v>-0.24154911325854345</v>
      </c>
      <c r="X1014" s="19">
        <f ca="1">IF('Stock Price'!$I$11="OK",K1014/INDEX(K$5:K$1258,'Stock Price'!$I$9)-1,"")</f>
        <v>-0.18555929667040783</v>
      </c>
      <c r="Y1014" s="19">
        <f ca="1">IF('Stock Price'!$I$11="OK",L1014/INDEX(L$5:L$1258,'Stock Price'!$I$9)-1,"")</f>
        <v>-7.9334458644803374E-2</v>
      </c>
      <c r="Z1014" s="19">
        <f ca="1">IF('Stock Price'!$I$11="OK",M1014/INDEX(M$5:M$1258,'Stock Price'!$I$9)-1,"")</f>
        <v>4.3172997252627354E-3</v>
      </c>
    </row>
    <row r="1015" spans="1:26" x14ac:dyDescent="0.2">
      <c r="A1015" s="16">
        <f>'Stock Price'!A1015</f>
        <v>45944</v>
      </c>
      <c r="B1015" s="17">
        <f>'Stock Price'!E1015</f>
        <v>84.7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-0.20432127759511509</v>
      </c>
      <c r="P1015" s="19">
        <f ca="1">IF('Stock Price'!$I$11="OK",C1015/INDEX(C$5:C$1258,'Stock Price'!$I$9)-1,"")</f>
        <v>-5.9766132524902593E-2</v>
      </c>
      <c r="Q1015" s="19">
        <f ca="1">IF('Stock Price'!$I$11="OK",D1015/INDEX(D$5:D$1258,'Stock Price'!$I$9)-1,"")</f>
        <v>-7.4312303270836266E-2</v>
      </c>
      <c r="R1015" s="19">
        <f ca="1">IF('Stock Price'!$I$11="OK",E1015/INDEX(E$5:E$1258,'Stock Price'!$I$9)-1,"")</f>
        <v>-0.11041708643965353</v>
      </c>
      <c r="S1015" s="19">
        <f ca="1">IF('Stock Price'!$I$11="OK",F1015/INDEX(F$5:F$1258,'Stock Price'!$I$9)-1,"")</f>
        <v>-0.13002915451895047</v>
      </c>
      <c r="T1015" s="19">
        <f ca="1">IF('Stock Price'!$I$11="OK",G1015/INDEX(G$5:G$1258,'Stock Price'!$I$9)-1,"")</f>
        <v>2.0526643168152559E-2</v>
      </c>
      <c r="U1015" s="19">
        <f ca="1">IF('Stock Price'!$I$11="OK",H1015/INDEX(H$5:H$1258,'Stock Price'!$I$9)-1,"")</f>
        <v>-0.28078947368421059</v>
      </c>
      <c r="V1015" s="19">
        <f ca="1">IF('Stock Price'!$I$11="OK",I1015/INDEX(I$5:I$1258,'Stock Price'!$I$9)-1,"")</f>
        <v>-2.6211278792692583E-2</v>
      </c>
      <c r="W1015" s="19">
        <f ca="1">IF('Stock Price'!$I$11="OK",J1015/INDEX(J$5:J$1258,'Stock Price'!$I$9)-1,"")</f>
        <v>-0.24807471583546215</v>
      </c>
      <c r="X1015" s="19">
        <f ca="1">IF('Stock Price'!$I$11="OK",K1015/INDEX(K$5:K$1258,'Stock Price'!$I$9)-1,"")</f>
        <v>-0.18069584736251409</v>
      </c>
      <c r="Y1015" s="19">
        <f ca="1">IF('Stock Price'!$I$11="OK",L1015/INDEX(L$5:L$1258,'Stock Price'!$I$9)-1,"")</f>
        <v>-7.9575596816976124E-2</v>
      </c>
      <c r="Z1015" s="19">
        <f ca="1">IF('Stock Price'!$I$11="OK",M1015/INDEX(M$5:M$1258,'Stock Price'!$I$9)-1,"")</f>
        <v>-7.8496358641144681E-4</v>
      </c>
    </row>
    <row r="1016" spans="1:26" x14ac:dyDescent="0.2">
      <c r="A1016" s="16">
        <f>'Stock Price'!A1016</f>
        <v>45945</v>
      </c>
      <c r="B1016" s="17">
        <f>'Stock Price'!E1016</f>
        <v>84.11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-0.20986378581493659</v>
      </c>
      <c r="P1016" s="19">
        <f ca="1">IF('Stock Price'!$I$11="OK",C1016/INDEX(C$5:C$1258,'Stock Price'!$I$9)-1,"")</f>
        <v>-6.1859390789663626E-2</v>
      </c>
      <c r="Q1016" s="19">
        <f ca="1">IF('Stock Price'!$I$11="OK",D1016/INDEX(D$5:D$1258,'Stock Price'!$I$9)-1,"")</f>
        <v>-7.9978103188723226E-2</v>
      </c>
      <c r="R1016" s="19">
        <f ca="1">IF('Stock Price'!$I$11="OK",E1016/INDEX(E$5:E$1258,'Stock Price'!$I$9)-1,"")</f>
        <v>-0.11787225468466656</v>
      </c>
      <c r="S1016" s="19">
        <f ca="1">IF('Stock Price'!$I$11="OK",F1016/INDEX(F$5:F$1258,'Stock Price'!$I$9)-1,"")</f>
        <v>-0.1354713313896988</v>
      </c>
      <c r="T1016" s="19">
        <f ca="1">IF('Stock Price'!$I$11="OK",G1016/INDEX(G$5:G$1258,'Stock Price'!$I$9)-1,"")</f>
        <v>1.5135807588637862E-2</v>
      </c>
      <c r="U1016" s="19">
        <f ca="1">IF('Stock Price'!$I$11="OK",H1016/INDEX(H$5:H$1258,'Stock Price'!$I$9)-1,"")</f>
        <v>-0.28276315789473683</v>
      </c>
      <c r="V1016" s="19">
        <f ca="1">IF('Stock Price'!$I$11="OK",I1016/INDEX(I$5:I$1258,'Stock Price'!$I$9)-1,"")</f>
        <v>-3.137410643367744E-2</v>
      </c>
      <c r="W1016" s="19">
        <f ca="1">IF('Stock Price'!$I$11="OK",J1016/INDEX(J$5:J$1258,'Stock Price'!$I$9)-1,"")</f>
        <v>-0.23491243659520888</v>
      </c>
      <c r="X1016" s="19">
        <f ca="1">IF('Stock Price'!$I$11="OK",K1016/INDEX(K$5:K$1258,'Stock Price'!$I$9)-1,"")</f>
        <v>-0.18424990647212869</v>
      </c>
      <c r="Y1016" s="19">
        <f ca="1">IF('Stock Price'!$I$11="OK",L1016/INDEX(L$5:L$1258,'Stock Price'!$I$9)-1,"")</f>
        <v>-7.8032312515071145E-2</v>
      </c>
      <c r="Z1016" s="19">
        <f ca="1">IF('Stock Price'!$I$11="OK",M1016/INDEX(M$5:M$1258,'Stock Price'!$I$9)-1,"")</f>
        <v>-1.3475208233395874E-2</v>
      </c>
    </row>
    <row r="1017" spans="1:26" x14ac:dyDescent="0.2">
      <c r="A1017" s="16">
        <f>'Stock Price'!A1017</f>
        <v>45946</v>
      </c>
      <c r="B1017" s="17">
        <f>'Stock Price'!E1017</f>
        <v>83.92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-0.21164866134335369</v>
      </c>
      <c r="P1017" s="19">
        <f ca="1">IF('Stock Price'!$I$11="OK",C1017/INDEX(C$5:C$1258,'Stock Price'!$I$9)-1,"")</f>
        <v>-5.6084885231701853E-2</v>
      </c>
      <c r="Q1017" s="19">
        <f ca="1">IF('Stock Price'!$I$11="OK",D1017/INDEX(D$5:D$1258,'Stock Price'!$I$9)-1,"")</f>
        <v>-7.4202819214451932E-2</v>
      </c>
      <c r="R1017" s="19">
        <f ca="1">IF('Stock Price'!$I$11="OK",E1017/INDEX(E$5:E$1258,'Stock Price'!$I$9)-1,"")</f>
        <v>-0.11807374571831553</v>
      </c>
      <c r="S1017" s="19">
        <f ca="1">IF('Stock Price'!$I$11="OK",F1017/INDEX(F$5:F$1258,'Stock Price'!$I$9)-1,"")</f>
        <v>-0.13177842565597664</v>
      </c>
      <c r="T1017" s="19">
        <f ca="1">IF('Stock Price'!$I$11="OK",G1017/INDEX(G$5:G$1258,'Stock Price'!$I$9)-1,"")</f>
        <v>3.7113829566659984E-2</v>
      </c>
      <c r="U1017" s="19">
        <f ca="1">IF('Stock Price'!$I$11="OK",H1017/INDEX(H$5:H$1258,'Stock Price'!$I$9)-1,"")</f>
        <v>-0.28710526315789475</v>
      </c>
      <c r="V1017" s="19">
        <f ca="1">IF('Stock Price'!$I$11="OK",I1017/INDEX(I$5:I$1258,'Stock Price'!$I$9)-1,"")</f>
        <v>-3.7728355837966632E-2</v>
      </c>
      <c r="W1017" s="19">
        <f ca="1">IF('Stock Price'!$I$11="OK",J1017/INDEX(J$5:J$1258,'Stock Price'!$I$9)-1,"")</f>
        <v>-0.24156762560627931</v>
      </c>
      <c r="X1017" s="19">
        <f ca="1">IF('Stock Price'!$I$11="OK",K1017/INDEX(K$5:K$1258,'Stock Price'!$I$9)-1,"")</f>
        <v>-0.18836513280957723</v>
      </c>
      <c r="Y1017" s="19">
        <f ca="1">IF('Stock Price'!$I$11="OK",L1017/INDEX(L$5:L$1258,'Stock Price'!$I$9)-1,"")</f>
        <v>-7.3450687243790669E-2</v>
      </c>
      <c r="Z1017" s="19">
        <f ca="1">IF('Stock Price'!$I$11="OK",M1017/INDEX(M$5:M$1258,'Stock Price'!$I$9)-1,"")</f>
        <v>-1.0640617504687921E-2</v>
      </c>
    </row>
    <row r="1018" spans="1:26" x14ac:dyDescent="0.2">
      <c r="A1018" s="16">
        <f>'Stock Price'!A1018</f>
        <v>45947</v>
      </c>
      <c r="B1018" s="17">
        <f>'Stock Price'!E1018</f>
        <v>84.79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-0.20347581023954908</v>
      </c>
      <c r="P1018" s="19">
        <f ca="1">IF('Stock Price'!$I$11="OK",C1018/INDEX(C$5:C$1258,'Stock Price'!$I$9)-1,"")</f>
        <v>-5.1320918146383621E-2</v>
      </c>
      <c r="Q1018" s="19">
        <f ca="1">IF('Stock Price'!$I$11="OK",D1018/INDEX(D$5:D$1258,'Stock Price'!$I$9)-1,"")</f>
        <v>-6.4568222252634588E-2</v>
      </c>
      <c r="R1018" s="19">
        <f ca="1">IF('Stock Price'!$I$11="OK",E1018/INDEX(E$5:E$1258,'Stock Price'!$I$9)-1,"")</f>
        <v>-0.1152528712472296</v>
      </c>
      <c r="S1018" s="19">
        <f ca="1">IF('Stock Price'!$I$11="OK",F1018/INDEX(F$5:F$1258,'Stock Price'!$I$9)-1,"")</f>
        <v>-0.12711370262390687</v>
      </c>
      <c r="T1018" s="19">
        <f ca="1">IF('Stock Price'!$I$11="OK",G1018/INDEX(G$5:G$1258,'Stock Price'!$I$9)-1,"")</f>
        <v>4.9554219365540053E-2</v>
      </c>
      <c r="U1018" s="19">
        <f ca="1">IF('Stock Price'!$I$11="OK",H1018/INDEX(H$5:H$1258,'Stock Price'!$I$9)-1,"")</f>
        <v>-0.29434210526315785</v>
      </c>
      <c r="V1018" s="19">
        <f ca="1">IF('Stock Price'!$I$11="OK",I1018/INDEX(I$5:I$1258,'Stock Price'!$I$9)-1,"")</f>
        <v>-2.6608419380460657E-2</v>
      </c>
      <c r="W1018" s="19">
        <f ca="1">IF('Stock Price'!$I$11="OK",J1018/INDEX(J$5:J$1258,'Stock Price'!$I$9)-1,"")</f>
        <v>-0.25688659335776953</v>
      </c>
      <c r="X1018" s="19">
        <f ca="1">IF('Stock Price'!$I$11="OK",K1018/INDEX(K$5:K$1258,'Stock Price'!$I$9)-1,"")</f>
        <v>-0.18387579498690609</v>
      </c>
      <c r="Y1018" s="19">
        <f ca="1">IF('Stock Price'!$I$11="OK",L1018/INDEX(L$5:L$1258,'Stock Price'!$I$9)-1,"")</f>
        <v>-6.8145647455992275E-2</v>
      </c>
      <c r="Z1018" s="19">
        <f ca="1">IF('Stock Price'!$I$11="OK",M1018/INDEX(M$5:M$1258,'Stock Price'!$I$9)-1,"")</f>
        <v>1.1338362914830036E-3</v>
      </c>
    </row>
    <row r="1019" spans="1:26" x14ac:dyDescent="0.2">
      <c r="A1019" s="16">
        <f>'Stock Price'!A1019</f>
        <v>45950</v>
      </c>
      <c r="B1019" s="17">
        <f>'Stock Price'!E1019</f>
        <v>86.32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-0.18910286519492725</v>
      </c>
      <c r="P1019" s="19">
        <f ca="1">IF('Stock Price'!$I$11="OK",C1019/INDEX(C$5:C$1258,'Stock Price'!$I$9)-1,"")</f>
        <v>-4.8722390645301039E-2</v>
      </c>
      <c r="Q1019" s="19">
        <f ca="1">IF('Stock Price'!$I$11="OK",D1019/INDEX(D$5:D$1258,'Stock Price'!$I$9)-1,"")</f>
        <v>-8.591816066785285E-2</v>
      </c>
      <c r="R1019" s="19">
        <f ca="1">IF('Stock Price'!$I$11="OK",E1019/INDEX(E$5:E$1258,'Stock Price'!$I$9)-1,"")</f>
        <v>-0.11102155954060056</v>
      </c>
      <c r="S1019" s="19">
        <f ca="1">IF('Stock Price'!$I$11="OK",F1019/INDEX(F$5:F$1258,'Stock Price'!$I$9)-1,"")</f>
        <v>-0.14363459669582124</v>
      </c>
      <c r="T1019" s="19">
        <f ca="1">IF('Stock Price'!$I$11="OK",G1019/INDEX(G$5:G$1258,'Stock Price'!$I$9)-1,"")</f>
        <v>3.110097449720084E-2</v>
      </c>
      <c r="U1019" s="19">
        <f ca="1">IF('Stock Price'!$I$11="OK",H1019/INDEX(H$5:H$1258,'Stock Price'!$I$9)-1,"")</f>
        <v>-0.27815789473684216</v>
      </c>
      <c r="V1019" s="19">
        <f ca="1">IF('Stock Price'!$I$11="OK",I1019/INDEX(I$5:I$1258,'Stock Price'!$I$9)-1,"")</f>
        <v>-1.9459888800635317E-2</v>
      </c>
      <c r="W1019" s="19">
        <f ca="1">IF('Stock Price'!$I$11="OK",J1019/INDEX(J$5:J$1258,'Stock Price'!$I$9)-1,"")</f>
        <v>-0.25121255877670401</v>
      </c>
      <c r="X1019" s="19">
        <f ca="1">IF('Stock Price'!$I$11="OK",K1019/INDEX(K$5:K$1258,'Stock Price'!$I$9)-1,"")</f>
        <v>-0.18462401795735128</v>
      </c>
      <c r="Y1019" s="19">
        <f ca="1">IF('Stock Price'!$I$11="OK",L1019/INDEX(L$5:L$1258,'Stock Price'!$I$9)-1,"")</f>
        <v>-6.5734265734265662E-2</v>
      </c>
      <c r="Z1019" s="19">
        <f ca="1">IF('Stock Price'!$I$11="OK",M1019/INDEX(M$5:M$1258,'Stock Price'!$I$9)-1,"")</f>
        <v>1.1992499236840981E-2</v>
      </c>
    </row>
    <row r="1020" spans="1:26" x14ac:dyDescent="0.2">
      <c r="A1020" s="16">
        <f>'Stock Price'!A1020</f>
        <v>45951</v>
      </c>
      <c r="B1020" s="17">
        <f>'Stock Price'!E1020</f>
        <v>87.62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-0.17689055894786287</v>
      </c>
      <c r="P1020" s="19">
        <f ca="1">IF('Stock Price'!$I$11="OK",C1020/INDEX(C$5:C$1258,'Stock Price'!$I$9)-1,"")</f>
        <v>-5.1970550021654294E-2</v>
      </c>
      <c r="Q1020" s="19">
        <f ca="1">IF('Stock Price'!$I$11="OK",D1020/INDEX(D$5:D$1258,'Stock Price'!$I$9)-1,"")</f>
        <v>-7.88011495825921E-2</v>
      </c>
      <c r="R1020" s="19">
        <f ca="1">IF('Stock Price'!$I$11="OK",E1020/INDEX(E$5:E$1258,'Stock Price'!$I$9)-1,"")</f>
        <v>-0.11464839814628258</v>
      </c>
      <c r="S1020" s="19">
        <f ca="1">IF('Stock Price'!$I$11="OK",F1020/INDEX(F$5:F$1258,'Stock Price'!$I$9)-1,"")</f>
        <v>-0.14441205053449946</v>
      </c>
      <c r="T1020" s="19">
        <f ca="1">IF('Stock Price'!$I$11="OK",G1020/INDEX(G$5:G$1258,'Stock Price'!$I$9)-1,"")</f>
        <v>2.9649595687331498E-2</v>
      </c>
      <c r="U1020" s="19">
        <f ca="1">IF('Stock Price'!$I$11="OK",H1020/INDEX(H$5:H$1258,'Stock Price'!$I$9)-1,"")</f>
        <v>-0.2801315789473684</v>
      </c>
      <c r="V1020" s="19">
        <f ca="1">IF('Stock Price'!$I$11="OK",I1020/INDEX(I$5:I$1258,'Stock Price'!$I$9)-1,"")</f>
        <v>-1.3105639396346236E-2</v>
      </c>
      <c r="W1020" s="19">
        <f ca="1">IF('Stock Price'!$I$11="OK",J1020/INDEX(J$5:J$1258,'Stock Price'!$I$9)-1,"")</f>
        <v>-0.25990410603872771</v>
      </c>
      <c r="X1020" s="19">
        <f ca="1">IF('Stock Price'!$I$11="OK",K1020/INDEX(K$5:K$1258,'Stock Price'!$I$9)-1,"")</f>
        <v>-0.16685372240927798</v>
      </c>
      <c r="Y1020" s="19">
        <f ca="1">IF('Stock Price'!$I$11="OK",L1020/INDEX(L$5:L$1258,'Stock Price'!$I$9)-1,"")</f>
        <v>-7.4608150470219403E-2</v>
      </c>
      <c r="Z1020" s="19">
        <f ca="1">IF('Stock Price'!$I$11="OK",M1020/INDEX(M$5:M$1258,'Stock Price'!$I$9)-1,"")</f>
        <v>9.0706903318651388E-3</v>
      </c>
    </row>
    <row r="1021" spans="1:26" x14ac:dyDescent="0.2">
      <c r="A1021" s="16">
        <f>'Stock Price'!A1021</f>
        <v>45952</v>
      </c>
      <c r="B1021" s="17">
        <f>'Stock Price'!E1021</f>
        <v>87.61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-0.17698449976514796</v>
      </c>
      <c r="P1021" s="19">
        <f ca="1">IF('Stock Price'!$I$11="OK",C1021/INDEX(C$5:C$1258,'Stock Price'!$I$9)-1,"")</f>
        <v>-5.1320918146383621E-2</v>
      </c>
      <c r="Q1021" s="19">
        <f ca="1">IF('Stock Price'!$I$11="OK",D1021/INDEX(D$5:D$1258,'Stock Price'!$I$9)-1,"")</f>
        <v>-7.88011495825921E-2</v>
      </c>
      <c r="R1021" s="19">
        <f ca="1">IF('Stock Price'!$I$11="OK",E1021/INDEX(E$5:E$1258,'Stock Price'!$I$9)-1,"")</f>
        <v>-0.10820068506951452</v>
      </c>
      <c r="S1021" s="19">
        <f ca="1">IF('Stock Price'!$I$11="OK",F1021/INDEX(F$5:F$1258,'Stock Price'!$I$9)-1,"")</f>
        <v>-0.14596695821185623</v>
      </c>
      <c r="T1021" s="19">
        <f ca="1">IF('Stock Price'!$I$11="OK",G1021/INDEX(G$5:G$1258,'Stock Price'!$I$9)-1,"")</f>
        <v>3.6491810076715758E-2</v>
      </c>
      <c r="U1021" s="19">
        <f ca="1">IF('Stock Price'!$I$11="OK",H1021/INDEX(H$5:H$1258,'Stock Price'!$I$9)-1,"")</f>
        <v>-0.27578947368421058</v>
      </c>
      <c r="V1021" s="19">
        <f ca="1">IF('Stock Price'!$I$11="OK",I1021/INDEX(I$5:I$1258,'Stock Price'!$I$9)-1,"")</f>
        <v>-1.8268467037331204E-2</v>
      </c>
      <c r="W1021" s="19">
        <f ca="1">IF('Stock Price'!$I$11="OK",J1021/INDEX(J$5:J$1258,'Stock Price'!$I$9)-1,"")</f>
        <v>-0.24800066644451846</v>
      </c>
      <c r="X1021" s="19">
        <f ca="1">IF('Stock Price'!$I$11="OK",K1021/INDEX(K$5:K$1258,'Stock Price'!$I$9)-1,"")</f>
        <v>-0.16965955854844739</v>
      </c>
      <c r="Y1021" s="19">
        <f ca="1">IF('Stock Price'!$I$11="OK",L1021/INDEX(L$5:L$1258,'Stock Price'!$I$9)-1,"")</f>
        <v>-6.9496021220159188E-2</v>
      </c>
      <c r="Z1021" s="19">
        <f ca="1">IF('Stock Price'!$I$11="OK",M1021/INDEX(M$5:M$1258,'Stock Price'!$I$9)-1,"")</f>
        <v>-2.7473725524399528E-3</v>
      </c>
    </row>
    <row r="1022" spans="1:26" x14ac:dyDescent="0.2">
      <c r="A1022" s="16">
        <f>'Stock Price'!A1022</f>
        <v>45953</v>
      </c>
      <c r="B1022" s="17">
        <f>'Stock Price'!E1022</f>
        <v>87.18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-0.18102395490840761</v>
      </c>
      <c r="P1022" s="19">
        <f ca="1">IF('Stock Price'!$I$11="OK",C1022/INDEX(C$5:C$1258,'Stock Price'!$I$9)-1,"")</f>
        <v>-4.9805110437418865E-2</v>
      </c>
      <c r="Q1022" s="19">
        <f ca="1">IF('Stock Price'!$I$11="OK",D1022/INDEX(D$5:D$1258,'Stock Price'!$I$9)-1,"")</f>
        <v>-7.9020117695360659E-2</v>
      </c>
      <c r="R1022" s="19">
        <f ca="1">IF('Stock Price'!$I$11="OK",E1022/INDEX(E$5:E$1258,'Stock Price'!$I$9)-1,"")</f>
        <v>-8.2409832762442181E-2</v>
      </c>
      <c r="S1022" s="19">
        <f ca="1">IF('Stock Price'!$I$11="OK",F1022/INDEX(F$5:F$1258,'Stock Price'!$I$9)-1,"")</f>
        <v>-0.17453838678328482</v>
      </c>
      <c r="T1022" s="19">
        <f ca="1">IF('Stock Price'!$I$11="OK",G1022/INDEX(G$5:G$1258,'Stock Price'!$I$9)-1,"")</f>
        <v>2.6746838067592815E-2</v>
      </c>
      <c r="U1022" s="19">
        <f ca="1">IF('Stock Price'!$I$11="OK",H1022/INDEX(H$5:H$1258,'Stock Price'!$I$9)-1,"")</f>
        <v>-0.27421052631578957</v>
      </c>
      <c r="V1022" s="19">
        <f ca="1">IF('Stock Price'!$I$11="OK",I1022/INDEX(I$5:I$1258,'Stock Price'!$I$9)-1,"")</f>
        <v>-2.0254169976171466E-2</v>
      </c>
      <c r="W1022" s="19">
        <f ca="1">IF('Stock Price'!$I$11="OK",J1022/INDEX(J$5:J$1258,'Stock Price'!$I$9)-1,"")</f>
        <v>-0.24003110074419631</v>
      </c>
      <c r="X1022" s="19">
        <f ca="1">IF('Stock Price'!$I$11="OK",K1022/INDEX(K$5:K$1258,'Stock Price'!$I$9)-1,"")</f>
        <v>-0.18013468013468015</v>
      </c>
      <c r="Y1022" s="19">
        <f ca="1">IF('Stock Price'!$I$11="OK",L1022/INDEX(L$5:L$1258,'Stock Price'!$I$9)-1,"")</f>
        <v>-7.1762720038582084E-2</v>
      </c>
      <c r="Z1022" s="19">
        <f ca="1">IF('Stock Price'!$I$11="OK",M1022/INDEX(M$5:M$1258,'Stock Price'!$I$9)-1,"")</f>
        <v>-4.6225633422005696E-3</v>
      </c>
    </row>
    <row r="1023" spans="1:26" x14ac:dyDescent="0.2">
      <c r="A1023" s="16">
        <f>'Stock Price'!A1023</f>
        <v>45954</v>
      </c>
      <c r="B1023" s="17">
        <f>'Stock Price'!E1023</f>
        <v>87.49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-0.17811178957256935</v>
      </c>
      <c r="P1023" s="19">
        <f ca="1">IF('Stock Price'!$I$11="OK",C1023/INDEX(C$5:C$1258,'Stock Price'!$I$9)-1,"")</f>
        <v>-5.9044319330157191E-2</v>
      </c>
      <c r="Q1023" s="19">
        <f ca="1">IF('Stock Price'!$I$11="OK",D1023/INDEX(D$5:D$1258,'Stock Price'!$I$9)-1,"")</f>
        <v>-0.10359928835363352</v>
      </c>
      <c r="R1023" s="19">
        <f ca="1">IF('Stock Price'!$I$11="OK",E1023/INDEX(E$5:E$1258,'Stock Price'!$I$9)-1,"")</f>
        <v>-0.12875277050171263</v>
      </c>
      <c r="S1023" s="19">
        <f ca="1">IF('Stock Price'!$I$11="OK",F1023/INDEX(F$5:F$1258,'Stock Price'!$I$9)-1,"")</f>
        <v>-0.17842565597667637</v>
      </c>
      <c r="T1023" s="19">
        <f ca="1">IF('Stock Price'!$I$11="OK",G1023/INDEX(G$5:G$1258,'Stock Price'!$I$9)-1,"")</f>
        <v>7.0702882023636837E-2</v>
      </c>
      <c r="U1023" s="19">
        <f ca="1">IF('Stock Price'!$I$11="OK",H1023/INDEX(H$5:H$1258,'Stock Price'!$I$9)-1,"")</f>
        <v>-0.26907894736842108</v>
      </c>
      <c r="V1023" s="19">
        <f ca="1">IF('Stock Price'!$I$11="OK",I1023/INDEX(I$5:I$1258,'Stock Price'!$I$9)-1,"")</f>
        <v>-1.6679904686258906E-2</v>
      </c>
      <c r="W1023" s="19">
        <f ca="1">IF('Stock Price'!$I$11="OK",J1023/INDEX(J$5:J$1258,'Stock Price'!$I$9)-1,"")</f>
        <v>-0.2359491280684215</v>
      </c>
      <c r="X1023" s="19">
        <f ca="1">IF('Stock Price'!$I$11="OK",K1023/INDEX(K$5:K$1258,'Stock Price'!$I$9)-1,"")</f>
        <v>-0.18013468013468015</v>
      </c>
      <c r="Y1023" s="19">
        <f ca="1">IF('Stock Price'!$I$11="OK",L1023/INDEX(L$5:L$1258,'Stock Price'!$I$9)-1,"")</f>
        <v>-8.1745840366529987E-2</v>
      </c>
      <c r="Z1023" s="19">
        <f ca="1">IF('Stock Price'!$I$11="OK",M1023/INDEX(M$5:M$1258,'Stock Price'!$I$9)-1,"")</f>
        <v>-5.7563996336836842E-3</v>
      </c>
    </row>
    <row r="1024" spans="1:26" x14ac:dyDescent="0.2">
      <c r="A1024" s="16">
        <f>'Stock Price'!A1024</f>
        <v>45957</v>
      </c>
      <c r="B1024" s="17">
        <f>'Stock Price'!E1024</f>
        <v>88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-0.17332080789102866</v>
      </c>
      <c r="P1024" s="19">
        <f ca="1">IF('Stock Price'!$I$11="OK",C1024/INDEX(C$5:C$1258,'Stock Price'!$I$9)-1,"")</f>
        <v>-6.7850440306048809E-2</v>
      </c>
      <c r="Q1024" s="19">
        <f ca="1">IF('Stock Price'!$I$11="OK",D1024/INDEX(D$5:D$1258,'Stock Price'!$I$9)-1,"")</f>
        <v>-0.10228547967702206</v>
      </c>
      <c r="R1024" s="19">
        <f ca="1">IF('Stock Price'!$I$11="OK",E1024/INDEX(E$5:E$1258,'Stock Price'!$I$9)-1,"")</f>
        <v>-0.11746927261736861</v>
      </c>
      <c r="S1024" s="19">
        <f ca="1">IF('Stock Price'!$I$11="OK",F1024/INDEX(F$5:F$1258,'Stock Price'!$I$9)-1,"")</f>
        <v>-0.18192419825072881</v>
      </c>
      <c r="T1024" s="19">
        <f ca="1">IF('Stock Price'!$I$11="OK",G1024/INDEX(G$5:G$1258,'Stock Price'!$I$9)-1,"")</f>
        <v>6.5934065934065922E-2</v>
      </c>
      <c r="U1024" s="19">
        <f ca="1">IF('Stock Price'!$I$11="OK",H1024/INDEX(H$5:H$1258,'Stock Price'!$I$9)-1,"")</f>
        <v>-0.27342105263157901</v>
      </c>
      <c r="V1024" s="19">
        <f ca="1">IF('Stock Price'!$I$11="OK",I1024/INDEX(I$5:I$1258,'Stock Price'!$I$9)-1,"")</f>
        <v>-1.6282764098490832E-2</v>
      </c>
      <c r="W1024" s="19">
        <f ca="1">IF('Stock Price'!$I$11="OK",J1024/INDEX(J$5:J$1258,'Stock Price'!$I$9)-1,"")</f>
        <v>-0.23506053537709648</v>
      </c>
      <c r="X1024" s="19">
        <f ca="1">IF('Stock Price'!$I$11="OK",K1024/INDEX(K$5:K$1258,'Stock Price'!$I$9)-1,"")</f>
        <v>-0.18836513280957723</v>
      </c>
      <c r="Y1024" s="19">
        <f ca="1">IF('Stock Price'!$I$11="OK",L1024/INDEX(L$5:L$1258,'Stock Price'!$I$9)-1,"")</f>
        <v>-8.2228116710875265E-2</v>
      </c>
      <c r="Z1024" s="19">
        <f ca="1">IF('Stock Price'!$I$11="OK",M1024/INDEX(M$5:M$1258,'Stock Price'!$I$9)-1,"")</f>
        <v>-5.5819632811477948E-3</v>
      </c>
    </row>
    <row r="1025" spans="1:26" x14ac:dyDescent="0.2">
      <c r="A1025" s="16">
        <f>'Stock Price'!A1025</f>
        <v>45958</v>
      </c>
      <c r="B1025" s="17">
        <f>'Stock Price'!E1025</f>
        <v>87.03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-0.18243306716768437</v>
      </c>
      <c r="P1025" s="19">
        <f ca="1">IF('Stock Price'!$I$11="OK",C1025/INDEX(C$5:C$1258,'Stock Price'!$I$9)-1,"")</f>
        <v>-0.10906597372599958</v>
      </c>
      <c r="Q1025" s="19">
        <f ca="1">IF('Stock Price'!$I$11="OK",D1025/INDEX(D$5:D$1258,'Stock Price'!$I$9)-1,"")</f>
        <v>-9.3581497194471064E-2</v>
      </c>
      <c r="R1025" s="19">
        <f ca="1">IF('Stock Price'!$I$11="OK",E1025/INDEX(E$5:E$1258,'Stock Price'!$I$9)-1,"")</f>
        <v>-0.11948418295385854</v>
      </c>
      <c r="S1025" s="19">
        <f ca="1">IF('Stock Price'!$I$11="OK",F1025/INDEX(F$5:F$1258,'Stock Price'!$I$9)-1,"")</f>
        <v>-0.20602526724975712</v>
      </c>
      <c r="T1025" s="19">
        <f ca="1">IF('Stock Price'!$I$11="OK",G1025/INDEX(G$5:G$1258,'Stock Price'!$I$9)-1,"")</f>
        <v>5.8677171884719215E-2</v>
      </c>
      <c r="U1025" s="19">
        <f ca="1">IF('Stock Price'!$I$11="OK",H1025/INDEX(H$5:H$1258,'Stock Price'!$I$9)-1,"")</f>
        <v>-0.27776315789473682</v>
      </c>
      <c r="V1025" s="19">
        <f ca="1">IF('Stock Price'!$I$11="OK",I1025/INDEX(I$5:I$1258,'Stock Price'!$I$9)-1,"")</f>
        <v>-2.7005559968228732E-2</v>
      </c>
      <c r="W1025" s="19">
        <f ca="1">IF('Stock Price'!$I$11="OK",J1025/INDEX(J$5:J$1258,'Stock Price'!$I$9)-1,"")</f>
        <v>-0.24090118108778547</v>
      </c>
      <c r="X1025" s="19">
        <f ca="1">IF('Stock Price'!$I$11="OK",K1025/INDEX(K$5:K$1258,'Stock Price'!$I$9)-1,"")</f>
        <v>-0.19902731013842123</v>
      </c>
      <c r="Y1025" s="19">
        <f ca="1">IF('Stock Price'!$I$11="OK",L1025/INDEX(L$5:L$1258,'Stock Price'!$I$9)-1,"")</f>
        <v>-9.8480829515312229E-2</v>
      </c>
      <c r="Z1025" s="19">
        <f ca="1">IF('Stock Price'!$I$11="OK",M1025/INDEX(M$5:M$1258,'Stock Price'!$I$9)-1,"")</f>
        <v>-7.7188085997121902E-3</v>
      </c>
    </row>
    <row r="1026" spans="1:26" x14ac:dyDescent="0.2">
      <c r="A1026" s="16">
        <f>'Stock Price'!A1026</f>
        <v>45959</v>
      </c>
      <c r="B1026" s="17">
        <f>'Stock Price'!E1026</f>
        <v>86.58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-0.18666040394551431</v>
      </c>
      <c r="P1026" s="19">
        <f ca="1">IF('Stock Price'!$I$11="OK",C1026/INDEX(C$5:C$1258,'Stock Price'!$I$9)-1,"")</f>
        <v>-0.12083152880034642</v>
      </c>
      <c r="Q1026" s="19">
        <f ca="1">IF('Stock Price'!$I$11="OK",D1026/INDEX(D$5:D$1258,'Stock Price'!$I$9)-1,"")</f>
        <v>-0.10400985356507453</v>
      </c>
      <c r="R1026" s="19">
        <f ca="1">IF('Stock Price'!$I$11="OK",E1026/INDEX(E$5:E$1258,'Stock Price'!$I$9)-1,"")</f>
        <v>-7.4551682450130996E-2</v>
      </c>
      <c r="S1026" s="19">
        <f ca="1">IF('Stock Price'!$I$11="OK",F1026/INDEX(F$5:F$1258,'Stock Price'!$I$9)-1,"")</f>
        <v>-0.21166180758017494</v>
      </c>
      <c r="T1026" s="19">
        <f ca="1">IF('Stock Price'!$I$11="OK",G1026/INDEX(G$5:G$1258,'Stock Price'!$I$9)-1,"")</f>
        <v>5.0798258345428282E-2</v>
      </c>
      <c r="U1026" s="19">
        <f ca="1">IF('Stock Price'!$I$11="OK",H1026/INDEX(H$5:H$1258,'Stock Price'!$I$9)-1,"")</f>
        <v>-0.27473684210526317</v>
      </c>
      <c r="V1026" s="19">
        <f ca="1">IF('Stock Price'!$I$11="OK",I1026/INDEX(I$5:I$1258,'Stock Price'!$I$9)-1,"")</f>
        <v>-3.5345512311358296E-2</v>
      </c>
      <c r="W1026" s="19">
        <f ca="1">IF('Stock Price'!$I$11="OK",J1026/INDEX(J$5:J$1258,'Stock Price'!$I$9)-1,"")</f>
        <v>-0.24698248731904171</v>
      </c>
      <c r="X1026" s="19">
        <f ca="1">IF('Stock Price'!$I$11="OK",K1026/INDEX(K$5:K$1258,'Stock Price'!$I$9)-1,"")</f>
        <v>-0.20314253647586977</v>
      </c>
      <c r="Y1026" s="19">
        <f ca="1">IF('Stock Price'!$I$11="OK",L1026/INDEX(L$5:L$1258,'Stock Price'!$I$9)-1,"")</f>
        <v>-0.10007234145165178</v>
      </c>
      <c r="Z1026" s="19">
        <f ca="1">IF('Stock Price'!$I$11="OK",M1026/INDEX(M$5:M$1258,'Stock Price'!$I$9)-1,"")</f>
        <v>-1.8184989751864333E-2</v>
      </c>
    </row>
    <row r="1027" spans="1:26" x14ac:dyDescent="0.2">
      <c r="A1027" s="16">
        <f>'Stock Price'!A1027</f>
        <v>45960</v>
      </c>
      <c r="B1027" s="17">
        <f>'Stock Price'!E1027</f>
        <v>86.28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-0.1894786284640676</v>
      </c>
      <c r="P1027" s="19">
        <f ca="1">IF('Stock Price'!$I$11="OK",C1027/INDEX(C$5:C$1258,'Stock Price'!$I$9)-1,"")</f>
        <v>-0.11498484192291025</v>
      </c>
      <c r="Q1027" s="19">
        <f ca="1">IF('Stock Price'!$I$11="OK",D1027/INDEX(D$5:D$1258,'Stock Price'!$I$9)-1,"")</f>
        <v>-0.10400985356507453</v>
      </c>
      <c r="R1027" s="19">
        <f ca="1">IF('Stock Price'!$I$11="OK",E1027/INDEX(E$5:E$1258,'Stock Price'!$I$9)-1,"")</f>
        <v>-5.4201088051581747E-2</v>
      </c>
      <c r="S1027" s="19">
        <f ca="1">IF('Stock Price'!$I$11="OK",F1027/INDEX(F$5:F$1258,'Stock Price'!$I$9)-1,"")</f>
        <v>-0.21068999028182711</v>
      </c>
      <c r="T1027" s="19">
        <f ca="1">IF('Stock Price'!$I$11="OK",G1027/INDEX(G$5:G$1258,'Stock Price'!$I$9)-1,"")</f>
        <v>5.6189093924942979E-2</v>
      </c>
      <c r="U1027" s="19">
        <f ca="1">IF('Stock Price'!$I$11="OK",H1027/INDEX(H$5:H$1258,'Stock Price'!$I$9)-1,"")</f>
        <v>-0.29289473684210521</v>
      </c>
      <c r="V1027" s="19">
        <f ca="1">IF('Stock Price'!$I$11="OK",I1027/INDEX(I$5:I$1258,'Stock Price'!$I$9)-1,"")</f>
        <v>-3.5345512311358296E-2</v>
      </c>
      <c r="W1027" s="19">
        <f ca="1">IF('Stock Price'!$I$11="OK",J1027/INDEX(J$5:J$1258,'Stock Price'!$I$9)-1,"")</f>
        <v>-0.21831611684993879</v>
      </c>
      <c r="X1027" s="19">
        <f ca="1">IF('Stock Price'!$I$11="OK",K1027/INDEX(K$5:K$1258,'Stock Price'!$I$9)-1,"")</f>
        <v>-0.14665170220725787</v>
      </c>
      <c r="Y1027" s="19">
        <f ca="1">IF('Stock Price'!$I$11="OK",L1027/INDEX(L$5:L$1258,'Stock Price'!$I$9)-1,"")</f>
        <v>-8.8256571015191576E-2</v>
      </c>
      <c r="Z1027" s="19">
        <f ca="1">IF('Stock Price'!$I$11="OK",M1027/INDEX(M$5:M$1258,'Stock Price'!$I$9)-1,"")</f>
        <v>-4.8406087828704036E-3</v>
      </c>
    </row>
    <row r="1028" spans="1:26" x14ac:dyDescent="0.2">
      <c r="A1028" s="16">
        <f>'Stock Price'!A1028</f>
        <v>45961</v>
      </c>
      <c r="B1028" s="17">
        <f>'Stock Price'!E1028</f>
        <v>85.98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-0.19229685298262089</v>
      </c>
      <c r="P1028" s="19">
        <f ca="1">IF('Stock Price'!$I$11="OK",C1028/INDEX(C$5:C$1258,'Stock Price'!$I$9)-1,"")</f>
        <v>-0.10646744622491688</v>
      </c>
      <c r="Q1028" s="19">
        <f ca="1">IF('Stock Price'!$I$11="OK",D1028/INDEX(D$5:D$1258,'Stock Price'!$I$9)-1,"")</f>
        <v>-0.10400985356507453</v>
      </c>
      <c r="R1028" s="19">
        <f ca="1">IF('Stock Price'!$I$11="OK",E1028/INDEX(E$5:E$1258,'Stock Price'!$I$9)-1,"")</f>
        <v>-5.5813016320773734E-2</v>
      </c>
      <c r="S1028" s="19">
        <f ca="1">IF('Stock Price'!$I$11="OK",F1028/INDEX(F$5:F$1258,'Stock Price'!$I$9)-1,"")</f>
        <v>-0.21477162293488827</v>
      </c>
      <c r="T1028" s="19">
        <f ca="1">IF('Stock Price'!$I$11="OK",G1028/INDEX(G$5:G$1258,'Stock Price'!$I$9)-1,"")</f>
        <v>4.8724860045614715E-2</v>
      </c>
      <c r="U1028" s="19">
        <f ca="1">IF('Stock Price'!$I$11="OK",H1028/INDEX(H$5:H$1258,'Stock Price'!$I$9)-1,"")</f>
        <v>-0.2907894736842106</v>
      </c>
      <c r="V1028" s="19">
        <f ca="1">IF('Stock Price'!$I$11="OK",I1028/INDEX(I$5:I$1258,'Stock Price'!$I$9)-1,"")</f>
        <v>-2.1048451151707726E-2</v>
      </c>
      <c r="W1028" s="19">
        <f ca="1">IF('Stock Price'!$I$11="OK",J1028/INDEX(J$5:J$1258,'Stock Price'!$I$9)-1,"")</f>
        <v>-0.20132178162834602</v>
      </c>
      <c r="X1028" s="19">
        <f ca="1">IF('Stock Price'!$I$11="OK",K1028/INDEX(K$5:K$1258,'Stock Price'!$I$9)-1,"")</f>
        <v>-0.13823419378974933</v>
      </c>
      <c r="Y1028" s="19">
        <f ca="1">IF('Stock Price'!$I$11="OK",L1028/INDEX(L$5:L$1258,'Stock Price'!$I$9)-1,"")</f>
        <v>-8.912466843501321E-2</v>
      </c>
      <c r="Z1028" s="19">
        <f ca="1">IF('Stock Price'!$I$11="OK",M1028/INDEX(M$5:M$1258,'Stock Price'!$I$9)-1,"")</f>
        <v>-4.9147442326980983E-2</v>
      </c>
    </row>
    <row r="1029" spans="1:26" x14ac:dyDescent="0.2">
      <c r="A1029" s="16">
        <f>'Stock Price'!A1029</f>
        <v>45964</v>
      </c>
      <c r="B1029" s="17">
        <f>'Stock Price'!E1029</f>
        <v>82.49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-0.22508219821512454</v>
      </c>
      <c r="P1029" s="19">
        <f ca="1">IF('Stock Price'!$I$11="OK",C1029/INDEX(C$5:C$1258,'Stock Price'!$I$9)-1,"")</f>
        <v>-0.10596217698859534</v>
      </c>
      <c r="Q1029" s="19">
        <f ca="1">IF('Stock Price'!$I$11="OK",D1029/INDEX(D$5:D$1258,'Stock Price'!$I$9)-1,"")</f>
        <v>-0.11372656356918032</v>
      </c>
      <c r="R1029" s="19">
        <f ca="1">IF('Stock Price'!$I$11="OK",E1029/INDEX(E$5:E$1258,'Stock Price'!$I$9)-1,"")</f>
        <v>-6.6089059036872899E-2</v>
      </c>
      <c r="S1029" s="19">
        <f ca="1">IF('Stock Price'!$I$11="OK",F1029/INDEX(F$5:F$1258,'Stock Price'!$I$9)-1,"")</f>
        <v>-0.21963070942662788</v>
      </c>
      <c r="T1029" s="19">
        <f ca="1">IF('Stock Price'!$I$11="OK",G1029/INDEX(G$5:G$1258,'Stock Price'!$I$9)-1,"")</f>
        <v>3.7735849056603765E-2</v>
      </c>
      <c r="U1029" s="19">
        <f ca="1">IF('Stock Price'!$I$11="OK",H1029/INDEX(H$5:H$1258,'Stock Price'!$I$9)-1,"")</f>
        <v>-0.30342105263157892</v>
      </c>
      <c r="V1029" s="19">
        <f ca="1">IF('Stock Price'!$I$11="OK",I1029/INDEX(I$5:I$1258,'Stock Price'!$I$9)-1,"")</f>
        <v>-2.0651310563939651E-2</v>
      </c>
      <c r="W1029" s="19">
        <f ca="1">IF('Stock Price'!$I$11="OK",J1029/INDEX(J$5:J$1258,'Stock Price'!$I$9)-1,"")</f>
        <v>-0.17015624421489128</v>
      </c>
      <c r="X1029" s="19">
        <f ca="1">IF('Stock Price'!$I$11="OK",K1029/INDEX(K$5:K$1258,'Stock Price'!$I$9)-1,"")</f>
        <v>-0.13916947250280576</v>
      </c>
      <c r="Y1029" s="19">
        <f ca="1">IF('Stock Price'!$I$11="OK",L1029/INDEX(L$5:L$1258,'Stock Price'!$I$9)-1,"")</f>
        <v>-0.1017120810224259</v>
      </c>
      <c r="Z1029" s="19">
        <f ca="1">IF('Stock Price'!$I$11="OK",M1029/INDEX(M$5:M$1258,'Stock Price'!$I$9)-1,"")</f>
        <v>-7.5661767912432953E-2</v>
      </c>
    </row>
    <row r="1030" spans="1:26" x14ac:dyDescent="0.2">
      <c r="A1030" s="16">
        <f>'Stock Price'!A1030</f>
        <v>45965</v>
      </c>
      <c r="B1030" s="17">
        <f>'Stock Price'!E1030</f>
        <v>83.86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-0.21221230624706433</v>
      </c>
      <c r="P1030" s="19">
        <f ca="1">IF('Stock Price'!$I$11="OK",C1030/INDEX(C$5:C$1258,'Stock Price'!$I$9)-1,"")</f>
        <v>-9.7661325249025488E-2</v>
      </c>
      <c r="Q1030" s="19">
        <f ca="1">IF('Stock Price'!$I$11="OK",D1030/INDEX(D$5:D$1258,'Stock Price'!$I$9)-1,"")</f>
        <v>-9.5333242096619752E-2</v>
      </c>
      <c r="R1030" s="19">
        <f ca="1">IF('Stock Price'!$I$11="OK",E1030/INDEX(E$5:E$1258,'Stock Price'!$I$9)-1,"")</f>
        <v>-5.6618980455369727E-2</v>
      </c>
      <c r="S1030" s="19">
        <f ca="1">IF('Stock Price'!$I$11="OK",F1030/INDEX(F$5:F$1258,'Stock Price'!$I$9)-1,"")</f>
        <v>-0.2128279883381925</v>
      </c>
      <c r="T1030" s="19">
        <f ca="1">IF('Stock Price'!$I$11="OK",G1030/INDEX(G$5:G$1258,'Stock Price'!$I$9)-1,"")</f>
        <v>1.8245905038357879E-2</v>
      </c>
      <c r="U1030" s="19">
        <f ca="1">IF('Stock Price'!$I$11="OK",H1030/INDEX(H$5:H$1258,'Stock Price'!$I$9)-1,"")</f>
        <v>-0.29592105263157897</v>
      </c>
      <c r="V1030" s="19">
        <f ca="1">IF('Stock Price'!$I$11="OK",I1030/INDEX(I$5:I$1258,'Stock Price'!$I$9)-1,"")</f>
        <v>-3.494837172359011E-2</v>
      </c>
      <c r="W1030" s="19">
        <f ca="1">IF('Stock Price'!$I$11="OK",J1030/INDEX(J$5:J$1258,'Stock Price'!$I$9)-1,"")</f>
        <v>-0.16059461660927832</v>
      </c>
      <c r="X1030" s="19">
        <f ca="1">IF('Stock Price'!$I$11="OK",K1030/INDEX(K$5:K$1258,'Stock Price'!$I$9)-1,"")</f>
        <v>-0.1472128694350916</v>
      </c>
      <c r="Y1030" s="19">
        <f ca="1">IF('Stock Price'!$I$11="OK",L1030/INDEX(L$5:L$1258,'Stock Price'!$I$9)-1,"")</f>
        <v>-9.8818422956353902E-2</v>
      </c>
      <c r="Z1030" s="19">
        <f ca="1">IF('Stock Price'!$I$11="OK",M1030/INDEX(M$5:M$1258,'Stock Price'!$I$9)-1,"")</f>
        <v>-5.8523396275783957E-2</v>
      </c>
    </row>
    <row r="1031" spans="1:26" x14ac:dyDescent="0.2">
      <c r="A1031" s="16">
        <f>'Stock Price'!A1031</f>
        <v>45966</v>
      </c>
      <c r="B1031" s="17">
        <f>'Stock Price'!E1031</f>
        <v>84.39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-0.20723344293095347</v>
      </c>
      <c r="P1031" s="19">
        <f ca="1">IF('Stock Price'!$I$11="OK",C1031/INDEX(C$5:C$1258,'Stock Price'!$I$9)-1,"")</f>
        <v>-9.4124440594773984E-2</v>
      </c>
      <c r="Q1031" s="19">
        <f ca="1">IF('Stock Price'!$I$11="OK",D1031/INDEX(D$5:D$1258,'Stock Price'!$I$9)-1,"")</f>
        <v>-9.5333242096619752E-2</v>
      </c>
      <c r="R1031" s="19">
        <f ca="1">IF('Stock Price'!$I$11="OK",E1031/INDEX(E$5:E$1258,'Stock Price'!$I$9)-1,"")</f>
        <v>-5.92383638928069E-2</v>
      </c>
      <c r="S1031" s="19">
        <f ca="1">IF('Stock Price'!$I$11="OK",F1031/INDEX(F$5:F$1258,'Stock Price'!$I$9)-1,"")</f>
        <v>-0.20894071914480072</v>
      </c>
      <c r="T1031" s="19">
        <f ca="1">IF('Stock Price'!$I$11="OK",G1031/INDEX(G$5:G$1258,'Stock Price'!$I$9)-1,"")</f>
        <v>1.59651669085632E-2</v>
      </c>
      <c r="U1031" s="19">
        <f ca="1">IF('Stock Price'!$I$11="OK",H1031/INDEX(H$5:H$1258,'Stock Price'!$I$9)-1,"")</f>
        <v>-0.30460526315789471</v>
      </c>
      <c r="V1031" s="19">
        <f ca="1">IF('Stock Price'!$I$11="OK",I1031/INDEX(I$5:I$1258,'Stock Price'!$I$9)-1,"")</f>
        <v>-2.2637013502780023E-2</v>
      </c>
      <c r="W1031" s="19">
        <f ca="1">IF('Stock Price'!$I$11="OK",J1031/INDEX(J$5:J$1258,'Stock Price'!$I$9)-1,"")</f>
        <v>-0.14305416712947538</v>
      </c>
      <c r="X1031" s="19">
        <f ca="1">IF('Stock Price'!$I$11="OK",K1031/INDEX(K$5:K$1258,'Stock Price'!$I$9)-1,"")</f>
        <v>-0.13075196408529743</v>
      </c>
      <c r="Y1031" s="19">
        <f ca="1">IF('Stock Price'!$I$11="OK",L1031/INDEX(L$5:L$1258,'Stock Price'!$I$9)-1,"")</f>
        <v>-0.10296599951772367</v>
      </c>
      <c r="Z1031" s="19">
        <f ca="1">IF('Stock Price'!$I$11="OK",M1031/INDEX(M$5:M$1258,'Stock Price'!$I$9)-1,"")</f>
        <v>-5.4685796519994723E-2</v>
      </c>
    </row>
    <row r="1032" spans="1:26" x14ac:dyDescent="0.2">
      <c r="A1032" s="16">
        <f>'Stock Price'!A1032</f>
        <v>45967</v>
      </c>
      <c r="B1032" s="17">
        <f>'Stock Price'!E1032</f>
        <v>85.78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-0.1941756693283232</v>
      </c>
      <c r="P1032" s="19">
        <f ca="1">IF('Stock Price'!$I$11="OK",C1032/INDEX(C$5:C$1258,'Stock Price'!$I$9)-1,"")</f>
        <v>-8.6401039411000413E-2</v>
      </c>
      <c r="Q1032" s="19">
        <f ca="1">IF('Stock Price'!$I$11="OK",D1032/INDEX(D$5:D$1258,'Stock Price'!$I$9)-1,"")</f>
        <v>-7.4859723552757718E-2</v>
      </c>
      <c r="R1032" s="19">
        <f ca="1">IF('Stock Price'!$I$11="OK",E1032/INDEX(E$5:E$1258,'Stock Price'!$I$9)-1,"")</f>
        <v>-5.0977231513197663E-2</v>
      </c>
      <c r="S1032" s="19">
        <f ca="1">IF('Stock Price'!$I$11="OK",F1032/INDEX(F$5:F$1258,'Stock Price'!$I$9)-1,"")</f>
        <v>-0.19883381924198262</v>
      </c>
      <c r="T1032" s="19">
        <f ca="1">IF('Stock Price'!$I$11="OK",G1032/INDEX(G$5:G$1258,'Stock Price'!$I$9)-1,"")</f>
        <v>2.6124818577648812E-2</v>
      </c>
      <c r="U1032" s="19">
        <f ca="1">IF('Stock Price'!$I$11="OK",H1032/INDEX(H$5:H$1258,'Stock Price'!$I$9)-1,"")</f>
        <v>-0.30236842105263151</v>
      </c>
      <c r="V1032" s="19">
        <f ca="1">IF('Stock Price'!$I$11="OK",I1032/INDEX(I$5:I$1258,'Stock Price'!$I$9)-1,"")</f>
        <v>-1.3105639396346236E-2</v>
      </c>
      <c r="W1032" s="19">
        <f ca="1">IF('Stock Price'!$I$11="OK",J1032/INDEX(J$5:J$1258,'Stock Price'!$I$9)-1,"")</f>
        <v>-0.13228923692102623</v>
      </c>
      <c r="X1032" s="19">
        <f ca="1">IF('Stock Price'!$I$11="OK",K1032/INDEX(K$5:K$1258,'Stock Price'!$I$9)-1,"")</f>
        <v>-0.12775907220351657</v>
      </c>
      <c r="Y1032" s="19">
        <f ca="1">IF('Stock Price'!$I$11="OK",L1032/INDEX(L$5:L$1258,'Stock Price'!$I$9)-1,"")</f>
        <v>-9.8287918977574162E-2</v>
      </c>
      <c r="Z1032" s="19">
        <f ca="1">IF('Stock Price'!$I$11="OK",M1032/INDEX(M$5:M$1258,'Stock Price'!$I$9)-1,"")</f>
        <v>-4.4786533513584303E-2</v>
      </c>
    </row>
    <row r="1033" spans="1:26" x14ac:dyDescent="0.2">
      <c r="A1033" s="16">
        <f>'Stock Price'!A1033</f>
        <v>45968</v>
      </c>
      <c r="B1033" s="17">
        <f>'Stock Price'!E1033</f>
        <v>86.28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-0.1894786284640676</v>
      </c>
      <c r="P1033" s="19">
        <f ca="1">IF('Stock Price'!$I$11="OK",C1033/INDEX(C$5:C$1258,'Stock Price'!$I$9)-1,"")</f>
        <v>-8.7989028439439898E-2</v>
      </c>
      <c r="Q1033" s="19">
        <f ca="1">IF('Stock Price'!$I$11="OK",D1033/INDEX(D$5:D$1258,'Stock Price'!$I$9)-1,"")</f>
        <v>-9.035171753113469E-2</v>
      </c>
      <c r="R1033" s="19">
        <f ca="1">IF('Stock Price'!$I$11="OK",E1033/INDEX(E$5:E$1258,'Stock Price'!$I$9)-1,"")</f>
        <v>-6.0447310094700835E-2</v>
      </c>
      <c r="S1033" s="19">
        <f ca="1">IF('Stock Price'!$I$11="OK",F1033/INDEX(F$5:F$1258,'Stock Price'!$I$9)-1,"")</f>
        <v>-0.18445092322643342</v>
      </c>
      <c r="T1033" s="19">
        <f ca="1">IF('Stock Price'!$I$11="OK",G1033/INDEX(G$5:G$1258,'Stock Price'!$I$9)-1,"")</f>
        <v>2.9649595687331498E-2</v>
      </c>
      <c r="U1033" s="19">
        <f ca="1">IF('Stock Price'!$I$11="OK",H1033/INDEX(H$5:H$1258,'Stock Price'!$I$9)-1,"")</f>
        <v>-0.31434210526315787</v>
      </c>
      <c r="V1033" s="19">
        <f ca="1">IF('Stock Price'!$I$11="OK",I1033/INDEX(I$5:I$1258,'Stock Price'!$I$9)-1,"")</f>
        <v>-2.9785544082605253E-2</v>
      </c>
      <c r="W1033" s="19">
        <f ca="1">IF('Stock Price'!$I$11="OK",J1033/INDEX(J$5:J$1258,'Stock Price'!$I$9)-1,"")</f>
        <v>-0.14438705616646297</v>
      </c>
      <c r="X1033" s="19">
        <f ca="1">IF('Stock Price'!$I$11="OK",K1033/INDEX(K$5:K$1258,'Stock Price'!$I$9)-1,"")</f>
        <v>-0.12663673774784889</v>
      </c>
      <c r="Y1033" s="19">
        <f ca="1">IF('Stock Price'!$I$11="OK",L1033/INDEX(L$5:L$1258,'Stock Price'!$I$9)-1,"")</f>
        <v>-0.10021702435495539</v>
      </c>
      <c r="Z1033" s="19">
        <f ca="1">IF('Stock Price'!$I$11="OK",M1033/INDEX(M$5:M$1258,'Stock Price'!$I$9)-1,"")</f>
        <v>-4.4263224455976635E-2</v>
      </c>
    </row>
    <row r="1034" spans="1:26" x14ac:dyDescent="0.2">
      <c r="A1034" s="16">
        <f>'Stock Price'!A1034</f>
        <v>45971</v>
      </c>
      <c r="B1034" s="17">
        <f>'Stock Price'!E1034</f>
        <v>86.75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-0.18506341005166749</v>
      </c>
      <c r="P1034" s="19">
        <f ca="1">IF('Stock Price'!$I$11="OK",C1034/INDEX(C$5:C$1258,'Stock Price'!$I$9)-1,"")</f>
        <v>-8.185361628410559E-2</v>
      </c>
      <c r="Q1034" s="19">
        <f ca="1">IF('Stock Price'!$I$11="OK",D1034/INDEX(D$5:D$1258,'Stock Price'!$I$9)-1,"")</f>
        <v>-4.2561926919392423E-2</v>
      </c>
      <c r="R1034" s="19">
        <f ca="1">IF('Stock Price'!$I$11="OK",E1034/INDEX(E$5:E$1258,'Stock Price'!$I$9)-1,"")</f>
        <v>-4.573846463832365E-2</v>
      </c>
      <c r="S1034" s="19">
        <f ca="1">IF('Stock Price'!$I$11="OK",F1034/INDEX(F$5:F$1258,'Stock Price'!$I$9)-1,"")</f>
        <v>-0.1477162293488824</v>
      </c>
      <c r="T1034" s="19">
        <f ca="1">IF('Stock Price'!$I$11="OK",G1034/INDEX(G$5:G$1258,'Stock Price'!$I$9)-1,"")</f>
        <v>5.0383578685465391E-2</v>
      </c>
      <c r="U1034" s="19">
        <f ca="1">IF('Stock Price'!$I$11="OK",H1034/INDEX(H$5:H$1258,'Stock Price'!$I$9)-1,"")</f>
        <v>-0.30263157894736847</v>
      </c>
      <c r="V1034" s="19">
        <f ca="1">IF('Stock Price'!$I$11="OK",I1034/INDEX(I$5:I$1258,'Stock Price'!$I$9)-1,"")</f>
        <v>-3.137410643367744E-2</v>
      </c>
      <c r="W1034" s="19">
        <f ca="1">IF('Stock Price'!$I$11="OK",J1034/INDEX(J$5:J$1258,'Stock Price'!$I$9)-1,"")</f>
        <v>-0.10526120922655402</v>
      </c>
      <c r="X1034" s="19">
        <f ca="1">IF('Stock Price'!$I$11="OK",K1034/INDEX(K$5:K$1258,'Stock Price'!$I$9)-1,"")</f>
        <v>-0.11597456041900489</v>
      </c>
      <c r="Y1034" s="19">
        <f ca="1">IF('Stock Price'!$I$11="OK",L1034/INDEX(L$5:L$1258,'Stock Price'!$I$9)-1,"")</f>
        <v>-9.1343139619001645E-2</v>
      </c>
      <c r="Z1034" s="19">
        <f ca="1">IF('Stock Price'!$I$11="OK",M1034/INDEX(M$5:M$1258,'Stock Price'!$I$9)-1,"")</f>
        <v>-4.6225633422005141E-2</v>
      </c>
    </row>
    <row r="1035" spans="1:26" x14ac:dyDescent="0.2">
      <c r="A1035" s="16">
        <f>'Stock Price'!A1035</f>
        <v>45972</v>
      </c>
      <c r="B1035" s="17">
        <f>'Stock Price'!E1035</f>
        <v>90.95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-0.14560826679192107</v>
      </c>
      <c r="P1035" s="19">
        <f ca="1">IF('Stock Price'!$I$11="OK",C1035/INDEX(C$5:C$1258,'Stock Price'!$I$9)-1,"")</f>
        <v>-5.8033780857513984E-2</v>
      </c>
      <c r="Q1035" s="19">
        <f ca="1">IF('Stock Price'!$I$11="OK",D1035/INDEX(D$5:D$1258,'Stock Price'!$I$9)-1,"")</f>
        <v>-4.091966607362818E-2</v>
      </c>
      <c r="R1035" s="19">
        <f ca="1">IF('Stock Price'!$I$11="OK",E1035/INDEX(E$5:E$1258,'Stock Price'!$I$9)-1,"")</f>
        <v>-2.4581906105178408E-2</v>
      </c>
      <c r="S1035" s="19">
        <f ca="1">IF('Stock Price'!$I$11="OK",F1035/INDEX(F$5:F$1258,'Stock Price'!$I$9)-1,"")</f>
        <v>-0.11700680272108854</v>
      </c>
      <c r="T1035" s="19">
        <f ca="1">IF('Stock Price'!$I$11="OK",G1035/INDEX(G$5:G$1258,'Stock Price'!$I$9)-1,"")</f>
        <v>7.173958117354351E-2</v>
      </c>
      <c r="U1035" s="19">
        <f ca="1">IF('Stock Price'!$I$11="OK",H1035/INDEX(H$5:H$1258,'Stock Price'!$I$9)-1,"")</f>
        <v>-0.27815789473684216</v>
      </c>
      <c r="V1035" s="19">
        <f ca="1">IF('Stock Price'!$I$11="OK",I1035/INDEX(I$5:I$1258,'Stock Price'!$I$9)-1,"")</f>
        <v>1.3105639396346458E-2</v>
      </c>
      <c r="W1035" s="19">
        <f ca="1">IF('Stock Price'!$I$11="OK",J1035/INDEX(J$5:J$1258,'Stock Price'!$I$9)-1,"")</f>
        <v>-8.4916139064756146E-2</v>
      </c>
      <c r="X1035" s="19">
        <f ca="1">IF('Stock Price'!$I$11="OK",K1035/INDEX(K$5:K$1258,'Stock Price'!$I$9)-1,"")</f>
        <v>-8.8664421997755372E-2</v>
      </c>
      <c r="Y1035" s="19">
        <f ca="1">IF('Stock Price'!$I$11="OK",L1035/INDEX(L$5:L$1258,'Stock Price'!$I$9)-1,"")</f>
        <v>-6.5203761755485812E-2</v>
      </c>
      <c r="Z1035" s="19">
        <f ca="1">IF('Stock Price'!$I$11="OK",M1035/INDEX(M$5:M$1258,'Stock Price'!$I$9)-1,"")</f>
        <v>-1.80541624874625E-2</v>
      </c>
    </row>
    <row r="1036" spans="1:26" x14ac:dyDescent="0.2">
      <c r="A1036" s="16">
        <f>'Stock Price'!A1036</f>
        <v>45973</v>
      </c>
      <c r="B1036" s="17">
        <f>'Stock Price'!E1036</f>
        <v>91.45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-0.14091122592766558</v>
      </c>
      <c r="P1036" s="19">
        <f ca="1">IF('Stock Price'!$I$11="OK",C1036/INDEX(C$5:C$1258,'Stock Price'!$I$9)-1,"")</f>
        <v>-4.5113324671575028E-2</v>
      </c>
      <c r="Q1036" s="19">
        <f ca="1">IF('Stock Price'!$I$11="OK",D1036/INDEX(D$5:D$1258,'Stock Price'!$I$9)-1,"")</f>
        <v>-3.8401532776789482E-2</v>
      </c>
      <c r="R1036" s="19">
        <f ca="1">IF('Stock Price'!$I$11="OK",E1036/INDEX(E$5:E$1258,'Stock Price'!$I$9)-1,"")</f>
        <v>-3.1432601249244407E-2</v>
      </c>
      <c r="S1036" s="19">
        <f ca="1">IF('Stock Price'!$I$11="OK",F1036/INDEX(F$5:F$1258,'Stock Price'!$I$9)-1,"")</f>
        <v>-0.11700680272108854</v>
      </c>
      <c r="T1036" s="19">
        <f ca="1">IF('Stock Price'!$I$11="OK",G1036/INDEX(G$5:G$1258,'Stock Price'!$I$9)-1,"")</f>
        <v>7.6508397263114425E-2</v>
      </c>
      <c r="U1036" s="19">
        <f ca="1">IF('Stock Price'!$I$11="OK",H1036/INDEX(H$5:H$1258,'Stock Price'!$I$9)-1,"")</f>
        <v>-0.23526315789473684</v>
      </c>
      <c r="V1036" s="19">
        <f ca="1">IF('Stock Price'!$I$11="OK",I1036/INDEX(I$5:I$1258,'Stock Price'!$I$9)-1,"")</f>
        <v>2.7402700555996917E-2</v>
      </c>
      <c r="W1036" s="19">
        <f ca="1">IF('Stock Price'!$I$11="OK",J1036/INDEX(J$5:J$1258,'Stock Price'!$I$9)-1,"")</f>
        <v>-5.7925136065755778E-2</v>
      </c>
      <c r="X1036" s="19">
        <f ca="1">IF('Stock Price'!$I$11="OK",K1036/INDEX(K$5:K$1258,'Stock Price'!$I$9)-1,"")</f>
        <v>-8.1930415263748668E-2</v>
      </c>
      <c r="Y1036" s="19">
        <f ca="1">IF('Stock Price'!$I$11="OK",L1036/INDEX(L$5:L$1258,'Stock Price'!$I$9)-1,"")</f>
        <v>-6.2503014227152209E-2</v>
      </c>
      <c r="Z1036" s="19">
        <f ca="1">IF('Stock Price'!$I$11="OK",M1036/INDEX(M$5:M$1258,'Stock Price'!$I$9)-1,"")</f>
        <v>1.7094762548515163E-2</v>
      </c>
    </row>
    <row r="1037" spans="1:26" x14ac:dyDescent="0.2">
      <c r="A1037" s="16">
        <f>'Stock Price'!A1037</f>
        <v>45974</v>
      </c>
      <c r="B1037" s="17">
        <f>'Stock Price'!E1037</f>
        <v>92.93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-0.12700798496946919</v>
      </c>
      <c r="P1037" s="19">
        <f ca="1">IF('Stock Price'!$I$11="OK",C1037/INDEX(C$5:C$1258,'Stock Price'!$I$9)-1,"")</f>
        <v>-4.7856214811606734E-2</v>
      </c>
      <c r="Q1037" s="19">
        <f ca="1">IF('Stock Price'!$I$11="OK",D1037/INDEX(D$5:D$1258,'Stock Price'!$I$9)-1,"")</f>
        <v>-2.83289995894348E-2</v>
      </c>
      <c r="R1037" s="19">
        <f ca="1">IF('Stock Price'!$I$11="OK",E1037/INDEX(E$5:E$1258,'Stock Price'!$I$9)-1,"")</f>
        <v>-3.0022164013701391E-2</v>
      </c>
      <c r="S1037" s="19">
        <f ca="1">IF('Stock Price'!$I$11="OK",F1037/INDEX(F$5:F$1258,'Stock Price'!$I$9)-1,"")</f>
        <v>-0.11525753158406216</v>
      </c>
      <c r="T1037" s="19">
        <f ca="1">IF('Stock Price'!$I$11="OK",G1037/INDEX(G$5:G$1258,'Stock Price'!$I$9)-1,"")</f>
        <v>8.5216670122330695E-2</v>
      </c>
      <c r="U1037" s="19">
        <f ca="1">IF('Stock Price'!$I$11="OK",H1037/INDEX(H$5:H$1258,'Stock Price'!$I$9)-1,"")</f>
        <v>-0.21223684210526317</v>
      </c>
      <c r="V1037" s="19">
        <f ca="1">IF('Stock Price'!$I$11="OK",I1037/INDEX(I$5:I$1258,'Stock Price'!$I$9)-1,"")</f>
        <v>2.4225575853852321E-2</v>
      </c>
      <c r="W1037" s="19">
        <f ca="1">IF('Stock Price'!$I$11="OK",J1037/INDEX(J$5:J$1258,'Stock Price'!$I$9)-1,"")</f>
        <v>-5.3213743566959071E-2</v>
      </c>
      <c r="X1037" s="19">
        <f ca="1">IF('Stock Price'!$I$11="OK",K1037/INDEX(K$5:K$1258,'Stock Price'!$I$9)-1,"")</f>
        <v>-9.0347923681256992E-2</v>
      </c>
      <c r="Y1037" s="19">
        <f ca="1">IF('Stock Price'!$I$11="OK",L1037/INDEX(L$5:L$1258,'Stock Price'!$I$9)-1,"")</f>
        <v>-5.8355437665782439E-2</v>
      </c>
      <c r="Z1037" s="19">
        <f ca="1">IF('Stock Price'!$I$11="OK",M1037/INDEX(M$5:M$1258,'Stock Price'!$I$9)-1,"")</f>
        <v>1.2995508263922151E-2</v>
      </c>
    </row>
    <row r="1038" spans="1:26" x14ac:dyDescent="0.2">
      <c r="A1038" s="16">
        <f>'Stock Price'!A1038</f>
        <v>45975</v>
      </c>
      <c r="B1038" s="17">
        <f>'Stock Price'!E1038</f>
        <v>92.92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-0.12710192578675439</v>
      </c>
      <c r="P1038" s="19">
        <f ca="1">IF('Stock Price'!$I$11="OK",C1038/INDEX(C$5:C$1258,'Stock Price'!$I$9)-1,"")</f>
        <v>-5.2548000577450571E-2</v>
      </c>
      <c r="Q1038" s="19">
        <f ca="1">IF('Stock Price'!$I$11="OK",D1038/INDEX(D$5:D$1258,'Stock Price'!$I$9)-1,"")</f>
        <v>-4.2973039551115311E-2</v>
      </c>
      <c r="R1038" s="19">
        <f ca="1">IF('Stock Price'!$I$11="OK",E1038/INDEX(E$5:E$1258,'Stock Price'!$I$9)-1,"")</f>
        <v>-4.9365303244005676E-2</v>
      </c>
      <c r="S1038" s="19">
        <f ca="1">IF('Stock Price'!$I$11="OK",F1038/INDEX(F$5:F$1258,'Stock Price'!$I$9)-1,"")</f>
        <v>-0.12633624878522842</v>
      </c>
      <c r="T1038" s="19">
        <f ca="1">IF('Stock Price'!$I$11="OK",G1038/INDEX(G$5:G$1258,'Stock Price'!$I$9)-1,"")</f>
        <v>8.1069873522703784E-2</v>
      </c>
      <c r="U1038" s="19">
        <f ca="1">IF('Stock Price'!$I$11="OK",H1038/INDEX(H$5:H$1258,'Stock Price'!$I$9)-1,"")</f>
        <v>-0.25249999999999995</v>
      </c>
      <c r="V1038" s="19">
        <f ca="1">IF('Stock Price'!$I$11="OK",I1038/INDEX(I$5:I$1258,'Stock Price'!$I$9)-1,"")</f>
        <v>-4.7656870532168938E-3</v>
      </c>
      <c r="W1038" s="19">
        <f ca="1">IF('Stock Price'!$I$11="OK",J1038/INDEX(J$5:J$1258,'Stock Price'!$I$9)-1,"")</f>
        <v>-5.0983005664778314E-2</v>
      </c>
      <c r="X1038" s="19">
        <f ca="1">IF('Stock Price'!$I$11="OK",K1038/INDEX(K$5:K$1258,'Stock Price'!$I$9)-1,"")</f>
        <v>-0.12738496071829408</v>
      </c>
      <c r="Y1038" s="19">
        <f ca="1">IF('Stock Price'!$I$11="OK",L1038/INDEX(L$5:L$1258,'Stock Price'!$I$9)-1,"")</f>
        <v>-5.5075958524234303E-2</v>
      </c>
      <c r="Z1038" s="19">
        <f ca="1">IF('Stock Price'!$I$11="OK",M1038/INDEX(M$5:M$1258,'Stock Price'!$I$9)-1,"")</f>
        <v>1.3300771880859985E-2</v>
      </c>
    </row>
    <row r="1039" spans="1:26" x14ac:dyDescent="0.2">
      <c r="A1039" s="16">
        <f>'Stock Price'!A1039</f>
        <v>45978</v>
      </c>
      <c r="B1039" s="17">
        <f>'Stock Price'!E1039</f>
        <v>92.86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-0.12766557069046502</v>
      </c>
      <c r="P1039" s="19">
        <f ca="1">IF('Stock Price'!$I$11="OK",C1039/INDEX(C$5:C$1258,'Stock Price'!$I$9)-1,"")</f>
        <v>-5.0454742312689316E-2</v>
      </c>
      <c r="Q1039" s="19">
        <f ca="1">IF('Stock Price'!$I$11="OK",D1039/INDEX(D$5:D$1258,'Stock Price'!$I$9)-1,"")</f>
        <v>-4.06733269467634E-2</v>
      </c>
      <c r="R1039" s="19">
        <f ca="1">IF('Stock Price'!$I$11="OK",E1039/INDEX(E$5:E$1258,'Stock Price'!$I$9)-1,"")</f>
        <v>-4.2313117066290595E-2</v>
      </c>
      <c r="S1039" s="19">
        <f ca="1">IF('Stock Price'!$I$11="OK",F1039/INDEX(F$5:F$1258,'Stock Price'!$I$9)-1,"")</f>
        <v>-0.13352769679300303</v>
      </c>
      <c r="T1039" s="19">
        <f ca="1">IF('Stock Price'!$I$11="OK",G1039/INDEX(G$5:G$1258,'Stock Price'!$I$9)-1,"")</f>
        <v>7.360563964337552E-2</v>
      </c>
      <c r="U1039" s="19">
        <f ca="1">IF('Stock Price'!$I$11="OK",H1039/INDEX(H$5:H$1258,'Stock Price'!$I$9)-1,"")</f>
        <v>-0.26460526315789468</v>
      </c>
      <c r="V1039" s="19">
        <f ca="1">IF('Stock Price'!$I$11="OK",I1039/INDEX(I$5:I$1258,'Stock Price'!$I$9)-1,"")</f>
        <v>-3.9714058776807448E-3</v>
      </c>
      <c r="W1039" s="19">
        <f ca="1">IF('Stock Price'!$I$11="OK",J1039/INDEX(J$5:J$1258,'Stock Price'!$I$9)-1,"")</f>
        <v>-5.4296715909511462E-2</v>
      </c>
      <c r="X1039" s="19">
        <f ca="1">IF('Stock Price'!$I$11="OK",K1039/INDEX(K$5:K$1258,'Stock Price'!$I$9)-1,"")</f>
        <v>-0.12439206883651321</v>
      </c>
      <c r="Y1039" s="19">
        <f ca="1">IF('Stock Price'!$I$11="OK",L1039/INDEX(L$5:L$1258,'Stock Price'!$I$9)-1,"")</f>
        <v>-3.7472871955630538E-2</v>
      </c>
      <c r="Z1039" s="19">
        <f ca="1">IF('Stock Price'!$I$11="OK",M1039/INDEX(M$5:M$1258,'Stock Price'!$I$9)-1,"")</f>
        <v>2.0452662334830674E-2</v>
      </c>
    </row>
    <row r="1040" spans="1:26" x14ac:dyDescent="0.2">
      <c r="A1040" s="16">
        <f>'Stock Price'!A1040</f>
        <v>45979</v>
      </c>
      <c r="B1040" s="17">
        <f>'Stock Price'!E1040</f>
        <v>96.43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-9.4128698919680565E-2</v>
      </c>
      <c r="P1040" s="19">
        <f ca="1">IF('Stock Price'!$I$11="OK",C1040/INDEX(C$5:C$1258,'Stock Price'!$I$9)-1,"")</f>
        <v>-7.6006929406669532E-2</v>
      </c>
      <c r="Q1040" s="19">
        <f ca="1">IF('Stock Price'!$I$11="OK",D1040/INDEX(D$5:D$1258,'Stock Price'!$I$9)-1,"")</f>
        <v>-4.089284247981384E-2</v>
      </c>
      <c r="R1040" s="19">
        <f ca="1">IF('Stock Price'!$I$11="OK",E1040/INDEX(E$5:E$1258,'Stock Price'!$I$9)-1,"")</f>
        <v>-4.553697360467468E-2</v>
      </c>
      <c r="S1040" s="19">
        <f ca="1">IF('Stock Price'!$I$11="OK",F1040/INDEX(F$5:F$1258,'Stock Price'!$I$9)-1,"")</f>
        <v>-5.014577259475228E-2</v>
      </c>
      <c r="T1040" s="19">
        <f ca="1">IF('Stock Price'!$I$11="OK",G1040/INDEX(G$5:G$1258,'Stock Price'!$I$9)-1,"")</f>
        <v>5.0383578685465391E-2</v>
      </c>
      <c r="U1040" s="19">
        <f ca="1">IF('Stock Price'!$I$11="OK",H1040/INDEX(H$5:H$1258,'Stock Price'!$I$9)-1,"")</f>
        <v>-0.27973684210526317</v>
      </c>
      <c r="V1040" s="19">
        <f ca="1">IF('Stock Price'!$I$11="OK",I1040/INDEX(I$5:I$1258,'Stock Price'!$I$9)-1,"")</f>
        <v>1.0722795869737789E-2</v>
      </c>
      <c r="W1040" s="19">
        <f ca="1">IF('Stock Price'!$I$11="OK",J1040/INDEX(J$5:J$1258,'Stock Price'!$I$9)-1,"")</f>
        <v>-4.6567810729756687E-2</v>
      </c>
      <c r="X1040" s="19">
        <f ca="1">IF('Stock Price'!$I$11="OK",K1040/INDEX(K$5:K$1258,'Stock Price'!$I$9)-1,"")</f>
        <v>-0.11971567527123084</v>
      </c>
      <c r="Y1040" s="19">
        <f ca="1">IF('Stock Price'!$I$11="OK",L1040/INDEX(L$5:L$1258,'Stock Price'!$I$9)-1,"")</f>
        <v>-3.5447311309380281E-2</v>
      </c>
      <c r="Z1040" s="19">
        <f ca="1">IF('Stock Price'!$I$11="OK",M1040/INDEX(M$5:M$1258,'Stock Price'!$I$9)-1,"")</f>
        <v>1.988574418908895E-2</v>
      </c>
    </row>
    <row r="1041" spans="1:26" x14ac:dyDescent="0.2">
      <c r="A1041" s="16">
        <f>'Stock Price'!A1041</f>
        <v>45980</v>
      </c>
      <c r="B1041" s="17">
        <f>'Stock Price'!E1041</f>
        <v>95.05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-0.10709253170502586</v>
      </c>
      <c r="P1041" s="19">
        <f ca="1">IF('Stock Price'!$I$11="OK",C1041/INDEX(C$5:C$1258,'Stock Price'!$I$9)-1,"")</f>
        <v>-8.1059621769885903E-2</v>
      </c>
      <c r="Q1041" s="19">
        <f ca="1">IF('Stock Price'!$I$11="OK",D1041/INDEX(D$5:D$1258,'Stock Price'!$I$9)-1,"")</f>
        <v>-1.5628849048857307E-2</v>
      </c>
      <c r="R1041" s="19">
        <f ca="1">IF('Stock Price'!$I$11="OK",E1041/INDEX(E$5:E$1258,'Stock Price'!$I$9)-1,"")</f>
        <v>-6.629055007052187E-2</v>
      </c>
      <c r="S1041" s="19">
        <f ca="1">IF('Stock Price'!$I$11="OK",F1041/INDEX(F$5:F$1258,'Stock Price'!$I$9)-1,"")</f>
        <v>-5.655976676384844E-2</v>
      </c>
      <c r="T1041" s="19">
        <f ca="1">IF('Stock Price'!$I$11="OK",G1041/INDEX(G$5:G$1258,'Stock Price'!$I$9)-1,"")</f>
        <v>2.7368857557536819E-2</v>
      </c>
      <c r="U1041" s="19">
        <f ca="1">IF('Stock Price'!$I$11="OK",H1041/INDEX(H$5:H$1258,'Stock Price'!$I$9)-1,"")</f>
        <v>-0.28894736842105262</v>
      </c>
      <c r="V1041" s="19">
        <f ca="1">IF('Stock Price'!$I$11="OK",I1041/INDEX(I$5:I$1258,'Stock Price'!$I$9)-1,"")</f>
        <v>-1.1914217633042123E-2</v>
      </c>
      <c r="W1041" s="19">
        <f ca="1">IF('Stock Price'!$I$11="OK",J1041/INDEX(J$5:J$1258,'Stock Price'!$I$9)-1,"")</f>
        <v>-2.8471990817875548E-2</v>
      </c>
      <c r="X1041" s="19">
        <f ca="1">IF('Stock Price'!$I$11="OK",K1041/INDEX(K$5:K$1258,'Stock Price'!$I$9)-1,"")</f>
        <v>-0.14347175458286576</v>
      </c>
      <c r="Y1041" s="19">
        <f ca="1">IF('Stock Price'!$I$11="OK",L1041/INDEX(L$5:L$1258,'Stock Price'!$I$9)-1,"")</f>
        <v>-2.3342175066312976E-2</v>
      </c>
      <c r="Z1041" s="19">
        <f ca="1">IF('Stock Price'!$I$11="OK",M1041/INDEX(M$5:M$1258,'Stock Price'!$I$9)-1,"")</f>
        <v>1.5699271728228048E-2</v>
      </c>
    </row>
    <row r="1042" spans="1:26" x14ac:dyDescent="0.2">
      <c r="A1042" s="16">
        <f>'Stock Price'!A1042</f>
        <v>45981</v>
      </c>
      <c r="B1042" s="17">
        <f>'Stock Price'!E1042</f>
        <v>94.97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-0.10784405824330678</v>
      </c>
      <c r="P1042" s="19">
        <f ca="1">IF('Stock Price'!$I$11="OK",C1042/INDEX(C$5:C$1258,'Stock Price'!$I$9)-1,"")</f>
        <v>-0.10235311101486932</v>
      </c>
      <c r="Q1042" s="19">
        <f ca="1">IF('Stock Price'!$I$11="OK",D1042/INDEX(D$5:D$1258,'Stock Price'!$I$9)-1,"")</f>
        <v>-2.6413028602709776E-2</v>
      </c>
      <c r="R1042" s="19">
        <f ca="1">IF('Stock Price'!$I$11="OK",E1042/INDEX(E$5:E$1258,'Stock Price'!$I$9)-1,"")</f>
        <v>-7.092484384444897E-2</v>
      </c>
      <c r="S1042" s="19">
        <f ca="1">IF('Stock Price'!$I$11="OK",F1042/INDEX(F$5:F$1258,'Stock Price'!$I$9)-1,"")</f>
        <v>-6.8610301263362539E-2</v>
      </c>
      <c r="T1042" s="19">
        <f ca="1">IF('Stock Price'!$I$11="OK",G1042/INDEX(G$5:G$1258,'Stock Price'!$I$9)-1,"")</f>
        <v>1.368442877876852E-2</v>
      </c>
      <c r="U1042" s="19">
        <f ca="1">IF('Stock Price'!$I$11="OK",H1042/INDEX(H$5:H$1258,'Stock Price'!$I$9)-1,"")</f>
        <v>-0.28986842105263155</v>
      </c>
      <c r="V1042" s="19">
        <f ca="1">IF('Stock Price'!$I$11="OK",I1042/INDEX(I$5:I$1258,'Stock Price'!$I$9)-1,"")</f>
        <v>-3.0976965845909477E-2</v>
      </c>
      <c r="W1042" s="19">
        <f ca="1">IF('Stock Price'!$I$11="OK",J1042/INDEX(J$5:J$1258,'Stock Price'!$I$9)-1,"")</f>
        <v>-3.4312636528564533E-2</v>
      </c>
      <c r="X1042" s="19">
        <f ca="1">IF('Stock Price'!$I$11="OK",K1042/INDEX(K$5:K$1258,'Stock Price'!$I$9)-1,"")</f>
        <v>-0.14066591844369625</v>
      </c>
      <c r="Y1042" s="19">
        <f ca="1">IF('Stock Price'!$I$11="OK",L1042/INDEX(L$5:L$1258,'Stock Price'!$I$9)-1,"")</f>
        <v>-2.0641427537979262E-2</v>
      </c>
      <c r="Z1042" s="19">
        <f ca="1">IF('Stock Price'!$I$11="OK",M1042/INDEX(M$5:M$1258,'Stock Price'!$I$9)-1,"")</f>
        <v>6.1052723387544638E-4</v>
      </c>
    </row>
    <row r="1043" spans="1:26" x14ac:dyDescent="0.2">
      <c r="A1043" s="16">
        <f>'Stock Price'!A1043</f>
        <v>45982</v>
      </c>
      <c r="B1043" s="17">
        <f>'Stock Price'!E1043</f>
        <v>97.76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-8.1634570220760927E-2</v>
      </c>
      <c r="P1043" s="19">
        <f ca="1">IF('Stock Price'!$I$11="OK",C1043/INDEX(C$5:C$1258,'Stock Price'!$I$9)-1,"")</f>
        <v>-8.1059621769885903E-2</v>
      </c>
      <c r="Q1043" s="19">
        <f ca="1">IF('Stock Price'!$I$11="OK",D1043/INDEX(D$5:D$1258,'Stock Price'!$I$9)-1,"")</f>
        <v>-5.2004926782533989E-4</v>
      </c>
      <c r="R1043" s="19">
        <f ca="1">IF('Stock Price'!$I$11="OK",E1043/INDEX(E$5:E$1258,'Stock Price'!$I$9)-1,"")</f>
        <v>-4.9163812210356705E-2</v>
      </c>
      <c r="S1043" s="19">
        <f ca="1">IF('Stock Price'!$I$11="OK",F1043/INDEX(F$5:F$1258,'Stock Price'!$I$9)-1,"")</f>
        <v>-4.7424684159378172E-2</v>
      </c>
      <c r="T1043" s="19">
        <f ca="1">IF('Stock Price'!$I$11="OK",G1043/INDEX(G$5:G$1258,'Stock Price'!$I$9)-1,"")</f>
        <v>2.9027576197387717E-2</v>
      </c>
      <c r="U1043" s="19">
        <f ca="1">IF('Stock Price'!$I$11="OK",H1043/INDEX(H$5:H$1258,'Stock Price'!$I$9)-1,"")</f>
        <v>-0.27407894736842098</v>
      </c>
      <c r="V1043" s="19">
        <f ca="1">IF('Stock Price'!$I$11="OK",I1043/INDEX(I$5:I$1258,'Stock Price'!$I$9)-1,"")</f>
        <v>-5.5599682287530428E-3</v>
      </c>
      <c r="W1043" s="19">
        <f ca="1">IF('Stock Price'!$I$11="OK",J1043/INDEX(J$5:J$1258,'Stock Price'!$I$9)-1,"")</f>
        <v>-1.9123255211225709E-2</v>
      </c>
      <c r="X1043" s="19">
        <f ca="1">IF('Stock Price'!$I$11="OK",K1043/INDEX(K$5:K$1258,'Stock Price'!$I$9)-1,"")</f>
        <v>-0.13486719042274598</v>
      </c>
      <c r="Y1043" s="19">
        <f ca="1">IF('Stock Price'!$I$11="OK",L1043/INDEX(L$5:L$1258,'Stock Price'!$I$9)-1,"")</f>
        <v>-1.6638533879913098E-2</v>
      </c>
      <c r="Z1043" s="19">
        <f ca="1">IF('Stock Price'!$I$11="OK",M1043/INDEX(M$5:M$1258,'Stock Price'!$I$9)-1,"")</f>
        <v>3.0395534429375148E-2</v>
      </c>
    </row>
    <row r="1044" spans="1:26" x14ac:dyDescent="0.2">
      <c r="A1044" s="16">
        <f>'Stock Price'!A1044</f>
        <v>45985</v>
      </c>
      <c r="B1044" s="17">
        <f>'Stock Price'!E1044</f>
        <v>100.4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-5.6834194457491716E-2</v>
      </c>
      <c r="P1044" s="19">
        <f ca="1">IF('Stock Price'!$I$11="OK",C1044/INDEX(C$5:C$1258,'Stock Price'!$I$9)-1,"")</f>
        <v>-8.6617583369423934E-2</v>
      </c>
      <c r="Q1044" s="19">
        <f ca="1">IF('Stock Price'!$I$11="OK",D1044/INDEX(D$5:D$1258,'Stock Price'!$I$9)-1,"")</f>
        <v>1.3685507048033507E-4</v>
      </c>
      <c r="R1044" s="19">
        <f ca="1">IF('Stock Price'!$I$11="OK",E1044/INDEX(E$5:E$1258,'Stock Price'!$I$9)-1,"")</f>
        <v>-5.3193632883336672E-2</v>
      </c>
      <c r="S1044" s="19">
        <f ca="1">IF('Stock Price'!$I$11="OK",F1044/INDEX(F$5:F$1258,'Stock Price'!$I$9)-1,"")</f>
        <v>-7.5024295432458699E-2</v>
      </c>
      <c r="T1044" s="19">
        <f ca="1">IF('Stock Price'!$I$11="OK",G1044/INDEX(G$5:G$1258,'Stock Price'!$I$9)-1,"")</f>
        <v>1.9075264358283217E-2</v>
      </c>
      <c r="U1044" s="19">
        <f ca="1">IF('Stock Price'!$I$11="OK",H1044/INDEX(H$5:H$1258,'Stock Price'!$I$9)-1,"")</f>
        <v>-0.19486842105263158</v>
      </c>
      <c r="V1044" s="19">
        <f ca="1">IF('Stock Price'!$I$11="OK",I1044/INDEX(I$5:I$1258,'Stock Price'!$I$9)-1,"")</f>
        <v>1.5885623510722979E-3</v>
      </c>
      <c r="W1044" s="19">
        <f ca="1">IF('Stock Price'!$I$11="OK",J1044/INDEX(J$5:J$1258,'Stock Price'!$I$9)-1,"")</f>
        <v>-9.4412973453291693E-3</v>
      </c>
      <c r="X1044" s="19">
        <f ca="1">IF('Stock Price'!$I$11="OK",K1044/INDEX(K$5:K$1258,'Stock Price'!$I$9)-1,"")</f>
        <v>-0.10662177328844002</v>
      </c>
      <c r="Y1044" s="19">
        <f ca="1">IF('Stock Price'!$I$11="OK",L1044/INDEX(L$5:L$1258,'Stock Price'!$I$9)-1,"")</f>
        <v>-6.2695924764889499E-3</v>
      </c>
      <c r="Z1044" s="19">
        <f ca="1">IF('Stock Price'!$I$11="OK",M1044/INDEX(M$5:M$1258,'Stock Price'!$I$9)-1,"")</f>
        <v>8.72181762679336E-4</v>
      </c>
    </row>
    <row r="1045" spans="1:26" x14ac:dyDescent="0.2">
      <c r="A1045" s="16">
        <f>'Stock Price'!A1045</f>
        <v>45986</v>
      </c>
      <c r="B1045" s="17">
        <f>'Stock Price'!E1045</f>
        <v>105.66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-7.4213245655238014E-3</v>
      </c>
      <c r="P1045" s="19">
        <f ca="1">IF('Stock Price'!$I$11="OK",C1045/INDEX(C$5:C$1258,'Stock Price'!$I$9)-1,"")</f>
        <v>-5.9766132524902593E-2</v>
      </c>
      <c r="Q1045" s="19">
        <f ca="1">IF('Stock Price'!$I$11="OK",D1045/INDEX(D$5:D$1258,'Stock Price'!$I$9)-1,"")</f>
        <v>2.7617353222936902E-2</v>
      </c>
      <c r="R1045" s="19">
        <f ca="1">IF('Stock Price'!$I$11="OK",E1045/INDEX(E$5:E$1258,'Stock Price'!$I$9)-1,"")</f>
        <v>-4.1910134998992654E-2</v>
      </c>
      <c r="S1045" s="19">
        <f ca="1">IF('Stock Price'!$I$11="OK",F1045/INDEX(F$5:F$1258,'Stock Price'!$I$9)-1,"")</f>
        <v>-5.4810495626822164E-2</v>
      </c>
      <c r="T1045" s="19">
        <f ca="1">IF('Stock Price'!$I$11="OK",G1045/INDEX(G$5:G$1258,'Stock Price'!$I$9)-1,"")</f>
        <v>4.2504665146174681E-2</v>
      </c>
      <c r="U1045" s="19">
        <f ca="1">IF('Stock Price'!$I$11="OK",H1045/INDEX(H$5:H$1258,'Stock Price'!$I$9)-1,"")</f>
        <v>-0.18868421052631579</v>
      </c>
      <c r="V1045" s="19">
        <f ca="1">IF('Stock Price'!$I$11="OK",I1045/INDEX(I$5:I$1258,'Stock Price'!$I$9)-1,"")</f>
        <v>2.14455917394758E-2</v>
      </c>
      <c r="W1045" s="19">
        <f ca="1">IF('Stock Price'!$I$11="OK",J1045/INDEX(J$5:J$1258,'Stock Price'!$I$9)-1,"")</f>
        <v>2.7379762301455113E-2</v>
      </c>
      <c r="X1045" s="19">
        <f ca="1">IF('Stock Price'!$I$11="OK",K1045/INDEX(K$5:K$1258,'Stock Price'!$I$9)-1,"")</f>
        <v>-8.2491582491582505E-2</v>
      </c>
      <c r="Y1045" s="19">
        <f ca="1">IF('Stock Price'!$I$11="OK",L1045/INDEX(L$5:L$1258,'Stock Price'!$I$9)-1,"")</f>
        <v>-3.2794791415481361E-3</v>
      </c>
      <c r="Z1045" s="19">
        <f ca="1">IF('Stock Price'!$I$11="OK",M1045/INDEX(M$5:M$1258,'Stock Price'!$I$9)-1,"")</f>
        <v>1.0858662945357755E-2</v>
      </c>
    </row>
    <row r="1046" spans="1:26" x14ac:dyDescent="0.2">
      <c r="A1046" s="16">
        <f>'Stock Price'!A1046</f>
        <v>45987</v>
      </c>
      <c r="B1046" s="17">
        <f>'Stock Price'!E1046</f>
        <v>104.63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-1.7097228745890147E-2</v>
      </c>
      <c r="P1046" s="19">
        <f ca="1">IF('Stock Price'!$I$11="OK",C1046/INDEX(C$5:C$1258,'Stock Price'!$I$9)-1,"")</f>
        <v>-5.8466868774361136E-2</v>
      </c>
      <c r="Q1046" s="19">
        <f ca="1">IF('Stock Price'!$I$11="OK",D1046/INDEX(D$5:D$1258,'Stock Price'!$I$9)-1,"")</f>
        <v>3.1887231421924067E-2</v>
      </c>
      <c r="R1046" s="19">
        <f ca="1">IF('Stock Price'!$I$11="OK",E1046/INDEX(E$5:E$1258,'Stock Price'!$I$9)-1,"")</f>
        <v>-3.2440056417489371E-2</v>
      </c>
      <c r="S1046" s="19">
        <f ca="1">IF('Stock Price'!$I$11="OK",F1046/INDEX(F$5:F$1258,'Stock Price'!$I$9)-1,"")</f>
        <v>-5.7920310981535494E-2</v>
      </c>
      <c r="T1046" s="19">
        <f ca="1">IF('Stock Price'!$I$11="OK",G1046/INDEX(G$5:G$1258,'Stock Price'!$I$9)-1,"")</f>
        <v>3.7321169396641096E-2</v>
      </c>
      <c r="U1046" s="19">
        <f ca="1">IF('Stock Price'!$I$11="OK",H1046/INDEX(H$5:H$1258,'Stock Price'!$I$9)-1,"")</f>
        <v>-0.20105263157894737</v>
      </c>
      <c r="V1046" s="19">
        <f ca="1">IF('Stock Price'!$I$11="OK",I1046/INDEX(I$5:I$1258,'Stock Price'!$I$9)-1,"")</f>
        <v>2.1048451151707726E-2</v>
      </c>
      <c r="W1046" s="19">
        <f ca="1">IF('Stock Price'!$I$11="OK",J1046/INDEX(J$5:J$1258,'Stock Price'!$I$9)-1,"")</f>
        <v>2.2196304935391931E-2</v>
      </c>
      <c r="X1046" s="19">
        <f ca="1">IF('Stock Price'!$I$11="OK",K1046/INDEX(K$5:K$1258,'Stock Price'!$I$9)-1,"")</f>
        <v>-7.8750467639356558E-2</v>
      </c>
      <c r="Y1046" s="19">
        <f ca="1">IF('Stock Price'!$I$11="OK",L1046/INDEX(L$5:L$1258,'Stock Price'!$I$9)-1,"")</f>
        <v>1.0127803231252397E-3</v>
      </c>
      <c r="Z1046" s="19">
        <f ca="1">IF('Stock Price'!$I$11="OK",M1046/INDEX(M$5:M$1258,'Stock Price'!$I$9)-1,"")</f>
        <v>-7.1954995421046331E-3</v>
      </c>
    </row>
    <row r="1047" spans="1:26" x14ac:dyDescent="0.2">
      <c r="A1047" s="16">
        <f>'Stock Price'!A1047</f>
        <v>45989</v>
      </c>
      <c r="B1047" s="17">
        <f>'Stock Price'!E1047</f>
        <v>104.83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-1.5218412400187953E-2</v>
      </c>
      <c r="P1047" s="19">
        <f ca="1">IF('Stock Price'!$I$11="OK",C1047/INDEX(C$5:C$1258,'Stock Price'!$I$9)-1,"")</f>
        <v>-5.8755594052259164E-2</v>
      </c>
      <c r="Q1047" s="19">
        <f ca="1">IF('Stock Price'!$I$11="OK",D1047/INDEX(D$5:D$1258,'Stock Price'!$I$9)-1,"")</f>
        <v>5.8300260024632955E-3</v>
      </c>
      <c r="R1047" s="19">
        <f ca="1">IF('Stock Price'!$I$11="OK",E1047/INDEX(E$5:E$1258,'Stock Price'!$I$9)-1,"")</f>
        <v>-3.5663912955873567E-2</v>
      </c>
      <c r="S1047" s="19">
        <f ca="1">IF('Stock Price'!$I$11="OK",F1047/INDEX(F$5:F$1258,'Stock Price'!$I$9)-1,"")</f>
        <v>-7.0359572400388815E-2</v>
      </c>
      <c r="T1047" s="19">
        <f ca="1">IF('Stock Price'!$I$11="OK",G1047/INDEX(G$5:G$1258,'Stock Price'!$I$9)-1,"")</f>
        <v>3.4211071946921079E-2</v>
      </c>
      <c r="U1047" s="19">
        <f ca="1">IF('Stock Price'!$I$11="OK",H1047/INDEX(H$5:H$1258,'Stock Price'!$I$9)-1,"")</f>
        <v>-0.19776315789473686</v>
      </c>
      <c r="V1047" s="19">
        <f ca="1">IF('Stock Price'!$I$11="OK",I1047/INDEX(I$5:I$1258,'Stock Price'!$I$9)-1,"")</f>
        <v>2.2239872915011949E-2</v>
      </c>
      <c r="W1047" s="19">
        <f ca="1">IF('Stock Price'!$I$11="OK",J1047/INDEX(J$5:J$1258,'Stock Price'!$I$9)-1,"")</f>
        <v>-4.526269021437157E-3</v>
      </c>
      <c r="X1047" s="19">
        <f ca="1">IF('Stock Price'!$I$11="OK",K1047/INDEX(K$5:K$1258,'Stock Price'!$I$9)-1,"")</f>
        <v>-7.9685746352412989E-2</v>
      </c>
      <c r="Y1047" s="19">
        <f ca="1">IF('Stock Price'!$I$11="OK",L1047/INDEX(L$5:L$1258,'Stock Price'!$I$9)-1,"")</f>
        <v>-2.0737882806848296E-3</v>
      </c>
      <c r="Z1047" s="19">
        <f ca="1">IF('Stock Price'!$I$11="OK",M1047/INDEX(M$5:M$1258,'Stock Price'!$I$9)-1,"")</f>
        <v>-7.0210631895687436E-3</v>
      </c>
    </row>
    <row r="1048" spans="1:26" x14ac:dyDescent="0.2">
      <c r="A1048" s="16">
        <f>'Stock Price'!A1048</f>
        <v>45992</v>
      </c>
      <c r="B1048" s="17">
        <f>'Stock Price'!E1048</f>
        <v>101.83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-4.3400657585721092E-2</v>
      </c>
      <c r="P1048" s="19">
        <f ca="1">IF('Stock Price'!$I$11="OK",C1048/INDEX(C$5:C$1258,'Stock Price'!$I$9)-1,"")</f>
        <v>-6.9077522737115538E-2</v>
      </c>
      <c r="Q1048" s="19">
        <f ca="1">IF('Stock Price'!$I$11="OK",D1048/INDEX(D$5:D$1258,'Stock Price'!$I$9)-1,"")</f>
        <v>-1.2727521554673715E-2</v>
      </c>
      <c r="R1048" s="19">
        <f ca="1">IF('Stock Price'!$I$11="OK",E1048/INDEX(E$5:E$1258,'Stock Price'!$I$9)-1,"")</f>
        <v>-4.9163812210356705E-2</v>
      </c>
      <c r="S1048" s="19">
        <f ca="1">IF('Stock Price'!$I$11="OK",F1048/INDEX(F$5:F$1258,'Stock Price'!$I$9)-1,"")</f>
        <v>-7.6579203109815475E-2</v>
      </c>
      <c r="T1048" s="19">
        <f ca="1">IF('Stock Price'!$I$11="OK",G1048/INDEX(G$5:G$1258,'Stock Price'!$I$9)-1,"")</f>
        <v>3.566245075679042E-2</v>
      </c>
      <c r="U1048" s="19">
        <f ca="1">IF('Stock Price'!$I$11="OK",H1048/INDEX(H$5:H$1258,'Stock Price'!$I$9)-1,"")</f>
        <v>-0.19815789473684209</v>
      </c>
      <c r="V1048" s="19">
        <f ca="1">IF('Stock Price'!$I$11="OK",I1048/INDEX(I$5:I$1258,'Stock Price'!$I$9)-1,"")</f>
        <v>3.5742652899126703E-3</v>
      </c>
      <c r="W1048" s="19">
        <f ca="1">IF('Stock Price'!$I$11="OK",J1048/INDEX(J$5:J$1258,'Stock Price'!$I$9)-1,"")</f>
        <v>-2.079862268132826E-2</v>
      </c>
      <c r="X1048" s="19">
        <f ca="1">IF('Stock Price'!$I$11="OK",K1048/INDEX(K$5:K$1258,'Stock Price'!$I$9)-1,"")</f>
        <v>-8.0059857837635584E-2</v>
      </c>
      <c r="Y1048" s="19">
        <f ca="1">IF('Stock Price'!$I$11="OK",L1048/INDEX(L$5:L$1258,'Stock Price'!$I$9)-1,"")</f>
        <v>-9.6937545213406917E-3</v>
      </c>
      <c r="Z1048" s="19">
        <f ca="1">IF('Stock Price'!$I$11="OK",M1048/INDEX(M$5:M$1258,'Stock Price'!$I$9)-1,"")</f>
        <v>-1.8315817016266167E-2</v>
      </c>
    </row>
    <row r="1049" spans="1:26" x14ac:dyDescent="0.2">
      <c r="A1049" s="16">
        <f>'Stock Price'!A1049</f>
        <v>45993</v>
      </c>
      <c r="B1049" s="17">
        <f>'Stock Price'!E1049</f>
        <v>101.03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-5.091592296852987E-2</v>
      </c>
      <c r="P1049" s="19">
        <f ca="1">IF('Stock Price'!$I$11="OK",C1049/INDEX(C$5:C$1258,'Stock Price'!$I$9)-1,"")</f>
        <v>-4.5185505991049424E-2</v>
      </c>
      <c r="Q1049" s="19">
        <f ca="1">IF('Stock Price'!$I$11="OK",D1049/INDEX(D$5:D$1258,'Stock Price'!$I$9)-1,"")</f>
        <v>-1.9570822498973683E-2</v>
      </c>
      <c r="R1049" s="19">
        <f ca="1">IF('Stock Price'!$I$11="OK",E1049/INDEX(E$5:E$1258,'Stock Price'!$I$9)-1,"")</f>
        <v>-2.740278057626433E-2</v>
      </c>
      <c r="S1049" s="19">
        <f ca="1">IF('Stock Price'!$I$11="OK",F1049/INDEX(F$5:F$1258,'Stock Price'!$I$9)-1,"")</f>
        <v>-5.344995140913511E-2</v>
      </c>
      <c r="T1049" s="19">
        <f ca="1">IF('Stock Price'!$I$11="OK",G1049/INDEX(G$5:G$1258,'Stock Price'!$I$9)-1,"")</f>
        <v>3.3589052456977075E-2</v>
      </c>
      <c r="U1049" s="19">
        <f ca="1">IF('Stock Price'!$I$11="OK",H1049/INDEX(H$5:H$1258,'Stock Price'!$I$9)-1,"")</f>
        <v>-0.10131578947368425</v>
      </c>
      <c r="V1049" s="19">
        <f ca="1">IF('Stock Price'!$I$11="OK",I1049/INDEX(I$5:I$1258,'Stock Price'!$I$9)-1,"")</f>
        <v>-1.1914217633042234E-3</v>
      </c>
      <c r="W1049" s="19">
        <f ca="1">IF('Stock Price'!$I$11="OK",J1049/INDEX(J$5:J$1258,'Stock Price'!$I$9)-1,"")</f>
        <v>-3.1693139323929032E-2</v>
      </c>
      <c r="X1049" s="19">
        <f ca="1">IF('Stock Price'!$I$11="OK",K1049/INDEX(K$5:K$1258,'Stock Price'!$I$9)-1,"")</f>
        <v>-9.7456041900486401E-2</v>
      </c>
      <c r="Y1049" s="19">
        <f ca="1">IF('Stock Price'!$I$11="OK",L1049/INDEX(L$5:L$1258,'Stock Price'!$I$9)-1,"")</f>
        <v>-9.307933445864558E-3</v>
      </c>
      <c r="Z1049" s="19">
        <f ca="1">IF('Stock Price'!$I$11="OK",M1049/INDEX(M$5:M$1258,'Stock Price'!$I$9)-1,"")</f>
        <v>-2.1542889538179733E-2</v>
      </c>
    </row>
    <row r="1050" spans="1:26" x14ac:dyDescent="0.2">
      <c r="A1050" s="16">
        <f>'Stock Price'!A1050</f>
        <v>45994</v>
      </c>
      <c r="B1050" s="17">
        <f>'Stock Price'!E1050</f>
        <v>102.27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-3.9267261625176242E-2</v>
      </c>
      <c r="P1050" s="19">
        <f ca="1">IF('Stock Price'!$I$11="OK",C1050/INDEX(C$5:C$1258,'Stock Price'!$I$9)-1,"")</f>
        <v>-3.4791395986718543E-2</v>
      </c>
      <c r="Q1050" s="19">
        <f ca="1">IF('Stock Price'!$I$11="OK",D1050/INDEX(D$5:D$1258,'Stock Price'!$I$9)-1,"")</f>
        <v>3.2845216915287079E-3</v>
      </c>
      <c r="R1050" s="19">
        <f ca="1">IF('Stock Price'!$I$11="OK",E1050/INDEX(E$5:E$1258,'Stock Price'!$I$9)-1,"")</f>
        <v>-1.3298408220834279E-2</v>
      </c>
      <c r="S1050" s="19">
        <f ca="1">IF('Stock Price'!$I$11="OK",F1050/INDEX(F$5:F$1258,'Stock Price'!$I$9)-1,"")</f>
        <v>-4.9173955296404337E-2</v>
      </c>
      <c r="T1050" s="19">
        <f ca="1">IF('Stock Price'!$I$11="OK",G1050/INDEX(G$5:G$1258,'Stock Price'!$I$9)-1,"")</f>
        <v>3.0271615177275502E-2</v>
      </c>
      <c r="U1050" s="19">
        <f ca="1">IF('Stock Price'!$I$11="OK",H1050/INDEX(H$5:H$1258,'Stock Price'!$I$9)-1,"")</f>
        <v>-9.8684210526315819E-2</v>
      </c>
      <c r="V1050" s="19">
        <f ca="1">IF('Stock Price'!$I$11="OK",I1050/INDEX(I$5:I$1258,'Stock Price'!$I$9)-1,"")</f>
        <v>1.5488482922954683E-2</v>
      </c>
      <c r="W1050" s="19">
        <f ca="1">IF('Stock Price'!$I$11="OK",J1050/INDEX(J$5:J$1258,'Stock Price'!$I$9)-1,"")</f>
        <v>-4.3318893702099293E-2</v>
      </c>
      <c r="X1050" s="19">
        <f ca="1">IF('Stock Price'!$I$11="OK",K1050/INDEX(K$5:K$1258,'Stock Price'!$I$9)-1,"")</f>
        <v>-4.6763935652824551E-2</v>
      </c>
      <c r="Y1050" s="19">
        <f ca="1">IF('Stock Price'!$I$11="OK",L1050/INDEX(L$5:L$1258,'Stock Price'!$I$9)-1,"")</f>
        <v>-9.7419821557751529E-3</v>
      </c>
      <c r="Z1050" s="19">
        <f ca="1">IF('Stock Price'!$I$11="OK",M1050/INDEX(M$5:M$1258,'Stock Price'!$I$9)-1,"")</f>
        <v>4.0556451964590678E-3</v>
      </c>
    </row>
    <row r="1051" spans="1:26" x14ac:dyDescent="0.2">
      <c r="A1051" s="16">
        <f>'Stock Price'!A1051</f>
        <v>45995</v>
      </c>
      <c r="B1051" s="17">
        <f>'Stock Price'!E1051</f>
        <v>100.89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-5.2231094410521428E-2</v>
      </c>
      <c r="P1051" s="19">
        <f ca="1">IF('Stock Price'!$I$11="OK",C1051/INDEX(C$5:C$1258,'Stock Price'!$I$9)-1,"")</f>
        <v>-4.4102786198931598E-2</v>
      </c>
      <c r="Q1051" s="19">
        <f ca="1">IF('Stock Price'!$I$11="OK",D1051/INDEX(D$5:D$1258,'Stock Price'!$I$9)-1,"")</f>
        <v>3.2845216915287079E-3</v>
      </c>
      <c r="R1051" s="19">
        <f ca="1">IF('Stock Price'!$I$11="OK",E1051/INDEX(E$5:E$1258,'Stock Price'!$I$9)-1,"")</f>
        <v>-2.1358049566794324E-2</v>
      </c>
      <c r="S1051" s="19">
        <f ca="1">IF('Stock Price'!$I$11="OK",F1051/INDEX(F$5:F$1258,'Stock Price'!$I$9)-1,"")</f>
        <v>-6.3168124392614211E-2</v>
      </c>
      <c r="T1051" s="19">
        <f ca="1">IF('Stock Price'!$I$11="OK",G1051/INDEX(G$5:G$1258,'Stock Price'!$I$9)-1,"")</f>
        <v>1.3891768608749855E-2</v>
      </c>
      <c r="U1051" s="19">
        <f ca="1">IF('Stock Price'!$I$11="OK",H1051/INDEX(H$5:H$1258,'Stock Price'!$I$9)-1,"")</f>
        <v>-0.11644736842105252</v>
      </c>
      <c r="V1051" s="19">
        <f ca="1">IF('Stock Price'!$I$11="OK",I1051/INDEX(I$5:I$1258,'Stock Price'!$I$9)-1,"")</f>
        <v>2.0651310563939651E-2</v>
      </c>
      <c r="W1051" s="19">
        <f ca="1">IF('Stock Price'!$I$11="OK",J1051/INDEX(J$5:J$1258,'Stock Price'!$I$9)-1,"")</f>
        <v>-6.0970417268317867E-2</v>
      </c>
      <c r="X1051" s="19">
        <f ca="1">IF('Stock Price'!$I$11="OK",K1051/INDEX(K$5:K$1258,'Stock Price'!$I$9)-1,"")</f>
        <v>-2.824541713430595E-2</v>
      </c>
      <c r="Y1051" s="19">
        <f ca="1">IF('Stock Price'!$I$11="OK",L1051/INDEX(L$5:L$1258,'Stock Price'!$I$9)-1,"")</f>
        <v>-2.3486857969616581E-2</v>
      </c>
      <c r="Z1051" s="19">
        <f ca="1">IF('Stock Price'!$I$11="OK",M1051/INDEX(M$5:M$1258,'Stock Price'!$I$9)-1,"")</f>
        <v>-2.616545288038008E-3</v>
      </c>
    </row>
    <row r="1052" spans="1:26" x14ac:dyDescent="0.2">
      <c r="A1052" s="16">
        <f>'Stock Price'!A1052</f>
        <v>45996</v>
      </c>
      <c r="B1052" s="17">
        <f>'Stock Price'!E1052</f>
        <v>99.72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-6.3222170032879332E-2</v>
      </c>
      <c r="P1052" s="19">
        <f ca="1">IF('Stock Price'!$I$11="OK",C1052/INDEX(C$5:C$1258,'Stock Price'!$I$9)-1,"")</f>
        <v>-4.6051681824743729E-2</v>
      </c>
      <c r="Q1052" s="19">
        <f ca="1">IF('Stock Price'!$I$11="OK",D1052/INDEX(D$5:D$1258,'Stock Price'!$I$9)-1,"")</f>
        <v>-1.7449021486246052E-2</v>
      </c>
      <c r="R1052" s="19">
        <f ca="1">IF('Stock Price'!$I$11="OK",E1052/INDEX(E$5:E$1258,'Stock Price'!$I$9)-1,"")</f>
        <v>-2.4581906105178408E-2</v>
      </c>
      <c r="S1052" s="19">
        <f ca="1">IF('Stock Price'!$I$11="OK",F1052/INDEX(F$5:F$1258,'Stock Price'!$I$9)-1,"")</f>
        <v>-5.6948493683187551E-2</v>
      </c>
      <c r="T1052" s="19">
        <f ca="1">IF('Stock Price'!$I$11="OK",G1052/INDEX(G$5:G$1258,'Stock Price'!$I$9)-1,"")</f>
        <v>2.695417789757415E-2</v>
      </c>
      <c r="U1052" s="19">
        <f ca="1">IF('Stock Price'!$I$11="OK",H1052/INDEX(H$5:H$1258,'Stock Price'!$I$9)-1,"")</f>
        <v>-0.12355263157894736</v>
      </c>
      <c r="V1052" s="19">
        <f ca="1">IF('Stock Price'!$I$11="OK",I1052/INDEX(I$5:I$1258,'Stock Price'!$I$9)-1,"")</f>
        <v>3.3756949960286109E-2</v>
      </c>
      <c r="W1052" s="19">
        <f ca="1">IF('Stock Price'!$I$11="OK",J1052/INDEX(J$5:J$1258,'Stock Price'!$I$9)-1,"")</f>
        <v>-6.4839497945129332E-2</v>
      </c>
      <c r="X1052" s="19">
        <f ca="1">IF('Stock Price'!$I$11="OK",K1052/INDEX(K$5:K$1258,'Stock Price'!$I$9)-1,"")</f>
        <v>-2.4504302282080115E-2</v>
      </c>
      <c r="Y1052" s="19">
        <f ca="1">IF('Stock Price'!$I$11="OK",L1052/INDEX(L$5:L$1258,'Stock Price'!$I$9)-1,"")</f>
        <v>-2.6139377863515723E-2</v>
      </c>
      <c r="Z1052" s="19">
        <f ca="1">IF('Stock Price'!$I$11="OK",M1052/INDEX(M$5:M$1258,'Stock Price'!$I$9)-1,"")</f>
        <v>-1.4085735467271321E-2</v>
      </c>
    </row>
    <row r="1053" spans="1:26" x14ac:dyDescent="0.2">
      <c r="A1053" s="16">
        <f>'Stock Price'!A1053</f>
        <v>45999</v>
      </c>
      <c r="B1053" s="17">
        <f>'Stock Price'!E1053</f>
        <v>98.93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-7.0643494598402912E-2</v>
      </c>
      <c r="P1053" s="19">
        <f ca="1">IF('Stock Price'!$I$11="OK",C1053/INDEX(C$5:C$1258,'Stock Price'!$I$9)-1,"")</f>
        <v>-6.0415764400173266E-2</v>
      </c>
      <c r="Q1053" s="19">
        <f ca="1">IF('Stock Price'!$I$11="OK",D1053/INDEX(D$5:D$1258,'Stock Price'!$I$9)-1,"")</f>
        <v>-9.4977418913371192E-3</v>
      </c>
      <c r="R1053" s="19">
        <f ca="1">IF('Stock Price'!$I$11="OK",E1053/INDEX(E$5:E$1258,'Stock Price'!$I$9)-1,"")</f>
        <v>-2.3372959903284363E-2</v>
      </c>
      <c r="S1053" s="19">
        <f ca="1">IF('Stock Price'!$I$11="OK",F1053/INDEX(F$5:F$1258,'Stock Price'!$I$9)-1,"")</f>
        <v>-4.9562682215743559E-2</v>
      </c>
      <c r="T1053" s="19">
        <f ca="1">IF('Stock Price'!$I$11="OK",G1053/INDEX(G$5:G$1258,'Stock Price'!$I$9)-1,"")</f>
        <v>4.3541364296082463E-3</v>
      </c>
      <c r="U1053" s="19">
        <f ca="1">IF('Stock Price'!$I$11="OK",H1053/INDEX(H$5:H$1258,'Stock Price'!$I$9)-1,"")</f>
        <v>-8.2368421052631646E-2</v>
      </c>
      <c r="V1053" s="19">
        <f ca="1">IF('Stock Price'!$I$11="OK",I1053/INDEX(I$5:I$1258,'Stock Price'!$I$9)-1,"")</f>
        <v>2.3431294678316172E-2</v>
      </c>
      <c r="W1053" s="19">
        <f ca="1">IF('Stock Price'!$I$11="OK",J1053/INDEX(J$5:J$1258,'Stock Price'!$I$9)-1,"")</f>
        <v>-7.6613351105187077E-2</v>
      </c>
      <c r="X1053" s="19">
        <f ca="1">IF('Stock Price'!$I$11="OK",K1053/INDEX(K$5:K$1258,'Stock Price'!$I$9)-1,"")</f>
        <v>-3.3482977927422386E-2</v>
      </c>
      <c r="Y1053" s="19">
        <f ca="1">IF('Stock Price'!$I$11="OK",L1053/INDEX(L$5:L$1258,'Stock Price'!$I$9)-1,"")</f>
        <v>-2.763443453098624E-2</v>
      </c>
      <c r="Z1053" s="19">
        <f ca="1">IF('Stock Price'!$I$11="OK",M1053/INDEX(M$5:M$1258,'Stock Price'!$I$9)-1,"")</f>
        <v>-2.6994025554925583E-2</v>
      </c>
    </row>
    <row r="1054" spans="1:26" x14ac:dyDescent="0.2">
      <c r="A1054" s="16">
        <f>'Stock Price'!A1054</f>
        <v>46000</v>
      </c>
      <c r="B1054" s="17">
        <f>'Stock Price'!E1054</f>
        <v>96.89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-8.9807421324565539E-2</v>
      </c>
      <c r="P1054" s="19">
        <f ca="1">IF('Stock Price'!$I$11="OK",C1054/INDEX(C$5:C$1258,'Stock Price'!$I$9)-1,"")</f>
        <v>-5.4352533564313577E-2</v>
      </c>
      <c r="Q1054" s="19">
        <f ca="1">IF('Stock Price'!$I$11="OK",D1054/INDEX(D$5:D$1258,'Stock Price'!$I$9)-1,"")</f>
        <v>-1.9570822498973683E-2</v>
      </c>
      <c r="R1054" s="19">
        <f ca="1">IF('Stock Price'!$I$11="OK",E1054/INDEX(E$5:E$1258,'Stock Price'!$I$9)-1,"")</f>
        <v>-4.7551883941164608E-2</v>
      </c>
      <c r="S1054" s="19">
        <f ca="1">IF('Stock Price'!$I$11="OK",F1054/INDEX(F$5:F$1258,'Stock Price'!$I$9)-1,"")</f>
        <v>-5.344995140913511E-2</v>
      </c>
      <c r="T1054" s="19">
        <f ca="1">IF('Stock Price'!$I$11="OK",G1054/INDEX(G$5:G$1258,'Stock Price'!$I$9)-1,"")</f>
        <v>-8.2935931992536016E-3</v>
      </c>
      <c r="U1054" s="19">
        <f ca="1">IF('Stock Price'!$I$11="OK",H1054/INDEX(H$5:H$1258,'Stock Price'!$I$9)-1,"")</f>
        <v>-4.4473684210526221E-2</v>
      </c>
      <c r="V1054" s="19">
        <f ca="1">IF('Stock Price'!$I$11="OK",I1054/INDEX(I$5:I$1258,'Stock Price'!$I$9)-1,"")</f>
        <v>5.9571088165208952E-3</v>
      </c>
      <c r="W1054" s="19">
        <f ca="1">IF('Stock Price'!$I$11="OK",J1054/INDEX(J$5:J$1258,'Stock Price'!$I$9)-1,"")</f>
        <v>-9.0840090340256863E-2</v>
      </c>
      <c r="X1054" s="19">
        <f ca="1">IF('Stock Price'!$I$11="OK",K1054/INDEX(K$5:K$1258,'Stock Price'!$I$9)-1,"")</f>
        <v>-5.2562663673774823E-2</v>
      </c>
      <c r="Y1054" s="19">
        <f ca="1">IF('Stock Price'!$I$11="OK",L1054/INDEX(L$5:L$1258,'Stock Price'!$I$9)-1,"")</f>
        <v>-3.5640221847118347E-2</v>
      </c>
      <c r="Z1054" s="19">
        <f ca="1">IF('Stock Price'!$I$11="OK",M1054/INDEX(M$5:M$1258,'Stock Price'!$I$9)-1,"")</f>
        <v>-2.7560943700667195E-2</v>
      </c>
    </row>
    <row r="1055" spans="1:26" x14ac:dyDescent="0.2">
      <c r="A1055" s="16">
        <f>'Stock Price'!A1055</f>
        <v>46001</v>
      </c>
      <c r="B1055" s="17">
        <f>'Stock Price'!E1055</f>
        <v>97.62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-8.2949741662752485E-2</v>
      </c>
      <c r="P1055" s="19">
        <f ca="1">IF('Stock Price'!$I$11="OK",C1055/INDEX(C$5:C$1258,'Stock Price'!$I$9)-1,"")</f>
        <v>-5.3053269813772119E-2</v>
      </c>
      <c r="Q1055" s="19">
        <f ca="1">IF('Stock Price'!$I$11="OK",D1055/INDEX(D$5:D$1258,'Stock Price'!$I$9)-1,"")</f>
        <v>-4.1330231285070518E-3</v>
      </c>
      <c r="R1055" s="19">
        <f ca="1">IF('Stock Price'!$I$11="OK",E1055/INDEX(E$5:E$1258,'Stock Price'!$I$9)-1,"")</f>
        <v>-2.4581906105178408E-2</v>
      </c>
      <c r="S1055" s="19">
        <f ca="1">IF('Stock Price'!$I$11="OK",F1055/INDEX(F$5:F$1258,'Stock Price'!$I$9)-1,"")</f>
        <v>-1.9825072886297423E-2</v>
      </c>
      <c r="T1055" s="19">
        <f ca="1">IF('Stock Price'!$I$11="OK",G1055/INDEX(G$5:G$1258,'Stock Price'!$I$9)-1,"")</f>
        <v>6.2201948994400347E-4</v>
      </c>
      <c r="U1055" s="19">
        <f ca="1">IF('Stock Price'!$I$11="OK",H1055/INDEX(H$5:H$1258,'Stock Price'!$I$9)-1,"")</f>
        <v>-3.6447368421052562E-2</v>
      </c>
      <c r="V1055" s="19">
        <f ca="1">IF('Stock Price'!$I$11="OK",I1055/INDEX(I$5:I$1258,'Stock Price'!$I$9)-1,"")</f>
        <v>2.3828435266084247E-2</v>
      </c>
      <c r="W1055" s="19">
        <f ca="1">IF('Stock Price'!$I$11="OK",J1055/INDEX(J$5:J$1258,'Stock Price'!$I$9)-1,"")</f>
        <v>-8.0269539783035193E-2</v>
      </c>
      <c r="X1055" s="19">
        <f ca="1">IF('Stock Price'!$I$11="OK",K1055/INDEX(K$5:K$1258,'Stock Price'!$I$9)-1,"")</f>
        <v>-4.2087542087542062E-2</v>
      </c>
      <c r="Y1055" s="19">
        <f ca="1">IF('Stock Price'!$I$11="OK",L1055/INDEX(L$5:L$1258,'Stock Price'!$I$9)-1,"")</f>
        <v>-3.90643838919702E-3</v>
      </c>
      <c r="Z1055" s="19">
        <f ca="1">IF('Stock Price'!$I$11="OK",M1055/INDEX(M$5:M$1258,'Stock Price'!$I$9)-1,"")</f>
        <v>-1.8010553399328444E-2</v>
      </c>
    </row>
    <row r="1056" spans="1:26" x14ac:dyDescent="0.2">
      <c r="A1056" s="16">
        <f>'Stock Price'!A1056</f>
        <v>46002</v>
      </c>
      <c r="B1056" s="17">
        <f>'Stock Price'!E1056</f>
        <v>99.01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-6.9891968060122101E-2</v>
      </c>
      <c r="P1056" s="19">
        <f ca="1">IF('Stock Price'!$I$11="OK",C1056/INDEX(C$5:C$1258,'Stock Price'!$I$9)-1,"")</f>
        <v>-4.4608055435253258E-2</v>
      </c>
      <c r="Q1056" s="19">
        <f ca="1">IF('Stock Price'!$I$11="OK",D1056/INDEX(D$5:D$1258,'Stock Price'!$I$9)-1,"")</f>
        <v>-4.1330231285070518E-3</v>
      </c>
      <c r="R1056" s="19">
        <f ca="1">IF('Stock Price'!$I$11="OK",E1056/INDEX(E$5:E$1258,'Stock Price'!$I$9)-1,"")</f>
        <v>-1.5111827523675236E-2</v>
      </c>
      <c r="S1056" s="19">
        <f ca="1">IF('Stock Price'!$I$11="OK",F1056/INDEX(F$5:F$1258,'Stock Price'!$I$9)-1,"")</f>
        <v>-2.7793974732750248E-2</v>
      </c>
      <c r="T1056" s="19">
        <f ca="1">IF('Stock Price'!$I$11="OK",G1056/INDEX(G$5:G$1258,'Stock Price'!$I$9)-1,"")</f>
        <v>1.3062409288824517E-2</v>
      </c>
      <c r="U1056" s="19">
        <f ca="1">IF('Stock Price'!$I$11="OK",H1056/INDEX(H$5:H$1258,'Stock Price'!$I$9)-1,"")</f>
        <v>-4.3947368421052624E-2</v>
      </c>
      <c r="V1056" s="19">
        <f ca="1">IF('Stock Price'!$I$11="OK",I1056/INDEX(I$5:I$1258,'Stock Price'!$I$9)-1,"")</f>
        <v>2.4622716441620396E-2</v>
      </c>
      <c r="W1056" s="19">
        <f ca="1">IF('Stock Price'!$I$11="OK",J1056/INDEX(J$5:J$1258,'Stock Price'!$I$9)-1,"")</f>
        <v>-6.5700322114850551E-2</v>
      </c>
      <c r="X1056" s="19">
        <f ca="1">IF('Stock Price'!$I$11="OK",K1056/INDEX(K$5:K$1258,'Stock Price'!$I$9)-1,"")</f>
        <v>-4.2274597830153304E-2</v>
      </c>
      <c r="Y1056" s="19">
        <f ca="1">IF('Stock Price'!$I$11="OK",L1056/INDEX(L$5:L$1258,'Stock Price'!$I$9)-1,"")</f>
        <v>1.2828550759585333E-2</v>
      </c>
      <c r="Z1056" s="19">
        <f ca="1">IF('Stock Price'!$I$11="OK",M1056/INDEX(M$5:M$1258,'Stock Price'!$I$9)-1,"")</f>
        <v>-2.3243643975404571E-2</v>
      </c>
    </row>
    <row r="1057" spans="1:26" x14ac:dyDescent="0.2">
      <c r="A1057" s="16">
        <f>'Stock Price'!A1057</f>
        <v>46003</v>
      </c>
      <c r="B1057" s="17">
        <f>'Stock Price'!E1057</f>
        <v>100.3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-5.7773602630342924E-2</v>
      </c>
      <c r="P1057" s="19">
        <f ca="1">IF('Stock Price'!$I$11="OK",C1057/INDEX(C$5:C$1258,'Stock Price'!$I$9)-1,"")</f>
        <v>-4.3092247726288391E-2</v>
      </c>
      <c r="Q1057" s="19">
        <f ca="1">IF('Stock Price'!$I$11="OK",D1057/INDEX(D$5:D$1258,'Stock Price'!$I$9)-1,"")</f>
        <v>-4.1330231285070518E-3</v>
      </c>
      <c r="R1057" s="19">
        <f ca="1">IF('Stock Price'!$I$11="OK",E1057/INDEX(E$5:E$1258,'Stock Price'!$I$9)-1,"")</f>
        <v>-1.6522264759218253E-2</v>
      </c>
      <c r="S1057" s="19">
        <f ca="1">IF('Stock Price'!$I$11="OK",F1057/INDEX(F$5:F$1258,'Stock Price'!$I$9)-1,"")</f>
        <v>-2.7405247813411138E-2</v>
      </c>
      <c r="T1057" s="19">
        <f ca="1">IF('Stock Price'!$I$11="OK",G1057/INDEX(G$5:G$1258,'Stock Price'!$I$9)-1,"")</f>
        <v>9.3302923491602741E-3</v>
      </c>
      <c r="U1057" s="19">
        <f ca="1">IF('Stock Price'!$I$11="OK",H1057/INDEX(H$5:H$1258,'Stock Price'!$I$9)-1,"")</f>
        <v>-3.9473684210526327E-2</v>
      </c>
      <c r="V1057" s="19">
        <f ca="1">IF('Stock Price'!$I$11="OK",I1057/INDEX(I$5:I$1258,'Stock Price'!$I$9)-1,"")</f>
        <v>2.6608419380460768E-2</v>
      </c>
      <c r="W1057" s="19">
        <f ca="1">IF('Stock Price'!$I$11="OK",J1057/INDEX(J$5:J$1258,'Stock Price'!$I$9)-1,"")</f>
        <v>-4.8918878892221018E-2</v>
      </c>
      <c r="X1057" s="19">
        <f ca="1">IF('Stock Price'!$I$11="OK",K1057/INDEX(K$5:K$1258,'Stock Price'!$I$9)-1,"")</f>
        <v>-1.9640852974186385E-2</v>
      </c>
      <c r="Y1057" s="19">
        <f ca="1">IF('Stock Price'!$I$11="OK",L1057/INDEX(L$5:L$1258,'Stock Price'!$I$9)-1,"")</f>
        <v>2.0400289365806623E-2</v>
      </c>
      <c r="Z1057" s="19">
        <f ca="1">IF('Stock Price'!$I$11="OK",M1057/INDEX(M$5:M$1258,'Stock Price'!$I$9)-1,"")</f>
        <v>-2.6121843792246358E-2</v>
      </c>
    </row>
    <row r="1058" spans="1:26" x14ac:dyDescent="0.2">
      <c r="A1058" s="16">
        <f>'Stock Price'!A1058</f>
        <v>46006</v>
      </c>
      <c r="B1058" s="17">
        <f>'Stock Price'!E1058</f>
        <v>100.26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-5.8149365899483274E-2</v>
      </c>
      <c r="P1058" s="19">
        <f ca="1">IF('Stock Price'!$I$11="OK",C1058/INDEX(C$5:C$1258,'Stock Price'!$I$9)-1,"")</f>
        <v>-2.4180742023964141E-2</v>
      </c>
      <c r="Q1058" s="19">
        <f ca="1">IF('Stock Price'!$I$11="OK",D1058/INDEX(D$5:D$1258,'Stock Price'!$I$9)-1,"")</f>
        <v>6.4869303407690815E-3</v>
      </c>
      <c r="R1058" s="19">
        <f ca="1">IF('Stock Price'!$I$11="OK",E1058/INDEX(E$5:E$1258,'Stock Price'!$I$9)-1,"")</f>
        <v>-7.8581503123110741E-3</v>
      </c>
      <c r="S1058" s="19">
        <f ca="1">IF('Stock Price'!$I$11="OK",F1058/INDEX(F$5:F$1258,'Stock Price'!$I$9)-1,"")</f>
        <v>-4.4703595724004952E-3</v>
      </c>
      <c r="T1058" s="19">
        <f ca="1">IF('Stock Price'!$I$11="OK",G1058/INDEX(G$5:G$1258,'Stock Price'!$I$9)-1,"")</f>
        <v>-8.5009330292348251E-3</v>
      </c>
      <c r="U1058" s="19">
        <f ca="1">IF('Stock Price'!$I$11="OK",H1058/INDEX(H$5:H$1258,'Stock Price'!$I$9)-1,"")</f>
        <v>-5.2631578947368474E-2</v>
      </c>
      <c r="V1058" s="19">
        <f ca="1">IF('Stock Price'!$I$11="OK",I1058/INDEX(I$5:I$1258,'Stock Price'!$I$9)-1,"")</f>
        <v>4.9642573471008644E-2</v>
      </c>
      <c r="W1058" s="19">
        <f ca="1">IF('Stock Price'!$I$11="OK",J1058/INDEX(J$5:J$1258,'Stock Price'!$I$9)-1,"")</f>
        <v>-1.6818467918101265E-2</v>
      </c>
      <c r="X1058" s="19">
        <f ca="1">IF('Stock Price'!$I$11="OK",K1058/INDEX(K$5:K$1258,'Stock Price'!$I$9)-1,"")</f>
        <v>1.5525626636737622E-2</v>
      </c>
      <c r="Y1058" s="19">
        <f ca="1">IF('Stock Price'!$I$11="OK",L1058/INDEX(L$5:L$1258,'Stock Price'!$I$9)-1,"")</f>
        <v>3.2891246684350062E-2</v>
      </c>
      <c r="Z1058" s="19">
        <f ca="1">IF('Stock Price'!$I$11="OK",M1058/INDEX(M$5:M$1258,'Stock Price'!$I$9)-1,"")</f>
        <v>-8.1112903929179136E-3</v>
      </c>
    </row>
    <row r="1059" spans="1:26" x14ac:dyDescent="0.2">
      <c r="A1059" s="16">
        <f>'Stock Price'!A1059</f>
        <v>46007</v>
      </c>
      <c r="B1059" s="17">
        <f>'Stock Price'!E1059</f>
        <v>98.27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-7.6843588539220353E-2</v>
      </c>
      <c r="P1059" s="19">
        <f ca="1">IF('Stock Price'!$I$11="OK",C1059/INDEX(C$5:C$1258,'Stock Price'!$I$9)-1,"")</f>
        <v>-2.5335643135556474E-2</v>
      </c>
      <c r="Q1059" s="19">
        <f ca="1">IF('Stock Price'!$I$11="OK",D1059/INDEX(D$5:D$1258,'Stock Price'!$I$9)-1,"")</f>
        <v>6.4869303407690815E-3</v>
      </c>
      <c r="R1059" s="19">
        <f ca="1">IF('Stock Price'!$I$11="OK",E1059/INDEX(E$5:E$1258,'Stock Price'!$I$9)-1,"")</f>
        <v>-1.7126737860165275E-2</v>
      </c>
      <c r="S1059" s="19">
        <f ca="1">IF('Stock Price'!$I$11="OK",F1059/INDEX(F$5:F$1258,'Stock Price'!$I$9)-1,"")</f>
        <v>-2.3712342079689086E-2</v>
      </c>
      <c r="T1059" s="19">
        <f ca="1">IF('Stock Price'!$I$11="OK",G1059/INDEX(G$5:G$1258,'Stock Price'!$I$9)-1,"")</f>
        <v>-1.6379846568525758E-2</v>
      </c>
      <c r="U1059" s="19">
        <f ca="1">IF('Stock Price'!$I$11="OK",H1059/INDEX(H$5:H$1258,'Stock Price'!$I$9)-1,"")</f>
        <v>-7.7500000000000013E-2</v>
      </c>
      <c r="V1059" s="19">
        <f ca="1">IF('Stock Price'!$I$11="OK",I1059/INDEX(I$5:I$1258,'Stock Price'!$I$9)-1,"")</f>
        <v>1.3899920571882607E-2</v>
      </c>
      <c r="W1059" s="19">
        <f ca="1">IF('Stock Price'!$I$11="OK",J1059/INDEX(J$5:J$1258,'Stock Price'!$I$9)-1,"")</f>
        <v>-2.4130845273797608E-2</v>
      </c>
      <c r="X1059" s="19">
        <f ca="1">IF('Stock Price'!$I$11="OK",K1059/INDEX(K$5:K$1258,'Stock Price'!$I$9)-1,"")</f>
        <v>1.4403292181069949E-2</v>
      </c>
      <c r="Y1059" s="19">
        <f ca="1">IF('Stock Price'!$I$11="OK",L1059/INDEX(L$5:L$1258,'Stock Price'!$I$9)-1,"")</f>
        <v>9.4043887147337024E-3</v>
      </c>
      <c r="Z1059" s="19">
        <f ca="1">IF('Stock Price'!$I$11="OK",M1059/INDEX(M$5:M$1258,'Stock Price'!$I$9)-1,"")</f>
        <v>-2.459552570755752E-2</v>
      </c>
    </row>
    <row r="1060" spans="1:26" x14ac:dyDescent="0.2">
      <c r="A1060" s="16">
        <f>'Stock Price'!A1060</f>
        <v>46008</v>
      </c>
      <c r="B1060" s="17">
        <f>'Stock Price'!E1060</f>
        <v>99.18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-6.8294974166275169E-2</v>
      </c>
      <c r="P1060" s="19">
        <f ca="1">IF('Stock Price'!$I$11="OK",C1060/INDEX(C$5:C$1258,'Stock Price'!$I$9)-1,"")</f>
        <v>-2.5335643135556474E-2</v>
      </c>
      <c r="Q1060" s="19">
        <f ca="1">IF('Stock Price'!$I$11="OK",D1060/INDEX(D$5:D$1258,'Stock Price'!$I$9)-1,"")</f>
        <v>1.1358970849870031E-2</v>
      </c>
      <c r="R1060" s="19">
        <f ca="1">IF('Stock Price'!$I$11="OK",E1060/INDEX(E$5:E$1258,'Stock Price'!$I$9)-1,"")</f>
        <v>-1.8537175095708291E-2</v>
      </c>
      <c r="S1060" s="19">
        <f ca="1">IF('Stock Price'!$I$11="OK",F1060/INDEX(F$5:F$1258,'Stock Price'!$I$9)-1,"")</f>
        <v>-3.5957240038872684E-2</v>
      </c>
      <c r="T1060" s="19">
        <f ca="1">IF('Stock Price'!$I$11="OK",G1060/INDEX(G$5:G$1258,'Stock Price'!$I$9)-1,"")</f>
        <v>-1.8660584698320104E-3</v>
      </c>
      <c r="U1060" s="19">
        <f ca="1">IF('Stock Price'!$I$11="OK",H1060/INDEX(H$5:H$1258,'Stock Price'!$I$9)-1,"")</f>
        <v>-7.6184210526315854E-2</v>
      </c>
      <c r="V1060" s="19">
        <f ca="1">IF('Stock Price'!$I$11="OK",I1060/INDEX(I$5:I$1258,'Stock Price'!$I$9)-1,"")</f>
        <v>-5.5599682287530428E-3</v>
      </c>
      <c r="W1060" s="19">
        <f ca="1">IF('Stock Price'!$I$11="OK",J1060/INDEX(J$5:J$1258,'Stock Price'!$I$9)-1,"")</f>
        <v>-3.5701062608759937E-2</v>
      </c>
      <c r="X1060" s="19">
        <f ca="1">IF('Stock Price'!$I$11="OK",K1060/INDEX(K$5:K$1258,'Stock Price'!$I$9)-1,"")</f>
        <v>1.6835016835015093E-3</v>
      </c>
      <c r="Y1060" s="19">
        <f ca="1">IF('Stock Price'!$I$11="OK",L1060/INDEX(L$5:L$1258,'Stock Price'!$I$9)-1,"")</f>
        <v>1.4371835061490312E-2</v>
      </c>
      <c r="Z1060" s="19">
        <f ca="1">IF('Stock Price'!$I$11="OK",M1060/INDEX(M$5:M$1258,'Stock Price'!$I$9)-1,"")</f>
        <v>-2.1804544066983511E-2</v>
      </c>
    </row>
    <row r="1061" spans="1:26" x14ac:dyDescent="0.2">
      <c r="A1061" s="16">
        <f>'Stock Price'!A1061</f>
        <v>46009</v>
      </c>
      <c r="B1061" s="17">
        <f>'Stock Price'!E1061</f>
        <v>100.69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-5.4109910756223623E-2</v>
      </c>
      <c r="P1061" s="19">
        <f ca="1">IF('Stock Price'!$I$11="OK",C1061/INDEX(C$5:C$1258,'Stock Price'!$I$9)-1,"")</f>
        <v>-2.3603291468167864E-2</v>
      </c>
      <c r="Q1061" s="19">
        <f ca="1">IF('Stock Price'!$I$11="OK",D1061/INDEX(D$5:D$1258,'Stock Price'!$I$9)-1,"")</f>
        <v>-1.1687970439304918E-2</v>
      </c>
      <c r="R1061" s="19">
        <f ca="1">IF('Stock Price'!$I$11="OK",E1061/INDEX(E$5:E$1258,'Stock Price'!$I$9)-1,"")</f>
        <v>-2.6999798508966388E-2</v>
      </c>
      <c r="S1061" s="19">
        <f ca="1">IF('Stock Price'!$I$11="OK",F1061/INDEX(F$5:F$1258,'Stock Price'!$I$9)-1,"")</f>
        <v>-2.2934888241010642E-2</v>
      </c>
      <c r="T1061" s="19">
        <f ca="1">IF('Stock Price'!$I$11="OK",G1061/INDEX(G$5:G$1258,'Stock Price'!$I$9)-1,"")</f>
        <v>-4.9761559195520277E-3</v>
      </c>
      <c r="U1061" s="19">
        <f ca="1">IF('Stock Price'!$I$11="OK",H1061/INDEX(H$5:H$1258,'Stock Price'!$I$9)-1,"")</f>
        <v>-7.1052631578947478E-2</v>
      </c>
      <c r="V1061" s="19">
        <f ca="1">IF('Stock Price'!$I$11="OK",I1061/INDEX(I$5:I$1258,'Stock Price'!$I$9)-1,"")</f>
        <v>-5.5599682287530428E-3</v>
      </c>
      <c r="W1061" s="19">
        <f ca="1">IF('Stock Price'!$I$11="OK",J1061/INDEX(J$5:J$1258,'Stock Price'!$I$9)-1,"")</f>
        <v>-2.1733496241993167E-2</v>
      </c>
      <c r="X1061" s="19">
        <f ca="1">IF('Stock Price'!$I$11="OK",K1061/INDEX(K$5:K$1258,'Stock Price'!$I$9)-1,"")</f>
        <v>-2.4317246539469206E-3</v>
      </c>
      <c r="Y1061" s="19">
        <f ca="1">IF('Stock Price'!$I$11="OK",L1061/INDEX(L$5:L$1258,'Stock Price'!$I$9)-1,"")</f>
        <v>4.6298529057149374E-3</v>
      </c>
      <c r="Z1061" s="19">
        <f ca="1">IF('Stock Price'!$I$11="OK",M1061/INDEX(M$5:M$1258,'Stock Price'!$I$9)-1,"")</f>
        <v>-2.8302298198944698E-2</v>
      </c>
    </row>
    <row r="1062" spans="1:26" x14ac:dyDescent="0.2">
      <c r="A1062" s="16">
        <f>'Stock Price'!A1062</f>
        <v>46010</v>
      </c>
      <c r="B1062" s="17">
        <f>'Stock Price'!E1062</f>
        <v>101.09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-5.0352278064819123E-2</v>
      </c>
      <c r="P1062" s="19">
        <f ca="1">IF('Stock Price'!$I$11="OK",C1062/INDEX(C$5:C$1258,'Stock Price'!$I$9)-1,"")</f>
        <v>-1.7900967229680931E-2</v>
      </c>
      <c r="Q1062" s="19">
        <f ca="1">IF('Stock Price'!$I$11="OK",D1062/INDEX(D$5:D$1258,'Stock Price'!$I$9)-1,"")</f>
        <v>-7.9102230737649881E-3</v>
      </c>
      <c r="R1062" s="19">
        <f ca="1">IF('Stock Price'!$I$11="OK",E1062/INDEX(E$5:E$1258,'Stock Price'!$I$9)-1,"")</f>
        <v>-2.055208543219833E-2</v>
      </c>
      <c r="S1062" s="19">
        <f ca="1">IF('Stock Price'!$I$11="OK",F1062/INDEX(F$5:F$1258,'Stock Price'!$I$9)-1,"")</f>
        <v>-4.8590864917396059E-3</v>
      </c>
      <c r="T1062" s="19">
        <f ca="1">IF('Stock Price'!$I$11="OK",G1062/INDEX(G$5:G$1258,'Stock Price'!$I$9)-1,"")</f>
        <v>-1.0366991499066724E-3</v>
      </c>
      <c r="U1062" s="19">
        <f ca="1">IF('Stock Price'!$I$11="OK",H1062/INDEX(H$5:H$1258,'Stock Price'!$I$9)-1,"")</f>
        <v>-5.57894736842105E-2</v>
      </c>
      <c r="V1062" s="19">
        <f ca="1">IF('Stock Price'!$I$11="OK",I1062/INDEX(I$5:I$1258,'Stock Price'!$I$9)-1,"")</f>
        <v>3.9714058776807448E-4</v>
      </c>
      <c r="W1062" s="19">
        <f ca="1">IF('Stock Price'!$I$11="OK",J1062/INDEX(J$5:J$1258,'Stock Price'!$I$9)-1,"")</f>
        <v>-8.2565070902290705E-3</v>
      </c>
      <c r="X1062" s="19">
        <f ca="1">IF('Stock Price'!$I$11="OK",K1062/INDEX(K$5:K$1258,'Stock Price'!$I$9)-1,"")</f>
        <v>1.365506921062476E-2</v>
      </c>
      <c r="Y1062" s="19">
        <f ca="1">IF('Stock Price'!$I$11="OK",L1062/INDEX(L$5:L$1258,'Stock Price'!$I$9)-1,"")</f>
        <v>-4.7263081745839708E-3</v>
      </c>
      <c r="Z1062" s="19">
        <f ca="1">IF('Stock Price'!$I$11="OK",M1062/INDEX(M$5:M$1258,'Stock Price'!$I$9)-1,"")</f>
        <v>-1.0858662945357866E-2</v>
      </c>
    </row>
    <row r="1063" spans="1:26" x14ac:dyDescent="0.2">
      <c r="A1063" s="16">
        <f>'Stock Price'!A1063</f>
        <v>46013</v>
      </c>
      <c r="B1063" s="17">
        <f>'Stock Price'!E1063</f>
        <v>104.72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-1.6251761390324138E-2</v>
      </c>
      <c r="P1063" s="19">
        <f ca="1">IF('Stock Price'!$I$11="OK",C1063/INDEX(C$5:C$1258,'Stock Price'!$I$9)-1,"")</f>
        <v>-1.2054280352244762E-2</v>
      </c>
      <c r="Q1063" s="19">
        <f ca="1">IF('Stock Price'!$I$11="OK",D1063/INDEX(D$5:D$1258,'Stock Price'!$I$9)-1,"")</f>
        <v>-1.053784042698791E-2</v>
      </c>
      <c r="R1063" s="19">
        <f ca="1">IF('Stock Price'!$I$11="OK",E1063/INDEX(E$5:E$1258,'Stock Price'!$I$9)-1,"")</f>
        <v>-2.0955067499496272E-2</v>
      </c>
      <c r="S1063" s="19">
        <f ca="1">IF('Stock Price'!$I$11="OK",F1063/INDEX(F$5:F$1258,'Stock Price'!$I$9)-1,"")</f>
        <v>-1.1661807580175543E-3</v>
      </c>
      <c r="T1063" s="19">
        <f ca="1">IF('Stock Price'!$I$11="OK",G1063/INDEX(G$5:G$1258,'Stock Price'!$I$9)-1,"")</f>
        <v>-4.1467965996266898E-3</v>
      </c>
      <c r="U1063" s="19">
        <f ca="1">IF('Stock Price'!$I$11="OK",H1063/INDEX(H$5:H$1258,'Stock Price'!$I$9)-1,"")</f>
        <v>-6.6973684210526407E-2</v>
      </c>
      <c r="V1063" s="19">
        <f ca="1">IF('Stock Price'!$I$11="OK",I1063/INDEX(I$5:I$1258,'Stock Price'!$I$9)-1,"")</f>
        <v>1.1914217633042234E-3</v>
      </c>
      <c r="W1063" s="19">
        <f ca="1">IF('Stock Price'!$I$11="OK",J1063/INDEX(J$5:J$1258,'Stock Price'!$I$9)-1,"")</f>
        <v>-3.5913954607722509E-3</v>
      </c>
      <c r="X1063" s="19">
        <f ca="1">IF('Stock Price'!$I$11="OK",K1063/INDEX(K$5:K$1258,'Stock Price'!$I$9)-1,"")</f>
        <v>2.2446689113355678E-2</v>
      </c>
      <c r="Y1063" s="19">
        <f ca="1">IF('Stock Price'!$I$11="OK",L1063/INDEX(L$5:L$1258,'Stock Price'!$I$9)-1,"")</f>
        <v>-1.4468290330360567E-4</v>
      </c>
      <c r="Z1063" s="19">
        <f ca="1">IF('Stock Price'!$I$11="OK",M1063/INDEX(M$5:M$1258,'Stock Price'!$I$9)-1,"")</f>
        <v>-6.105272338755463E-3</v>
      </c>
    </row>
    <row r="1064" spans="1:26" x14ac:dyDescent="0.2">
      <c r="A1064" s="16">
        <f>'Stock Price'!A1064</f>
        <v>46014</v>
      </c>
      <c r="B1064" s="17">
        <f>'Stock Price'!E1064</f>
        <v>105.04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-1.324565523720056E-2</v>
      </c>
      <c r="P1064" s="19">
        <f ca="1">IF('Stock Price'!$I$11="OK",C1064/INDEX(C$5:C$1258,'Stock Price'!$I$9)-1,"")</f>
        <v>4.2586978489966842E-3</v>
      </c>
      <c r="Q1064" s="19">
        <f ca="1">IF('Stock Price'!$I$11="OK",D1064/INDEX(D$5:D$1258,'Stock Price'!$I$9)-1,"")</f>
        <v>1.779115916244578E-3</v>
      </c>
      <c r="R1064" s="19">
        <f ca="1">IF('Stock Price'!$I$11="OK",E1064/INDEX(E$5:E$1258,'Stock Price'!$I$9)-1,"")</f>
        <v>-1.5716300624622259E-2</v>
      </c>
      <c r="S1064" s="19">
        <f ca="1">IF('Stock Price'!$I$11="OK",F1064/INDEX(F$5:F$1258,'Stock Price'!$I$9)-1,"")</f>
        <v>2.215743440233231E-2</v>
      </c>
      <c r="T1064" s="19">
        <f ca="1">IF('Stock Price'!$I$11="OK",G1064/INDEX(G$5:G$1258,'Stock Price'!$I$9)-1,"")</f>
        <v>1.8660584698322324E-3</v>
      </c>
      <c r="U1064" s="19">
        <f ca="1">IF('Stock Price'!$I$11="OK",H1064/INDEX(H$5:H$1258,'Stock Price'!$I$9)-1,"")</f>
        <v>-5.4210526315789487E-2</v>
      </c>
      <c r="V1064" s="19">
        <f ca="1">IF('Stock Price'!$I$11="OK",I1064/INDEX(I$5:I$1258,'Stock Price'!$I$9)-1,"")</f>
        <v>-1.1914217633042123E-2</v>
      </c>
      <c r="W1064" s="19">
        <f ca="1">IF('Stock Price'!$I$11="OK",J1064/INDEX(J$5:J$1258,'Stock Price'!$I$9)-1,"")</f>
        <v>-8.0713836128696315E-3</v>
      </c>
      <c r="X1064" s="19">
        <f ca="1">IF('Stock Price'!$I$11="OK",K1064/INDEX(K$5:K$1258,'Stock Price'!$I$9)-1,"")</f>
        <v>1.5338570894126491E-2</v>
      </c>
      <c r="Y1064" s="19">
        <f ca="1">IF('Stock Price'!$I$11="OK",L1064/INDEX(L$5:L$1258,'Stock Price'!$I$9)-1,"")</f>
        <v>-7.5717386062212899E-3</v>
      </c>
      <c r="Z1064" s="19">
        <f ca="1">IF('Stock Price'!$I$11="OK",M1064/INDEX(M$5:M$1258,'Stock Price'!$I$9)-1,"")</f>
        <v>-2.2676725829663402E-3</v>
      </c>
    </row>
    <row r="1065" spans="1:26" x14ac:dyDescent="0.2">
      <c r="A1065" s="16">
        <f>'Stock Price'!A1065</f>
        <v>46015</v>
      </c>
      <c r="B1065" s="17">
        <f>'Stock Price'!E1065</f>
        <v>106.45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0</v>
      </c>
      <c r="P1065" s="19">
        <f ca="1">IF('Stock Price'!$I$11="OK",C1065/INDEX(C$5:C$1258,'Stock Price'!$I$9)-1,"")</f>
        <v>2.4541648621336787E-3</v>
      </c>
      <c r="Q1065" s="19">
        <f ca="1">IF('Stock Price'!$I$11="OK",D1065/INDEX(D$5:D$1258,'Stock Price'!$I$9)-1,"")</f>
        <v>2.0391405501573701E-2</v>
      </c>
      <c r="R1065" s="19">
        <f ca="1">IF('Stock Price'!$I$11="OK",E1065/INDEX(E$5:E$1258,'Stock Price'!$I$9)-1,"")</f>
        <v>-1.349989925448325E-2</v>
      </c>
      <c r="S1065" s="19">
        <f ca="1">IF('Stock Price'!$I$11="OK",F1065/INDEX(F$5:F$1258,'Stock Price'!$I$9)-1,"")</f>
        <v>2.0991253644314867E-2</v>
      </c>
      <c r="T1065" s="19">
        <f ca="1">IF('Stock Price'!$I$11="OK",G1065/INDEX(G$5:G$1258,'Stock Price'!$I$9)-1,"")</f>
        <v>2.6954177897575704E-3</v>
      </c>
      <c r="U1065" s="19">
        <f ca="1">IF('Stock Price'!$I$11="OK",H1065/INDEX(H$5:H$1258,'Stock Price'!$I$9)-1,"")</f>
        <v>-5.4210526315789487E-2</v>
      </c>
      <c r="V1065" s="19">
        <f ca="1">IF('Stock Price'!$I$11="OK",I1065/INDEX(I$5:I$1258,'Stock Price'!$I$9)-1,"")</f>
        <v>-5.9571088165210062E-3</v>
      </c>
      <c r="W1065" s="19">
        <f ca="1">IF('Stock Price'!$I$11="OK",J1065/INDEX(J$5:J$1258,'Stock Price'!$I$9)-1,"")</f>
        <v>-3.1285867673737089E-3</v>
      </c>
      <c r="X1065" s="19">
        <f ca="1">IF('Stock Price'!$I$11="OK",K1065/INDEX(K$5:K$1258,'Stock Price'!$I$9)-1,"")</f>
        <v>2.338196782641222E-2</v>
      </c>
      <c r="Y1065" s="19">
        <f ca="1">IF('Stock Price'!$I$11="OK",L1065/INDEX(L$5:L$1258,'Stock Price'!$I$9)-1,"")</f>
        <v>2.0737882806849406E-3</v>
      </c>
      <c r="Z1065" s="19">
        <f ca="1">IF('Stock Price'!$I$11="OK",M1065/INDEX(M$5:M$1258,'Stock Price'!$I$9)-1,"")</f>
        <v>2.5293271117701188E-3</v>
      </c>
    </row>
    <row r="1066" spans="1:26" x14ac:dyDescent="0.2">
      <c r="A1066" s="16">
        <f>'Stock Price'!A1066</f>
        <v>46017</v>
      </c>
      <c r="B1066" s="17">
        <f>'Stock Price'!E1066</f>
        <v>106.78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3.1000469704085543E-3</v>
      </c>
      <c r="P1066" s="19">
        <f ca="1">IF('Stock Price'!$I$11="OK",C1066/INDEX(C$5:C$1258,'Stock Price'!$I$9)-1,"")</f>
        <v>4.6196044463693298E-3</v>
      </c>
      <c r="Q1066" s="19">
        <f ca="1">IF('Stock Price'!$I$11="OK",D1066/INDEX(D$5:D$1258,'Stock Price'!$I$9)-1,"")</f>
        <v>-7.6638839469003184E-3</v>
      </c>
      <c r="R1066" s="19">
        <f ca="1">IF('Stock Price'!$I$11="OK",E1066/INDEX(E$5:E$1258,'Stock Price'!$I$9)-1,"")</f>
        <v>-1.108200685069527E-2</v>
      </c>
      <c r="S1066" s="19">
        <f ca="1">IF('Stock Price'!$I$11="OK",F1066/INDEX(F$5:F$1258,'Stock Price'!$I$9)-1,"")</f>
        <v>2.0408163265306145E-2</v>
      </c>
      <c r="T1066" s="19">
        <f ca="1">IF('Stock Price'!$I$11="OK",G1066/INDEX(G$5:G$1258,'Stock Price'!$I$9)-1,"")</f>
        <v>4.9761559195522498E-3</v>
      </c>
      <c r="U1066" s="19">
        <f ca="1">IF('Stock Price'!$I$11="OK",H1066/INDEX(H$5:H$1258,'Stock Price'!$I$9)-1,"")</f>
        <v>-5.4210526315789487E-2</v>
      </c>
      <c r="V1066" s="19">
        <f ca="1">IF('Stock Price'!$I$11="OK",I1066/INDEX(I$5:I$1258,'Stock Price'!$I$9)-1,"")</f>
        <v>-3.5742652899126703E-3</v>
      </c>
      <c r="W1066" s="19">
        <f ca="1">IF('Stock Price'!$I$11="OK",J1066/INDEX(J$5:J$1258,'Stock Price'!$I$9)-1,"")</f>
        <v>-2.4158613795400852E-3</v>
      </c>
      <c r="X1066" s="19">
        <f ca="1">IF('Stock Price'!$I$11="OK",K1066/INDEX(K$5:K$1258,'Stock Price'!$I$9)-1,"")</f>
        <v>2.2072577628133194E-2</v>
      </c>
      <c r="Y1066" s="19">
        <f ca="1">IF('Stock Price'!$I$11="OK",L1066/INDEX(L$5:L$1258,'Stock Price'!$I$9)-1,"")</f>
        <v>1.3503737641669122E-3</v>
      </c>
      <c r="Z1066" s="19">
        <f ca="1">IF('Stock Price'!$I$11="OK",M1066/INDEX(M$5:M$1258,'Stock Price'!$I$9)-1,"")</f>
        <v>2.9218089049758422E-3</v>
      </c>
    </row>
    <row r="1067" spans="1:26" x14ac:dyDescent="0.2">
      <c r="A1067" s="16">
        <f>'Stock Price'!A1067</f>
        <v>46020</v>
      </c>
      <c r="B1067" s="17">
        <f>'Stock Price'!E1067</f>
        <v>106.62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1.5969938938469319E-3</v>
      </c>
      <c r="P1067" s="19">
        <f ca="1">IF('Stock Price'!$I$11="OK",C1067/INDEX(C$5:C$1258,'Stock Price'!$I$9)-1,"")</f>
        <v>4.7639670853183436E-3</v>
      </c>
      <c r="Q1067" s="19">
        <f ca="1">IF('Stock Price'!$I$11="OK",D1067/INDEX(D$5:D$1258,'Stock Price'!$I$9)-1,"")</f>
        <v>2.4004379362255301E-2</v>
      </c>
      <c r="R1067" s="19">
        <f ca="1">IF('Stock Price'!$I$11="OK",E1067/INDEX(E$5:E$1258,'Stock Price'!$I$9)-1,"")</f>
        <v>-1.0477533749748247E-2</v>
      </c>
      <c r="S1067" s="19">
        <f ca="1">IF('Stock Price'!$I$11="OK",F1067/INDEX(F$5:F$1258,'Stock Price'!$I$9)-1,"")</f>
        <v>6.8027210884351597E-3</v>
      </c>
      <c r="T1067" s="19">
        <f ca="1">IF('Stock Price'!$I$11="OK",G1067/INDEX(G$5:G$1258,'Stock Price'!$I$9)-1,"")</f>
        <v>2.4880779597762359E-3</v>
      </c>
      <c r="U1067" s="19">
        <f ca="1">IF('Stock Price'!$I$11="OK",H1067/INDEX(H$5:H$1258,'Stock Price'!$I$9)-1,"")</f>
        <v>-4.1710526315789531E-2</v>
      </c>
      <c r="V1067" s="19">
        <f ca="1">IF('Stock Price'!$I$11="OK",I1067/INDEX(I$5:I$1258,'Stock Price'!$I$9)-1,"")</f>
        <v>-7.1485305798252297E-3</v>
      </c>
      <c r="W1067" s="19">
        <f ca="1">IF('Stock Price'!$I$11="OK",J1067/INDEX(J$5:J$1258,'Stock Price'!$I$9)-1,"")</f>
        <v>-1.5087563404789783E-3</v>
      </c>
      <c r="X1067" s="19">
        <f ca="1">IF('Stock Price'!$I$11="OK",K1067/INDEX(K$5:K$1258,'Stock Price'!$I$9)-1,"")</f>
        <v>1.2158623269734381E-2</v>
      </c>
      <c r="Y1067" s="19">
        <f ca="1">IF('Stock Price'!$I$11="OK",L1067/INDEX(L$5:L$1258,'Stock Price'!$I$9)-1,"")</f>
        <v>1.0127803231252397E-3</v>
      </c>
      <c r="Z1067" s="19">
        <f ca="1">IF('Stock Price'!$I$11="OK",M1067/INDEX(M$5:M$1258,'Stock Price'!$I$9)-1,"")</f>
        <v>6.6721904844970759E-3</v>
      </c>
    </row>
    <row r="1068" spans="1:26" x14ac:dyDescent="0.2">
      <c r="A1068" s="16">
        <f>'Stock Price'!A1068</f>
        <v>46021</v>
      </c>
      <c r="B1068" s="17">
        <f>'Stock Price'!E1068</f>
        <v>106.06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-3.6636918741193014E-3</v>
      </c>
      <c r="P1068" s="19">
        <f ca="1">IF('Stock Price'!$I$11="OK",C1068/INDEX(C$5:C$1258,'Stock Price'!$I$9)-1,"")</f>
        <v>1.2992637505413462E-3</v>
      </c>
      <c r="Q1068" s="19">
        <f ca="1">IF('Stock Price'!$I$11="OK",D1068/INDEX(D$5:D$1258,'Stock Price'!$I$9)-1,"")</f>
        <v>-9.9904201450664587E-3</v>
      </c>
      <c r="R1068" s="19">
        <f ca="1">IF('Stock Price'!$I$11="OK",E1068/INDEX(E$5:E$1258,'Stock Price'!$I$9)-1,"")</f>
        <v>-6.6492041104171395E-3</v>
      </c>
      <c r="S1068" s="19">
        <f ca="1">IF('Stock Price'!$I$11="OK",F1068/INDEX(F$5:F$1258,'Stock Price'!$I$9)-1,"")</f>
        <v>4.2759961127307733E-3</v>
      </c>
      <c r="T1068" s="19">
        <f ca="1">IF('Stock Price'!$I$11="OK",G1068/INDEX(G$5:G$1258,'Stock Price'!$I$9)-1,"")</f>
        <v>1.0574331329048503E-2</v>
      </c>
      <c r="U1068" s="19">
        <f ca="1">IF('Stock Price'!$I$11="OK",H1068/INDEX(H$5:H$1258,'Stock Price'!$I$9)-1,"")</f>
        <v>-2.6052631578947438E-2</v>
      </c>
      <c r="V1068" s="19">
        <f ca="1">IF('Stock Price'!$I$11="OK",I1068/INDEX(I$5:I$1258,'Stock Price'!$I$9)-1,"")</f>
        <v>-7.5456711675934152E-3</v>
      </c>
      <c r="W1068" s="19">
        <f ca="1">IF('Stock Price'!$I$11="OK",J1068/INDEX(J$5:J$1258,'Stock Price'!$I$9)-1,"")</f>
        <v>-5.6462660594602809E-4</v>
      </c>
      <c r="X1068" s="19">
        <f ca="1">IF('Stock Price'!$I$11="OK",K1068/INDEX(K$5:K$1258,'Stock Price'!$I$9)-1,"")</f>
        <v>1.4029180695847465E-2</v>
      </c>
      <c r="Y1068" s="19">
        <f ca="1">IF('Stock Price'!$I$11="OK",L1068/INDEX(L$5:L$1258,'Stock Price'!$I$9)-1,"")</f>
        <v>-2.1220159151194018E-3</v>
      </c>
      <c r="Z1068" s="19">
        <f ca="1">IF('Stock Price'!$I$11="OK",M1068/INDEX(M$5:M$1258,'Stock Price'!$I$9)-1,"")</f>
        <v>1.8751907897605058E-3</v>
      </c>
    </row>
    <row r="1069" spans="1:26" x14ac:dyDescent="0.2">
      <c r="A1069" s="16">
        <f>'Stock Price'!A1069</f>
        <v>46022</v>
      </c>
      <c r="B1069" s="17">
        <f>'Stock Price'!E1069</f>
        <v>105.26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-1.1178957256928079E-2</v>
      </c>
      <c r="P1069" s="19">
        <f ca="1">IF('Stock Price'!$I$11="OK",C1069/INDEX(C$5:C$1258,'Stock Price'!$I$9)-1,"")</f>
        <v>-4.8361484047927394E-3</v>
      </c>
      <c r="Q1069" s="19">
        <f ca="1">IF('Stock Price'!$I$11="OK",D1069/INDEX(D$5:D$1258,'Stock Price'!$I$9)-1,"")</f>
        <v>-3.9277405227863715E-2</v>
      </c>
      <c r="R1069" s="19">
        <f ca="1">IF('Stock Price'!$I$11="OK",E1069/INDEX(E$5:E$1258,'Stock Price'!$I$9)-1,"")</f>
        <v>-1.1887970985291263E-2</v>
      </c>
      <c r="S1069" s="19">
        <f ca="1">IF('Stock Price'!$I$11="OK",F1069/INDEX(F$5:F$1258,'Stock Price'!$I$9)-1,"")</f>
        <v>2.3323615160348865E-3</v>
      </c>
      <c r="T1069" s="19">
        <f ca="1">IF('Stock Price'!$I$11="OK",G1069/INDEX(G$5:G$1258,'Stock Price'!$I$9)-1,"")</f>
        <v>4.7688160895709153E-3</v>
      </c>
      <c r="U1069" s="19">
        <f ca="1">IF('Stock Price'!$I$11="OK",H1069/INDEX(H$5:H$1258,'Stock Price'!$I$9)-1,"")</f>
        <v>-2.6052631578947438E-2</v>
      </c>
      <c r="V1069" s="19">
        <f ca="1">IF('Stock Price'!$I$11="OK",I1069/INDEX(I$5:I$1258,'Stock Price'!$I$9)-1,"")</f>
        <v>-1.1119936457505974E-2</v>
      </c>
      <c r="W1069" s="19">
        <f ca="1">IF('Stock Price'!$I$11="OK",J1069/INDEX(J$5:J$1258,'Stock Price'!$I$9)-1,"")</f>
        <v>-5.257506757006758E-3</v>
      </c>
      <c r="X1069" s="19">
        <f ca="1">IF('Stock Price'!$I$11="OK",K1069/INDEX(K$5:K$1258,'Stock Price'!$I$9)-1,"")</f>
        <v>8.9786756453422711E-3</v>
      </c>
      <c r="Y1069" s="19">
        <f ca="1">IF('Stock Price'!$I$11="OK",L1069/INDEX(L$5:L$1258,'Stock Price'!$I$9)-1,"")</f>
        <v>-1.9291053773812239E-3</v>
      </c>
      <c r="Z1069" s="19">
        <f ca="1">IF('Stock Price'!$I$11="OK",M1069/INDEX(M$5:M$1258,'Stock Price'!$I$9)-1,"")</f>
        <v>-3.5759452269852332E-3</v>
      </c>
    </row>
    <row r="1070" spans="1:26" x14ac:dyDescent="0.2">
      <c r="A1070" s="16">
        <f>'Stock Price'!A1070</f>
        <v>46024</v>
      </c>
      <c r="B1070" s="17">
        <f>'Stock Price'!E1070</f>
        <v>106.45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</v>
      </c>
      <c r="P1070" s="19">
        <f ca="1">IF('Stock Price'!$I$11="OK",C1070/INDEX(C$5:C$1258,'Stock Price'!$I$9)-1,"")</f>
        <v>0</v>
      </c>
      <c r="Q1070" s="19">
        <f ca="1">IF('Stock Price'!$I$11="OK",D1070/INDEX(D$5:D$1258,'Stock Price'!$I$9)-1,"")</f>
        <v>0</v>
      </c>
      <c r="R1070" s="19">
        <f ca="1">IF('Stock Price'!$I$11="OK",E1070/INDEX(E$5:E$1258,'Stock Price'!$I$9)-1,"")</f>
        <v>0</v>
      </c>
      <c r="S1070" s="19">
        <f ca="1">IF('Stock Price'!$I$11="OK",F1070/INDEX(F$5:F$1258,'Stock Price'!$I$9)-1,"")</f>
        <v>0</v>
      </c>
      <c r="T1070" s="19">
        <f ca="1">IF('Stock Price'!$I$11="OK",G1070/INDEX(G$5:G$1258,'Stock Price'!$I$9)-1,"")</f>
        <v>0</v>
      </c>
      <c r="U1070" s="19">
        <f ca="1">IF('Stock Price'!$I$11="OK",H1070/INDEX(H$5:H$1258,'Stock Price'!$I$9)-1,"")</f>
        <v>0</v>
      </c>
      <c r="V1070" s="19">
        <f ca="1">IF('Stock Price'!$I$11="OK",I1070/INDEX(I$5:I$1258,'Stock Price'!$I$9)-1,"")</f>
        <v>0</v>
      </c>
      <c r="W1070" s="19">
        <f ca="1">IF('Stock Price'!$I$11="OK",J1070/INDEX(J$5:J$1258,'Stock Price'!$I$9)-1,"")</f>
        <v>0</v>
      </c>
      <c r="X1070" s="19">
        <f ca="1">IF('Stock Price'!$I$11="OK",K1070/INDEX(K$5:K$1258,'Stock Price'!$I$9)-1,"")</f>
        <v>0</v>
      </c>
      <c r="Y1070" s="19">
        <f ca="1">IF('Stock Price'!$I$11="OK",L1070/INDEX(L$5:L$1258,'Stock Price'!$I$9)-1,"")</f>
        <v>0</v>
      </c>
      <c r="Z1070" s="19">
        <f ca="1">IF('Stock Price'!$I$11="OK",M1070/INDEX(M$5:M$1258,'Stock Price'!$I$9)-1,"")</f>
        <v>0</v>
      </c>
    </row>
    <row r="1071" spans="1:26" x14ac:dyDescent="0.2">
      <c r="A1071" s="16">
        <f>'Stock Price'!A1071</f>
        <v>46027</v>
      </c>
      <c r="B1071" s="17">
        <f>'Stock Price'!E1071</f>
        <v>107.44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9.3001409112258848E-3</v>
      </c>
      <c r="P1071" s="19">
        <f ca="1">IF('Stock Price'!$I$11="OK",C1071/INDEX(C$5:C$1258,'Stock Price'!$I$9)-1,"")</f>
        <v>-4.5474231268947118E-3</v>
      </c>
      <c r="Q1071" s="19">
        <f ca="1">IF('Stock Price'!$I$11="OK",D1071/INDEX(D$5:D$1258,'Stock Price'!$I$9)-1,"")</f>
        <v>-1.9805665799918049E-2</v>
      </c>
      <c r="R1071" s="19">
        <f ca="1">IF('Stock Price'!$I$11="OK",E1071/INDEX(E$5:E$1258,'Stock Price'!$I$9)-1,"")</f>
        <v>-1.2290953052589093E-2</v>
      </c>
      <c r="S1071" s="19">
        <f ca="1">IF('Stock Price'!$I$11="OK",F1071/INDEX(F$5:F$1258,'Stock Price'!$I$9)-1,"")</f>
        <v>-1.554907677356776E-3</v>
      </c>
      <c r="T1071" s="19">
        <f ca="1">IF('Stock Price'!$I$11="OK",G1071/INDEX(G$5:G$1258,'Stock Price'!$I$9)-1,"")</f>
        <v>-1.4928467758656416E-2</v>
      </c>
      <c r="U1071" s="19">
        <f ca="1">IF('Stock Price'!$I$11="OK",H1071/INDEX(H$5:H$1258,'Stock Price'!$I$9)-1,"")</f>
        <v>5.2631578947368585E-3</v>
      </c>
      <c r="V1071" s="19">
        <f ca="1">IF('Stock Price'!$I$11="OK",I1071/INDEX(I$5:I$1258,'Stock Price'!$I$9)-1,"")</f>
        <v>-3.9714058776796346E-4</v>
      </c>
      <c r="W1071" s="19">
        <f ca="1">IF('Stock Price'!$I$11="OK",J1071/INDEX(J$5:J$1258,'Stock Price'!$I$9)-1,"")</f>
        <v>-3.5960235477063174E-2</v>
      </c>
      <c r="X1071" s="19">
        <f ca="1">IF('Stock Price'!$I$11="OK",K1071/INDEX(K$5:K$1258,'Stock Price'!$I$9)-1,"")</f>
        <v>-7.4822297044518926E-3</v>
      </c>
      <c r="Y1071" s="19">
        <f ca="1">IF('Stock Price'!$I$11="OK",L1071/INDEX(L$5:L$1258,'Stock Price'!$I$9)-1,"")</f>
        <v>-1.4661200868097413E-2</v>
      </c>
      <c r="Z1071" s="19">
        <f ca="1">IF('Stock Price'!$I$11="OK",M1071/INDEX(M$5:M$1258,'Stock Price'!$I$9)-1,"")</f>
        <v>-3.9815097466311955E-2</v>
      </c>
    </row>
    <row r="1072" spans="1:26" x14ac:dyDescent="0.2">
      <c r="A1072" s="16">
        <f>'Stock Price'!A1072</f>
        <v>46028</v>
      </c>
      <c r="B1072" s="17">
        <f>'Stock Price'!E1072</f>
        <v>108.87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2.2733677782996731E-2</v>
      </c>
      <c r="P1072" s="19">
        <f ca="1">IF('Stock Price'!$I$11="OK",C1072/INDEX(C$5:C$1258,'Stock Price'!$I$9)-1,"")</f>
        <v>2.692363216399607E-2</v>
      </c>
      <c r="Q1072" s="19">
        <f ca="1">IF('Stock Price'!$I$11="OK",D1072/INDEX(D$5:D$1258,'Stock Price'!$I$9)-1,"")</f>
        <v>4.2780895032160871E-2</v>
      </c>
      <c r="R1072" s="19">
        <f ca="1">IF('Stock Price'!$I$11="OK",E1072/INDEX(E$5:E$1258,'Stock Price'!$I$9)-1,"")</f>
        <v>1.8738666129357151E-2</v>
      </c>
      <c r="S1072" s="19">
        <f ca="1">IF('Stock Price'!$I$11="OK",F1072/INDEX(F$5:F$1258,'Stock Price'!$I$9)-1,"")</f>
        <v>3.10981535471333E-3</v>
      </c>
      <c r="T1072" s="19">
        <f ca="1">IF('Stock Price'!$I$11="OK",G1072/INDEX(G$5:G$1258,'Stock Price'!$I$9)-1,"")</f>
        <v>-1.2440389798878959E-3</v>
      </c>
      <c r="U1072" s="19">
        <f ca="1">IF('Stock Price'!$I$11="OK",H1072/INDEX(H$5:H$1258,'Stock Price'!$I$9)-1,"")</f>
        <v>1.0526315789474161E-3</v>
      </c>
      <c r="V1072" s="19">
        <f ca="1">IF('Stock Price'!$I$11="OK",I1072/INDEX(I$5:I$1258,'Stock Price'!$I$9)-1,"")</f>
        <v>9.92851469420164E-3</v>
      </c>
      <c r="W1072" s="19">
        <f ca="1">IF('Stock Price'!$I$11="OK",J1072/INDEX(J$5:J$1258,'Stock Price'!$I$9)-1,"")</f>
        <v>-1.5106075752526871E-2</v>
      </c>
      <c r="X1072" s="19">
        <f ca="1">IF('Stock Price'!$I$11="OK",K1072/INDEX(K$5:K$1258,'Stock Price'!$I$9)-1,"")</f>
        <v>1.7957351290684542E-2</v>
      </c>
      <c r="Y1072" s="19">
        <f ca="1">IF('Stock Price'!$I$11="OK",L1072/INDEX(L$5:L$1258,'Stock Price'!$I$9)-1,"")</f>
        <v>-1.2346274415239944E-2</v>
      </c>
      <c r="Z1072" s="19">
        <f ca="1">IF('Stock Price'!$I$11="OK",M1072/INDEX(M$5:M$1258,'Stock Price'!$I$9)-1,"")</f>
        <v>-2.3461689416074294E-2</v>
      </c>
    </row>
    <row r="1073" spans="1:26" x14ac:dyDescent="0.2">
      <c r="A1073" s="16">
        <f>'Stock Price'!A1073</f>
        <v>46029</v>
      </c>
      <c r="B1073" s="17">
        <f>'Stock Price'!E1073</f>
        <v>108.6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2.0197275716298702E-2</v>
      </c>
      <c r="P1073" s="19">
        <f ca="1">IF('Stock Price'!$I$11="OK",C1073/INDEX(C$5:C$1258,'Stock Price'!$I$9)-1,"")</f>
        <v>2.4830373899234814E-2</v>
      </c>
      <c r="Q1073" s="19">
        <f ca="1">IF('Stock Price'!$I$11="OK",D1073/INDEX(D$5:D$1258,'Stock Price'!$I$9)-1,"")</f>
        <v>4.4341042835637001E-2</v>
      </c>
      <c r="R1073" s="19">
        <f ca="1">IF('Stock Price'!$I$11="OK",E1073/INDEX(E$5:E$1258,'Stock Price'!$I$9)-1,"")</f>
        <v>1.9947612331251197E-2</v>
      </c>
      <c r="S1073" s="19">
        <f ca="1">IF('Stock Price'!$I$11="OK",F1073/INDEX(F$5:F$1258,'Stock Price'!$I$9)-1,"")</f>
        <v>3.16812439261418E-2</v>
      </c>
      <c r="T1073" s="19">
        <f ca="1">IF('Stock Price'!$I$11="OK",G1073/INDEX(G$5:G$1258,'Stock Price'!$I$9)-1,"")</f>
        <v>2.9027576197386828E-3</v>
      </c>
      <c r="U1073" s="19">
        <f ca="1">IF('Stock Price'!$I$11="OK",H1073/INDEX(H$5:H$1258,'Stock Price'!$I$9)-1,"")</f>
        <v>8.9473684210528148E-3</v>
      </c>
      <c r="V1073" s="19">
        <f ca="1">IF('Stock Price'!$I$11="OK",I1073/INDEX(I$5:I$1258,'Stock Price'!$I$9)-1,"")</f>
        <v>3.9714058776807448E-3</v>
      </c>
      <c r="W1073" s="19">
        <f ca="1">IF('Stock Price'!$I$11="OK",J1073/INDEX(J$5:J$1258,'Stock Price'!$I$9)-1,"")</f>
        <v>2.5667370135880718E-2</v>
      </c>
      <c r="X1073" s="19">
        <f ca="1">IF('Stock Price'!$I$11="OK",K1073/INDEX(K$5:K$1258,'Stock Price'!$I$9)-1,"")</f>
        <v>6.0980172091283258E-2</v>
      </c>
      <c r="Y1073" s="19">
        <f ca="1">IF('Stock Price'!$I$11="OK",L1073/INDEX(L$5:L$1258,'Stock Price'!$I$9)-1,"")</f>
        <v>6.7518688208356714E-4</v>
      </c>
      <c r="Z1073" s="19">
        <f ca="1">IF('Stock Price'!$I$11="OK",M1073/INDEX(M$5:M$1258,'Stock Price'!$I$9)-1,"")</f>
        <v>1.7923335223060333E-2</v>
      </c>
    </row>
    <row r="1074" spans="1:26" x14ac:dyDescent="0.2">
      <c r="A1074" s="16">
        <f>'Stock Price'!A1074</f>
        <v>46030</v>
      </c>
      <c r="B1074" s="17">
        <f>'Stock Price'!E1074</f>
        <v>110.99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4.2649131047439948E-2</v>
      </c>
      <c r="P1074" s="19">
        <f ca="1">IF('Stock Price'!$I$11="OK",C1074/INDEX(C$5:C$1258,'Stock Price'!$I$9)-1,"")</f>
        <v>2.1076945286560012E-2</v>
      </c>
      <c r="Q1074" s="19">
        <f ca="1">IF('Stock Price'!$I$11="OK",D1074/INDEX(D$5:D$1258,'Stock Price'!$I$9)-1,"")</f>
        <v>3.1887231421924067E-2</v>
      </c>
      <c r="R1074" s="19">
        <f ca="1">IF('Stock Price'!$I$11="OK",E1074/INDEX(E$5:E$1258,'Stock Price'!$I$9)-1,"")</f>
        <v>1.1887970985291041E-2</v>
      </c>
      <c r="S1074" s="19">
        <f ca="1">IF('Stock Price'!$I$11="OK",F1074/INDEX(F$5:F$1258,'Stock Price'!$I$9)-1,"")</f>
        <v>2.5655976676384862E-2</v>
      </c>
      <c r="T1074" s="19">
        <f ca="1">IF('Stock Price'!$I$11="OK",G1074/INDEX(G$5:G$1258,'Stock Price'!$I$9)-1,"")</f>
        <v>-2.0733982998132339E-3</v>
      </c>
      <c r="U1074" s="19">
        <f ca="1">IF('Stock Price'!$I$11="OK",H1074/INDEX(H$5:H$1258,'Stock Price'!$I$9)-1,"")</f>
        <v>4.039473684210515E-2</v>
      </c>
      <c r="V1074" s="19">
        <f ca="1">IF('Stock Price'!$I$11="OK",I1074/INDEX(I$5:I$1258,'Stock Price'!$I$9)-1,"")</f>
        <v>4.3685464654488193E-3</v>
      </c>
      <c r="W1074" s="19">
        <f ca="1">IF('Stock Price'!$I$11="OK",J1074/INDEX(J$5:J$1258,'Stock Price'!$I$9)-1,"")</f>
        <v>4.4707319782295585E-3</v>
      </c>
      <c r="X1074" s="19">
        <f ca="1">IF('Stock Price'!$I$11="OK",K1074/INDEX(K$5:K$1258,'Stock Price'!$I$9)-1,"")</f>
        <v>4.5641601197156767E-2</v>
      </c>
      <c r="Y1074" s="19">
        <f ca="1">IF('Stock Price'!$I$11="OK",L1074/INDEX(L$5:L$1258,'Stock Price'!$I$9)-1,"")</f>
        <v>-7.7164215095248956E-3</v>
      </c>
      <c r="Z1074" s="19">
        <f ca="1">IF('Stock Price'!$I$11="OK",M1074/INDEX(M$5:M$1258,'Stock Price'!$I$9)-1,"")</f>
        <v>-2.2589507653394958E-2</v>
      </c>
    </row>
    <row r="1075" spans="1:26" x14ac:dyDescent="0.2">
      <c r="A1075" s="16">
        <f>'Stock Price'!A1075</f>
        <v>46031</v>
      </c>
      <c r="B1075" s="17">
        <f>'Stock Price'!E1075</f>
        <v>110.53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3.8327853452325034E-2</v>
      </c>
      <c r="P1075" s="19">
        <f ca="1">IF('Stock Price'!$I$11="OK",C1075/INDEX(C$5:C$1258,'Stock Price'!$I$9)-1,"")</f>
        <v>2.1654395842356067E-2</v>
      </c>
      <c r="Q1075" s="19">
        <f ca="1">IF('Stock Price'!$I$11="OK",D1075/INDEX(D$5:D$1258,'Stock Price'!$I$9)-1,"")</f>
        <v>4.5490625427672127E-2</v>
      </c>
      <c r="R1075" s="19">
        <f ca="1">IF('Stock Price'!$I$11="OK",E1075/INDEX(E$5:E$1258,'Stock Price'!$I$9)-1,"")</f>
        <v>1.5313318557324207E-2</v>
      </c>
      <c r="S1075" s="19">
        <f ca="1">IF('Stock Price'!$I$11="OK",F1075/INDEX(F$5:F$1258,'Stock Price'!$I$9)-1,"")</f>
        <v>3.790087463556846E-2</v>
      </c>
      <c r="T1075" s="19">
        <f ca="1">IF('Stock Price'!$I$11="OK",G1075/INDEX(G$5:G$1258,'Stock Price'!$I$9)-1,"")</f>
        <v>1.6587186398507203E-2</v>
      </c>
      <c r="U1075" s="19">
        <f ca="1">IF('Stock Price'!$I$11="OK",H1075/INDEX(H$5:H$1258,'Stock Price'!$I$9)-1,"")</f>
        <v>2.3157894736842266E-2</v>
      </c>
      <c r="V1075" s="19">
        <f ca="1">IF('Stock Price'!$I$11="OK",I1075/INDEX(I$5:I$1258,'Stock Price'!$I$9)-1,"")</f>
        <v>1.1914217633042234E-2</v>
      </c>
      <c r="W1075" s="19">
        <f ca="1">IF('Stock Price'!$I$11="OK",J1075/INDEX(J$5:J$1258,'Stock Price'!$I$9)-1,"")</f>
        <v>-1.5550372098189436E-2</v>
      </c>
      <c r="X1075" s="19">
        <f ca="1">IF('Stock Price'!$I$11="OK",K1075/INDEX(K$5:K$1258,'Stock Price'!$I$9)-1,"")</f>
        <v>4.4893378226711578E-2</v>
      </c>
      <c r="Y1075" s="19">
        <f ca="1">IF('Stock Price'!$I$11="OK",L1075/INDEX(L$5:L$1258,'Stock Price'!$I$9)-1,"")</f>
        <v>-1.4275379792621168E-2</v>
      </c>
      <c r="Z1075" s="19">
        <f ca="1">IF('Stock Price'!$I$11="OK",M1075/INDEX(M$5:M$1258,'Stock Price'!$I$9)-1,"")</f>
        <v>-4.0251188347651623E-2</v>
      </c>
    </row>
    <row r="1076" spans="1:26" x14ac:dyDescent="0.2">
      <c r="A1076" s="16">
        <f>'Stock Price'!A1076</f>
        <v>46034</v>
      </c>
      <c r="B1076" s="17">
        <f>'Stock Price'!E1076</f>
        <v>109.19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2.5739783936120197E-2</v>
      </c>
      <c r="P1076" s="19">
        <f ca="1">IF('Stock Price'!$I$11="OK",C1076/INDEX(C$5:C$1258,'Stock Price'!$I$9)-1,"")</f>
        <v>2.3675472787642482E-2</v>
      </c>
      <c r="Q1076" s="19">
        <f ca="1">IF('Stock Price'!$I$11="OK",D1076/INDEX(D$5:D$1258,'Stock Price'!$I$9)-1,"")</f>
        <v>1.5354591487614533E-2</v>
      </c>
      <c r="R1076" s="19">
        <f ca="1">IF('Stock Price'!$I$11="OK",E1076/INDEX(E$5:E$1258,'Stock Price'!$I$9)-1,"")</f>
        <v>1.5313318557324207E-2</v>
      </c>
      <c r="S1076" s="19">
        <f ca="1">IF('Stock Price'!$I$11="OK",F1076/INDEX(F$5:F$1258,'Stock Price'!$I$9)-1,"")</f>
        <v>3.4013605442176909E-2</v>
      </c>
      <c r="T1076" s="19">
        <f ca="1">IF('Stock Price'!$I$11="OK",G1076/INDEX(G$5:G$1258,'Stock Price'!$I$9)-1,"")</f>
        <v>-1.3062409288824295E-2</v>
      </c>
      <c r="U1076" s="19">
        <f ca="1">IF('Stock Price'!$I$11="OK",H1076/INDEX(H$5:H$1258,'Stock Price'!$I$9)-1,"")</f>
        <v>4.4999999999999929E-2</v>
      </c>
      <c r="V1076" s="19">
        <f ca="1">IF('Stock Price'!$I$11="OK",I1076/INDEX(I$5:I$1258,'Stock Price'!$I$9)-1,"")</f>
        <v>3.5742652899126703E-3</v>
      </c>
      <c r="W1076" s="19">
        <f ca="1">IF('Stock Price'!$I$11="OK",J1076/INDEX(J$5:J$1258,'Stock Price'!$I$9)-1,"")</f>
        <v>5.9239512755016044E-4</v>
      </c>
      <c r="X1076" s="19">
        <f ca="1">IF('Stock Price'!$I$11="OK",K1076/INDEX(K$5:K$1258,'Stock Price'!$I$9)-1,"")</f>
        <v>4.3209876543209846E-2</v>
      </c>
      <c r="Y1076" s="19">
        <f ca="1">IF('Stock Price'!$I$11="OK",L1076/INDEX(L$5:L$1258,'Stock Price'!$I$9)-1,"")</f>
        <v>1.142994936098396E-2</v>
      </c>
      <c r="Z1076" s="19">
        <f ca="1">IF('Stock Price'!$I$11="OK",M1076/INDEX(M$5:M$1258,'Stock Price'!$I$9)-1,"")</f>
        <v>-4.0425624700187512E-2</v>
      </c>
    </row>
    <row r="1077" spans="1:26" x14ac:dyDescent="0.2">
      <c r="A1077" s="16">
        <f>'Stock Price'!A1077</f>
        <v>46035</v>
      </c>
      <c r="B1077" s="17">
        <f>'Stock Price'!E1077</f>
        <v>108.26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1.700328792860506E-2</v>
      </c>
      <c r="P1077" s="19">
        <f ca="1">IF('Stock Price'!$I$11="OK",C1077/INDEX(C$5:C$1258,'Stock Price'!$I$9)-1,"")</f>
        <v>2.2159665078677726E-2</v>
      </c>
      <c r="Q1077" s="19">
        <f ca="1">IF('Stock Price'!$I$11="OK",D1077/INDEX(D$5:D$1258,'Stock Price'!$I$9)-1,"")</f>
        <v>3.2763103872998522E-2</v>
      </c>
      <c r="R1077" s="19">
        <f ca="1">IF('Stock Price'!$I$11="OK",E1077/INDEX(E$5:E$1258,'Stock Price'!$I$9)-1,"")</f>
        <v>5.440257908523094E-3</v>
      </c>
      <c r="S1077" s="19">
        <f ca="1">IF('Stock Price'!$I$11="OK",F1077/INDEX(F$5:F$1258,'Stock Price'!$I$9)-1,"")</f>
        <v>3.6734693877551017E-2</v>
      </c>
      <c r="T1077" s="19">
        <f ca="1">IF('Stock Price'!$I$11="OK",G1077/INDEX(G$5:G$1258,'Stock Price'!$I$9)-1,"")</f>
        <v>-2.1356002488077785E-2</v>
      </c>
      <c r="U1077" s="19">
        <f ca="1">IF('Stock Price'!$I$11="OK",H1077/INDEX(H$5:H$1258,'Stock Price'!$I$9)-1,"")</f>
        <v>2.486842105263154E-2</v>
      </c>
      <c r="V1077" s="19">
        <f ca="1">IF('Stock Price'!$I$11="OK",I1077/INDEX(I$5:I$1258,'Stock Price'!$I$9)-1,"")</f>
        <v>-1.1914217633042234E-3</v>
      </c>
      <c r="W1077" s="19">
        <f ca="1">IF('Stock Price'!$I$11="OK",J1077/INDEX(J$5:J$1258,'Stock Price'!$I$9)-1,"")</f>
        <v>-2.9342071161463368E-3</v>
      </c>
      <c r="X1077" s="19">
        <f ca="1">IF('Stock Price'!$I$11="OK",K1077/INDEX(K$5:K$1258,'Stock Price'!$I$9)-1,"")</f>
        <v>4.6015712682379473E-2</v>
      </c>
      <c r="Y1077" s="19">
        <f ca="1">IF('Stock Price'!$I$11="OK",L1077/INDEX(L$5:L$1258,'Stock Price'!$I$9)-1,"")</f>
        <v>3.0383409693754526E-2</v>
      </c>
      <c r="Z1077" s="19">
        <f ca="1">IF('Stock Price'!$I$11="OK",M1077/INDEX(M$5:M$1258,'Stock Price'!$I$9)-1,"")</f>
        <v>-3.7329379442675892E-2</v>
      </c>
    </row>
    <row r="1078" spans="1:26" x14ac:dyDescent="0.2">
      <c r="A1078" s="16">
        <f>'Stock Price'!A1078</f>
        <v>46036</v>
      </c>
      <c r="B1078" s="17">
        <f>'Stock Price'!E1078</f>
        <v>111.01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4.2837012682010345E-2</v>
      </c>
      <c r="P1078" s="19">
        <f ca="1">IF('Stock Price'!$I$11="OK",C1078/INDEX(C$5:C$1258,'Stock Price'!$I$9)-1,"")</f>
        <v>5.500216543958425E-2</v>
      </c>
      <c r="Q1078" s="19">
        <f ca="1">IF('Stock Price'!$I$11="OK",D1078/INDEX(D$5:D$1258,'Stock Price'!$I$9)-1,"")</f>
        <v>4.1357602299165075E-2</v>
      </c>
      <c r="R1078" s="19">
        <f ca="1">IF('Stock Price'!$I$11="OK",E1078/INDEX(E$5:E$1258,'Stock Price'!$I$9)-1,"")</f>
        <v>2.3372959903284141E-2</v>
      </c>
      <c r="S1078" s="19">
        <f ca="1">IF('Stock Price'!$I$11="OK",F1078/INDEX(F$5:F$1258,'Stock Price'!$I$9)-1,"")</f>
        <v>4.8785228377065115E-2</v>
      </c>
      <c r="T1078" s="19">
        <f ca="1">IF('Stock Price'!$I$11="OK",G1078/INDEX(G$5:G$1258,'Stock Price'!$I$9)-1,"")</f>
        <v>-7.0495542193654837E-3</v>
      </c>
      <c r="U1078" s="19">
        <f ca="1">IF('Stock Price'!$I$11="OK",H1078/INDEX(H$5:H$1258,'Stock Price'!$I$9)-1,"")</f>
        <v>9.6578947368421098E-2</v>
      </c>
      <c r="V1078" s="19">
        <f ca="1">IF('Stock Price'!$I$11="OK",I1078/INDEX(I$5:I$1258,'Stock Price'!$I$9)-1,"")</f>
        <v>1.5885623510722757E-2</v>
      </c>
      <c r="W1078" s="19">
        <f ca="1">IF('Stock Price'!$I$11="OK",J1078/INDEX(J$5:J$1258,'Stock Price'!$I$9)-1,"")</f>
        <v>-6.5441149246546759E-3</v>
      </c>
      <c r="X1078" s="19">
        <f ca="1">IF('Stock Price'!$I$11="OK",K1078/INDEX(K$5:K$1258,'Stock Price'!$I$9)-1,"")</f>
        <v>6.6591844369622288E-2</v>
      </c>
      <c r="Y1078" s="19">
        <f ca="1">IF('Stock Price'!$I$11="OK",L1078/INDEX(L$5:L$1258,'Stock Price'!$I$9)-1,"")</f>
        <v>5.4014950566674713E-2</v>
      </c>
      <c r="Z1078" s="19">
        <f ca="1">IF('Stock Price'!$I$11="OK",M1078/INDEX(M$5:M$1258,'Stock Price'!$I$9)-1,"")</f>
        <v>-3.2357943395403654E-2</v>
      </c>
    </row>
    <row r="1079" spans="1:26" x14ac:dyDescent="0.2">
      <c r="A1079" s="16">
        <f>'Stock Price'!A1079</f>
        <v>46037</v>
      </c>
      <c r="B1079" s="17">
        <f>'Stock Price'!E1079</f>
        <v>110.97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4.2461249412869773E-2</v>
      </c>
      <c r="P1079" s="19">
        <f ca="1">IF('Stock Price'!$I$11="OK",C1079/INDEX(C$5:C$1258,'Stock Price'!$I$9)-1,"")</f>
        <v>3.3275588277753787E-2</v>
      </c>
      <c r="Q1079" s="19">
        <f ca="1">IF('Stock Price'!$I$11="OK",D1079/INDEX(D$5:D$1258,'Stock Price'!$I$9)-1,"")</f>
        <v>3.372108936636109E-2</v>
      </c>
      <c r="R1079" s="19">
        <f ca="1">IF('Stock Price'!$I$11="OK",E1079/INDEX(E$5:E$1258,'Stock Price'!$I$9)-1,"")</f>
        <v>-1.0276042716099276E-2</v>
      </c>
      <c r="S1079" s="19">
        <f ca="1">IF('Stock Price'!$I$11="OK",F1079/INDEX(F$5:F$1258,'Stock Price'!$I$9)-1,"")</f>
        <v>5.1895043731778223E-2</v>
      </c>
      <c r="T1079" s="19">
        <f ca="1">IF('Stock Price'!$I$11="OK",G1079/INDEX(G$5:G$1258,'Stock Price'!$I$9)-1,"")</f>
        <v>-1.5757827078581754E-2</v>
      </c>
      <c r="U1079" s="19">
        <f ca="1">IF('Stock Price'!$I$11="OK",H1079/INDEX(H$5:H$1258,'Stock Price'!$I$9)-1,"")</f>
        <v>0.10776315789473689</v>
      </c>
      <c r="V1079" s="19">
        <f ca="1">IF('Stock Price'!$I$11="OK",I1079/INDEX(I$5:I$1258,'Stock Price'!$I$9)-1,"")</f>
        <v>2.8196981731533066E-2</v>
      </c>
      <c r="W1079" s="19">
        <f ca="1">IF('Stock Price'!$I$11="OK",J1079/INDEX(J$5:J$1258,'Stock Price'!$I$9)-1,"")</f>
        <v>-4.3865007960309454E-2</v>
      </c>
      <c r="X1079" s="19">
        <f ca="1">IF('Stock Price'!$I$11="OK",K1079/INDEX(K$5:K$1258,'Stock Price'!$I$9)-1,"")</f>
        <v>5.9109614665170174E-2</v>
      </c>
      <c r="Y1079" s="19">
        <f ca="1">IF('Stock Price'!$I$11="OK",L1079/INDEX(L$5:L$1258,'Stock Price'!$I$9)-1,"")</f>
        <v>5.8934169278996862E-2</v>
      </c>
      <c r="Z1079" s="19">
        <f ca="1">IF('Stock Price'!$I$11="OK",M1079/INDEX(M$5:M$1258,'Stock Price'!$I$9)-1,"")</f>
        <v>-5.4773014696262723E-2</v>
      </c>
    </row>
    <row r="1080" spans="1:26" x14ac:dyDescent="0.2">
      <c r="A1080" s="16">
        <f>'Stock Price'!A1080</f>
        <v>46038</v>
      </c>
      <c r="B1080" s="17">
        <f>'Stock Price'!E1080</f>
        <v>108.83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2.2357914513856159E-2</v>
      </c>
      <c r="P1080" s="19">
        <f ca="1">IF('Stock Price'!$I$11="OK",C1080/INDEX(C$5:C$1258,'Stock Price'!$I$9)-1,"")</f>
        <v>4.1865165295221773E-2</v>
      </c>
      <c r="Q1080" s="19">
        <f ca="1">IF('Stock Price'!$I$11="OK",D1080/INDEX(D$5:D$1258,'Stock Price'!$I$9)-1,"")</f>
        <v>4.6257013822362136E-2</v>
      </c>
      <c r="R1080" s="19">
        <f ca="1">IF('Stock Price'!$I$11="OK",E1080/INDEX(E$5:E$1258,'Stock Price'!$I$9)-1,"")</f>
        <v>-2.8410235744509404E-2</v>
      </c>
      <c r="S1080" s="19">
        <f ca="1">IF('Stock Price'!$I$11="OK",F1080/INDEX(F$5:F$1258,'Stock Price'!$I$9)-1,"")</f>
        <v>5.4421768707482832E-2</v>
      </c>
      <c r="T1080" s="19">
        <f ca="1">IF('Stock Price'!$I$11="OK",G1080/INDEX(G$5:G$1258,'Stock Price'!$I$9)-1,"")</f>
        <v>-3.4003732116939522E-2</v>
      </c>
      <c r="U1080" s="19">
        <f ca="1">IF('Stock Price'!$I$11="OK",H1080/INDEX(H$5:H$1258,'Stock Price'!$I$9)-1,"")</f>
        <v>9.2500000000000027E-2</v>
      </c>
      <c r="V1080" s="19">
        <f ca="1">IF('Stock Price'!$I$11="OK",I1080/INDEX(I$5:I$1258,'Stock Price'!$I$9)-1,"")</f>
        <v>1.8665607625099279E-2</v>
      </c>
      <c r="W1080" s="19">
        <f ca="1">IF('Stock Price'!$I$11="OK",J1080/INDEX(J$5:J$1258,'Stock Price'!$I$9)-1,"")</f>
        <v>-3.883890555000169E-2</v>
      </c>
      <c r="X1080" s="19">
        <f ca="1">IF('Stock Price'!$I$11="OK",K1080/INDEX(K$5:K$1258,'Stock Price'!$I$9)-1,"")</f>
        <v>3.3670033670033517E-2</v>
      </c>
      <c r="Y1080" s="19">
        <f ca="1">IF('Stock Price'!$I$11="OK",L1080/INDEX(L$5:L$1258,'Stock Price'!$I$9)-1,"")</f>
        <v>5.4545454545454453E-2</v>
      </c>
      <c r="Z1080" s="19">
        <f ca="1">IF('Stock Price'!$I$11="OK",M1080/INDEX(M$5:M$1258,'Stock Price'!$I$9)-1,"")</f>
        <v>-6.5239195848414866E-2</v>
      </c>
    </row>
    <row r="1081" spans="1:26" x14ac:dyDescent="0.2">
      <c r="A1081" s="16">
        <f>'Stock Price'!A1081</f>
        <v>46042</v>
      </c>
      <c r="B1081" s="17">
        <f>'Stock Price'!E1081</f>
        <v>109.45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2.8182245185533139E-2</v>
      </c>
      <c r="P1081" s="19">
        <f ca="1">IF('Stock Price'!$I$11="OK",C1081/INDEX(C$5:C$1258,'Stock Price'!$I$9)-1,"")</f>
        <v>3.6379385015158139E-2</v>
      </c>
      <c r="Q1081" s="19">
        <f ca="1">IF('Stock Price'!$I$11="OK",D1081/INDEX(D$5:D$1258,'Stock Price'!$I$9)-1,"")</f>
        <v>2.8739564800874806E-3</v>
      </c>
      <c r="R1081" s="19">
        <f ca="1">IF('Stock Price'!$I$11="OK",E1081/INDEX(E$5:E$1258,'Stock Price'!$I$9)-1,"")</f>
        <v>-3.9895224662502615E-2</v>
      </c>
      <c r="S1081" s="19">
        <f ca="1">IF('Stock Price'!$I$11="OK",F1081/INDEX(F$5:F$1258,'Stock Price'!$I$9)-1,"")</f>
        <v>5.7920310981535383E-2</v>
      </c>
      <c r="T1081" s="19">
        <f ca="1">IF('Stock Price'!$I$11="OK",G1081/INDEX(G$5:G$1258,'Stock Price'!$I$9)-1,"")</f>
        <v>-5.1627617665353398E-2</v>
      </c>
      <c r="U1081" s="19">
        <f ca="1">IF('Stock Price'!$I$11="OK",H1081/INDEX(H$5:H$1258,'Stock Price'!$I$9)-1,"")</f>
        <v>0.12934210526315781</v>
      </c>
      <c r="V1081" s="19">
        <f ca="1">IF('Stock Price'!$I$11="OK",I1081/INDEX(I$5:I$1258,'Stock Price'!$I$9)-1,"")</f>
        <v>1.350277998411431E-2</v>
      </c>
      <c r="W1081" s="19">
        <f ca="1">IF('Stock Price'!$I$11="OK",J1081/INDEX(J$5:J$1258,'Stock Price'!$I$9)-1,"")</f>
        <v>-3.6163871302158479E-2</v>
      </c>
      <c r="X1081" s="19">
        <f ca="1">IF('Stock Price'!$I$11="OK",K1081/INDEX(K$5:K$1258,'Stock Price'!$I$9)-1,"")</f>
        <v>1.4216236438458596E-2</v>
      </c>
      <c r="Y1081" s="19">
        <f ca="1">IF('Stock Price'!$I$11="OK",L1081/INDEX(L$5:L$1258,'Stock Price'!$I$9)-1,"")</f>
        <v>5.2375210995900812E-2</v>
      </c>
      <c r="Z1081" s="19">
        <f ca="1">IF('Stock Price'!$I$11="OK",M1081/INDEX(M$5:M$1258,'Stock Price'!$I$9)-1,"")</f>
        <v>-6.6591077580567815E-2</v>
      </c>
    </row>
    <row r="1082" spans="1:26" x14ac:dyDescent="0.2">
      <c r="A1082" s="16">
        <f>'Stock Price'!A1082</f>
        <v>46043</v>
      </c>
      <c r="B1082" s="17">
        <f>'Stock Price'!E1082</f>
        <v>111.11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4.3776420854861442E-2</v>
      </c>
      <c r="P1082" s="19">
        <f ca="1">IF('Stock Price'!$I$11="OK",C1082/INDEX(C$5:C$1258,'Stock Price'!$I$9)-1,"")</f>
        <v>4.7423126894759804E-2</v>
      </c>
      <c r="Q1082" s="19">
        <f ca="1">IF('Stock Price'!$I$11="OK",D1082/INDEX(D$5:D$1258,'Stock Price'!$I$9)-1,"")</f>
        <v>-4.2014506637470972E-2</v>
      </c>
      <c r="R1082" s="19">
        <f ca="1">IF('Stock Price'!$I$11="OK",E1082/INDEX(E$5:E$1258,'Stock Price'!$I$9)-1,"")</f>
        <v>-3.1432601249244407E-2</v>
      </c>
      <c r="S1082" s="19">
        <f ca="1">IF('Stock Price'!$I$11="OK",F1082/INDEX(F$5:F$1258,'Stock Price'!$I$9)-1,"")</f>
        <v>5.5004859086491775E-2</v>
      </c>
      <c r="T1082" s="19">
        <f ca="1">IF('Stock Price'!$I$11="OK",G1082/INDEX(G$5:G$1258,'Stock Price'!$I$9)-1,"")</f>
        <v>-4.2504665146174569E-2</v>
      </c>
      <c r="U1082" s="19">
        <f ca="1">IF('Stock Price'!$I$11="OK",H1082/INDEX(H$5:H$1258,'Stock Price'!$I$9)-1,"")</f>
        <v>0.1232894736842105</v>
      </c>
      <c r="V1082" s="19">
        <f ca="1">IF('Stock Price'!$I$11="OK",I1082/INDEX(I$5:I$1258,'Stock Price'!$I$9)-1,"")</f>
        <v>2.8196981731533066E-2</v>
      </c>
      <c r="W1082" s="19">
        <f ca="1">IF('Stock Price'!$I$11="OK",J1082/INDEX(J$5:J$1258,'Stock Price'!$I$9)-1,"")</f>
        <v>-1.7031359917063504E-3</v>
      </c>
      <c r="X1082" s="19">
        <f ca="1">IF('Stock Price'!$I$11="OK",K1082/INDEX(K$5:K$1258,'Stock Price'!$I$9)-1,"")</f>
        <v>1.9453797231574921E-2</v>
      </c>
      <c r="Y1082" s="19">
        <f ca="1">IF('Stock Price'!$I$11="OK",L1082/INDEX(L$5:L$1258,'Stock Price'!$I$9)-1,"")</f>
        <v>5.1410658307210033E-2</v>
      </c>
      <c r="Z1082" s="19">
        <f ca="1">IF('Stock Price'!$I$11="OK",M1082/INDEX(M$5:M$1258,'Stock Price'!$I$9)-1,"")</f>
        <v>-5.7389559984300731E-2</v>
      </c>
    </row>
    <row r="1083" spans="1:26" x14ac:dyDescent="0.2">
      <c r="A1083" s="16">
        <f>'Stock Price'!A1083</f>
        <v>46044</v>
      </c>
      <c r="B1083" s="17">
        <f>'Stock Price'!E1083</f>
        <v>109.18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2.564584311883511E-2</v>
      </c>
      <c r="P1083" s="19">
        <f ca="1">IF('Stock Price'!$I$11="OK",C1083/INDEX(C$5:C$1258,'Stock Price'!$I$9)-1,"")</f>
        <v>4.6629132380539895E-2</v>
      </c>
      <c r="Q1083" s="19">
        <f ca="1">IF('Stock Price'!$I$11="OK",D1083/INDEX(D$5:D$1258,'Stock Price'!$I$9)-1,"")</f>
        <v>-1.7380593951005996E-2</v>
      </c>
      <c r="R1083" s="19">
        <f ca="1">IF('Stock Price'!$I$11="OK",E1083/INDEX(E$5:E$1258,'Stock Price'!$I$9)-1,"")</f>
        <v>-1.9746121297602337E-2</v>
      </c>
      <c r="S1083" s="19">
        <f ca="1">IF('Stock Price'!$I$11="OK",F1083/INDEX(F$5:F$1258,'Stock Price'!$I$9)-1,"")</f>
        <v>6.4917395529640265E-2</v>
      </c>
      <c r="T1083" s="19">
        <f ca="1">IF('Stock Price'!$I$11="OK",G1083/INDEX(G$5:G$1258,'Stock Price'!$I$9)-1,"")</f>
        <v>-3.5869790586771644E-2</v>
      </c>
      <c r="U1083" s="19">
        <f ca="1">IF('Stock Price'!$I$11="OK",H1083/INDEX(H$5:H$1258,'Stock Price'!$I$9)-1,"")</f>
        <v>0.16223684210526312</v>
      </c>
      <c r="V1083" s="19">
        <f ca="1">IF('Stock Price'!$I$11="OK",I1083/INDEX(I$5:I$1258,'Stock Price'!$I$9)-1,"")</f>
        <v>3.6536934074662408E-2</v>
      </c>
      <c r="W1083" s="19">
        <f ca="1">IF('Stock Price'!$I$11="OK",J1083/INDEX(J$5:J$1258,'Stock Price'!$I$9)-1,"")</f>
        <v>6.4978340553150105E-3</v>
      </c>
      <c r="X1083" s="19">
        <f ca="1">IF('Stock Price'!$I$11="OK",K1083/INDEX(K$5:K$1258,'Stock Price'!$I$9)-1,"")</f>
        <v>2.7684249906472003E-2</v>
      </c>
      <c r="Y1083" s="19">
        <f ca="1">IF('Stock Price'!$I$11="OK",L1083/INDEX(L$5:L$1258,'Stock Price'!$I$9)-1,"")</f>
        <v>5.3725584760067502E-2</v>
      </c>
      <c r="Z1083" s="19">
        <f ca="1">IF('Stock Price'!$I$11="OK",M1083/INDEX(M$5:M$1258,'Stock Price'!$I$9)-1,"")</f>
        <v>-4.8842178710043149E-2</v>
      </c>
    </row>
    <row r="1084" spans="1:26" x14ac:dyDescent="0.2">
      <c r="A1084" s="16">
        <f>'Stock Price'!A1084</f>
        <v>46045</v>
      </c>
      <c r="B1084" s="17">
        <f>'Stock Price'!E1084</f>
        <v>108.18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1.6251761390324138E-2</v>
      </c>
      <c r="P1084" s="19">
        <f ca="1">IF('Stock Price'!$I$11="OK",C1084/INDEX(C$5:C$1258,'Stock Price'!$I$9)-1,"")</f>
        <v>6.2075934748087258E-2</v>
      </c>
      <c r="Q1084" s="19">
        <f ca="1">IF('Stock Price'!$I$11="OK",D1084/INDEX(D$5:D$1258,'Stock Price'!$I$9)-1,"")</f>
        <v>-2.83289995894348E-2</v>
      </c>
      <c r="R1084" s="19">
        <f ca="1">IF('Stock Price'!$I$11="OK",E1084/INDEX(E$5:E$1258,'Stock Price'!$I$9)-1,"")</f>
        <v>-9.6715696151522534E-3</v>
      </c>
      <c r="S1084" s="19">
        <f ca="1">IF('Stock Price'!$I$11="OK",F1084/INDEX(F$5:F$1258,'Stock Price'!$I$9)-1,"")</f>
        <v>7.3469387755101812E-2</v>
      </c>
      <c r="T1084" s="19">
        <f ca="1">IF('Stock Price'!$I$11="OK",G1084/INDEX(G$5:G$1258,'Stock Price'!$I$9)-1,"")</f>
        <v>-2.1356002488077785E-2</v>
      </c>
      <c r="U1084" s="19">
        <f ca="1">IF('Stock Price'!$I$11="OK",H1084/INDEX(H$5:H$1258,'Stock Price'!$I$9)-1,"")</f>
        <v>0.1725000000000001</v>
      </c>
      <c r="V1084" s="19">
        <f ca="1">IF('Stock Price'!$I$11="OK",I1084/INDEX(I$5:I$1258,'Stock Price'!$I$9)-1,"")</f>
        <v>1.8665607625099279E-2</v>
      </c>
      <c r="W1084" s="19">
        <f ca="1">IF('Stock Price'!$I$11="OK",J1084/INDEX(J$5:J$1258,'Stock Price'!$I$9)-1,"")</f>
        <v>-1.4874671405827655E-2</v>
      </c>
      <c r="X1084" s="19">
        <f ca="1">IF('Stock Price'!$I$11="OK",K1084/INDEX(K$5:K$1258,'Stock Price'!$I$9)-1,"")</f>
        <v>2.2259633370744547E-2</v>
      </c>
      <c r="Y1084" s="19">
        <f ca="1">IF('Stock Price'!$I$11="OK",L1084/INDEX(L$5:L$1258,'Stock Price'!$I$9)-1,"")</f>
        <v>6.1683144441765148E-2</v>
      </c>
      <c r="Z1084" s="19">
        <f ca="1">IF('Stock Price'!$I$11="OK",M1084/INDEX(M$5:M$1258,'Stock Price'!$I$9)-1,"")</f>
        <v>-4.3827133574636967E-2</v>
      </c>
    </row>
    <row r="1085" spans="1:26" x14ac:dyDescent="0.2">
      <c r="A1085" s="16">
        <f>'Stock Price'!A1085</f>
        <v>46048</v>
      </c>
      <c r="B1085" s="17">
        <f>'Stock Price'!E1085</f>
        <v>107.4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8.9243776420855347E-3</v>
      </c>
      <c r="P1085" s="19">
        <f ca="1">IF('Stock Price'!$I$11="OK",C1085/INDEX(C$5:C$1258,'Stock Price'!$I$9)-1,"")</f>
        <v>7.6367836004042289E-2</v>
      </c>
      <c r="Q1085" s="19">
        <f ca="1">IF('Stock Price'!$I$11="OK",D1085/INDEX(D$5:D$1258,'Stock Price'!$I$9)-1,"")</f>
        <v>-1.984398521965236E-2</v>
      </c>
      <c r="R1085" s="19">
        <f ca="1">IF('Stock Price'!$I$11="OK",E1085/INDEX(E$5:E$1258,'Stock Price'!$I$9)-1,"")</f>
        <v>1.3902881321781191E-2</v>
      </c>
      <c r="S1085" s="19">
        <f ca="1">IF('Stock Price'!$I$11="OK",F1085/INDEX(F$5:F$1258,'Stock Price'!$I$9)-1,"")</f>
        <v>9.0767735665694849E-2</v>
      </c>
      <c r="T1085" s="19">
        <f ca="1">IF('Stock Price'!$I$11="OK",G1085/INDEX(G$5:G$1258,'Stock Price'!$I$9)-1,"")</f>
        <v>-1.8660584698320548E-2</v>
      </c>
      <c r="U1085" s="19">
        <f ca="1">IF('Stock Price'!$I$11="OK",H1085/INDEX(H$5:H$1258,'Stock Price'!$I$9)-1,"")</f>
        <v>0.22013157894736857</v>
      </c>
      <c r="V1085" s="19">
        <f ca="1">IF('Stock Price'!$I$11="OK",I1085/INDEX(I$5:I$1258,'Stock Price'!$I$9)-1,"")</f>
        <v>2.779984114376477E-2</v>
      </c>
      <c r="W1085" s="19">
        <f ca="1">IF('Stock Price'!$I$11="OK",J1085/INDEX(J$5:J$1258,'Stock Price'!$I$9)-1,"")</f>
        <v>-1.6300122181495014E-2</v>
      </c>
      <c r="X1085" s="19">
        <f ca="1">IF('Stock Price'!$I$11="OK",K1085/INDEX(K$5:K$1258,'Stock Price'!$I$9)-1,"")</f>
        <v>2.1324354657688005E-2</v>
      </c>
      <c r="Y1085" s="19">
        <f ca="1">IF('Stock Price'!$I$11="OK",L1085/INDEX(L$5:L$1258,'Stock Price'!$I$9)-1,"")</f>
        <v>6.8193875090426959E-2</v>
      </c>
      <c r="Z1085" s="19">
        <f ca="1">IF('Stock Price'!$I$11="OK",M1085/INDEX(M$5:M$1258,'Stock Price'!$I$9)-1,"")</f>
        <v>-3.7242161266407892E-2</v>
      </c>
    </row>
    <row r="1086" spans="1:26" x14ac:dyDescent="0.2">
      <c r="A1086" s="16">
        <f>'Stock Price'!A1086</f>
        <v>46049</v>
      </c>
      <c r="B1086" s="17">
        <f>'Stock Price'!E1086</f>
        <v>107.92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1.3809300140911196E-2</v>
      </c>
      <c r="P1086" s="19">
        <f ca="1">IF('Stock Price'!$I$11="OK",C1086/INDEX(C$5:C$1258,'Stock Price'!$I$9)-1,"")</f>
        <v>9.8744045041143425E-2</v>
      </c>
      <c r="Q1086" s="19">
        <f ca="1">IF('Stock Price'!$I$11="OK",D1086/INDEX(D$5:D$1258,'Stock Price'!$I$9)-1,"")</f>
        <v>2.9505953195565926E-2</v>
      </c>
      <c r="R1086" s="19">
        <f ca="1">IF('Stock Price'!$I$11="OK",E1086/INDEX(E$5:E$1258,'Stock Price'!$I$9)-1,"")</f>
        <v>2.3574450936933111E-2</v>
      </c>
      <c r="S1086" s="19">
        <f ca="1">IF('Stock Price'!$I$11="OK",F1086/INDEX(F$5:F$1258,'Stock Price'!$I$9)-1,"")</f>
        <v>0.101846452866861</v>
      </c>
      <c r="T1086" s="19">
        <f ca="1">IF('Stock Price'!$I$11="OK",G1086/INDEX(G$5:G$1258,'Stock Price'!$I$9)-1,"")</f>
        <v>-1.5343147418618974E-2</v>
      </c>
      <c r="U1086" s="19">
        <f ca="1">IF('Stock Price'!$I$11="OK",H1086/INDEX(H$5:H$1258,'Stock Price'!$I$9)-1,"")</f>
        <v>0.22986842105263161</v>
      </c>
      <c r="V1086" s="19">
        <f ca="1">IF('Stock Price'!$I$11="OK",I1086/INDEX(I$5:I$1258,'Stock Price'!$I$9)-1,"")</f>
        <v>5.2422557585385166E-2</v>
      </c>
      <c r="W1086" s="19">
        <f ca="1">IF('Stock Price'!$I$11="OK",J1086/INDEX(J$5:J$1258,'Stock Price'!$I$9)-1,"")</f>
        <v>-3.781147025065712E-2</v>
      </c>
      <c r="X1086" s="19">
        <f ca="1">IF('Stock Price'!$I$11="OK",K1086/INDEX(K$5:K$1258,'Stock Price'!$I$9)-1,"")</f>
        <v>3.9281705948372547E-2</v>
      </c>
      <c r="Y1086" s="19">
        <f ca="1">IF('Stock Price'!$I$11="OK",L1086/INDEX(L$5:L$1258,'Stock Price'!$I$9)-1,"")</f>
        <v>8.2421027248613443E-2</v>
      </c>
      <c r="Z1086" s="19">
        <f ca="1">IF('Stock Price'!$I$11="OK",M1086/INDEX(M$5:M$1258,'Stock Price'!$I$9)-1,"")</f>
        <v>-2.3461689416074294E-2</v>
      </c>
    </row>
    <row r="1087" spans="1:26" x14ac:dyDescent="0.2">
      <c r="A1087" s="16">
        <f>'Stock Price'!A1087</f>
        <v>46050</v>
      </c>
      <c r="B1087" s="17">
        <f>'Stock Price'!E1087</f>
        <v>106.9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4.2273367778300486E-3</v>
      </c>
      <c r="P1087" s="19">
        <f ca="1">IF('Stock Price'!$I$11="OK",C1087/INDEX(C$5:C$1258,'Stock Price'!$I$9)-1,"")</f>
        <v>6.7345171069727261E-2</v>
      </c>
      <c r="Q1087" s="19">
        <f ca="1">IF('Stock Price'!$I$11="OK",D1087/INDEX(D$5:D$1258,'Stock Price'!$I$9)-1,"")</f>
        <v>2.8055289448474019E-2</v>
      </c>
      <c r="R1087" s="19">
        <f ca="1">IF('Stock Price'!$I$11="OK",E1087/INDEX(E$5:E$1258,'Stock Price'!$I$9)-1,"")</f>
        <v>9.4700785815031718E-3</v>
      </c>
      <c r="S1087" s="19">
        <f ca="1">IF('Stock Price'!$I$11="OK",F1087/INDEX(F$5:F$1258,'Stock Price'!$I$9)-1,"")</f>
        <v>5.7142857142857162E-2</v>
      </c>
      <c r="T1087" s="19">
        <f ca="1">IF('Stock Price'!$I$11="OK",G1087/INDEX(G$5:G$1258,'Stock Price'!$I$9)-1,"")</f>
        <v>-5.1005598175409395E-2</v>
      </c>
      <c r="U1087" s="19">
        <f ca="1">IF('Stock Price'!$I$11="OK",H1087/INDEX(H$5:H$1258,'Stock Price'!$I$9)-1,"")</f>
        <v>0.1892105263157895</v>
      </c>
      <c r="V1087" s="19">
        <f ca="1">IF('Stock Price'!$I$11="OK",I1087/INDEX(I$5:I$1258,'Stock Price'!$I$9)-1,"")</f>
        <v>2.7005559968228843E-2</v>
      </c>
      <c r="W1087" s="19">
        <f ca="1">IF('Stock Price'!$I$11="OK",J1087/INDEX(J$5:J$1258,'Stock Price'!$I$9)-1,"")</f>
        <v>-5.2352919397237963E-2</v>
      </c>
      <c r="X1087" s="19">
        <f ca="1">IF('Stock Price'!$I$11="OK",K1087/INDEX(K$5:K$1258,'Stock Price'!$I$9)-1,"")</f>
        <v>2.1698466142910489E-2</v>
      </c>
      <c r="Y1087" s="19">
        <f ca="1">IF('Stock Price'!$I$11="OK",L1087/INDEX(L$5:L$1258,'Stock Price'!$I$9)-1,"")</f>
        <v>9.823969134313959E-2</v>
      </c>
      <c r="Z1087" s="19">
        <f ca="1">IF('Stock Price'!$I$11="OK",M1087/INDEX(M$5:M$1258,'Stock Price'!$I$9)-1,"")</f>
        <v>-4.6400069774541031E-2</v>
      </c>
    </row>
    <row r="1088" spans="1:26" x14ac:dyDescent="0.2">
      <c r="A1088" s="16">
        <f>'Stock Price'!A1088</f>
        <v>46051</v>
      </c>
      <c r="B1088" s="17">
        <f>'Stock Price'!E1088</f>
        <v>108.34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1.775481446688576E-2</v>
      </c>
      <c r="P1088" s="19">
        <f ca="1">IF('Stock Price'!$I$11="OK",C1088/INDEX(C$5:C$1258,'Stock Price'!$I$9)-1,"")</f>
        <v>7.4852028295077311E-2</v>
      </c>
      <c r="Q1088" s="19">
        <f ca="1">IF('Stock Price'!$I$11="OK",D1088/INDEX(D$5:D$1258,'Stock Price'!$I$9)-1,"")</f>
        <v>2.7097303955110341E-3</v>
      </c>
      <c r="R1088" s="19">
        <f ca="1">IF('Stock Price'!$I$11="OK",E1088/INDEX(E$5:E$1258,'Stock Price'!$I$9)-1,"")</f>
        <v>2.0753576465847079E-2</v>
      </c>
      <c r="S1088" s="19">
        <f ca="1">IF('Stock Price'!$I$11="OK",F1088/INDEX(F$5:F$1258,'Stock Price'!$I$9)-1,"")</f>
        <v>0.10826044703595716</v>
      </c>
      <c r="T1088" s="19">
        <f ca="1">IF('Stock Price'!$I$11="OK",G1088/INDEX(G$5:G$1258,'Stock Price'!$I$9)-1,"")</f>
        <v>-4.2089985486211789E-2</v>
      </c>
      <c r="U1088" s="19">
        <f ca="1">IF('Stock Price'!$I$11="OK",H1088/INDEX(H$5:H$1258,'Stock Price'!$I$9)-1,"")</f>
        <v>0.15828947368421065</v>
      </c>
      <c r="V1088" s="19">
        <f ca="1">IF('Stock Price'!$I$11="OK",I1088/INDEX(I$5:I$1258,'Stock Price'!$I$9)-1,"")</f>
        <v>3.6536934074662408E-2</v>
      </c>
      <c r="W1088" s="19">
        <f ca="1">IF('Stock Price'!$I$11="OK",J1088/INDEX(J$5:J$1258,'Stock Price'!$I$9)-1,"")</f>
        <v>-5.2038209485726794E-2</v>
      </c>
      <c r="X1088" s="19">
        <f ca="1">IF('Stock Price'!$I$11="OK",K1088/INDEX(K$5:K$1258,'Stock Price'!$I$9)-1,"")</f>
        <v>1.5338570894126491E-2</v>
      </c>
      <c r="Y1088" s="19">
        <f ca="1">IF('Stock Price'!$I$11="OK",L1088/INDEX(L$5:L$1258,'Stock Price'!$I$9)-1,"")</f>
        <v>9.6165903062454872E-2</v>
      </c>
      <c r="Z1088" s="19">
        <f ca="1">IF('Stock Price'!$I$11="OK",M1088/INDEX(M$5:M$1258,'Stock Price'!$I$9)-1,"")</f>
        <v>-3.8724870262962785E-2</v>
      </c>
    </row>
    <row r="1089" spans="1:26" x14ac:dyDescent="0.2">
      <c r="A1089" s="16">
        <f>'Stock Price'!A1089</f>
        <v>46052</v>
      </c>
      <c r="B1089" s="17">
        <f>'Stock Price'!E1089</f>
        <v>110.27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3.5885392202912092E-2</v>
      </c>
      <c r="P1089" s="19">
        <f ca="1">IF('Stock Price'!$I$11="OK",C1089/INDEX(C$5:C$1258,'Stock Price'!$I$9)-1,"")</f>
        <v>7.3191857947163319E-2</v>
      </c>
      <c r="Q1089" s="19">
        <f ca="1">IF('Stock Price'!$I$11="OK",D1089/INDEX(D$5:D$1258,'Stock Price'!$I$9)-1,"")</f>
        <v>2.4223347475023749E-2</v>
      </c>
      <c r="R1089" s="19">
        <f ca="1">IF('Stock Price'!$I$11="OK",E1089/INDEX(E$5:E$1258,'Stock Price'!$I$9)-1,"")</f>
        <v>3.9693733628853423E-2</v>
      </c>
      <c r="S1089" s="19">
        <f ca="1">IF('Stock Price'!$I$11="OK",F1089/INDEX(F$5:F$1258,'Stock Price'!$I$9)-1,"")</f>
        <v>0.10301263362487845</v>
      </c>
      <c r="T1089" s="19">
        <f ca="1">IF('Stock Price'!$I$11="OK",G1089/INDEX(G$5:G$1258,'Stock Price'!$I$9)-1,"")</f>
        <v>-2.4673439767779359E-2</v>
      </c>
      <c r="U1089" s="19">
        <f ca="1">IF('Stock Price'!$I$11="OK",H1089/INDEX(H$5:H$1258,'Stock Price'!$I$9)-1,"")</f>
        <v>0.17263157894736847</v>
      </c>
      <c r="V1089" s="19">
        <f ca="1">IF('Stock Price'!$I$11="OK",I1089/INDEX(I$5:I$1258,'Stock Price'!$I$9)-1,"")</f>
        <v>5.0039714058776941E-2</v>
      </c>
      <c r="W1089" s="19">
        <f ca="1">IF('Stock Price'!$I$11="OK",J1089/INDEX(J$5:J$1258,'Stock Price'!$I$9)-1,"")</f>
        <v>-3.9995927283497879E-2</v>
      </c>
      <c r="X1089" s="19">
        <f ca="1">IF('Stock Price'!$I$11="OK",K1089/INDEX(K$5:K$1258,'Stock Price'!$I$9)-1,"")</f>
        <v>2.974186307519644E-2</v>
      </c>
      <c r="Y1089" s="19">
        <f ca="1">IF('Stock Price'!$I$11="OK",L1089/INDEX(L$5:L$1258,'Stock Price'!$I$9)-1,"")</f>
        <v>9.5972992524716583E-2</v>
      </c>
      <c r="Z1089" s="19">
        <f ca="1">IF('Stock Price'!$I$11="OK",M1089/INDEX(M$5:M$1258,'Stock Price'!$I$9)-1,"")</f>
        <v>-2.7473725524399306E-2</v>
      </c>
    </row>
    <row r="1090" spans="1:26" x14ac:dyDescent="0.2">
      <c r="A1090" s="16">
        <f>'Stock Price'!A1090</f>
        <v>46055</v>
      </c>
      <c r="B1090" s="17">
        <f>'Stock Price'!E1090</f>
        <v>113.37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6.5007045561296328E-2</v>
      </c>
      <c r="P1090" s="19">
        <f ca="1">IF('Stock Price'!$I$11="OK",C1090/INDEX(C$5:C$1258,'Stock Price'!$I$9)-1,"")</f>
        <v>9.0226649343150056E-2</v>
      </c>
      <c r="Q1090" s="19">
        <f ca="1">IF('Stock Price'!$I$11="OK",D1090/INDEX(D$5:D$1258,'Stock Price'!$I$9)-1,"")</f>
        <v>3.1394553168194728E-2</v>
      </c>
      <c r="R1090" s="19">
        <f ca="1">IF('Stock Price'!$I$11="OK",E1090/INDEX(E$5:E$1258,'Stock Price'!$I$9)-1,"")</f>
        <v>5.722345355631675E-2</v>
      </c>
      <c r="S1090" s="19">
        <f ca="1">IF('Stock Price'!$I$11="OK",F1090/INDEX(F$5:F$1258,'Stock Price'!$I$9)-1,"")</f>
        <v>0.11020408163265305</v>
      </c>
      <c r="T1090" s="19">
        <f ca="1">IF('Stock Price'!$I$11="OK",G1090/INDEX(G$5:G$1258,'Stock Price'!$I$9)-1,"")</f>
        <v>-1.9904623678208444E-2</v>
      </c>
      <c r="U1090" s="19">
        <f ca="1">IF('Stock Price'!$I$11="OK",H1090/INDEX(H$5:H$1258,'Stock Price'!$I$9)-1,"")</f>
        <v>0.18434210526315797</v>
      </c>
      <c r="V1090" s="19">
        <f ca="1">IF('Stock Price'!$I$11="OK",I1090/INDEX(I$5:I$1258,'Stock Price'!$I$9)-1,"")</f>
        <v>5.8776806989674357E-2</v>
      </c>
      <c r="W1090" s="19">
        <f ca="1">IF('Stock Price'!$I$11="OK",J1090/INDEX(J$5:J$1258,'Stock Price'!$I$9)-1,"")</f>
        <v>-3.3535117923654933E-2</v>
      </c>
      <c r="X1090" s="19">
        <f ca="1">IF('Stock Price'!$I$11="OK",K1090/INDEX(K$5:K$1258,'Stock Price'!$I$9)-1,"")</f>
        <v>4.5454545454545414E-2</v>
      </c>
      <c r="Y1090" s="19">
        <f ca="1">IF('Stock Price'!$I$11="OK",L1090/INDEX(L$5:L$1258,'Stock Price'!$I$9)-1,"")</f>
        <v>0.11285266457680243</v>
      </c>
      <c r="Z1090" s="19">
        <f ca="1">IF('Stock Price'!$I$11="OK",M1090/INDEX(M$5:M$1258,'Stock Price'!$I$9)-1,"")</f>
        <v>-1.6004535345165993E-2</v>
      </c>
    </row>
    <row r="1091" spans="1:26" x14ac:dyDescent="0.2">
      <c r="A1091" s="16">
        <f>'Stock Price'!A1091</f>
        <v>46056</v>
      </c>
      <c r="B1091" s="17">
        <f>'Stock Price'!E1091</f>
        <v>115.84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8.8210427430718719E-2</v>
      </c>
      <c r="P1091" s="19">
        <f ca="1">IF('Stock Price'!$I$11="OK",C1091/INDEX(C$5:C$1258,'Stock Price'!$I$9)-1,"")</f>
        <v>8.1709253645156688E-2</v>
      </c>
      <c r="Q1091" s="19">
        <f ca="1">IF('Stock Price'!$I$11="OK",D1091/INDEX(D$5:D$1258,'Stock Price'!$I$9)-1,"")</f>
        <v>9.0050636376077797E-3</v>
      </c>
      <c r="R1091" s="19">
        <f ca="1">IF('Stock Price'!$I$11="OK",E1091/INDEX(E$5:E$1258,'Stock Price'!$I$9)-1,"")</f>
        <v>7.4753173483780078E-2</v>
      </c>
      <c r="S1091" s="19">
        <f ca="1">IF('Stock Price'!$I$11="OK",F1091/INDEX(F$5:F$1258,'Stock Price'!$I$9)-1,"")</f>
        <v>9.9708454810495617E-2</v>
      </c>
      <c r="T1091" s="19">
        <f ca="1">IF('Stock Price'!$I$11="OK",G1091/INDEX(G$5:G$1258,'Stock Price'!$I$9)-1,"")</f>
        <v>-1.5343147418618974E-2</v>
      </c>
      <c r="U1091" s="19">
        <f ca="1">IF('Stock Price'!$I$11="OK",H1091/INDEX(H$5:H$1258,'Stock Price'!$I$9)-1,"")</f>
        <v>0.19131578947368433</v>
      </c>
      <c r="V1091" s="19">
        <f ca="1">IF('Stock Price'!$I$11="OK",I1091/INDEX(I$5:I$1258,'Stock Price'!$I$9)-1,"")</f>
        <v>2.3431294678316172E-2</v>
      </c>
      <c r="W1091" s="19">
        <f ca="1">IF('Stock Price'!$I$11="OK",J1091/INDEX(J$5:J$1258,'Stock Price'!$I$9)-1,"")</f>
        <v>-7.1179977044688703E-2</v>
      </c>
      <c r="X1091" s="19">
        <f ca="1">IF('Stock Price'!$I$11="OK",K1091/INDEX(K$5:K$1258,'Stock Price'!$I$9)-1,"")</f>
        <v>4.7325102880658498E-2</v>
      </c>
      <c r="Y1091" s="19">
        <f ca="1">IF('Stock Price'!$I$11="OK",L1091/INDEX(L$5:L$1258,'Stock Price'!$I$9)-1,"")</f>
        <v>0.12418615866891725</v>
      </c>
      <c r="Z1091" s="19">
        <f ca="1">IF('Stock Price'!$I$11="OK",M1091/INDEX(M$5:M$1258,'Stock Price'!$I$9)-1,"")</f>
        <v>-1.5917317168897993E-2</v>
      </c>
    </row>
    <row r="1092" spans="1:26" x14ac:dyDescent="0.2">
      <c r="A1092" s="16">
        <f>'Stock Price'!A1092</f>
        <v>46057</v>
      </c>
      <c r="B1092" s="17">
        <f>'Stock Price'!E1092</f>
        <v>118.33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0.11160169093471106</v>
      </c>
      <c r="P1092" s="19">
        <f ca="1">IF('Stock Price'!$I$11="OK",C1092/INDEX(C$5:C$1258,'Stock Price'!$I$9)-1,"")</f>
        <v>0.10372455608488518</v>
      </c>
      <c r="Q1092" s="19">
        <f ca="1">IF('Stock Price'!$I$11="OK",D1092/INDEX(D$5:D$1258,'Stock Price'!$I$9)-1,"")</f>
        <v>2.6139318461748884E-2</v>
      </c>
      <c r="R1092" s="19">
        <f ca="1">IF('Stock Price'!$I$11="OK",E1092/INDEX(E$5:E$1258,'Stock Price'!$I$9)-1,"")</f>
        <v>0.15313318557324185</v>
      </c>
      <c r="S1092" s="19">
        <f ca="1">IF('Stock Price'!$I$11="OK",F1092/INDEX(F$5:F$1258,'Stock Price'!$I$9)-1,"")</f>
        <v>0.11292517006802716</v>
      </c>
      <c r="T1092" s="19">
        <f ca="1">IF('Stock Price'!$I$11="OK",G1092/INDEX(G$5:G$1258,'Stock Price'!$I$9)-1,"")</f>
        <v>-3.1100974497200173E-3</v>
      </c>
      <c r="U1092" s="19">
        <f ca="1">IF('Stock Price'!$I$11="OK",H1092/INDEX(H$5:H$1258,'Stock Price'!$I$9)-1,"")</f>
        <v>0.18815789473684208</v>
      </c>
      <c r="V1092" s="19">
        <f ca="1">IF('Stock Price'!$I$11="OK",I1092/INDEX(I$5:I$1258,'Stock Price'!$I$9)-1,"")</f>
        <v>6.3542494042891251E-2</v>
      </c>
      <c r="W1092" s="19">
        <f ca="1">IF('Stock Price'!$I$11="OK",J1092/INDEX(J$5:J$1258,'Stock Price'!$I$9)-1,"")</f>
        <v>2.4769521270687545E-2</v>
      </c>
      <c r="X1092" s="19">
        <f ca="1">IF('Stock Price'!$I$11="OK",K1092/INDEX(K$5:K$1258,'Stock Price'!$I$9)-1,"")</f>
        <v>7.7815188926299905E-2</v>
      </c>
      <c r="Y1092" s="19">
        <f ca="1">IF('Stock Price'!$I$11="OK",L1092/INDEX(L$5:L$1258,'Stock Price'!$I$9)-1,"")</f>
        <v>0.13079334458644798</v>
      </c>
      <c r="Z1092" s="19">
        <f ca="1">IF('Stock Price'!$I$11="OK",M1092/INDEX(M$5:M$1258,'Stock Price'!$I$9)-1,"")</f>
        <v>-5.3203087523439829E-2</v>
      </c>
    </row>
    <row r="1093" spans="1:26" x14ac:dyDescent="0.2">
      <c r="A1093" s="16">
        <f>'Stock Price'!A1093</f>
        <v>46058</v>
      </c>
      <c r="B1093" s="17">
        <f>'Stock Price'!E1093</f>
        <v>119.75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0.12494128698919682</v>
      </c>
      <c r="P1093" s="19">
        <f ca="1">IF('Stock Price'!$I$11="OK",C1093/INDEX(C$5:C$1258,'Stock Price'!$I$9)-1,"")</f>
        <v>0.11123141331023523</v>
      </c>
      <c r="Q1093" s="19">
        <f ca="1">IF('Stock Price'!$I$11="OK",D1093/INDEX(D$5:D$1258,'Stock Price'!$I$9)-1,"")</f>
        <v>2.4551799644176642E-2</v>
      </c>
      <c r="R1093" s="19">
        <f ca="1">IF('Stock Price'!$I$11="OK",E1093/INDEX(E$5:E$1258,'Stock Price'!$I$9)-1,"")</f>
        <v>0.19222244610114858</v>
      </c>
      <c r="S1093" s="19">
        <f ca="1">IF('Stock Price'!$I$11="OK",F1093/INDEX(F$5:F$1258,'Stock Price'!$I$9)-1,"")</f>
        <v>0.11020408163265305</v>
      </c>
      <c r="T1093" s="19">
        <f ca="1">IF('Stock Price'!$I$11="OK",G1093/INDEX(G$5:G$1258,'Stock Price'!$I$9)-1,"")</f>
        <v>-1.5343147418618974E-2</v>
      </c>
      <c r="U1093" s="19">
        <f ca="1">IF('Stock Price'!$I$11="OK",H1093/INDEX(H$5:H$1258,'Stock Price'!$I$9)-1,"")</f>
        <v>0.17934210526315786</v>
      </c>
      <c r="V1093" s="19">
        <f ca="1">IF('Stock Price'!$I$11="OK",I1093/INDEX(I$5:I$1258,'Stock Price'!$I$9)-1,"")</f>
        <v>5.2025416997617091E-2</v>
      </c>
      <c r="W1093" s="19">
        <f ca="1">IF('Stock Price'!$I$11="OK",J1093/INDEX(J$5:J$1258,'Stock Price'!$I$9)-1,"")</f>
        <v>-5.5092746862156927E-2</v>
      </c>
      <c r="X1093" s="19">
        <f ca="1">IF('Stock Price'!$I$11="OK",K1093/INDEX(K$5:K$1258,'Stock Price'!$I$9)-1,"")</f>
        <v>0.11335578002244673</v>
      </c>
      <c r="Y1093" s="19">
        <f ca="1">IF('Stock Price'!$I$11="OK",L1093/INDEX(L$5:L$1258,'Stock Price'!$I$9)-1,"")</f>
        <v>0.14680491921871242</v>
      </c>
      <c r="Z1093" s="19">
        <f ca="1">IF('Stock Price'!$I$11="OK",M1093/INDEX(M$5:M$1258,'Stock Price'!$I$9)-1,"")</f>
        <v>-4.4873751689852082E-2</v>
      </c>
    </row>
    <row r="1094" spans="1:26" x14ac:dyDescent="0.2">
      <c r="A1094" s="16">
        <f>'Stock Price'!A1094</f>
        <v>46059</v>
      </c>
      <c r="B1094" s="17">
        <f>'Stock Price'!E1094</f>
        <v>121.93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0.14542038515735101</v>
      </c>
      <c r="P1094" s="19">
        <f ca="1">IF('Stock Price'!$I$11="OK",C1094/INDEX(C$5:C$1258,'Stock Price'!$I$9)-1,"")</f>
        <v>0.12906019922044165</v>
      </c>
      <c r="Q1094" s="19">
        <f ca="1">IF('Stock Price'!$I$11="OK",D1094/INDEX(D$5:D$1258,'Stock Price'!$I$9)-1,"")</f>
        <v>5.668537019296549E-2</v>
      </c>
      <c r="R1094" s="19">
        <f ca="1">IF('Stock Price'!$I$11="OK",E1094/INDEX(E$5:E$1258,'Stock Price'!$I$9)-1,"")</f>
        <v>0.21358049566794257</v>
      </c>
      <c r="S1094" s="19">
        <f ca="1">IF('Stock Price'!$I$11="OK",F1094/INDEX(F$5:F$1258,'Stock Price'!$I$9)-1,"")</f>
        <v>0.12147716229348893</v>
      </c>
      <c r="T1094" s="19">
        <f ca="1">IF('Stock Price'!$I$11="OK",G1094/INDEX(G$5:G$1258,'Stock Price'!$I$9)-1,"")</f>
        <v>-8.2935931992536016E-3</v>
      </c>
      <c r="U1094" s="19">
        <f ca="1">IF('Stock Price'!$I$11="OK",H1094/INDEX(H$5:H$1258,'Stock Price'!$I$9)-1,"")</f>
        <v>0.20526315789473681</v>
      </c>
      <c r="V1094" s="19">
        <f ca="1">IF('Stock Price'!$I$11="OK",I1094/INDEX(I$5:I$1258,'Stock Price'!$I$9)-1,"")</f>
        <v>8.1016679904686306E-2</v>
      </c>
      <c r="W1094" s="19">
        <f ca="1">IF('Stock Price'!$I$11="OK",J1094/INDEX(J$5:J$1258,'Stock Price'!$I$9)-1,"")</f>
        <v>-2.0530193639157202E-2</v>
      </c>
      <c r="X1094" s="19">
        <f ca="1">IF('Stock Price'!$I$11="OK",K1094/INDEX(K$5:K$1258,'Stock Price'!$I$9)-1,"")</f>
        <v>0.15955854844743733</v>
      </c>
      <c r="Y1094" s="19">
        <f ca="1">IF('Stock Price'!$I$11="OK",L1094/INDEX(L$5:L$1258,'Stock Price'!$I$9)-1,"")</f>
        <v>0.1574149987943092</v>
      </c>
      <c r="Z1094" s="19">
        <f ca="1">IF('Stock Price'!$I$11="OK",M1094/INDEX(M$5:M$1258,'Stock Price'!$I$9)-1,"")</f>
        <v>-2.5642143822772634E-2</v>
      </c>
    </row>
    <row r="1095" spans="1:26" x14ac:dyDescent="0.2">
      <c r="A1095" s="16">
        <f>'Stock Price'!A1095</f>
        <v>46062</v>
      </c>
      <c r="B1095" s="17">
        <f>'Stock Price'!E1095</f>
        <v>117.65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0.10521371535932356</v>
      </c>
      <c r="P1095" s="19">
        <f ca="1">IF('Stock Price'!$I$11="OK",C1095/INDEX(C$5:C$1258,'Stock Price'!$I$9)-1,"")</f>
        <v>0.13360762234733659</v>
      </c>
      <c r="Q1095" s="19">
        <f ca="1">IF('Stock Price'!$I$11="OK",D1095/INDEX(D$5:D$1258,'Stock Price'!$I$9)-1,"")</f>
        <v>2.9204872040508922E-2</v>
      </c>
      <c r="R1095" s="19">
        <f ca="1">IF('Stock Price'!$I$11="OK",E1095/INDEX(E$5:E$1258,'Stock Price'!$I$9)-1,"")</f>
        <v>0.18899858956276439</v>
      </c>
      <c r="S1095" s="19">
        <f ca="1">IF('Stock Price'!$I$11="OK",F1095/INDEX(F$5:F$1258,'Stock Price'!$I$9)-1,"")</f>
        <v>0.11000971817298333</v>
      </c>
      <c r="T1095" s="19">
        <f ca="1">IF('Stock Price'!$I$11="OK",G1095/INDEX(G$5:G$1258,'Stock Price'!$I$9)-1,"")</f>
        <v>8.2935931992556E-4</v>
      </c>
      <c r="U1095" s="19">
        <f ca="1">IF('Stock Price'!$I$11="OK",H1095/INDEX(H$5:H$1258,'Stock Price'!$I$9)-1,"")</f>
        <v>0.21789473684210536</v>
      </c>
      <c r="V1095" s="19">
        <f ca="1">IF('Stock Price'!$I$11="OK",I1095/INDEX(I$5:I$1258,'Stock Price'!$I$9)-1,"")</f>
        <v>7.426528991262904E-2</v>
      </c>
      <c r="W1095" s="19">
        <f ca="1">IF('Stock Price'!$I$11="OK",J1095/INDEX(J$5:J$1258,'Stock Price'!$I$9)-1,"")</f>
        <v>-3.3035284534784548E-2</v>
      </c>
      <c r="X1095" s="19">
        <f ca="1">IF('Stock Price'!$I$11="OK",K1095/INDEX(K$5:K$1258,'Stock Price'!$I$9)-1,"")</f>
        <v>0.13673774784885895</v>
      </c>
      <c r="Y1095" s="19">
        <f ca="1">IF('Stock Price'!$I$11="OK",L1095/INDEX(L$5:L$1258,'Stock Price'!$I$9)-1,"")</f>
        <v>0.15090426814564739</v>
      </c>
      <c r="Z1095" s="19">
        <f ca="1">IF('Stock Price'!$I$11="OK",M1095/INDEX(M$5:M$1258,'Stock Price'!$I$9)-1,"")</f>
        <v>-2.6383498321050136E-2</v>
      </c>
    </row>
    <row r="1096" spans="1:26" x14ac:dyDescent="0.2">
      <c r="A1096" s="16">
        <f>'Stock Price'!A1096</f>
        <v>46063</v>
      </c>
      <c r="B1096" s="17">
        <f>'Stock Price'!E1096</f>
        <v>117.15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0.10051667449506807</v>
      </c>
      <c r="P1096" s="19">
        <f ca="1">IF('Stock Price'!$I$11="OK",C1096/INDEX(C$5:C$1258,'Stock Price'!$I$9)-1,"")</f>
        <v>0.14190847408690632</v>
      </c>
      <c r="Q1096" s="19">
        <f ca="1">IF('Stock Price'!$I$11="OK",D1096/INDEX(D$5:D$1258,'Stock Price'!$I$9)-1,"")</f>
        <v>5.871082523607507E-2</v>
      </c>
      <c r="R1096" s="19">
        <f ca="1">IF('Stock Price'!$I$11="OK",E1096/INDEX(E$5:E$1258,'Stock Price'!$I$9)-1,"")</f>
        <v>0.18517025992343328</v>
      </c>
      <c r="S1096" s="19">
        <f ca="1">IF('Stock Price'!$I$11="OK",F1096/INDEX(F$5:F$1258,'Stock Price'!$I$9)-1,"")</f>
        <v>0.10456754130223511</v>
      </c>
      <c r="T1096" s="19">
        <f ca="1">IF('Stock Price'!$I$11="OK",G1096/INDEX(G$5:G$1258,'Stock Price'!$I$9)-1,"")</f>
        <v>8.2935931992536016E-3</v>
      </c>
      <c r="U1096" s="19">
        <f ca="1">IF('Stock Price'!$I$11="OK",H1096/INDEX(H$5:H$1258,'Stock Price'!$I$9)-1,"")</f>
        <v>0.21500000000000008</v>
      </c>
      <c r="V1096" s="19">
        <f ca="1">IF('Stock Price'!$I$11="OK",I1096/INDEX(I$5:I$1258,'Stock Price'!$I$9)-1,"")</f>
        <v>9.6505162827640989E-2</v>
      </c>
      <c r="W1096" s="19">
        <f ca="1">IF('Stock Price'!$I$11="OK",J1096/INDEX(J$5:J$1258,'Stock Price'!$I$9)-1,"")</f>
        <v>-5.1242178533081439E-2</v>
      </c>
      <c r="X1096" s="19">
        <f ca="1">IF('Stock Price'!$I$11="OK",K1096/INDEX(K$5:K$1258,'Stock Price'!$I$9)-1,"")</f>
        <v>0.13842124953236068</v>
      </c>
      <c r="Y1096" s="19">
        <f ca="1">IF('Stock Price'!$I$11="OK",L1096/INDEX(L$5:L$1258,'Stock Price'!$I$9)-1,"")</f>
        <v>0.14950566674704602</v>
      </c>
      <c r="Z1096" s="19">
        <f ca="1">IF('Stock Price'!$I$11="OK",M1096/INDEX(M$5:M$1258,'Stock Price'!$I$9)-1,"")</f>
        <v>-2.995944354803548E-2</v>
      </c>
    </row>
    <row r="1097" spans="1:26" x14ac:dyDescent="0.2">
      <c r="A1097" s="16">
        <f>'Stock Price'!A1097</f>
        <v>46064</v>
      </c>
      <c r="B1097" s="17">
        <f>'Stock Price'!E1097</f>
        <v>119.31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0.12080789102865186</v>
      </c>
      <c r="P1097" s="19">
        <f ca="1">IF('Stock Price'!$I$11="OK",C1097/INDEX(C$5:C$1258,'Stock Price'!$I$9)-1,"")</f>
        <v>0.15533419950916705</v>
      </c>
      <c r="Q1097" s="19">
        <f ca="1">IF('Stock Price'!$I$11="OK",D1097/INDEX(D$5:D$1258,'Stock Price'!$I$9)-1,"")</f>
        <v>0.12089776926235096</v>
      </c>
      <c r="R1097" s="19">
        <f ca="1">IF('Stock Price'!$I$11="OK",E1097/INDEX(E$5:E$1258,'Stock Price'!$I$9)-1,"")</f>
        <v>0.17852105581301636</v>
      </c>
      <c r="S1097" s="19">
        <f ca="1">IF('Stock Price'!$I$11="OK",F1097/INDEX(F$5:F$1258,'Stock Price'!$I$9)-1,"")</f>
        <v>0.12322643343051509</v>
      </c>
      <c r="T1097" s="19">
        <f ca="1">IF('Stock Price'!$I$11="OK",G1097/INDEX(G$5:G$1258,'Stock Price'!$I$9)-1,"")</f>
        <v>2.1148662658096784E-2</v>
      </c>
      <c r="U1097" s="19">
        <f ca="1">IF('Stock Price'!$I$11="OK",H1097/INDEX(H$5:H$1258,'Stock Price'!$I$9)-1,"")</f>
        <v>0.21381578947368429</v>
      </c>
      <c r="V1097" s="19">
        <f ca="1">IF('Stock Price'!$I$11="OK",I1097/INDEX(I$5:I$1258,'Stock Price'!$I$9)-1,"")</f>
        <v>0.10127084988085788</v>
      </c>
      <c r="W1097" s="19">
        <f ca="1">IF('Stock Price'!$I$11="OK",J1097/INDEX(J$5:J$1258,'Stock Price'!$I$9)-1,"")</f>
        <v>-6.030397274982402E-2</v>
      </c>
      <c r="X1097" s="19">
        <f ca="1">IF('Stock Price'!$I$11="OK",K1097/INDEX(K$5:K$1258,'Stock Price'!$I$9)-1,"")</f>
        <v>0.12102506546950997</v>
      </c>
      <c r="Y1097" s="19">
        <f ca="1">IF('Stock Price'!$I$11="OK",L1097/INDEX(L$5:L$1258,'Stock Price'!$I$9)-1,"")</f>
        <v>0.16161080299011332</v>
      </c>
      <c r="Z1097" s="19">
        <f ca="1">IF('Stock Price'!$I$11="OK",M1097/INDEX(M$5:M$1258,'Stock Price'!$I$9)-1,"")</f>
        <v>-3.6718852208800334E-2</v>
      </c>
    </row>
    <row r="1098" spans="1:26" x14ac:dyDescent="0.2">
      <c r="A1098" s="16">
        <f>'Stock Price'!A1098</f>
        <v>46065</v>
      </c>
      <c r="B1098" s="17">
        <f>'Stock Price'!E1098</f>
        <v>119.24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0.12015030530765602</v>
      </c>
      <c r="P1098" s="19">
        <f ca="1">IF('Stock Price'!$I$11="OK",C1098/INDEX(C$5:C$1258,'Stock Price'!$I$9)-1,"")</f>
        <v>0.16341850729031338</v>
      </c>
      <c r="Q1098" s="19">
        <f ca="1">IF('Stock Price'!$I$11="OK",D1098/INDEX(D$5:D$1258,'Stock Price'!$I$9)-1,"")</f>
        <v>0.11958396058573961</v>
      </c>
      <c r="R1098" s="19">
        <f ca="1">IF('Stock Price'!$I$11="OK",E1098/INDEX(E$5:E$1258,'Stock Price'!$I$9)-1,"")</f>
        <v>0.17952851098126121</v>
      </c>
      <c r="S1098" s="19">
        <f ca="1">IF('Stock Price'!$I$11="OK",F1098/INDEX(F$5:F$1258,'Stock Price'!$I$9)-1,"")</f>
        <v>0.13916423712342074</v>
      </c>
      <c r="T1098" s="19">
        <f ca="1">IF('Stock Price'!$I$11="OK",G1098/INDEX(G$5:G$1258,'Stock Price'!$I$9)-1,"")</f>
        <v>-2.4880779597760694E-2</v>
      </c>
      <c r="U1098" s="19">
        <f ca="1">IF('Stock Price'!$I$11="OK",H1098/INDEX(H$5:H$1258,'Stock Price'!$I$9)-1,"")</f>
        <v>0.20236842105263153</v>
      </c>
      <c r="V1098" s="19">
        <f ca="1">IF('Stock Price'!$I$11="OK",I1098/INDEX(I$5:I$1258,'Stock Price'!$I$9)-1,"")</f>
        <v>9.0945194598887946E-2</v>
      </c>
      <c r="W1098" s="19">
        <f ca="1">IF('Stock Price'!$I$11="OK",J1098/INDEX(J$5:J$1258,'Stock Price'!$I$9)-1,"")</f>
        <v>-3.8959235810285375E-2</v>
      </c>
      <c r="X1098" s="19">
        <f ca="1">IF('Stock Price'!$I$11="OK",K1098/INDEX(K$5:K$1258,'Stock Price'!$I$9)-1,"")</f>
        <v>0.11971567527123073</v>
      </c>
      <c r="Y1098" s="19">
        <f ca="1">IF('Stock Price'!$I$11="OK",L1098/INDEX(L$5:L$1258,'Stock Price'!$I$9)-1,"")</f>
        <v>0.17940680009645527</v>
      </c>
      <c r="Z1098" s="19">
        <f ca="1">IF('Stock Price'!$I$11="OK",M1098/INDEX(M$5:M$1258,'Stock Price'!$I$9)-1,"")</f>
        <v>-7.8932449522480796E-3</v>
      </c>
    </row>
    <row r="1099" spans="1:26" x14ac:dyDescent="0.2">
      <c r="A1099" s="16">
        <f>'Stock Price'!A1099</f>
        <v>46066</v>
      </c>
      <c r="B1099" s="17">
        <f>'Stock Price'!E1099</f>
        <v>121.41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0.14053546265852512</v>
      </c>
      <c r="P1099" s="19">
        <f ca="1">IF('Stock Price'!$I$11="OK",C1099/INDEX(C$5:C$1258,'Stock Price'!$I$9)-1,"")</f>
        <v>0.17727732062942114</v>
      </c>
      <c r="Q1099" s="19">
        <f ca="1">IF('Stock Price'!$I$11="OK",D1099/INDEX(D$5:D$1258,'Stock Price'!$I$9)-1,"")</f>
        <v>0.12522238948953057</v>
      </c>
      <c r="R1099" s="19">
        <f ca="1">IF('Stock Price'!$I$11="OK",E1099/INDEX(E$5:E$1258,'Stock Price'!$I$9)-1,"")</f>
        <v>0.1873866612935724</v>
      </c>
      <c r="S1099" s="19">
        <f ca="1">IF('Stock Price'!$I$11="OK",F1099/INDEX(F$5:F$1258,'Stock Price'!$I$9)-1,"")</f>
        <v>0.13722060252672486</v>
      </c>
      <c r="T1099" s="19">
        <f ca="1">IF('Stock Price'!$I$11="OK",G1099/INDEX(G$5:G$1258,'Stock Price'!$I$9)-1,"")</f>
        <v>-4.6029442255857367E-2</v>
      </c>
      <c r="U1099" s="19">
        <f ca="1">IF('Stock Price'!$I$11="OK",H1099/INDEX(H$5:H$1258,'Stock Price'!$I$9)-1,"")</f>
        <v>0.21013157894736834</v>
      </c>
      <c r="V1099" s="19">
        <f ca="1">IF('Stock Price'!$I$11="OK",I1099/INDEX(I$5:I$1258,'Stock Price'!$I$9)-1,"")</f>
        <v>9.5313741064336766E-2</v>
      </c>
      <c r="W1099" s="19">
        <f ca="1">IF('Stock Price'!$I$11="OK",J1099/INDEX(J$5:J$1258,'Stock Price'!$I$9)-1,"")</f>
        <v>-3.7357917731126622E-2</v>
      </c>
      <c r="X1099" s="19">
        <f ca="1">IF('Stock Price'!$I$11="OK",K1099/INDEX(K$5:K$1258,'Stock Price'!$I$9)-1,"")</f>
        <v>0.13617658062102511</v>
      </c>
      <c r="Y1099" s="19">
        <f ca="1">IF('Stock Price'!$I$11="OK",L1099/INDEX(L$5:L$1258,'Stock Price'!$I$9)-1,"")</f>
        <v>0.17410176030865676</v>
      </c>
      <c r="Z1099" s="19">
        <f ca="1">IF('Stock Price'!$I$11="OK",M1099/INDEX(M$5:M$1258,'Stock Price'!$I$9)-1,"")</f>
        <v>9.5503903013387514E-3</v>
      </c>
    </row>
    <row r="1100" spans="1:26" x14ac:dyDescent="0.2">
      <c r="A1100" s="16">
        <f>'Stock Price'!A1100</f>
        <v>46070</v>
      </c>
      <c r="B1100" s="17">
        <f>'Stock Price'!E1100</f>
        <v>121.57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0.14203851573508675</v>
      </c>
      <c r="P1100" s="19">
        <f ca="1">IF('Stock Price'!$I$11="OK",C1100/INDEX(C$5:C$1258,'Stock Price'!$I$9)-1,"")</f>
        <v>0.19943698570809865</v>
      </c>
      <c r="Q1100" s="19">
        <f ca="1">IF('Stock Price'!$I$11="OK",D1100/INDEX(D$5:D$1258,'Stock Price'!$I$9)-1,"")</f>
        <v>0.14673600656904329</v>
      </c>
      <c r="R1100" s="19">
        <f ca="1">IF('Stock Price'!$I$11="OK",E1100/INDEX(E$5:E$1258,'Stock Price'!$I$9)-1,"")</f>
        <v>0.22647592182147891</v>
      </c>
      <c r="S1100" s="19">
        <f ca="1">IF('Stock Price'!$I$11="OK",F1100/INDEX(F$5:F$1258,'Stock Price'!$I$9)-1,"")</f>
        <v>0.16812439261418843</v>
      </c>
      <c r="T1100" s="19">
        <f ca="1">IF('Stock Price'!$I$11="OK",G1100/INDEX(G$5:G$1258,'Stock Price'!$I$9)-1,"")</f>
        <v>-3.7321169396640985E-2</v>
      </c>
      <c r="U1100" s="19">
        <f ca="1">IF('Stock Price'!$I$11="OK",H1100/INDEX(H$5:H$1258,'Stock Price'!$I$9)-1,"")</f>
        <v>0.29776315789473684</v>
      </c>
      <c r="V1100" s="19">
        <f ca="1">IF('Stock Price'!$I$11="OK",I1100/INDEX(I$5:I$1258,'Stock Price'!$I$9)-1,"")</f>
        <v>8.6973788721207423E-2</v>
      </c>
      <c r="W1100" s="19">
        <f ca="1">IF('Stock Price'!$I$11="OK",J1100/INDEX(J$5:J$1258,'Stock Price'!$I$9)-1,"")</f>
        <v>-4.1014106408974738E-2</v>
      </c>
      <c r="X1100" s="19">
        <f ca="1">IF('Stock Price'!$I$11="OK",K1100/INDEX(K$5:K$1258,'Stock Price'!$I$9)-1,"")</f>
        <v>0.12888140665918435</v>
      </c>
      <c r="Y1100" s="19">
        <f ca="1">IF('Stock Price'!$I$11="OK",L1100/INDEX(L$5:L$1258,'Stock Price'!$I$9)-1,"")</f>
        <v>0.17352302869544256</v>
      </c>
      <c r="Z1100" s="19">
        <f ca="1">IF('Stock Price'!$I$11="OK",M1100/INDEX(M$5:M$1258,'Stock Price'!$I$9)-1,"")</f>
        <v>1.5481226287558325E-2</v>
      </c>
    </row>
    <row r="1101" spans="1:26" x14ac:dyDescent="0.2">
      <c r="A1101" s="16">
        <f>'Stock Price'!A1101</f>
        <v>46071</v>
      </c>
      <c r="B1101" s="17">
        <f>'Stock Price'!E1101</f>
        <v>121.66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0.14288398309065276</v>
      </c>
      <c r="P1101" s="19">
        <f ca="1">IF('Stock Price'!$I$11="OK",C1101/INDEX(C$5:C$1258,'Stock Price'!$I$9)-1,"")</f>
        <v>0.1937346614696116</v>
      </c>
      <c r="Q1101" s="19">
        <f ca="1">IF('Stock Price'!$I$11="OK",D1101/INDEX(D$5:D$1258,'Stock Price'!$I$9)-1,"")</f>
        <v>0.14230190228547945</v>
      </c>
      <c r="R1101" s="19">
        <f ca="1">IF('Stock Price'!$I$11="OK",E1101/INDEX(E$5:E$1258,'Stock Price'!$I$9)-1,"")</f>
        <v>0.23272214386459789</v>
      </c>
      <c r="S1101" s="19">
        <f ca="1">IF('Stock Price'!$I$11="OK",F1101/INDEX(F$5:F$1258,'Stock Price'!$I$9)-1,"")</f>
        <v>0.16015549076773561</v>
      </c>
      <c r="T1101" s="19">
        <f ca="1">IF('Stock Price'!$I$11="OK",G1101/INDEX(G$5:G$1258,'Stock Price'!$I$9)-1,"")</f>
        <v>-4.3334024466099907E-2</v>
      </c>
      <c r="U1101" s="19">
        <f ca="1">IF('Stock Price'!$I$11="OK",H1101/INDEX(H$5:H$1258,'Stock Price'!$I$9)-1,"")</f>
        <v>0.20552631578947378</v>
      </c>
      <c r="V1101" s="19">
        <f ca="1">IF('Stock Price'!$I$11="OK",I1101/INDEX(I$5:I$1258,'Stock Price'!$I$9)-1,"")</f>
        <v>8.6973788721207423E-2</v>
      </c>
      <c r="W1101" s="19">
        <f ca="1">IF('Stock Price'!$I$11="OK",J1101/INDEX(J$5:J$1258,'Stock Price'!$I$9)-1,"")</f>
        <v>-5.5351919730460164E-2</v>
      </c>
      <c r="X1101" s="19">
        <f ca="1">IF('Stock Price'!$I$11="OK",K1101/INDEX(K$5:K$1258,'Stock Price'!$I$9)-1,"")</f>
        <v>0.11728395061728381</v>
      </c>
      <c r="Y1101" s="19">
        <f ca="1">IF('Stock Price'!$I$11="OK",L1101/INDEX(L$5:L$1258,'Stock Price'!$I$9)-1,"")</f>
        <v>0.18152881601157467</v>
      </c>
      <c r="Z1101" s="19">
        <f ca="1">IF('Stock Price'!$I$11="OK",M1101/INDEX(M$5:M$1258,'Stock Price'!$I$9)-1,"")</f>
        <v>-2.5729361999040634E-3</v>
      </c>
    </row>
    <row r="1102" spans="1:26" x14ac:dyDescent="0.2">
      <c r="A1102" s="16">
        <f>'Stock Price'!A1102</f>
        <v>46072</v>
      </c>
      <c r="B1102" s="17">
        <f>'Stock Price'!E1102</f>
        <v>121.86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0.14476279943635495</v>
      </c>
      <c r="P1102" s="19">
        <f ca="1">IF('Stock Price'!$I$11="OK",C1102/INDEX(C$5:C$1258,'Stock Price'!$I$9)-1,"")</f>
        <v>0.18319618882633182</v>
      </c>
      <c r="Q1102" s="19">
        <f ca="1">IF('Stock Price'!$I$11="OK",D1102/INDEX(D$5:D$1258,'Stock Price'!$I$9)-1,"")</f>
        <v>0.14202819214451901</v>
      </c>
      <c r="R1102" s="19">
        <f ca="1">IF('Stock Price'!$I$11="OK",E1102/INDEX(E$5:E$1258,'Stock Price'!$I$9)-1,"")</f>
        <v>0.22607293975418097</v>
      </c>
      <c r="S1102" s="19">
        <f ca="1">IF('Stock Price'!$I$11="OK",F1102/INDEX(F$5:F$1258,'Stock Price'!$I$9)-1,"")</f>
        <v>0.1502429543245869</v>
      </c>
      <c r="T1102" s="19">
        <f ca="1">IF('Stock Price'!$I$11="OK",G1102/INDEX(G$5:G$1258,'Stock Price'!$I$9)-1,"")</f>
        <v>-1.7623885548413765E-2</v>
      </c>
      <c r="U1102" s="19">
        <f ca="1">IF('Stock Price'!$I$11="OK",H1102/INDEX(H$5:H$1258,'Stock Price'!$I$9)-1,"")</f>
        <v>0.19934210526315788</v>
      </c>
      <c r="V1102" s="19">
        <f ca="1">IF('Stock Price'!$I$11="OK",I1102/INDEX(I$5:I$1258,'Stock Price'!$I$9)-1,"")</f>
        <v>6.6719618745035625E-2</v>
      </c>
      <c r="W1102" s="19">
        <f ca="1">IF('Stock Price'!$I$11="OK",J1102/INDEX(J$5:J$1258,'Stock Price'!$I$9)-1,"")</f>
        <v>-5.288977748158008E-2</v>
      </c>
      <c r="X1102" s="19">
        <f ca="1">IF('Stock Price'!$I$11="OK",K1102/INDEX(K$5:K$1258,'Stock Price'!$I$9)-1,"")</f>
        <v>0.12794612794612781</v>
      </c>
      <c r="Y1102" s="19">
        <f ca="1">IF('Stock Price'!$I$11="OK",L1102/INDEX(L$5:L$1258,'Stock Price'!$I$9)-1,"")</f>
        <v>0.19078852182300454</v>
      </c>
      <c r="Z1102" s="19">
        <f ca="1">IF('Stock Price'!$I$11="OK",M1102/INDEX(M$5:M$1258,'Stock Price'!$I$9)-1,"")</f>
        <v>-2.1630107714447733E-2</v>
      </c>
    </row>
    <row r="1103" spans="1:26" x14ac:dyDescent="0.2">
      <c r="A1103" s="16">
        <f>'Stock Price'!A1103</f>
        <v>46073</v>
      </c>
      <c r="B1103" s="17">
        <f>'Stock Price'!E1103</f>
        <v>122.26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0.14852043212775956</v>
      </c>
      <c r="P1103" s="19">
        <f ca="1">IF('Stock Price'!$I$11="OK",C1103/INDEX(C$5:C$1258,'Stock Price'!$I$9)-1,"")</f>
        <v>0.17417352389201679</v>
      </c>
      <c r="Q1103" s="19">
        <f ca="1">IF('Stock Price'!$I$11="OK",D1103/INDEX(D$5:D$1258,'Stock Price'!$I$9)-1,"")</f>
        <v>0.11783221568359092</v>
      </c>
      <c r="R1103" s="19">
        <f ca="1">IF('Stock Price'!$I$11="OK",E1103/INDEX(E$5:E$1258,'Stock Price'!$I$9)-1,"")</f>
        <v>0.19927463227886366</v>
      </c>
      <c r="S1103" s="19">
        <f ca="1">IF('Stock Price'!$I$11="OK",F1103/INDEX(F$5:F$1258,'Stock Price'!$I$9)-1,"")</f>
        <v>0.15354713313896973</v>
      </c>
      <c r="T1103" s="19">
        <f ca="1">IF('Stock Price'!$I$11="OK",G1103/INDEX(G$5:G$1258,'Stock Price'!$I$9)-1,"")</f>
        <v>-3.0478955007256836E-2</v>
      </c>
      <c r="U1103" s="19">
        <f ca="1">IF('Stock Price'!$I$11="OK",H1103/INDEX(H$5:H$1258,'Stock Price'!$I$9)-1,"")</f>
        <v>0.1494736842105262</v>
      </c>
      <c r="V1103" s="19">
        <f ca="1">IF('Stock Price'!$I$11="OK",I1103/INDEX(I$5:I$1258,'Stock Price'!$I$9)-1,"")</f>
        <v>5.8379666401906283E-2</v>
      </c>
      <c r="W1103" s="19">
        <f ca="1">IF('Stock Price'!$I$11="OK",J1103/INDEX(J$5:J$1258,'Stock Price'!$I$9)-1,"")</f>
        <v>-6.5570735680698933E-2</v>
      </c>
      <c r="X1103" s="19">
        <f ca="1">IF('Stock Price'!$I$11="OK",K1103/INDEX(K$5:K$1258,'Stock Price'!$I$9)-1,"")</f>
        <v>0.13468013468013451</v>
      </c>
      <c r="Y1103" s="19">
        <f ca="1">IF('Stock Price'!$I$11="OK",L1103/INDEX(L$5:L$1258,'Stock Price'!$I$9)-1,"")</f>
        <v>0.16947190740294205</v>
      </c>
      <c r="Z1103" s="19">
        <f ca="1">IF('Stock Price'!$I$11="OK",M1103/INDEX(M$5:M$1258,'Stock Price'!$I$9)-1,"")</f>
        <v>-1.9624089660285171E-2</v>
      </c>
    </row>
    <row r="1104" spans="1:26" x14ac:dyDescent="0.2">
      <c r="A1104" s="16">
        <f>'Stock Price'!A1104</f>
        <v>46076</v>
      </c>
      <c r="B1104" s="17">
        <f>'Stock Price'!E1104</f>
        <v>123.82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0.16317519962423654</v>
      </c>
      <c r="P1104" s="19">
        <f ca="1">IF('Stock Price'!$I$11="OK",C1104/INDEX(C$5:C$1258,'Stock Price'!$I$9)-1,"")</f>
        <v>0.18882633174534424</v>
      </c>
      <c r="Q1104" s="19">
        <f ca="1">IF('Stock Price'!$I$11="OK",D1104/INDEX(D$5:D$1258,'Stock Price'!$I$9)-1,"")</f>
        <v>0.12188312576980964</v>
      </c>
      <c r="R1104" s="19">
        <f ca="1">IF('Stock Price'!$I$11="OK",E1104/INDEX(E$5:E$1258,'Stock Price'!$I$9)-1,"")</f>
        <v>0.19403586540398932</v>
      </c>
      <c r="S1104" s="19">
        <f ca="1">IF('Stock Price'!$I$11="OK",F1104/INDEX(F$5:F$1258,'Stock Price'!$I$9)-1,"")</f>
        <v>0.16559766763848383</v>
      </c>
      <c r="T1104" s="19">
        <f ca="1">IF('Stock Price'!$I$11="OK",G1104/INDEX(G$5:G$1258,'Stock Price'!$I$9)-1,"")</f>
        <v>-2.0941322828115227E-2</v>
      </c>
      <c r="U1104" s="19">
        <f ca="1">IF('Stock Price'!$I$11="OK",H1104/INDEX(H$5:H$1258,'Stock Price'!$I$9)-1,"")</f>
        <v>0.12631578947368416</v>
      </c>
      <c r="V1104" s="19">
        <f ca="1">IF('Stock Price'!$I$11="OK",I1104/INDEX(I$5:I$1258,'Stock Price'!$I$9)-1,"")</f>
        <v>7.4662430500397114E-2</v>
      </c>
      <c r="W1104" s="19">
        <f ca="1">IF('Stock Price'!$I$11="OK",J1104/INDEX(J$5:J$1258,'Stock Price'!$I$9)-1,"")</f>
        <v>-2.0178459032174412E-2</v>
      </c>
      <c r="X1104" s="19">
        <f ca="1">IF('Stock Price'!$I$11="OK",K1104/INDEX(K$5:K$1258,'Stock Price'!$I$9)-1,"")</f>
        <v>0.14571642349420122</v>
      </c>
      <c r="Y1104" s="19">
        <f ca="1">IF('Stock Price'!$I$11="OK",L1104/INDEX(L$5:L$1258,'Stock Price'!$I$9)-1,"")</f>
        <v>0.18562816493850987</v>
      </c>
      <c r="Z1104" s="19">
        <f ca="1">IF('Stock Price'!$I$11="OK",M1104/INDEX(M$5:M$1258,'Stock Price'!$I$9)-1,"")</f>
        <v>7.4135449827728017E-4</v>
      </c>
    </row>
    <row r="1105" spans="1:26" x14ac:dyDescent="0.2">
      <c r="A1105" s="16">
        <f>'Stock Price'!A1105</f>
        <v>46077</v>
      </c>
      <c r="B1105" s="17">
        <f>'Stock Price'!E1105</f>
        <v>123.93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0.16420854861437295</v>
      </c>
      <c r="P1105" s="19">
        <f ca="1">IF('Stock Price'!$I$11="OK",C1105/INDEX(C$5:C$1258,'Stock Price'!$I$9)-1,"")</f>
        <v>0.20622202973870385</v>
      </c>
      <c r="Q1105" s="19">
        <f ca="1">IF('Stock Price'!$I$11="OK",D1105/INDEX(D$5:D$1258,'Stock Price'!$I$9)-1,"")</f>
        <v>0.13102504447789798</v>
      </c>
      <c r="R1105" s="19">
        <f ca="1">IF('Stock Price'!$I$11="OK",E1105/INDEX(E$5:E$1258,'Stock Price'!$I$9)-1,"")</f>
        <v>0.19121499093290328</v>
      </c>
      <c r="S1105" s="19">
        <f ca="1">IF('Stock Price'!$I$11="OK",F1105/INDEX(F$5:F$1258,'Stock Price'!$I$9)-1,"")</f>
        <v>0.17745383867832842</v>
      </c>
      <c r="T1105" s="19">
        <f ca="1">IF('Stock Price'!$I$11="OK",G1105/INDEX(G$5:G$1258,'Stock Price'!$I$9)-1,"")</f>
        <v>-1.9075264358283106E-2</v>
      </c>
      <c r="U1105" s="19">
        <f ca="1">IF('Stock Price'!$I$11="OK",H1105/INDEX(H$5:H$1258,'Stock Price'!$I$9)-1,"")</f>
        <v>0.11421052631578954</v>
      </c>
      <c r="V1105" s="19">
        <f ca="1">IF('Stock Price'!$I$11="OK",I1105/INDEX(I$5:I$1258,'Stock Price'!$I$9)-1,"")</f>
        <v>7.783955520254171E-2</v>
      </c>
      <c r="W1105" s="19">
        <f ca="1">IF('Stock Price'!$I$11="OK",J1105/INDEX(J$5:J$1258,'Stock Price'!$I$9)-1,"")</f>
        <v>-3.5367840349512902E-2</v>
      </c>
      <c r="X1105" s="19">
        <f ca="1">IF('Stock Price'!$I$11="OK",K1105/INDEX(K$5:K$1258,'Stock Price'!$I$9)-1,"")</f>
        <v>0.15226337448559679</v>
      </c>
      <c r="Y1105" s="19">
        <f ca="1">IF('Stock Price'!$I$11="OK",L1105/INDEX(L$5:L$1258,'Stock Price'!$I$9)-1,"")</f>
        <v>0.18775018085362927</v>
      </c>
      <c r="Z1105" s="19">
        <f ca="1">IF('Stock Price'!$I$11="OK",M1105/INDEX(M$5:M$1258,'Stock Price'!$I$9)-1,"")</f>
        <v>-3.7939906676551782E-3</v>
      </c>
    </row>
    <row r="1106" spans="1:26" x14ac:dyDescent="0.2">
      <c r="A1106" s="16">
        <f>'Stock Price'!A1106</f>
        <v>46078</v>
      </c>
      <c r="B1106" s="17">
        <f>'Stock Price'!E1106</f>
        <v>122.46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0.15039924847346153</v>
      </c>
      <c r="P1106" s="19">
        <f ca="1">IF('Stock Price'!$I$11="OK",C1106/INDEX(C$5:C$1258,'Stock Price'!$I$9)-1,"")</f>
        <v>0.20434531543236623</v>
      </c>
      <c r="Q1106" s="19">
        <f ca="1">IF('Stock Price'!$I$11="OK",D1106/INDEX(D$5:D$1258,'Stock Price'!$I$9)-1,"")</f>
        <v>0.12653619816614192</v>
      </c>
      <c r="R1106" s="19">
        <f ca="1">IF('Stock Price'!$I$11="OK",E1106/INDEX(E$5:E$1258,'Stock Price'!$I$9)-1,"")</f>
        <v>0.1996776143461616</v>
      </c>
      <c r="S1106" s="19">
        <f ca="1">IF('Stock Price'!$I$11="OK",F1106/INDEX(F$5:F$1258,'Stock Price'!$I$9)-1,"")</f>
        <v>0.15607385811467434</v>
      </c>
      <c r="T1106" s="19">
        <f ca="1">IF('Stock Price'!$I$11="OK",G1106/INDEX(G$5:G$1258,'Stock Price'!$I$9)-1,"")</f>
        <v>-1.3269749118805629E-2</v>
      </c>
      <c r="U1106" s="19">
        <f ca="1">IF('Stock Price'!$I$11="OK",H1106/INDEX(H$5:H$1258,'Stock Price'!$I$9)-1,"")</f>
        <v>0.12065789473684219</v>
      </c>
      <c r="V1106" s="19">
        <f ca="1">IF('Stock Price'!$I$11="OK",I1106/INDEX(I$5:I$1258,'Stock Price'!$I$9)-1,"")</f>
        <v>7.5853852263701338E-2</v>
      </c>
      <c r="W1106" s="19">
        <f ca="1">IF('Stock Price'!$I$11="OK",J1106/INDEX(J$5:J$1258,'Stock Price'!$I$9)-1,"")</f>
        <v>-4.7697063941649076E-2</v>
      </c>
      <c r="X1106" s="19">
        <f ca="1">IF('Stock Price'!$I$11="OK",K1106/INDEX(K$5:K$1258,'Stock Price'!$I$9)-1,"")</f>
        <v>0.14665170220725776</v>
      </c>
      <c r="Y1106" s="19">
        <f ca="1">IF('Stock Price'!$I$11="OK",L1106/INDEX(L$5:L$1258,'Stock Price'!$I$9)-1,"")</f>
        <v>0.18239691343139608</v>
      </c>
      <c r="Z1106" s="19">
        <f ca="1">IF('Stock Price'!$I$11="OK",M1106/INDEX(M$5:M$1258,'Stock Price'!$I$9)-1,"")</f>
        <v>-1.0422572064018198E-2</v>
      </c>
    </row>
    <row r="1107" spans="1:26" x14ac:dyDescent="0.2">
      <c r="A1107" s="16">
        <f>'Stock Price'!A1107</f>
        <v>46079</v>
      </c>
      <c r="B1107" s="17">
        <f>'Stock Price'!E1107</f>
        <v>119.3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0.12071395021136677</v>
      </c>
      <c r="P1107" s="19">
        <f ca="1">IF('Stock Price'!$I$11="OK",C1107/INDEX(C$5:C$1258,'Stock Price'!$I$9)-1,"")</f>
        <v>0.19467301862278052</v>
      </c>
      <c r="Q1107" s="19">
        <f ca="1">IF('Stock Price'!$I$11="OK",D1107/INDEX(D$5:D$1258,'Stock Price'!$I$9)-1,"")</f>
        <v>0.1166278910633638</v>
      </c>
      <c r="R1107" s="19">
        <f ca="1">IF('Stock Price'!$I$11="OK",E1107/INDEX(E$5:E$1258,'Stock Price'!$I$9)-1,"")</f>
        <v>0.17005843239975826</v>
      </c>
      <c r="S1107" s="19">
        <f ca="1">IF('Stock Price'!$I$11="OK",F1107/INDEX(F$5:F$1258,'Stock Price'!$I$9)-1,"")</f>
        <v>0.14732750242954329</v>
      </c>
      <c r="T1107" s="19">
        <f ca="1">IF('Stock Price'!$I$11="OK",G1107/INDEX(G$5:G$1258,'Stock Price'!$I$9)-1,"")</f>
        <v>2.4880779597762359E-3</v>
      </c>
      <c r="U1107" s="19">
        <f ca="1">IF('Stock Price'!$I$11="OK",H1107/INDEX(H$5:H$1258,'Stock Price'!$I$9)-1,"")</f>
        <v>0.10118421052631565</v>
      </c>
      <c r="V1107" s="19">
        <f ca="1">IF('Stock Price'!$I$11="OK",I1107/INDEX(I$5:I$1258,'Stock Price'!$I$9)-1,"")</f>
        <v>7.6250992851469412E-2</v>
      </c>
      <c r="W1107" s="19">
        <f ca="1">IF('Stock Price'!$I$11="OK",J1107/INDEX(J$5:J$1258,'Stock Price'!$I$9)-1,"")</f>
        <v>-5.4000518345736492E-2</v>
      </c>
      <c r="X1107" s="19">
        <f ca="1">IF('Stock Price'!$I$11="OK",K1107/INDEX(K$5:K$1258,'Stock Price'!$I$9)-1,"")</f>
        <v>0.14291058735503182</v>
      </c>
      <c r="Y1107" s="19">
        <f ca="1">IF('Stock Price'!$I$11="OK",L1107/INDEX(L$5:L$1258,'Stock Price'!$I$9)-1,"")</f>
        <v>0.17419821557752591</v>
      </c>
      <c r="Z1107" s="19">
        <f ca="1">IF('Stock Price'!$I$11="OK",M1107/INDEX(M$5:M$1258,'Stock Price'!$I$9)-1,"")</f>
        <v>-2.0147398717892839E-2</v>
      </c>
    </row>
    <row r="1108" spans="1:26" x14ac:dyDescent="0.2">
      <c r="A1108" s="16">
        <f>'Stock Price'!A1108</f>
        <v>46080</v>
      </c>
      <c r="B1108" s="17">
        <f>'Stock Price'!E1108</f>
        <v>123.82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0.16317519962423654</v>
      </c>
      <c r="P1108" s="19">
        <f ca="1">IF('Stock Price'!$I$11="OK",C1108/INDEX(C$5:C$1258,'Stock Price'!$I$9)-1,"")</f>
        <v>0.21712140897935628</v>
      </c>
      <c r="Q1108" s="19">
        <f ca="1">IF('Stock Price'!$I$11="OK",D1108/INDEX(D$5:D$1258,'Stock Price'!$I$9)-1,"")</f>
        <v>0.14109757766525233</v>
      </c>
      <c r="R1108" s="19">
        <f ca="1">IF('Stock Price'!$I$11="OK",E1108/INDEX(E$5:E$1258,'Stock Price'!$I$9)-1,"")</f>
        <v>0.19141648196655248</v>
      </c>
      <c r="S1108" s="19">
        <f ca="1">IF('Stock Price'!$I$11="OK",F1108/INDEX(F$5:F$1258,'Stock Price'!$I$9)-1,"")</f>
        <v>0.1574344023323615</v>
      </c>
      <c r="T1108" s="19">
        <f ca="1">IF('Stock Price'!$I$11="OK",G1108/INDEX(G$5:G$1258,'Stock Price'!$I$9)-1,"")</f>
        <v>8.9156126891976051E-3</v>
      </c>
      <c r="U1108" s="19">
        <f ca="1">IF('Stock Price'!$I$11="OK",H1108/INDEX(H$5:H$1258,'Stock Price'!$I$9)-1,"")</f>
        <v>0.10552631578947369</v>
      </c>
      <c r="V1108" s="19">
        <f ca="1">IF('Stock Price'!$I$11="OK",I1108/INDEX(I$5:I$1258,'Stock Price'!$I$9)-1,"")</f>
        <v>9.8093725178713287E-2</v>
      </c>
      <c r="W1108" s="19">
        <f ca="1">IF('Stock Price'!$I$11="OK",J1108/INDEX(J$5:J$1258,'Stock Price'!$I$9)-1,"")</f>
        <v>-2.6259765263430657E-2</v>
      </c>
      <c r="X1108" s="19">
        <f ca="1">IF('Stock Price'!$I$11="OK",K1108/INDEX(K$5:K$1258,'Stock Price'!$I$9)-1,"")</f>
        <v>0.16666666666666652</v>
      </c>
      <c r="Y1108" s="19">
        <f ca="1">IF('Stock Price'!$I$11="OK",L1108/INDEX(L$5:L$1258,'Stock Price'!$I$9)-1,"")</f>
        <v>0.1981191222570533</v>
      </c>
      <c r="Z1108" s="19">
        <f ca="1">IF('Stock Price'!$I$11="OK",M1108/INDEX(M$5:M$1258,'Stock Price'!$I$9)-1,"")</f>
        <v>1.207971741310887E-2</v>
      </c>
    </row>
    <row r="1109" spans="1:26" x14ac:dyDescent="0.2">
      <c r="A1109" s="16">
        <f>'Stock Price'!A1109</f>
        <v>46083</v>
      </c>
      <c r="B1109" s="17">
        <f>'Stock Price'!E1109</f>
        <v>121.41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0.14053546265852512</v>
      </c>
      <c r="P1109" s="19">
        <f ca="1">IF('Stock Price'!$I$11="OK",C1109/INDEX(C$5:C$1258,'Stock Price'!$I$9)-1,"")</f>
        <v>0.20448967807131524</v>
      </c>
      <c r="Q1109" s="19">
        <f ca="1">IF('Stock Price'!$I$11="OK",D1109/INDEX(D$5:D$1258,'Stock Price'!$I$9)-1,"")</f>
        <v>0.11525934035856022</v>
      </c>
      <c r="R1109" s="19">
        <f ca="1">IF('Stock Price'!$I$11="OK",E1109/INDEX(E$5:E$1258,'Stock Price'!$I$9)-1,"")</f>
        <v>0.17449123514003628</v>
      </c>
      <c r="S1109" s="19">
        <f ca="1">IF('Stock Price'!$I$11="OK",F1109/INDEX(F$5:F$1258,'Stock Price'!$I$9)-1,"")</f>
        <v>0.12478134110787154</v>
      </c>
      <c r="T1109" s="19">
        <f ca="1">IF('Stock Price'!$I$11="OK",G1109/INDEX(G$5:G$1258,'Stock Price'!$I$9)-1,"")</f>
        <v>-1.1818370308936399E-2</v>
      </c>
      <c r="U1109" s="19">
        <f ca="1">IF('Stock Price'!$I$11="OK",H1109/INDEX(H$5:H$1258,'Stock Price'!$I$9)-1,"")</f>
        <v>6.8684210526315681E-2</v>
      </c>
      <c r="V1109" s="19">
        <f ca="1">IF('Stock Price'!$I$11="OK",I1109/INDEX(I$5:I$1258,'Stock Price'!$I$9)-1,"")</f>
        <v>8.2605242255758604E-2</v>
      </c>
      <c r="W1109" s="19">
        <f ca="1">IF('Stock Price'!$I$11="OK",J1109/INDEX(J$5:J$1258,'Stock Price'!$I$9)-1,"")</f>
        <v>-5.7749268762264272E-2</v>
      </c>
      <c r="X1109" s="19">
        <f ca="1">IF('Stock Price'!$I$11="OK",K1109/INDEX(K$5:K$1258,'Stock Price'!$I$9)-1,"")</f>
        <v>0.1661054994388329</v>
      </c>
      <c r="Y1109" s="19">
        <f ca="1">IF('Stock Price'!$I$11="OK",L1109/INDEX(L$5:L$1258,'Stock Price'!$I$9)-1,"")</f>
        <v>0.19874608150470219</v>
      </c>
      <c r="Z1109" s="19">
        <f ca="1">IF('Stock Price'!$I$11="OK",M1109/INDEX(M$5:M$1258,'Stock Price'!$I$9)-1,"")</f>
        <v>2.1586498626313677E-2</v>
      </c>
    </row>
    <row r="1110" spans="1:26" x14ac:dyDescent="0.2">
      <c r="A1110" s="16">
        <f>'Stock Price'!A1110</f>
        <v>46084</v>
      </c>
      <c r="B1110" s="17">
        <f>'Stock Price'!E1110</f>
        <v>119.83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0.12569281352747774</v>
      </c>
      <c r="P1110" s="19">
        <f ca="1">IF('Stock Price'!$I$11="OK",C1110/INDEX(C$5:C$1258,'Stock Price'!$I$9)-1,"")</f>
        <v>0.18507290313266944</v>
      </c>
      <c r="Q1110" s="19">
        <f ca="1">IF('Stock Price'!$I$11="OK",D1110/INDEX(D$5:D$1258,'Stock Price'!$I$9)-1,"")</f>
        <v>0.10447516080470765</v>
      </c>
      <c r="R1110" s="19">
        <f ca="1">IF('Stock Price'!$I$11="OK",E1110/INDEX(E$5:E$1258,'Stock Price'!$I$9)-1,"")</f>
        <v>0.14990932903485787</v>
      </c>
      <c r="S1110" s="19">
        <f ca="1">IF('Stock Price'!$I$11="OK",F1110/INDEX(F$5:F$1258,'Stock Price'!$I$9)-1,"")</f>
        <v>0.12244897959183665</v>
      </c>
      <c r="T1110" s="19">
        <f ca="1">IF('Stock Price'!$I$11="OK",G1110/INDEX(G$5:G$1258,'Stock Price'!$I$9)-1,"")</f>
        <v>-3.6491810076715647E-2</v>
      </c>
      <c r="U1110" s="19">
        <f ca="1">IF('Stock Price'!$I$11="OK",H1110/INDEX(H$5:H$1258,'Stock Price'!$I$9)-1,"")</f>
        <v>8.1578947368421417E-3</v>
      </c>
      <c r="V1110" s="19">
        <f ca="1">IF('Stock Price'!$I$11="OK",I1110/INDEX(I$5:I$1258,'Stock Price'!$I$9)-1,"")</f>
        <v>5.5599682287529761E-2</v>
      </c>
      <c r="W1110" s="19">
        <f ca="1">IF('Stock Price'!$I$11="OK",J1110/INDEX(J$5:J$1258,'Stock Price'!$I$9)-1,"")</f>
        <v>-6.7227590803065507E-2</v>
      </c>
      <c r="X1110" s="19">
        <f ca="1">IF('Stock Price'!$I$11="OK",K1110/INDEX(K$5:K$1258,'Stock Price'!$I$9)-1,"")</f>
        <v>0.14515525626636738</v>
      </c>
      <c r="Y1110" s="19">
        <f ca="1">IF('Stock Price'!$I$11="OK",L1110/INDEX(L$5:L$1258,'Stock Price'!$I$9)-1,"")</f>
        <v>0.19001687967205205</v>
      </c>
      <c r="Z1110" s="19">
        <f ca="1">IF('Stock Price'!$I$11="OK",M1110/INDEX(M$5:M$1258,'Stock Price'!$I$9)-1,"")</f>
        <v>1.9842135100955005E-2</v>
      </c>
    </row>
    <row r="1111" spans="1:26" x14ac:dyDescent="0.2">
      <c r="A1111" s="16">
        <f>'Stock Price'!A1111</f>
        <v>46085</v>
      </c>
      <c r="B1111" s="17">
        <f>'Stock Price'!E1111</f>
        <v>120.28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0.12992015030530757</v>
      </c>
      <c r="P1111" s="19">
        <f ca="1">IF('Stock Price'!$I$11="OK",C1111/INDEX(C$5:C$1258,'Stock Price'!$I$9)-1,"")</f>
        <v>0.19207449112169783</v>
      </c>
      <c r="Q1111" s="19">
        <f ca="1">IF('Stock Price'!$I$11="OK",D1111/INDEX(D$5:D$1258,'Stock Price'!$I$9)-1,"")</f>
        <v>0.10321609415628852</v>
      </c>
      <c r="R1111" s="19">
        <f ca="1">IF('Stock Price'!$I$11="OK",E1111/INDEX(E$5:E$1258,'Stock Price'!$I$9)-1,"")</f>
        <v>0.14507354422728169</v>
      </c>
      <c r="S1111" s="19">
        <f ca="1">IF('Stock Price'!$I$11="OK",F1111/INDEX(F$5:F$1258,'Stock Price'!$I$9)-1,"")</f>
        <v>0.12458697764820204</v>
      </c>
      <c r="T1111" s="19">
        <f ca="1">IF('Stock Price'!$I$11="OK",G1111/INDEX(G$5:G$1258,'Stock Price'!$I$9)-1,"")</f>
        <v>-4.1675305826249232E-2</v>
      </c>
      <c r="U1111" s="19">
        <f ca="1">IF('Stock Price'!$I$11="OK",H1111/INDEX(H$5:H$1258,'Stock Price'!$I$9)-1,"")</f>
        <v>-1.5789473684210575E-2</v>
      </c>
      <c r="V1111" s="19">
        <f ca="1">IF('Stock Price'!$I$11="OK",I1111/INDEX(I$5:I$1258,'Stock Price'!$I$9)-1,"")</f>
        <v>5.7188244638602059E-2</v>
      </c>
      <c r="W1111" s="19">
        <f ca="1">IF('Stock Price'!$I$11="OK",J1111/INDEX(J$5:J$1258,'Stock Price'!$I$9)-1,"")</f>
        <v>-7.1078159132140994E-2</v>
      </c>
      <c r="X1111" s="19">
        <f ca="1">IF('Stock Price'!$I$11="OK",K1111/INDEX(K$5:K$1258,'Stock Price'!$I$9)-1,"")</f>
        <v>0.16591844369622133</v>
      </c>
      <c r="Y1111" s="19">
        <f ca="1">IF('Stock Price'!$I$11="OK",L1111/INDEX(L$5:L$1258,'Stock Price'!$I$9)-1,"")</f>
        <v>0.18302387267904519</v>
      </c>
      <c r="Z1111" s="19">
        <f ca="1">IF('Stock Price'!$I$11="OK",M1111/INDEX(M$5:M$1258,'Stock Price'!$I$9)-1,"")</f>
        <v>3.0003052636169425E-2</v>
      </c>
    </row>
    <row r="1112" spans="1:26" x14ac:dyDescent="0.2">
      <c r="A1112" s="16">
        <f>'Stock Price'!A1112</f>
        <v>46086</v>
      </c>
      <c r="B1112" s="17">
        <f>'Stock Price'!E1112</f>
        <v>116.07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9.0371066228276176E-2</v>
      </c>
      <c r="P1112" s="19">
        <f ca="1">IF('Stock Price'!$I$11="OK",C1112/INDEX(C$5:C$1258,'Stock Price'!$I$9)-1,"")</f>
        <v>0.16219142485924642</v>
      </c>
      <c r="Q1112" s="19">
        <f ca="1">IF('Stock Price'!$I$11="OK",D1112/INDEX(D$5:D$1258,'Stock Price'!$I$9)-1,"")</f>
        <v>8.1264540851238465E-2</v>
      </c>
      <c r="R1112" s="19">
        <f ca="1">IF('Stock Price'!$I$11="OK",E1112/INDEX(E$5:E$1258,'Stock Price'!$I$9)-1,"")</f>
        <v>0.1136409429780374</v>
      </c>
      <c r="S1112" s="19">
        <f ca="1">IF('Stock Price'!$I$11="OK",F1112/INDEX(F$5:F$1258,'Stock Price'!$I$9)-1,"")</f>
        <v>5.3255587949465388E-2</v>
      </c>
      <c r="T1112" s="19">
        <f ca="1">IF('Stock Price'!$I$11="OK",G1112/INDEX(G$5:G$1258,'Stock Price'!$I$9)-1,"")</f>
        <v>-6.6970765083972594E-2</v>
      </c>
      <c r="U1112" s="19">
        <f ca="1">IF('Stock Price'!$I$11="OK",H1112/INDEX(H$5:H$1258,'Stock Price'!$I$9)-1,"")</f>
        <v>-5.921052631578938E-3</v>
      </c>
      <c r="V1112" s="19">
        <f ca="1">IF('Stock Price'!$I$11="OK",I1112/INDEX(I$5:I$1258,'Stock Price'!$I$9)-1,"")</f>
        <v>5.6791104050833985E-2</v>
      </c>
      <c r="W1112" s="19">
        <f ca="1">IF('Stock Price'!$I$11="OK",J1112/INDEX(J$5:J$1258,'Stock Price'!$I$9)-1,"")</f>
        <v>-8.9877448257988046E-2</v>
      </c>
      <c r="X1112" s="19">
        <f ca="1">IF('Stock Price'!$I$11="OK",K1112/INDEX(K$5:K$1258,'Stock Price'!$I$9)-1,"")</f>
        <v>0.13617658062102511</v>
      </c>
      <c r="Y1112" s="19">
        <f ca="1">IF('Stock Price'!$I$11="OK",L1112/INDEX(L$5:L$1258,'Stock Price'!$I$9)-1,"")</f>
        <v>0.15567880395466593</v>
      </c>
      <c r="Z1112" s="19">
        <f ca="1">IF('Stock Price'!$I$11="OK",M1112/INDEX(M$5:M$1258,'Stock Price'!$I$9)-1,"")</f>
        <v>1.325716279272604E-2</v>
      </c>
    </row>
    <row r="1113" spans="1:26" x14ac:dyDescent="0.2">
      <c r="A1113" s="16">
        <f>'Stock Price'!A1113</f>
        <v>46087</v>
      </c>
      <c r="B1113" s="17">
        <f>'Stock Price'!E1113</f>
        <v>115.79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8.7740723344293059E-2</v>
      </c>
      <c r="P1113" s="19">
        <f ca="1">IF('Stock Price'!$I$11="OK",C1113/INDEX(C$5:C$1258,'Stock Price'!$I$9)-1,"")</f>
        <v>0.15576728742601431</v>
      </c>
      <c r="Q1113" s="19">
        <f ca="1">IF('Stock Price'!$I$11="OK",D1113/INDEX(D$5:D$1258,'Stock Price'!$I$9)-1,"")</f>
        <v>6.3199671547830683E-2</v>
      </c>
      <c r="R1113" s="19">
        <f ca="1">IF('Stock Price'!$I$11="OK",E1113/INDEX(E$5:E$1258,'Stock Price'!$I$9)-1,"")</f>
        <v>9.8327624420713189E-2</v>
      </c>
      <c r="S1113" s="19">
        <f ca="1">IF('Stock Price'!$I$11="OK",F1113/INDEX(F$5:F$1258,'Stock Price'!$I$9)-1,"")</f>
        <v>7.6579203109815364E-2</v>
      </c>
      <c r="T1113" s="19">
        <f ca="1">IF('Stock Price'!$I$11="OK",G1113/INDEX(G$5:G$1258,'Stock Price'!$I$9)-1,"")</f>
        <v>-7.6301057433132868E-2</v>
      </c>
      <c r="U1113" s="19">
        <f ca="1">IF('Stock Price'!$I$11="OK",H1113/INDEX(H$5:H$1258,'Stock Price'!$I$9)-1,"")</f>
        <v>-4.2368421052631611E-2</v>
      </c>
      <c r="V1113" s="19">
        <f ca="1">IF('Stock Price'!$I$11="OK",I1113/INDEX(I$5:I$1258,'Stock Price'!$I$9)-1,"")</f>
        <v>7.426528991262904E-2</v>
      </c>
      <c r="W1113" s="19">
        <f ca="1">IF('Stock Price'!$I$11="OK",J1113/INDEX(J$5:J$1258,'Stock Price'!$I$9)-1,"")</f>
        <v>-8.3333333333333259E-2</v>
      </c>
      <c r="X1113" s="19">
        <f ca="1">IF('Stock Price'!$I$11="OK",K1113/INDEX(K$5:K$1258,'Stock Price'!$I$9)-1,"")</f>
        <v>0.12775907220351668</v>
      </c>
      <c r="Y1113" s="19">
        <f ca="1">IF('Stock Price'!$I$11="OK",L1113/INDEX(L$5:L$1258,'Stock Price'!$I$9)-1,"")</f>
        <v>0.159392331806125</v>
      </c>
      <c r="Z1113" s="19">
        <f ca="1">IF('Stock Price'!$I$11="OK",M1113/INDEX(M$5:M$1258,'Stock Price'!$I$9)-1,"")</f>
        <v>3.488727050717344E-3</v>
      </c>
    </row>
    <row r="1114" spans="1:26" x14ac:dyDescent="0.2">
      <c r="A1114" s="16">
        <f>'Stock Price'!A1114</f>
        <v>46090</v>
      </c>
      <c r="B1114" s="17">
        <f>'Stock Price'!E1114</f>
        <v>117.11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0.10014091122592772</v>
      </c>
      <c r="P1114" s="19">
        <f ca="1">IF('Stock Price'!$I$11="OK",C1114/INDEX(C$5:C$1258,'Stock Price'!$I$9)-1,"")</f>
        <v>0.1750396997257111</v>
      </c>
      <c r="Q1114" s="19">
        <f ca="1">IF('Stock Price'!$I$11="OK",D1114/INDEX(D$5:D$1258,'Stock Price'!$I$9)-1,"")</f>
        <v>6.7195839605857177E-2</v>
      </c>
      <c r="R1114" s="19">
        <f ca="1">IF('Stock Price'!$I$11="OK",E1114/INDEX(E$5:E$1258,'Stock Price'!$I$9)-1,"")</f>
        <v>0.11847672778561336</v>
      </c>
      <c r="S1114" s="19">
        <f ca="1">IF('Stock Price'!$I$11="OK",F1114/INDEX(F$5:F$1258,'Stock Price'!$I$9)-1,"")</f>
        <v>6.2196307094266157E-2</v>
      </c>
      <c r="T1114" s="19">
        <f ca="1">IF('Stock Price'!$I$11="OK",G1114/INDEX(G$5:G$1258,'Stock Price'!$I$9)-1,"")</f>
        <v>-8.0447854032759558E-2</v>
      </c>
      <c r="U1114" s="19">
        <f ca="1">IF('Stock Price'!$I$11="OK",H1114/INDEX(H$5:H$1258,'Stock Price'!$I$9)-1,"")</f>
        <v>-1.078947368421046E-2</v>
      </c>
      <c r="V1114" s="19">
        <f ca="1">IF('Stock Price'!$I$11="OK",I1114/INDEX(I$5:I$1258,'Stock Price'!$I$9)-1,"")</f>
        <v>6.4733915806195252E-2</v>
      </c>
      <c r="W1114" s="19">
        <f ca="1">IF('Stock Price'!$I$11="OK",J1114/INDEX(J$5:J$1258,'Stock Price'!$I$9)-1,"")</f>
        <v>-6.6616683327779591E-2</v>
      </c>
      <c r="X1114" s="19">
        <f ca="1">IF('Stock Price'!$I$11="OK",K1114/INDEX(K$5:K$1258,'Stock Price'!$I$9)-1,"")</f>
        <v>0.1341189674523009</v>
      </c>
      <c r="Y1114" s="19">
        <f ca="1">IF('Stock Price'!$I$11="OK",L1114/INDEX(L$5:L$1258,'Stock Price'!$I$9)-1,"")</f>
        <v>0.16995418374728732</v>
      </c>
      <c r="Z1114" s="19">
        <f ca="1">IF('Stock Price'!$I$11="OK",M1114/INDEX(M$5:M$1258,'Stock Price'!$I$9)-1,"")</f>
        <v>-8.1112903929179136E-3</v>
      </c>
    </row>
    <row r="1115" spans="1:26" x14ac:dyDescent="0.2">
      <c r="A1115" s="16">
        <f>'Stock Price'!A1115</f>
        <v>46091</v>
      </c>
      <c r="B1115" s="17">
        <f>'Stock Price'!E1115</f>
        <v>117.09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9.9953029591357545E-2</v>
      </c>
      <c r="P1115" s="19">
        <f ca="1">IF('Stock Price'!$I$11="OK",C1115/INDEX(C$5:C$1258,'Stock Price'!$I$9)-1,"")</f>
        <v>0.16637794138876871</v>
      </c>
      <c r="Q1115" s="19">
        <f ca="1">IF('Stock Price'!$I$11="OK",D1115/INDEX(D$5:D$1258,'Stock Price'!$I$9)-1,"")</f>
        <v>6.7414807718626069E-2</v>
      </c>
      <c r="R1115" s="19">
        <f ca="1">IF('Stock Price'!$I$11="OK",E1115/INDEX(E$5:E$1258,'Stock Price'!$I$9)-1,"")</f>
        <v>0.11464839814628247</v>
      </c>
      <c r="S1115" s="19">
        <f ca="1">IF('Stock Price'!$I$11="OK",F1115/INDEX(F$5:F$1258,'Stock Price'!$I$9)-1,"")</f>
        <v>3.8678328474246682E-2</v>
      </c>
      <c r="T1115" s="19">
        <f ca="1">IF('Stock Price'!$I$11="OK",G1115/INDEX(G$5:G$1258,'Stock Price'!$I$9)-1,"")</f>
        <v>-8.8326767572050602E-2</v>
      </c>
      <c r="U1115" s="19">
        <f ca="1">IF('Stock Price'!$I$11="OK",H1115/INDEX(H$5:H$1258,'Stock Price'!$I$9)-1,"")</f>
        <v>4.2763157894736947E-2</v>
      </c>
      <c r="V1115" s="19">
        <f ca="1">IF('Stock Price'!$I$11="OK",I1115/INDEX(I$5:I$1258,'Stock Price'!$I$9)-1,"")</f>
        <v>7.8633836378077859E-2</v>
      </c>
      <c r="W1115" s="19">
        <f ca="1">IF('Stock Price'!$I$11="OK",J1115/INDEX(J$5:J$1258,'Stock Price'!$I$9)-1,"")</f>
        <v>-7.3133029730830357E-2</v>
      </c>
      <c r="X1115" s="19">
        <f ca="1">IF('Stock Price'!$I$11="OK",K1115/INDEX(K$5:K$1258,'Stock Price'!$I$9)-1,"")</f>
        <v>0.12476618032173592</v>
      </c>
      <c r="Y1115" s="19">
        <f ca="1">IF('Stock Price'!$I$11="OK",L1115/INDEX(L$5:L$1258,'Stock Price'!$I$9)-1,"")</f>
        <v>0.17535567880395475</v>
      </c>
      <c r="Z1115" s="19">
        <f ca="1">IF('Stock Price'!$I$11="OK",M1115/INDEX(M$5:M$1258,'Stock Price'!$I$9)-1,"")</f>
        <v>-1.0030090270812475E-2</v>
      </c>
    </row>
    <row r="1116" spans="1:26" x14ac:dyDescent="0.2">
      <c r="A1116" s="16">
        <f>'Stock Price'!A1116</f>
        <v>46092</v>
      </c>
      <c r="B1116" s="17">
        <f>'Stock Price'!E1116</f>
        <v>116.21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9.1686237670267623E-2</v>
      </c>
      <c r="P1116" s="19">
        <f ca="1">IF('Stock Price'!$I$11="OK",C1116/INDEX(C$5:C$1258,'Stock Price'!$I$9)-1,"")</f>
        <v>0.12458495741302156</v>
      </c>
      <c r="Q1116" s="19">
        <f ca="1">IF('Stock Price'!$I$11="OK",D1116/INDEX(D$5:D$1258,'Stock Price'!$I$9)-1,"")</f>
        <v>5.8218146982345731E-2</v>
      </c>
      <c r="R1116" s="19">
        <f ca="1">IF('Stock Price'!$I$11="OK",E1116/INDEX(E$5:E$1258,'Stock Price'!$I$9)-1,"")</f>
        <v>0.1112230505742493</v>
      </c>
      <c r="S1116" s="19">
        <f ca="1">IF('Stock Price'!$I$11="OK",F1116/INDEX(F$5:F$1258,'Stock Price'!$I$9)-1,"")</f>
        <v>3.790087463556846E-2</v>
      </c>
      <c r="T1116" s="19">
        <f ca="1">IF('Stock Price'!$I$11="OK",G1116/INDEX(G$5:G$1258,'Stock Price'!$I$9)-1,"")</f>
        <v>-8.8948787061994605E-2</v>
      </c>
      <c r="U1116" s="19">
        <f ca="1">IF('Stock Price'!$I$11="OK",H1116/INDEX(H$5:H$1258,'Stock Price'!$I$9)-1,"")</f>
        <v>5.3026315789473699E-2</v>
      </c>
      <c r="V1116" s="19">
        <f ca="1">IF('Stock Price'!$I$11="OK",I1116/INDEX(I$5:I$1258,'Stock Price'!$I$9)-1,"")</f>
        <v>8.4193804606830902E-2</v>
      </c>
      <c r="W1116" s="19">
        <f ca="1">IF('Stock Price'!$I$11="OK",J1116/INDEX(J$5:J$1258,'Stock Price'!$I$9)-1,"")</f>
        <v>-7.4530711984893805E-2</v>
      </c>
      <c r="X1116" s="19">
        <f ca="1">IF('Stock Price'!$I$11="OK",K1116/INDEX(K$5:K$1258,'Stock Price'!$I$9)-1,"")</f>
        <v>0.12196034418256629</v>
      </c>
      <c r="Y1116" s="19">
        <f ca="1">IF('Stock Price'!$I$11="OK",L1116/INDEX(L$5:L$1258,'Stock Price'!$I$9)-1,"")</f>
        <v>0.17188328912466844</v>
      </c>
      <c r="Z1116" s="19">
        <f ca="1">IF('Stock Price'!$I$11="OK",M1116/INDEX(M$5:M$1258,'Stock Price'!$I$9)-1,"")</f>
        <v>-7.1082813658366328E-3</v>
      </c>
    </row>
    <row r="1117" spans="1:26" x14ac:dyDescent="0.2">
      <c r="A1117" s="16">
        <f>'Stock Price'!A1117</f>
        <v>46093</v>
      </c>
      <c r="B1117" s="17">
        <f>'Stock Price'!E1117</f>
        <v>115.91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8.8868013151714331E-2</v>
      </c>
      <c r="P1117" s="19">
        <f ca="1">IF('Stock Price'!$I$11="OK",C1117/INDEX(C$5:C$1258,'Stock Price'!$I$9)-1,"")</f>
        <v>0.11339685289447088</v>
      </c>
      <c r="Q1117" s="19">
        <f ca="1">IF('Stock Price'!$I$11="OK",D1117/INDEX(D$5:D$1258,'Stock Price'!$I$9)-1,"")</f>
        <v>5.3784042698781898E-2</v>
      </c>
      <c r="R1117" s="19">
        <f ca="1">IF('Stock Price'!$I$11="OK",E1117/INDEX(E$5:E$1258,'Stock Price'!$I$9)-1,"")</f>
        <v>9.3693330646786199E-2</v>
      </c>
      <c r="S1117" s="19">
        <f ca="1">IF('Stock Price'!$I$11="OK",F1117/INDEX(F$5:F$1258,'Stock Price'!$I$9)-1,"")</f>
        <v>9.3294460641399901E-3</v>
      </c>
      <c r="T1117" s="19">
        <f ca="1">IF('Stock Price'!$I$11="OK",G1117/INDEX(G$5:G$1258,'Stock Price'!$I$9)-1,"")</f>
        <v>-9.5376321791415974E-2</v>
      </c>
      <c r="U1117" s="19">
        <f ca="1">IF('Stock Price'!$I$11="OK",H1117/INDEX(H$5:H$1258,'Stock Price'!$I$9)-1,"")</f>
        <v>2.9736842105263284E-2</v>
      </c>
      <c r="V1117" s="19">
        <f ca="1">IF('Stock Price'!$I$11="OK",I1117/INDEX(I$5:I$1258,'Stock Price'!$I$9)-1,"")</f>
        <v>6.6719618745035625E-2</v>
      </c>
      <c r="W1117" s="19">
        <f ca="1">IF('Stock Price'!$I$11="OK",J1117/INDEX(J$5:J$1258,'Stock Price'!$I$9)-1,"")</f>
        <v>-9.5440408752637929E-2</v>
      </c>
      <c r="X1117" s="19">
        <f ca="1">IF('Stock Price'!$I$11="OK",K1117/INDEX(K$5:K$1258,'Stock Price'!$I$9)-1,"")</f>
        <v>0.10269360269360273</v>
      </c>
      <c r="Y1117" s="19">
        <f ca="1">IF('Stock Price'!$I$11="OK",L1117/INDEX(L$5:L$1258,'Stock Price'!$I$9)-1,"")</f>
        <v>0.16730166385338796</v>
      </c>
      <c r="Z1117" s="19">
        <f ca="1">IF('Stock Price'!$I$11="OK",M1117/INDEX(M$5:M$1258,'Stock Price'!$I$9)-1,"")</f>
        <v>-1.7181980724783052E-2</v>
      </c>
    </row>
    <row r="1118" spans="1:26" x14ac:dyDescent="0.2">
      <c r="A1118" s="16">
        <f>'Stock Price'!A1118</f>
        <v>46094</v>
      </c>
      <c r="B1118" s="17">
        <f>'Stock Price'!E1118</f>
        <v>115.61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8.604978863316104E-2</v>
      </c>
      <c r="P1118" s="19">
        <f ca="1">IF('Stock Price'!$I$11="OK",C1118/INDEX(C$5:C$1258,'Stock Price'!$I$9)-1,"")</f>
        <v>0.10755016601703482</v>
      </c>
      <c r="Q1118" s="19">
        <f ca="1">IF('Stock Price'!$I$11="OK",D1118/INDEX(D$5:D$1258,'Stock Price'!$I$9)-1,"")</f>
        <v>3.9551115368824385E-2</v>
      </c>
      <c r="R1118" s="19">
        <f ca="1">IF('Stock Price'!$I$11="OK",E1118/INDEX(E$5:E$1258,'Stock Price'!$I$9)-1,"")</f>
        <v>7.5760628652024931E-2</v>
      </c>
      <c r="S1118" s="19">
        <f ca="1">IF('Stock Price'!$I$11="OK",F1118/INDEX(F$5:F$1258,'Stock Price'!$I$9)-1,"")</f>
        <v>-2.5850340136054473E-2</v>
      </c>
      <c r="T1118" s="19">
        <f ca="1">IF('Stock Price'!$I$11="OK",G1118/INDEX(G$5:G$1258,'Stock Price'!$I$9)-1,"")</f>
        <v>-9.5998341281360089E-2</v>
      </c>
      <c r="U1118" s="19">
        <f ca="1">IF('Stock Price'!$I$11="OK",H1118/INDEX(H$5:H$1258,'Stock Price'!$I$9)-1,"")</f>
        <v>1.6710526315789398E-2</v>
      </c>
      <c r="V1118" s="19">
        <f ca="1">IF('Stock Price'!$I$11="OK",I1118/INDEX(I$5:I$1258,'Stock Price'!$I$9)-1,"")</f>
        <v>5.5599682287529761E-2</v>
      </c>
      <c r="W1118" s="19">
        <f ca="1">IF('Stock Price'!$I$11="OK",J1118/INDEX(J$5:J$1258,'Stock Price'!$I$9)-1,"")</f>
        <v>-8.8192824614017451E-2</v>
      </c>
      <c r="X1118" s="19">
        <f ca="1">IF('Stock Price'!$I$11="OK",K1118/INDEX(K$5:K$1258,'Stock Price'!$I$9)-1,"")</f>
        <v>0.10512532734754942</v>
      </c>
      <c r="Y1118" s="19">
        <f ca="1">IF('Stock Price'!$I$11="OK",L1118/INDEX(L$5:L$1258,'Stock Price'!$I$9)-1,"")</f>
        <v>0.16479382686279243</v>
      </c>
      <c r="Z1118" s="19">
        <f ca="1">IF('Stock Price'!$I$11="OK",M1118/INDEX(M$5:M$1258,'Stock Price'!$I$9)-1,"")</f>
        <v>-4.1995551873010295E-2</v>
      </c>
    </row>
    <row r="1119" spans="1:26" x14ac:dyDescent="0.2">
      <c r="A1119" s="16">
        <f>'Stock Price'!A1119</f>
        <v>46097</v>
      </c>
      <c r="B1119" s="17">
        <f>'Stock Price'!E1119</f>
        <v>115.43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8.4358853922029242E-2</v>
      </c>
      <c r="P1119" s="19">
        <f ca="1">IF('Stock Price'!$I$11="OK",C1119/INDEX(C$5:C$1258,'Stock Price'!$I$9)-1,"")</f>
        <v>0.11787209470189119</v>
      </c>
      <c r="Q1119" s="19">
        <f ca="1">IF('Stock Price'!$I$11="OK",D1119/INDEX(D$5:D$1258,'Stock Price'!$I$9)-1,"")</f>
        <v>5.1101683317366753E-2</v>
      </c>
      <c r="R1119" s="19">
        <f ca="1">IF('Stock Price'!$I$11="OK",E1119/INDEX(E$5:E$1258,'Stock Price'!$I$9)-1,"")</f>
        <v>8.3417287930687145E-2</v>
      </c>
      <c r="S1119" s="19">
        <f ca="1">IF('Stock Price'!$I$11="OK",F1119/INDEX(F$5:F$1258,'Stock Price'!$I$9)-1,"")</f>
        <v>1.554907677356665E-3</v>
      </c>
      <c r="T1119" s="19">
        <f ca="1">IF('Stock Price'!$I$11="OK",G1119/INDEX(G$5:G$1258,'Stock Price'!$I$9)-1,"")</f>
        <v>-8.8119427742069267E-2</v>
      </c>
      <c r="U1119" s="19">
        <f ca="1">IF('Stock Price'!$I$11="OK",H1119/INDEX(H$5:H$1258,'Stock Price'!$I$9)-1,"")</f>
        <v>5.500000000000016E-2</v>
      </c>
      <c r="V1119" s="19">
        <f ca="1">IF('Stock Price'!$I$11="OK",I1119/INDEX(I$5:I$1258,'Stock Price'!$I$9)-1,"")</f>
        <v>5.6791104050833985E-2</v>
      </c>
      <c r="W1119" s="19">
        <f ca="1">IF('Stock Price'!$I$11="OK",J1119/INDEX(J$5:J$1258,'Stock Price'!$I$9)-1,"")</f>
        <v>-8.4453330371357604E-2</v>
      </c>
      <c r="X1119" s="19">
        <f ca="1">IF('Stock Price'!$I$11="OK",K1119/INDEX(K$5:K$1258,'Stock Price'!$I$9)-1,"")</f>
        <v>0.11690983913206132</v>
      </c>
      <c r="Y1119" s="19">
        <f ca="1">IF('Stock Price'!$I$11="OK",L1119/INDEX(L$5:L$1258,'Stock Price'!$I$9)-1,"")</f>
        <v>0.17284784181335899</v>
      </c>
      <c r="Z1119" s="19">
        <f ca="1">IF('Stock Price'!$I$11="OK",M1119/INDEX(M$5:M$1258,'Stock Price'!$I$9)-1,"")</f>
        <v>-3.4276743273298216E-2</v>
      </c>
    </row>
    <row r="1120" spans="1:26" x14ac:dyDescent="0.2">
      <c r="A1120" s="16">
        <f>'Stock Price'!A1120</f>
        <v>46098</v>
      </c>
      <c r="B1120" s="17">
        <f>'Stock Price'!E1120</f>
        <v>115.87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8.8492249882573981E-2</v>
      </c>
      <c r="P1120" s="19">
        <f ca="1">IF('Stock Price'!$I$11="OK",C1120/INDEX(C$5:C$1258,'Stock Price'!$I$9)-1,"")</f>
        <v>0.11772773206294218</v>
      </c>
      <c r="Q1120" s="19">
        <f ca="1">IF('Stock Price'!$I$11="OK",D1120/INDEX(D$5:D$1258,'Stock Price'!$I$9)-1,"")</f>
        <v>4.7160257287532481E-2</v>
      </c>
      <c r="R1120" s="19">
        <f ca="1">IF('Stock Price'!$I$11="OK",E1120/INDEX(E$5:E$1258,'Stock Price'!$I$9)-1,"")</f>
        <v>7.6163610719322872E-2</v>
      </c>
      <c r="S1120" s="19">
        <f ca="1">IF('Stock Price'!$I$11="OK",F1120/INDEX(F$5:F$1258,'Stock Price'!$I$9)-1,"")</f>
        <v>-9.1350826044704903E-3</v>
      </c>
      <c r="T1120" s="19">
        <f ca="1">IF('Stock Price'!$I$11="OK",G1120/INDEX(G$5:G$1258,'Stock Price'!$I$9)-1,"")</f>
        <v>-8.646070910221848E-2</v>
      </c>
      <c r="U1120" s="19">
        <f ca="1">IF('Stock Price'!$I$11="OK",H1120/INDEX(H$5:H$1258,'Stock Price'!$I$9)-1,"")</f>
        <v>5.8157894736842186E-2</v>
      </c>
      <c r="V1120" s="19">
        <f ca="1">IF('Stock Price'!$I$11="OK",I1120/INDEX(I$5:I$1258,'Stock Price'!$I$9)-1,"")</f>
        <v>9.0150913423351797E-2</v>
      </c>
      <c r="W1120" s="19">
        <f ca="1">IF('Stock Price'!$I$11="OK",J1120/INDEX(J$5:J$1258,'Stock Price'!$I$9)-1,"")</f>
        <v>-0.13885186419341689</v>
      </c>
      <c r="X1120" s="19">
        <f ca="1">IF('Stock Price'!$I$11="OK",K1120/INDEX(K$5:K$1258,'Stock Price'!$I$9)-1,"")</f>
        <v>0.11690983913206132</v>
      </c>
      <c r="Y1120" s="19">
        <f ca="1">IF('Stock Price'!$I$11="OK",L1120/INDEX(L$5:L$1258,'Stock Price'!$I$9)-1,"")</f>
        <v>0.14834820352061739</v>
      </c>
      <c r="Z1120" s="19">
        <f ca="1">IF('Stock Price'!$I$11="OK",M1120/INDEX(M$5:M$1258,'Stock Price'!$I$9)-1,"")</f>
        <v>-4.1646679167938627E-2</v>
      </c>
    </row>
    <row r="1121" spans="1:26" x14ac:dyDescent="0.2">
      <c r="A1121" s="16">
        <f>'Stock Price'!A1121</f>
        <v>46099</v>
      </c>
      <c r="B1121" s="17">
        <f>'Stock Price'!E1121</f>
        <v>114.5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7.5622357914513882E-2</v>
      </c>
      <c r="P1121" s="19">
        <f ca="1">IF('Stock Price'!$I$11="OK",C1121/INDEX(C$5:C$1258,'Stock Price'!$I$9)-1,"")</f>
        <v>8.1348347047784042E-2</v>
      </c>
      <c r="Q1121" s="19">
        <f ca="1">IF('Stock Price'!$I$11="OK",D1121/INDEX(D$5:D$1258,'Stock Price'!$I$9)-1,"")</f>
        <v>3.144929519638695E-2</v>
      </c>
      <c r="R1121" s="19">
        <f ca="1">IF('Stock Price'!$I$11="OK",E1121/INDEX(E$5:E$1258,'Stock Price'!$I$9)-1,"")</f>
        <v>4.8962321176707624E-2</v>
      </c>
      <c r="S1121" s="19">
        <f ca="1">IF('Stock Price'!$I$11="OK",F1121/INDEX(F$5:F$1258,'Stock Price'!$I$9)-1,"")</f>
        <v>-4.3343051506316899E-2</v>
      </c>
      <c r="T1121" s="19">
        <f ca="1">IF('Stock Price'!$I$11="OK",G1121/INDEX(G$5:G$1258,'Stock Price'!$I$9)-1,"")</f>
        <v>-9.3717603151565299E-2</v>
      </c>
      <c r="U1121" s="19">
        <f ca="1">IF('Stock Price'!$I$11="OK",H1121/INDEX(H$5:H$1258,'Stock Price'!$I$9)-1,"")</f>
        <v>4.0263157894736779E-2</v>
      </c>
      <c r="V1121" s="19">
        <f ca="1">IF('Stock Price'!$I$11="OK",I1121/INDEX(I$5:I$1258,'Stock Price'!$I$9)-1,"")</f>
        <v>8.4988085782367051E-2</v>
      </c>
      <c r="W1121" s="19">
        <f ca="1">IF('Stock Price'!$I$11="OK",J1121/INDEX(J$5:J$1258,'Stock Price'!$I$9)-1,"")</f>
        <v>-0.15023695805102</v>
      </c>
      <c r="X1121" s="19">
        <f ca="1">IF('Stock Price'!$I$11="OK",K1121/INDEX(K$5:K$1258,'Stock Price'!$I$9)-1,"")</f>
        <v>0.1105499438832771</v>
      </c>
      <c r="Y1121" s="19">
        <f ca="1">IF('Stock Price'!$I$11="OK",L1121/INDEX(L$5:L$1258,'Stock Price'!$I$9)-1,"")</f>
        <v>0.14434530986255134</v>
      </c>
      <c r="Z1121" s="19">
        <f ca="1">IF('Stock Price'!$I$11="OK",M1121/INDEX(M$5:M$1258,'Stock Price'!$I$9)-1,"")</f>
        <v>-9.1448257816929002E-2</v>
      </c>
    </row>
    <row r="1122" spans="1:26" x14ac:dyDescent="0.2">
      <c r="A1122" s="16">
        <f>'Stock Price'!A1122</f>
        <v>46100</v>
      </c>
      <c r="B1122" s="17">
        <f>'Stock Price'!E1122</f>
        <v>114.2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7.2804133395960591E-2</v>
      </c>
      <c r="P1122" s="19">
        <f ca="1">IF('Stock Price'!$I$11="OK",C1122/INDEX(C$5:C$1258,'Stock Price'!$I$9)-1,"")</f>
        <v>6.9654973292911926E-2</v>
      </c>
      <c r="Q1122" s="19">
        <f ca="1">IF('Stock Price'!$I$11="OK",D1122/INDEX(D$5:D$1258,'Stock Price'!$I$9)-1,"")</f>
        <v>3.4241138634186319E-2</v>
      </c>
      <c r="R1122" s="19">
        <f ca="1">IF('Stock Price'!$I$11="OK",E1122/INDEX(E$5:E$1258,'Stock Price'!$I$9)-1,"")</f>
        <v>5.52085432198266E-2</v>
      </c>
      <c r="S1122" s="19">
        <f ca="1">IF('Stock Price'!$I$11="OK",F1122/INDEX(F$5:F$1258,'Stock Price'!$I$9)-1,"")</f>
        <v>-5.9086491739553049E-2</v>
      </c>
      <c r="T1122" s="19">
        <f ca="1">IF('Stock Price'!$I$11="OK",G1122/INDEX(G$5:G$1258,'Stock Price'!$I$9)-1,"")</f>
        <v>-5.9921210864607E-2</v>
      </c>
      <c r="U1122" s="19">
        <f ca="1">IF('Stock Price'!$I$11="OK",H1122/INDEX(H$5:H$1258,'Stock Price'!$I$9)-1,"")</f>
        <v>1.2236842105263213E-2</v>
      </c>
      <c r="V1122" s="19">
        <f ca="1">IF('Stock Price'!$I$11="OK",I1122/INDEX(I$5:I$1258,'Stock Price'!$I$9)-1,"")</f>
        <v>8.8562351072279499E-2</v>
      </c>
      <c r="W1122" s="19">
        <f ca="1">IF('Stock Price'!$I$11="OK",J1122/INDEX(J$5:J$1258,'Stock Price'!$I$9)-1,"")</f>
        <v>-0.15074604761375832</v>
      </c>
      <c r="X1122" s="19">
        <f ca="1">IF('Stock Price'!$I$11="OK",K1122/INDEX(K$5:K$1258,'Stock Price'!$I$9)-1,"")</f>
        <v>8.6980920314253529E-2</v>
      </c>
      <c r="Y1122" s="19">
        <f ca="1">IF('Stock Price'!$I$11="OK",L1122/INDEX(L$5:L$1258,'Stock Price'!$I$9)-1,"")</f>
        <v>0.14588859416445632</v>
      </c>
      <c r="Z1122" s="19">
        <f ca="1">IF('Stock Price'!$I$11="OK",M1122/INDEX(M$5:M$1258,'Stock Price'!$I$9)-1,"")</f>
        <v>-0.1006497754131962</v>
      </c>
    </row>
    <row r="1123" spans="1:26" x14ac:dyDescent="0.2">
      <c r="A1123" s="16">
        <f>'Stock Price'!A1123</f>
        <v>46101</v>
      </c>
      <c r="B1123" s="17">
        <f>'Stock Price'!E1123</f>
        <v>114.18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7.2616251761390416E-2</v>
      </c>
      <c r="P1123" s="19">
        <f ca="1">IF('Stock Price'!$I$11="OK",C1123/INDEX(C$5:C$1258,'Stock Price'!$I$9)-1,"")</f>
        <v>5.4063808286415549E-2</v>
      </c>
      <c r="Q1123" s="19">
        <f ca="1">IF('Stock Price'!$I$11="OK",D1123/INDEX(D$5:D$1258,'Stock Price'!$I$9)-1,"")</f>
        <v>5.0636376077732859E-3</v>
      </c>
      <c r="R1123" s="19">
        <f ca="1">IF('Stock Price'!$I$11="OK",E1123/INDEX(E$5:E$1258,'Stock Price'!$I$9)-1,"")</f>
        <v>4.4529518436429605E-2</v>
      </c>
      <c r="S1123" s="19">
        <f ca="1">IF('Stock Price'!$I$11="OK",F1123/INDEX(F$5:F$1258,'Stock Price'!$I$9)-1,"")</f>
        <v>-7.8911564625850361E-2</v>
      </c>
      <c r="T1123" s="19">
        <f ca="1">IF('Stock Price'!$I$11="OK",G1123/INDEX(G$5:G$1258,'Stock Price'!$I$9)-1,"")</f>
        <v>-7.5264358283226085E-2</v>
      </c>
      <c r="U1123" s="19">
        <f ca="1">IF('Stock Price'!$I$11="OK",H1123/INDEX(H$5:H$1258,'Stock Price'!$I$9)-1,"")</f>
        <v>1.013157894736838E-2</v>
      </c>
      <c r="V1123" s="19">
        <f ca="1">IF('Stock Price'!$I$11="OK",I1123/INDEX(I$5:I$1258,'Stock Price'!$I$9)-1,"")</f>
        <v>7.1088165210484444E-2</v>
      </c>
      <c r="W1123" s="19">
        <f ca="1">IF('Stock Price'!$I$11="OK",J1123/INDEX(J$5:J$1258,'Stock Price'!$I$9)-1,"")</f>
        <v>-0.1607427153911658</v>
      </c>
      <c r="X1123" s="19">
        <f ca="1">IF('Stock Price'!$I$11="OK",K1123/INDEX(K$5:K$1258,'Stock Price'!$I$9)-1,"")</f>
        <v>7.5196408529741854E-2</v>
      </c>
      <c r="Y1123" s="19">
        <f ca="1">IF('Stock Price'!$I$11="OK",L1123/INDEX(L$5:L$1258,'Stock Price'!$I$9)-1,"")</f>
        <v>0.13513383168555593</v>
      </c>
      <c r="Z1123" s="19">
        <f ca="1">IF('Stock Price'!$I$11="OK",M1123/INDEX(M$5:M$1258,'Stock Price'!$I$9)-1,"")</f>
        <v>-0.10570842963673632</v>
      </c>
    </row>
    <row r="1124" spans="1:26" x14ac:dyDescent="0.2">
      <c r="A1124" s="16">
        <f>'Stock Price'!A1124</f>
        <v>46104</v>
      </c>
      <c r="B1124" s="17">
        <f>'Stock Price'!E1124</f>
        <v>115.68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8.6707374354156874E-2</v>
      </c>
      <c r="P1124" s="19">
        <f ca="1">IF('Stock Price'!$I$11="OK",C1124/INDEX(C$5:C$1258,'Stock Price'!$I$9)-1,"")</f>
        <v>6.8933160098166635E-2</v>
      </c>
      <c r="Q1124" s="19">
        <f ca="1">IF('Stock Price'!$I$11="OK",D1124/INDEX(D$5:D$1258,'Stock Price'!$I$9)-1,"")</f>
        <v>7.6365129328039849E-3</v>
      </c>
      <c r="R1124" s="19">
        <f ca="1">IF('Stock Price'!$I$11="OK",E1124/INDEX(E$5:E$1258,'Stock Price'!$I$9)-1,"")</f>
        <v>4.7551883941164608E-2</v>
      </c>
      <c r="S1124" s="19">
        <f ca="1">IF('Stock Price'!$I$11="OK",F1124/INDEX(F$5:F$1258,'Stock Price'!$I$9)-1,"")</f>
        <v>-6.4917395529640487E-2</v>
      </c>
      <c r="T1124" s="19">
        <f ca="1">IF('Stock Price'!$I$11="OK",G1124/INDEX(G$5:G$1258,'Stock Price'!$I$9)-1,"")</f>
        <v>-7.1739581173543288E-2</v>
      </c>
      <c r="U1124" s="19">
        <f ca="1">IF('Stock Price'!$I$11="OK",H1124/INDEX(H$5:H$1258,'Stock Price'!$I$9)-1,"")</f>
        <v>1.2236842105263213E-2</v>
      </c>
      <c r="V1124" s="19">
        <f ca="1">IF('Stock Price'!$I$11="OK",I1124/INDEX(I$5:I$1258,'Stock Price'!$I$9)-1,"")</f>
        <v>6.3145353455123177E-2</v>
      </c>
      <c r="W1124" s="19">
        <f ca="1">IF('Stock Price'!$I$11="OK",J1124/INDEX(J$5:J$1258,'Stock Price'!$I$9)-1,"")</f>
        <v>-0.15717908845199746</v>
      </c>
      <c r="X1124" s="19">
        <f ca="1">IF('Stock Price'!$I$11="OK",K1124/INDEX(K$5:K$1258,'Stock Price'!$I$9)-1,"")</f>
        <v>6.6217732884399583E-2</v>
      </c>
      <c r="Y1124" s="19">
        <f ca="1">IF('Stock Price'!$I$11="OK",L1124/INDEX(L$5:L$1258,'Stock Price'!$I$9)-1,"")</f>
        <v>0.13537496985772846</v>
      </c>
      <c r="Z1124" s="19">
        <f ca="1">IF('Stock Price'!$I$11="OK",M1124/INDEX(M$5:M$1258,'Stock Price'!$I$9)-1,"")</f>
        <v>-0.10631895687061177</v>
      </c>
    </row>
    <row r="1125" spans="1:26" x14ac:dyDescent="0.2">
      <c r="A1125" s="16">
        <f>'Stock Price'!A1125</f>
        <v>46105</v>
      </c>
      <c r="B1125" s="17">
        <f>'Stock Price'!E1125</f>
        <v>116.37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9.3189290746829467E-2</v>
      </c>
      <c r="P1125" s="19">
        <f ca="1">IF('Stock Price'!$I$11="OK",C1125/INDEX(C$5:C$1258,'Stock Price'!$I$9)-1,"")</f>
        <v>7.2686588710841882E-2</v>
      </c>
      <c r="Q1125" s="19">
        <f ca="1">IF('Stock Price'!$I$11="OK",D1125/INDEX(D$5:D$1258,'Stock Price'!$I$9)-1,"")</f>
        <v>1.6997399753660769E-2</v>
      </c>
      <c r="R1125" s="19">
        <f ca="1">IF('Stock Price'!$I$11="OK",E1125/INDEX(E$5:E$1258,'Stock Price'!$I$9)-1,"")</f>
        <v>6.6895023171468893E-2</v>
      </c>
      <c r="S1125" s="19">
        <f ca="1">IF('Stock Price'!$I$11="OK",F1125/INDEX(F$5:F$1258,'Stock Price'!$I$9)-1,"")</f>
        <v>-6.6472303206997152E-2</v>
      </c>
      <c r="T1125" s="19">
        <f ca="1">IF('Stock Price'!$I$11="OK",G1125/INDEX(G$5:G$1258,'Stock Price'!$I$9)-1,"")</f>
        <v>-6.40680074642338E-2</v>
      </c>
      <c r="U1125" s="19">
        <f ca="1">IF('Stock Price'!$I$11="OK",H1125/INDEX(H$5:H$1258,'Stock Price'!$I$9)-1,"")</f>
        <v>-6.8421052631578716E-3</v>
      </c>
      <c r="V1125" s="19">
        <f ca="1">IF('Stock Price'!$I$11="OK",I1125/INDEX(I$5:I$1258,'Stock Price'!$I$9)-1,"")</f>
        <v>7.0691024622716592E-2</v>
      </c>
      <c r="W1125" s="19">
        <f ca="1">IF('Stock Price'!$I$11="OK",J1125/INDEX(J$5:J$1258,'Stock Price'!$I$9)-1,"")</f>
        <v>-0.16414898737457884</v>
      </c>
      <c r="X1125" s="19">
        <f ca="1">IF('Stock Price'!$I$11="OK",K1125/INDEX(K$5:K$1258,'Stock Price'!$I$9)-1,"")</f>
        <v>7.3512906846240123E-2</v>
      </c>
      <c r="Y1125" s="19">
        <f ca="1">IF('Stock Price'!$I$11="OK",L1125/INDEX(L$5:L$1258,'Stock Price'!$I$9)-1,"")</f>
        <v>0.13465155534121065</v>
      </c>
      <c r="Z1125" s="19">
        <f ca="1">IF('Stock Price'!$I$11="OK",M1125/INDEX(M$5:M$1258,'Stock Price'!$I$9)-1,"")</f>
        <v>-0.10514151149099482</v>
      </c>
    </row>
    <row r="1126" spans="1:26" x14ac:dyDescent="0.2">
      <c r="A1126" s="16">
        <f>'Stock Price'!A1126</f>
        <v>46106</v>
      </c>
      <c r="B1126" s="17">
        <f>'Stock Price'!E1126</f>
        <v>119.37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0.12137153593236261</v>
      </c>
      <c r="P1126" s="19">
        <f ca="1">IF('Stock Price'!$I$11="OK",C1126/INDEX(C$5:C$1258,'Stock Price'!$I$9)-1,"")</f>
        <v>8.8133391078389023E-2</v>
      </c>
      <c r="Q1126" s="19">
        <f ca="1">IF('Stock Price'!$I$11="OK",D1126/INDEX(D$5:D$1258,'Stock Price'!$I$9)-1,"")</f>
        <v>2.4442315587792418E-2</v>
      </c>
      <c r="R1126" s="19">
        <f ca="1">IF('Stock Price'!$I$11="OK",E1126/INDEX(E$5:E$1258,'Stock Price'!$I$9)-1,"")</f>
        <v>0.1021559540600443</v>
      </c>
      <c r="S1126" s="19">
        <f ca="1">IF('Stock Price'!$I$11="OK",F1126/INDEX(F$5:F$1258,'Stock Price'!$I$9)-1,"")</f>
        <v>-4.8590864917395504E-2</v>
      </c>
      <c r="T1126" s="19">
        <f ca="1">IF('Stock Price'!$I$11="OK",G1126/INDEX(G$5:G$1258,'Stock Price'!$I$9)-1,"")</f>
        <v>-4.5614762595894587E-2</v>
      </c>
      <c r="U1126" s="19">
        <f ca="1">IF('Stock Price'!$I$11="OK",H1126/INDEX(H$5:H$1258,'Stock Price'!$I$9)-1,"")</f>
        <v>3.4210526315789913E-3</v>
      </c>
      <c r="V1126" s="19">
        <f ca="1">IF('Stock Price'!$I$11="OK",I1126/INDEX(I$5:I$1258,'Stock Price'!$I$9)-1,"")</f>
        <v>8.3399523431294753E-2</v>
      </c>
      <c r="W1126" s="19">
        <f ca="1">IF('Stock Price'!$I$11="OK",J1126/INDEX(J$5:J$1258,'Stock Price'!$I$9)-1,"")</f>
        <v>-0.1518475323040468</v>
      </c>
      <c r="X1126" s="19">
        <f ca="1">IF('Stock Price'!$I$11="OK",K1126/INDEX(K$5:K$1258,'Stock Price'!$I$9)-1,"")</f>
        <v>0.10250654695099137</v>
      </c>
      <c r="Y1126" s="19">
        <f ca="1">IF('Stock Price'!$I$11="OK",L1126/INDEX(L$5:L$1258,'Stock Price'!$I$9)-1,"")</f>
        <v>0.15712563298770199</v>
      </c>
      <c r="Z1126" s="19">
        <f ca="1">IF('Stock Price'!$I$11="OK",M1126/INDEX(M$5:M$1258,'Stock Price'!$I$9)-1,"")</f>
        <v>-9.6506912040469239E-2</v>
      </c>
    </row>
    <row r="1127" spans="1:26" x14ac:dyDescent="0.2">
      <c r="A1127" s="16">
        <f>'Stock Price'!A1127</f>
        <v>46107</v>
      </c>
      <c r="B1127" s="17">
        <f>'Stock Price'!E1127</f>
        <v>118.93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0.11723813997181787</v>
      </c>
      <c r="P1127" s="19">
        <f ca="1">IF('Stock Price'!$I$11="OK",C1127/INDEX(C$5:C$1258,'Stock Price'!$I$9)-1,"")</f>
        <v>8.0554352533564355E-2</v>
      </c>
      <c r="Q1127" s="19">
        <f ca="1">IF('Stock Price'!$I$11="OK",D1127/INDEX(D$5:D$1258,'Stock Price'!$I$9)-1,"")</f>
        <v>3.9687970439303832E-3</v>
      </c>
      <c r="R1127" s="19">
        <f ca="1">IF('Stock Price'!$I$11="OK",E1127/INDEX(E$5:E$1258,'Stock Price'!$I$9)-1,"")</f>
        <v>8.6842635502720089E-2</v>
      </c>
      <c r="S1127" s="19">
        <f ca="1">IF('Stock Price'!$I$11="OK",F1127/INDEX(F$5:F$1258,'Stock Price'!$I$9)-1,"")</f>
        <v>-5.3061224489795999E-2</v>
      </c>
      <c r="T1127" s="19">
        <f ca="1">IF('Stock Price'!$I$11="OK",G1127/INDEX(G$5:G$1258,'Stock Price'!$I$9)-1,"")</f>
        <v>-3.338171262699563E-2</v>
      </c>
      <c r="U1127" s="19">
        <f ca="1">IF('Stock Price'!$I$11="OK",H1127/INDEX(H$5:H$1258,'Stock Price'!$I$9)-1,"")</f>
        <v>7.2368421052630971E-3</v>
      </c>
      <c r="V1127" s="19">
        <f ca="1">IF('Stock Price'!$I$11="OK",I1127/INDEX(I$5:I$1258,'Stock Price'!$I$9)-1,"")</f>
        <v>9.4916600476568691E-2</v>
      </c>
      <c r="W1127" s="19">
        <f ca="1">IF('Stock Price'!$I$11="OK",J1127/INDEX(J$5:J$1258,'Stock Price'!$I$9)-1,"")</f>
        <v>-0.16972120404309665</v>
      </c>
      <c r="X1127" s="19">
        <f ca="1">IF('Stock Price'!$I$11="OK",K1127/INDEX(K$5:K$1258,'Stock Price'!$I$9)-1,"")</f>
        <v>0.111672278338945</v>
      </c>
      <c r="Y1127" s="19">
        <f ca="1">IF('Stock Price'!$I$11="OK",L1127/INDEX(L$5:L$1258,'Stock Price'!$I$9)-1,"")</f>
        <v>0.15379792621171928</v>
      </c>
      <c r="Z1127" s="19">
        <f ca="1">IF('Stock Price'!$I$11="OK",M1127/INDEX(M$5:M$1258,'Stock Price'!$I$9)-1,"")</f>
        <v>-7.9324931315686187E-2</v>
      </c>
    </row>
    <row r="1128" spans="1:26" x14ac:dyDescent="0.2">
      <c r="A1128" s="16">
        <f>'Stock Price'!A1128</f>
        <v>46108</v>
      </c>
      <c r="B1128" s="17">
        <f>'Stock Price'!E1128</f>
        <v>119.63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0.12381399718177533</v>
      </c>
      <c r="P1128" s="19">
        <f ca="1">IF('Stock Price'!$I$11="OK",C1128/INDEX(C$5:C$1258,'Stock Price'!$I$9)-1,"")</f>
        <v>6.9582791973437308E-2</v>
      </c>
      <c r="Q1128" s="19">
        <f ca="1">IF('Stock Price'!$I$11="OK",D1128/INDEX(D$5:D$1258,'Stock Price'!$I$9)-1,"")</f>
        <v>3.144929519638695E-2</v>
      </c>
      <c r="R1128" s="19">
        <f ca="1">IF('Stock Price'!$I$11="OK",E1128/INDEX(E$5:E$1258,'Stock Price'!$I$9)-1,"")</f>
        <v>8.4827725166230161E-2</v>
      </c>
      <c r="S1128" s="19">
        <f ca="1">IF('Stock Price'!$I$11="OK",F1128/INDEX(F$5:F$1258,'Stock Price'!$I$9)-1,"")</f>
        <v>-6.1030126336248824E-2</v>
      </c>
      <c r="T1128" s="19">
        <f ca="1">IF('Stock Price'!$I$11="OK",G1128/INDEX(G$5:G$1258,'Stock Price'!$I$9)-1,"")</f>
        <v>-3.0064275347294167E-2</v>
      </c>
      <c r="U1128" s="19">
        <f ca="1">IF('Stock Price'!$I$11="OK",H1128/INDEX(H$5:H$1258,'Stock Price'!$I$9)-1,"")</f>
        <v>6.8421052631577606E-3</v>
      </c>
      <c r="V1128" s="19">
        <f ca="1">IF('Stock Price'!$I$11="OK",I1128/INDEX(I$5:I$1258,'Stock Price'!$I$9)-1,"")</f>
        <v>7.3868149324860966E-2</v>
      </c>
      <c r="W1128" s="19">
        <f ca="1">IF('Stock Price'!$I$11="OK",J1128/INDEX(J$5:J$1258,'Stock Price'!$I$9)-1,"")</f>
        <v>-0.1870857862194083</v>
      </c>
      <c r="X1128" s="19">
        <f ca="1">IF('Stock Price'!$I$11="OK",K1128/INDEX(K$5:K$1258,'Stock Price'!$I$9)-1,"")</f>
        <v>9.502431724653948E-2</v>
      </c>
      <c r="Y1128" s="19">
        <f ca="1">IF('Stock Price'!$I$11="OK",L1128/INDEX(L$5:L$1258,'Stock Price'!$I$9)-1,"")</f>
        <v>0.15963346997829753</v>
      </c>
      <c r="Z1128" s="19">
        <f ca="1">IF('Stock Price'!$I$11="OK",M1128/INDEX(M$5:M$1258,'Stock Price'!$I$9)-1,"")</f>
        <v>-8.6825694474728543E-2</v>
      </c>
    </row>
    <row r="1129" spans="1:26" x14ac:dyDescent="0.2">
      <c r="A1129" s="16">
        <f>'Stock Price'!A1129</f>
        <v>46111</v>
      </c>
      <c r="B1129" s="17">
        <f>'Stock Price'!E1129</f>
        <v>118.1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0.1094410521371536</v>
      </c>
      <c r="P1129" s="19">
        <f ca="1">IF('Stock Price'!$I$11="OK",C1129/INDEX(C$5:C$1258,'Stock Price'!$I$9)-1,"")</f>
        <v>8.5318319618882699E-2</v>
      </c>
      <c r="Q1129" s="19">
        <f ca="1">IF('Stock Price'!$I$11="OK",D1129/INDEX(D$5:D$1258,'Stock Price'!$I$9)-1,"")</f>
        <v>6.133844258929777E-2</v>
      </c>
      <c r="R1129" s="19">
        <f ca="1">IF('Stock Price'!$I$11="OK",E1129/INDEX(E$5:E$1258,'Stock Price'!$I$9)-1,"")</f>
        <v>9.2685875478541124E-2</v>
      </c>
      <c r="S1129" s="19">
        <f ca="1">IF('Stock Price'!$I$11="OK",F1129/INDEX(F$5:F$1258,'Stock Price'!$I$9)-1,"")</f>
        <v>-5.0728862973760891E-2</v>
      </c>
      <c r="T1129" s="19">
        <f ca="1">IF('Stock Price'!$I$11="OK",G1129/INDEX(G$5:G$1258,'Stock Price'!$I$9)-1,"")</f>
        <v>-3.1308314327182174E-2</v>
      </c>
      <c r="U1129" s="19">
        <f ca="1">IF('Stock Price'!$I$11="OK",H1129/INDEX(H$5:H$1258,'Stock Price'!$I$9)-1,"")</f>
        <v>2.8026315789473566E-2</v>
      </c>
      <c r="V1129" s="19">
        <f ca="1">IF('Stock Price'!$I$11="OK",I1129/INDEX(I$5:I$1258,'Stock Price'!$I$9)-1,"")</f>
        <v>0.10285941223193018</v>
      </c>
      <c r="W1129" s="19">
        <f ca="1">IF('Stock Price'!$I$11="OK",J1129/INDEX(J$5:J$1258,'Stock Price'!$I$9)-1,"")</f>
        <v>-0.17931985634418146</v>
      </c>
      <c r="X1129" s="19">
        <f ca="1">IF('Stock Price'!$I$11="OK",K1129/INDEX(K$5:K$1258,'Stock Price'!$I$9)-1,"")</f>
        <v>0.11728395061728381</v>
      </c>
      <c r="Y1129" s="19">
        <f ca="1">IF('Stock Price'!$I$11="OK",L1129/INDEX(L$5:L$1258,'Stock Price'!$I$9)-1,"")</f>
        <v>0.16947190740294205</v>
      </c>
      <c r="Z1129" s="19">
        <f ca="1">IF('Stock Price'!$I$11="OK",M1129/INDEX(M$5:M$1258,'Stock Price'!$I$9)-1,"")</f>
        <v>-7.0603113688892716E-2</v>
      </c>
    </row>
    <row r="1130" spans="1:26" x14ac:dyDescent="0.2">
      <c r="A1130" s="16">
        <f>'Stock Price'!A1130</f>
        <v>46112</v>
      </c>
      <c r="B1130" s="17">
        <f>'Stock Price'!E1130</f>
        <v>120.29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0.13001409112259288</v>
      </c>
      <c r="P1130" s="19">
        <f ca="1">IF('Stock Price'!$I$11="OK",C1130/INDEX(C$5:C$1258,'Stock Price'!$I$9)-1,"")</f>
        <v>0.10256965497329307</v>
      </c>
      <c r="Q1130" s="19">
        <f ca="1">IF('Stock Price'!$I$11="OK",D1130/INDEX(D$5:D$1258,'Stock Price'!$I$9)-1,"")</f>
        <v>7.9622280005474222E-2</v>
      </c>
      <c r="R1130" s="19">
        <f ca="1">IF('Stock Price'!$I$11="OK",E1130/INDEX(E$5:E$1258,'Stock Price'!$I$9)-1,"")</f>
        <v>0.11202901470884541</v>
      </c>
      <c r="S1130" s="19">
        <f ca="1">IF('Stock Price'!$I$11="OK",F1130/INDEX(F$5:F$1258,'Stock Price'!$I$9)-1,"")</f>
        <v>-3.3819241982507298E-2</v>
      </c>
      <c r="T1130" s="19">
        <f ca="1">IF('Stock Price'!$I$11="OK",G1130/INDEX(G$5:G$1258,'Stock Price'!$I$9)-1,"")</f>
        <v>-1.0366991499066724E-3</v>
      </c>
      <c r="U1130" s="19">
        <f ca="1">IF('Stock Price'!$I$11="OK",H1130/INDEX(H$5:H$1258,'Stock Price'!$I$9)-1,"")</f>
        <v>3.6447368421052673E-2</v>
      </c>
      <c r="V1130" s="19">
        <f ca="1">IF('Stock Price'!$I$11="OK",I1130/INDEX(I$5:I$1258,'Stock Price'!$I$9)-1,"")</f>
        <v>0.11517077045274027</v>
      </c>
      <c r="W1130" s="19">
        <f ca="1">IF('Stock Price'!$I$11="OK",J1130/INDEX(J$5:J$1258,'Stock Price'!$I$9)-1,"")</f>
        <v>-0.14864489614572918</v>
      </c>
      <c r="X1130" s="19">
        <f ca="1">IF('Stock Price'!$I$11="OK",K1130/INDEX(K$5:K$1258,'Stock Price'!$I$9)-1,"")</f>
        <v>0.13449307893752338</v>
      </c>
      <c r="Y1130" s="19">
        <f ca="1">IF('Stock Price'!$I$11="OK",L1130/INDEX(L$5:L$1258,'Stock Price'!$I$9)-1,"")</f>
        <v>0.17887629611767553</v>
      </c>
      <c r="Z1130" s="19">
        <f ca="1">IF('Stock Price'!$I$11="OK",M1130/INDEX(M$5:M$1258,'Stock Price'!$I$9)-1,"")</f>
        <v>-5.1545942174349157E-2</v>
      </c>
    </row>
    <row r="1131" spans="1:26" x14ac:dyDescent="0.2">
      <c r="A1131" s="16">
        <f>'Stock Price'!A1131</f>
        <v>46113</v>
      </c>
      <c r="B1131" s="17">
        <f>'Stock Price'!E1131</f>
        <v>120.84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0.1351808360732738</v>
      </c>
      <c r="P1131" s="19">
        <f ca="1">IF('Stock Price'!$I$11="OK",C1131/INDEX(C$5:C$1258,'Stock Price'!$I$9)-1,"")</f>
        <v>0.11938790241085617</v>
      </c>
      <c r="Q1131" s="19">
        <f ca="1">IF('Stock Price'!$I$11="OK",D1131/INDEX(D$5:D$1258,'Stock Price'!$I$9)-1,"")</f>
        <v>9.8836731900916908E-2</v>
      </c>
      <c r="R1131" s="19">
        <f ca="1">IF('Stock Price'!$I$11="OK",E1131/INDEX(E$5:E$1258,'Stock Price'!$I$9)-1,"")</f>
        <v>0.12814829740076572</v>
      </c>
      <c r="S1131" s="19">
        <f ca="1">IF('Stock Price'!$I$11="OK",F1131/INDEX(F$5:F$1258,'Stock Price'!$I$9)-1,"")</f>
        <v>-2.0408163265306256E-2</v>
      </c>
      <c r="T1131" s="19">
        <f ca="1">IF('Stock Price'!$I$11="OK",G1131/INDEX(G$5:G$1258,'Stock Price'!$I$9)-1,"")</f>
        <v>-1.0366991499066947E-2</v>
      </c>
      <c r="U1131" s="19">
        <f ca="1">IF('Stock Price'!$I$11="OK",H1131/INDEX(H$5:H$1258,'Stock Price'!$I$9)-1,"")</f>
        <v>5.5789473684210389E-2</v>
      </c>
      <c r="V1131" s="19">
        <f ca="1">IF('Stock Price'!$I$11="OK",I1131/INDEX(I$5:I$1258,'Stock Price'!$I$9)-1,"")</f>
        <v>0.13383637807783955</v>
      </c>
      <c r="W1131" s="19">
        <f ca="1">IF('Stock Price'!$I$11="OK",J1131/INDEX(J$5:J$1258,'Stock Price'!$I$9)-1,"")</f>
        <v>-0.11647969195453356</v>
      </c>
      <c r="X1131" s="19">
        <f ca="1">IF('Stock Price'!$I$11="OK",K1131/INDEX(K$5:K$1258,'Stock Price'!$I$9)-1,"")</f>
        <v>0.15469509913954349</v>
      </c>
      <c r="Y1131" s="19">
        <f ca="1">IF('Stock Price'!$I$11="OK",L1131/INDEX(L$5:L$1258,'Stock Price'!$I$9)-1,"")</f>
        <v>0.17733301181577055</v>
      </c>
      <c r="Z1131" s="19">
        <f ca="1">IF('Stock Price'!$I$11="OK",M1131/INDEX(M$5:M$1258,'Stock Price'!$I$9)-1,"")</f>
        <v>-6.2491823295974913E-2</v>
      </c>
    </row>
    <row r="1132" spans="1:26" x14ac:dyDescent="0.2">
      <c r="A1132" s="16">
        <f>'Stock Price'!A1132</f>
        <v>46114</v>
      </c>
      <c r="B1132" s="17">
        <f>'Stock Price'!E1132</f>
        <v>120.87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0.13546265852512929</v>
      </c>
      <c r="P1132" s="19">
        <f ca="1">IF('Stock Price'!$I$11="OK",C1132/INDEX(C$5:C$1258,'Stock Price'!$I$9)-1,"")</f>
        <v>0.1118088638660315</v>
      </c>
      <c r="Q1132" s="19">
        <f ca="1">IF('Stock Price'!$I$11="OK",D1132/INDEX(D$5:D$1258,'Stock Price'!$I$9)-1,"")</f>
        <v>0.11394553168194888</v>
      </c>
      <c r="R1132" s="19">
        <f ca="1">IF('Stock Price'!$I$11="OK",E1132/INDEX(E$5:E$1258,'Stock Price'!$I$9)-1,"")</f>
        <v>0.14225266975619566</v>
      </c>
      <c r="S1132" s="19">
        <f ca="1">IF('Stock Price'!$I$11="OK",F1132/INDEX(F$5:F$1258,'Stock Price'!$I$9)-1,"")</f>
        <v>-3.1098153547133189E-2</v>
      </c>
      <c r="T1132" s="19">
        <f ca="1">IF('Stock Price'!$I$11="OK",G1132/INDEX(G$5:G$1258,'Stock Price'!$I$9)-1,"")</f>
        <v>-7.0495542193654837E-3</v>
      </c>
      <c r="U1132" s="19">
        <f ca="1">IF('Stock Price'!$I$11="OK",H1132/INDEX(H$5:H$1258,'Stock Price'!$I$9)-1,"")</f>
        <v>4.4605263157894814E-2</v>
      </c>
      <c r="V1132" s="19">
        <f ca="1">IF('Stock Price'!$I$11="OK",I1132/INDEX(I$5:I$1258,'Stock Price'!$I$9)-1,"")</f>
        <v>0.12470214455917406</v>
      </c>
      <c r="W1132" s="19">
        <f ca="1">IF('Stock Price'!$I$11="OK",J1132/INDEX(J$5:J$1258,'Stock Price'!$I$9)-1,"")</f>
        <v>-0.13401088526046856</v>
      </c>
      <c r="X1132" s="19">
        <f ca="1">IF('Stock Price'!$I$11="OK",K1132/INDEX(K$5:K$1258,'Stock Price'!$I$9)-1,"")</f>
        <v>0.11485222596333711</v>
      </c>
      <c r="Y1132" s="19">
        <f ca="1">IF('Stock Price'!$I$11="OK",L1132/INDEX(L$5:L$1258,'Stock Price'!$I$9)-1,"")</f>
        <v>0.17212442729684119</v>
      </c>
      <c r="Z1132" s="19">
        <f ca="1">IF('Stock Price'!$I$11="OK",M1132/INDEX(M$5:M$1258,'Stock Price'!$I$9)-1,"")</f>
        <v>-8.9267803410230662E-2</v>
      </c>
    </row>
    <row r="1133" spans="1:26" x14ac:dyDescent="0.2">
      <c r="A1133" s="16">
        <f>'Stock Price'!A1133</f>
        <v>46118</v>
      </c>
      <c r="B1133" s="17">
        <f>'Stock Price'!E1133</f>
        <v>120.85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0.13527477689055889</v>
      </c>
      <c r="P1133" s="19">
        <f ca="1">IF('Stock Price'!$I$11="OK",C1133/INDEX(C$5:C$1258,'Stock Price'!$I$9)-1,"")</f>
        <v>0.10321928684856374</v>
      </c>
      <c r="Q1133" s="19">
        <f ca="1">IF('Stock Price'!$I$11="OK",D1133/INDEX(D$5:D$1258,'Stock Price'!$I$9)-1,"")</f>
        <v>0.11033255782126727</v>
      </c>
      <c r="R1133" s="19">
        <f ca="1">IF('Stock Price'!$I$11="OK",E1133/INDEX(E$5:E$1258,'Stock Price'!$I$9)-1,"")</f>
        <v>0.13580495667942771</v>
      </c>
      <c r="S1133" s="19">
        <f ca="1">IF('Stock Price'!$I$11="OK",F1133/INDEX(F$5:F$1258,'Stock Price'!$I$9)-1,"")</f>
        <v>-2.8571428571428692E-2</v>
      </c>
      <c r="T1133" s="19">
        <f ca="1">IF('Stock Price'!$I$11="OK",G1133/INDEX(G$5:G$1258,'Stock Price'!$I$9)-1,"")</f>
        <v>-1.3062409288824295E-2</v>
      </c>
      <c r="U1133" s="19">
        <f ca="1">IF('Stock Price'!$I$11="OK",H1133/INDEX(H$5:H$1258,'Stock Price'!$I$9)-1,"")</f>
        <v>4.4605263157894814E-2</v>
      </c>
      <c r="V1133" s="19">
        <f ca="1">IF('Stock Price'!$I$11="OK",I1133/INDEX(I$5:I$1258,'Stock Price'!$I$9)-1,"")</f>
        <v>0.10524225575853841</v>
      </c>
      <c r="W1133" s="19">
        <f ca="1">IF('Stock Price'!$I$11="OK",J1133/INDEX(J$5:J$1258,'Stock Price'!$I$9)-1,"")</f>
        <v>-0.14189714539597909</v>
      </c>
      <c r="X1133" s="19">
        <f ca="1">IF('Stock Price'!$I$11="OK",K1133/INDEX(K$5:K$1258,'Stock Price'!$I$9)-1,"")</f>
        <v>0.10980172091283191</v>
      </c>
      <c r="Y1133" s="19">
        <f ca="1">IF('Stock Price'!$I$11="OK",L1133/INDEX(L$5:L$1258,'Stock Price'!$I$9)-1,"")</f>
        <v>0.16214130696889328</v>
      </c>
      <c r="Z1133" s="19">
        <f ca="1">IF('Stock Price'!$I$11="OK",M1133/INDEX(M$5:M$1258,'Stock Price'!$I$9)-1,"")</f>
        <v>-9.8643757359033635E-2</v>
      </c>
    </row>
    <row r="1134" spans="1:26" x14ac:dyDescent="0.2">
      <c r="A1134" s="16">
        <f>'Stock Price'!A1134</f>
        <v>46119</v>
      </c>
      <c r="B1134" s="17">
        <f>'Stock Price'!E1134</f>
        <v>119.28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0.1205260685767966</v>
      </c>
      <c r="P1134" s="19">
        <f ca="1">IF('Stock Price'!$I$11="OK",C1134/INDEX(C$5:C$1258,'Stock Price'!$I$9)-1,"")</f>
        <v>9.1525913093691402E-2</v>
      </c>
      <c r="Q1134" s="19">
        <f ca="1">IF('Stock Price'!$I$11="OK",D1134/INDEX(D$5:D$1258,'Stock Price'!$I$9)-1,"")</f>
        <v>9.9274668126454024E-2</v>
      </c>
      <c r="R1134" s="19">
        <f ca="1">IF('Stock Price'!$I$11="OK",E1134/INDEX(E$5:E$1258,'Stock Price'!$I$9)-1,"")</f>
        <v>0.12512593189603072</v>
      </c>
      <c r="S1134" s="19">
        <f ca="1">IF('Stock Price'!$I$11="OK",F1134/INDEX(F$5:F$1258,'Stock Price'!$I$9)-1,"")</f>
        <v>-4.081632653061229E-2</v>
      </c>
      <c r="T1134" s="19">
        <f ca="1">IF('Stock Price'!$I$11="OK",G1134/INDEX(G$5:G$1258,'Stock Price'!$I$9)-1,"")</f>
        <v>-2.9027576197387495E-2</v>
      </c>
      <c r="U1134" s="19">
        <f ca="1">IF('Stock Price'!$I$11="OK",H1134/INDEX(H$5:H$1258,'Stock Price'!$I$9)-1,"")</f>
        <v>3.3421052631579018E-2</v>
      </c>
      <c r="V1134" s="19">
        <f ca="1">IF('Stock Price'!$I$11="OK",I1134/INDEX(I$5:I$1258,'Stock Price'!$I$9)-1,"")</f>
        <v>7.6250992851469412E-2</v>
      </c>
      <c r="W1134" s="19">
        <f ca="1">IF('Stock Price'!$I$11="OK",J1134/INDEX(J$5:J$1258,'Stock Price'!$I$9)-1,"")</f>
        <v>-0.13816690732718717</v>
      </c>
      <c r="X1134" s="19">
        <f ca="1">IF('Stock Price'!$I$11="OK",K1134/INDEX(K$5:K$1258,'Stock Price'!$I$9)-1,"")</f>
        <v>7.8750467639356447E-2</v>
      </c>
      <c r="Y1134" s="19">
        <f ca="1">IF('Stock Price'!$I$11="OK",L1134/INDEX(L$5:L$1258,'Stock Price'!$I$9)-1,"")</f>
        <v>0.14979503255365323</v>
      </c>
      <c r="Z1134" s="19">
        <f ca="1">IF('Stock Price'!$I$11="OK",M1134/INDEX(M$5:M$1258,'Stock Price'!$I$9)-1,"")</f>
        <v>-0.10003924817932053</v>
      </c>
    </row>
    <row r="1135" spans="1:26" x14ac:dyDescent="0.2">
      <c r="A1135" s="16">
        <f>'Stock Price'!A1135</f>
        <v>46120</v>
      </c>
      <c r="B1135" s="17">
        <f>'Stock Price'!E1135</f>
        <v>123.18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0.15716298731798961</v>
      </c>
      <c r="P1135" s="19">
        <f ca="1">IF('Stock Price'!$I$11="OK",C1135/INDEX(C$5:C$1258,'Stock Price'!$I$9)-1,"")</f>
        <v>0.11462393532553783</v>
      </c>
      <c r="Q1135" s="19">
        <f ca="1">IF('Stock Price'!$I$11="OK",D1135/INDEX(D$5:D$1258,'Stock Price'!$I$9)-1,"")</f>
        <v>0.11821540988093604</v>
      </c>
      <c r="R1135" s="19">
        <f ca="1">IF('Stock Price'!$I$11="OK",E1135/INDEX(E$5:E$1258,'Stock Price'!$I$9)-1,"")</f>
        <v>0.15595406004432788</v>
      </c>
      <c r="S1135" s="19">
        <f ca="1">IF('Stock Price'!$I$11="OK",F1135/INDEX(F$5:F$1258,'Stock Price'!$I$9)-1,"")</f>
        <v>-2.6627793974732805E-2</v>
      </c>
      <c r="T1135" s="19">
        <f ca="1">IF('Stock Price'!$I$11="OK",G1135/INDEX(G$5:G$1258,'Stock Price'!$I$9)-1,"")</f>
        <v>-2.2600041467965903E-2</v>
      </c>
      <c r="U1135" s="19">
        <f ca="1">IF('Stock Price'!$I$11="OK",H1135/INDEX(H$5:H$1258,'Stock Price'!$I$9)-1,"")</f>
        <v>6.526315789473669E-2</v>
      </c>
      <c r="V1135" s="19">
        <f ca="1">IF('Stock Price'!$I$11="OK",I1135/INDEX(I$5:I$1258,'Stock Price'!$I$9)-1,"")</f>
        <v>9.0945194598887946E-2</v>
      </c>
      <c r="W1135" s="19">
        <f ca="1">IF('Stock Price'!$I$11="OK",J1135/INDEX(J$5:J$1258,'Stock Price'!$I$9)-1,"")</f>
        <v>-0.11760894516642595</v>
      </c>
      <c r="X1135" s="19">
        <f ca="1">IF('Stock Price'!$I$11="OK",K1135/INDEX(K$5:K$1258,'Stock Price'!$I$9)-1,"")</f>
        <v>0.10736999625888521</v>
      </c>
      <c r="Y1135" s="19">
        <f ca="1">IF('Stock Price'!$I$11="OK",L1135/INDEX(L$5:L$1258,'Stock Price'!$I$9)-1,"")</f>
        <v>0.16373281890523272</v>
      </c>
      <c r="Z1135" s="19">
        <f ca="1">IF('Stock Price'!$I$11="OK",M1135/INDEX(M$5:M$1258,'Stock Price'!$I$9)-1,"")</f>
        <v>-7.7275304173389681E-2</v>
      </c>
    </row>
    <row r="1136" spans="1:26" x14ac:dyDescent="0.2">
      <c r="A1136" s="16">
        <f>'Stock Price'!A1136</f>
        <v>46121</v>
      </c>
      <c r="B1136" s="17">
        <f>'Stock Price'!E1136</f>
        <v>122.68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0.15246594645373412</v>
      </c>
      <c r="P1136" s="19">
        <f ca="1">IF('Stock Price'!$I$11="OK",C1136/INDEX(C$5:C$1258,'Stock Price'!$I$9)-1,"")</f>
        <v>0.11924353977190716</v>
      </c>
      <c r="Q1136" s="19">
        <f ca="1">IF('Stock Price'!$I$11="OK",D1136/INDEX(D$5:D$1258,'Stock Price'!$I$9)-1,"")</f>
        <v>0.12215683591077053</v>
      </c>
      <c r="R1136" s="19">
        <f ca="1">IF('Stock Price'!$I$11="OK",E1136/INDEX(E$5:E$1258,'Stock Price'!$I$9)-1,"")</f>
        <v>0.1759016723755793</v>
      </c>
      <c r="S1136" s="19">
        <f ca="1">IF('Stock Price'!$I$11="OK",F1136/INDEX(F$5:F$1258,'Stock Price'!$I$9)-1,"")</f>
        <v>-2.2157434402332421E-2</v>
      </c>
      <c r="T1136" s="19">
        <f ca="1">IF('Stock Price'!$I$11="OK",G1136/INDEX(G$5:G$1258,'Stock Price'!$I$9)-1,"")</f>
        <v>-2.3844080447854021E-2</v>
      </c>
      <c r="U1136" s="19">
        <f ca="1">IF('Stock Price'!$I$11="OK",H1136/INDEX(H$5:H$1258,'Stock Price'!$I$9)-1,"")</f>
        <v>6.4473684210526461E-2</v>
      </c>
      <c r="V1136" s="19">
        <f ca="1">IF('Stock Price'!$I$11="OK",I1136/INDEX(I$5:I$1258,'Stock Price'!$I$9)-1,"")</f>
        <v>8.1016679904686306E-2</v>
      </c>
      <c r="W1136" s="19">
        <f ca="1">IF('Stock Price'!$I$11="OK",J1136/INDEX(J$5:J$1258,'Stock Price'!$I$9)-1,"")</f>
        <v>-0.1158595283053796</v>
      </c>
      <c r="X1136" s="19">
        <f ca="1">IF('Stock Price'!$I$11="OK",K1136/INDEX(K$5:K$1258,'Stock Price'!$I$9)-1,"")</f>
        <v>0.11242050130939019</v>
      </c>
      <c r="Y1136" s="19">
        <f ca="1">IF('Stock Price'!$I$11="OK",L1136/INDEX(L$5:L$1258,'Stock Price'!$I$9)-1,"")</f>
        <v>0.16378104653966719</v>
      </c>
      <c r="Z1136" s="19">
        <f ca="1">IF('Stock Price'!$I$11="OK",M1136/INDEX(M$5:M$1258,'Stock Price'!$I$9)-1,"")</f>
        <v>-7.3742968034538392E-2</v>
      </c>
    </row>
    <row r="1137" spans="1:26" x14ac:dyDescent="0.2">
      <c r="A1137" s="16">
        <f>'Stock Price'!A1137</f>
        <v>46122</v>
      </c>
      <c r="B1137" s="17">
        <f>'Stock Price'!E1137</f>
        <v>121.42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0.14062940347581021</v>
      </c>
      <c r="P1137" s="19">
        <f ca="1">IF('Stock Price'!$I$11="OK",C1137/INDEX(C$5:C$1258,'Stock Price'!$I$9)-1,"")</f>
        <v>0.11195322650498074</v>
      </c>
      <c r="Q1137" s="19">
        <f ca="1">IF('Stock Price'!$I$11="OK",D1137/INDEX(D$5:D$1258,'Stock Price'!$I$9)-1,"")</f>
        <v>0.11690160120432447</v>
      </c>
      <c r="R1137" s="19">
        <f ca="1">IF('Stock Price'!$I$11="OK",E1137/INDEX(E$5:E$1258,'Stock Price'!$I$9)-1,"")</f>
        <v>0.1728793068708443</v>
      </c>
      <c r="S1137" s="19">
        <f ca="1">IF('Stock Price'!$I$11="OK",F1137/INDEX(F$5:F$1258,'Stock Price'!$I$9)-1,"")</f>
        <v>-2.7405247813411138E-2</v>
      </c>
      <c r="T1137" s="19">
        <f ca="1">IF('Stock Price'!$I$11="OK",G1137/INDEX(G$5:G$1258,'Stock Price'!$I$9)-1,"")</f>
        <v>-3.0478955007256836E-2</v>
      </c>
      <c r="U1137" s="19">
        <f ca="1">IF('Stock Price'!$I$11="OK",H1137/INDEX(H$5:H$1258,'Stock Price'!$I$9)-1,"")</f>
        <v>5.5789473684210389E-2</v>
      </c>
      <c r="V1137" s="19">
        <f ca="1">IF('Stock Price'!$I$11="OK",I1137/INDEX(I$5:I$1258,'Stock Price'!$I$9)-1,"")</f>
        <v>6.9102462271644294E-2</v>
      </c>
      <c r="W1137" s="19">
        <f ca="1">IF('Stock Price'!$I$11="OK",J1137/INDEX(J$5:J$1258,'Stock Price'!$I$9)-1,"")</f>
        <v>-0.13041023362582838</v>
      </c>
      <c r="X1137" s="19">
        <f ca="1">IF('Stock Price'!$I$11="OK",K1137/INDEX(K$5:K$1258,'Stock Price'!$I$9)-1,"")</f>
        <v>9.6520763187429859E-2</v>
      </c>
      <c r="Y1137" s="19">
        <f ca="1">IF('Stock Price'!$I$11="OK",L1137/INDEX(L$5:L$1258,'Stock Price'!$I$9)-1,"")</f>
        <v>0.15003617072582598</v>
      </c>
      <c r="Z1137" s="19">
        <f ca="1">IF('Stock Price'!$I$11="OK",M1137/INDEX(M$5:M$1258,'Stock Price'!$I$9)-1,"")</f>
        <v>-9.3192621342287785E-2</v>
      </c>
    </row>
    <row r="1138" spans="1:26" x14ac:dyDescent="0.2">
      <c r="A1138" s="16">
        <f>'Stock Price'!A1138</f>
        <v>46125</v>
      </c>
      <c r="B1138" s="17">
        <f>'Stock Price'!E1138</f>
        <v>120.15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0.12869891968060121</v>
      </c>
      <c r="P1138" s="19">
        <f ca="1">IF('Stock Price'!$I$11="OK",C1138/INDEX(C$5:C$1258,'Stock Price'!$I$9)-1,"")</f>
        <v>0.11498484192291047</v>
      </c>
      <c r="Q1138" s="19">
        <f ca="1">IF('Stock Price'!$I$11="OK",D1138/INDEX(D$5:D$1258,'Stock Price'!$I$9)-1,"")</f>
        <v>0.10710277815793079</v>
      </c>
      <c r="R1138" s="19">
        <f ca="1">IF('Stock Price'!$I$11="OK",E1138/INDEX(E$5:E$1258,'Stock Price'!$I$9)-1,"")</f>
        <v>0.18758815232722137</v>
      </c>
      <c r="S1138" s="19">
        <f ca="1">IF('Stock Price'!$I$11="OK",F1138/INDEX(F$5:F$1258,'Stock Price'!$I$9)-1,"")</f>
        <v>-1.4771622934888318E-2</v>
      </c>
      <c r="T1138" s="19">
        <f ca="1">IF('Stock Price'!$I$11="OK",G1138/INDEX(G$5:G$1258,'Stock Price'!$I$9)-1,"")</f>
        <v>-2.6332158407630035E-2</v>
      </c>
      <c r="U1138" s="19">
        <f ca="1">IF('Stock Price'!$I$11="OK",H1138/INDEX(H$5:H$1258,'Stock Price'!$I$9)-1,"")</f>
        <v>7.3421052631578831E-2</v>
      </c>
      <c r="V1138" s="19">
        <f ca="1">IF('Stock Price'!$I$11="OK",I1138/INDEX(I$5:I$1258,'Stock Price'!$I$9)-1,"")</f>
        <v>8.57823669579032E-2</v>
      </c>
      <c r="W1138" s="19">
        <f ca="1">IF('Stock Price'!$I$11="OK",J1138/INDEX(J$5:J$1258,'Stock Price'!$I$9)-1,"")</f>
        <v>-0.13959235810285453</v>
      </c>
      <c r="X1138" s="19">
        <f ca="1">IF('Stock Price'!$I$11="OK",K1138/INDEX(K$5:K$1258,'Stock Price'!$I$9)-1,"")</f>
        <v>8.6045641601197209E-2</v>
      </c>
      <c r="Y1138" s="19">
        <f ca="1">IF('Stock Price'!$I$11="OK",L1138/INDEX(L$5:L$1258,'Stock Price'!$I$9)-1,"")</f>
        <v>0.14762478900409937</v>
      </c>
      <c r="Z1138" s="19">
        <f ca="1">IF('Stock Price'!$I$11="OK",M1138/INDEX(M$5:M$1258,'Stock Price'!$I$9)-1,"")</f>
        <v>-9.960315729798086E-2</v>
      </c>
    </row>
    <row r="1139" spans="1:26" x14ac:dyDescent="0.2">
      <c r="A1139" s="16">
        <f>'Stock Price'!A1139</f>
        <v>46126</v>
      </c>
      <c r="B1139" s="17">
        <f>'Stock Price'!E1139</f>
        <v>119.96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0.1269140441521841</v>
      </c>
      <c r="P1139" s="19">
        <f ca="1">IF('Stock Price'!$I$11="OK",C1139/INDEX(C$5:C$1258,'Stock Price'!$I$9)-1,"")</f>
        <v>0.10711707810018778</v>
      </c>
      <c r="Q1139" s="19">
        <f ca="1">IF('Stock Price'!$I$11="OK",D1139/INDEX(D$5:D$1258,'Stock Price'!$I$9)-1,"")</f>
        <v>0.1188175721910496</v>
      </c>
      <c r="R1139" s="19">
        <f ca="1">IF('Stock Price'!$I$11="OK",E1139/INDEX(E$5:E$1258,'Stock Price'!$I$9)-1,"")</f>
        <v>0.19242393713479733</v>
      </c>
      <c r="S1139" s="19">
        <f ca="1">IF('Stock Price'!$I$11="OK",F1139/INDEX(F$5:F$1258,'Stock Price'!$I$9)-1,"")</f>
        <v>-8.1632653061224358E-3</v>
      </c>
      <c r="T1139" s="19">
        <f ca="1">IF('Stock Price'!$I$11="OK",G1139/INDEX(G$5:G$1258,'Stock Price'!$I$9)-1,"")</f>
        <v>-1.2233049968898957E-2</v>
      </c>
      <c r="U1139" s="19">
        <f ca="1">IF('Stock Price'!$I$11="OK",H1139/INDEX(H$5:H$1258,'Stock Price'!$I$9)-1,"")</f>
        <v>6.8684210526315681E-2</v>
      </c>
      <c r="V1139" s="19">
        <f ca="1">IF('Stock Price'!$I$11="OK",I1139/INDEX(I$5:I$1258,'Stock Price'!$I$9)-1,"")</f>
        <v>7.6648133439237487E-2</v>
      </c>
      <c r="W1139" s="19">
        <f ca="1">IF('Stock Price'!$I$11="OK",J1139/INDEX(J$5:J$1258,'Stock Price'!$I$9)-1,"")</f>
        <v>-0.14611796067977334</v>
      </c>
      <c r="X1139" s="19">
        <f ca="1">IF('Stock Price'!$I$11="OK",K1139/INDEX(K$5:K$1258,'Stock Price'!$I$9)-1,"")</f>
        <v>8.6419753086419693E-2</v>
      </c>
      <c r="Y1139" s="19">
        <f ca="1">IF('Stock Price'!$I$11="OK",L1139/INDEX(L$5:L$1258,'Stock Price'!$I$9)-1,"")</f>
        <v>0.15794550277308894</v>
      </c>
      <c r="Z1139" s="19">
        <f ca="1">IF('Stock Price'!$I$11="OK",M1139/INDEX(M$5:M$1258,'Stock Price'!$I$9)-1,"")</f>
        <v>-8.307531289520742E-2</v>
      </c>
    </row>
    <row r="1140" spans="1:26" x14ac:dyDescent="0.2">
      <c r="A1140" s="16">
        <f>'Stock Price'!A1140</f>
        <v>46127</v>
      </c>
      <c r="B1140" s="17">
        <f>'Stock Price'!E1140</f>
        <v>117.9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0.10756223579145141</v>
      </c>
      <c r="P1140" s="19">
        <f ca="1">IF('Stock Price'!$I$11="OK",C1140/INDEX(C$5:C$1258,'Stock Price'!$I$9)-1,"")</f>
        <v>9.7733506568500328E-2</v>
      </c>
      <c r="Q1140" s="19">
        <f ca="1">IF('Stock Price'!$I$11="OK",D1140/INDEX(D$5:D$1258,'Stock Price'!$I$9)-1,"")</f>
        <v>0.10146434925413983</v>
      </c>
      <c r="R1140" s="19">
        <f ca="1">IF('Stock Price'!$I$11="OK",E1140/INDEX(E$5:E$1258,'Stock Price'!$I$9)-1,"")</f>
        <v>0.16481966552488414</v>
      </c>
      <c r="S1140" s="19">
        <f ca="1">IF('Stock Price'!$I$11="OK",F1140/INDEX(F$5:F$1258,'Stock Price'!$I$9)-1,"")</f>
        <v>-8.9407191448007683E-3</v>
      </c>
      <c r="T1140" s="19">
        <f ca="1">IF('Stock Price'!$I$11="OK",G1140/INDEX(G$5:G$1258,'Stock Price'!$I$9)-1,"")</f>
        <v>-4.3541364296080243E-3</v>
      </c>
      <c r="U1140" s="19">
        <f ca="1">IF('Stock Price'!$I$11="OK",H1140/INDEX(H$5:H$1258,'Stock Price'!$I$9)-1,"")</f>
        <v>7.2105263157894894E-2</v>
      </c>
      <c r="V1140" s="19">
        <f ca="1">IF('Stock Price'!$I$11="OK",I1140/INDEX(I$5:I$1258,'Stock Price'!$I$9)-1,"")</f>
        <v>7.9825258141382083E-2</v>
      </c>
      <c r="W1140" s="19">
        <f ca="1">IF('Stock Price'!$I$11="OK",J1140/INDEX(J$5:J$1258,'Stock Price'!$I$9)-1,"")</f>
        <v>-0.16228849642711685</v>
      </c>
      <c r="X1140" s="19">
        <f ca="1">IF('Stock Price'!$I$11="OK",K1140/INDEX(K$5:K$1258,'Stock Price'!$I$9)-1,"")</f>
        <v>8.2865693976805099E-2</v>
      </c>
      <c r="Y1140" s="19">
        <f ca="1">IF('Stock Price'!$I$11="OK",L1140/INDEX(L$5:L$1258,'Stock Price'!$I$9)-1,"")</f>
        <v>0.151048951048951</v>
      </c>
      <c r="Z1140" s="19">
        <f ca="1">IF('Stock Price'!$I$11="OK",M1140/INDEX(M$5:M$1258,'Stock Price'!$I$9)-1,"")</f>
        <v>-9.1099385111857334E-2</v>
      </c>
    </row>
    <row r="1141" spans="1:26" x14ac:dyDescent="0.2">
      <c r="A1141" s="16">
        <f>'Stock Price'!A1141</f>
        <v>46128</v>
      </c>
      <c r="B1141" s="17">
        <f>'Stock Price'!E1141</f>
        <v>115.46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8.4640676373884283E-2</v>
      </c>
      <c r="P1141" s="19">
        <f ca="1">IF('Stock Price'!$I$11="OK",C1141/INDEX(C$5:C$1258,'Stock Price'!$I$9)-1,"")</f>
        <v>8.0770896491987765E-2</v>
      </c>
      <c r="Q1141" s="19">
        <f ca="1">IF('Stock Price'!$I$11="OK",D1141/INDEX(D$5:D$1258,'Stock Price'!$I$9)-1,"")</f>
        <v>9.7413439167921112E-2</v>
      </c>
      <c r="R1141" s="19">
        <f ca="1">IF('Stock Price'!$I$11="OK",E1141/INDEX(E$5:E$1258,'Stock Price'!$I$9)-1,"")</f>
        <v>0.15111827523675192</v>
      </c>
      <c r="S1141" s="19">
        <f ca="1">IF('Stock Price'!$I$11="OK",F1141/INDEX(F$5:F$1258,'Stock Price'!$I$9)-1,"")</f>
        <v>-2.9543245869776524E-2</v>
      </c>
      <c r="T1141" s="19">
        <f ca="1">IF('Stock Price'!$I$11="OK",G1141/INDEX(G$5:G$1258,'Stock Price'!$I$9)-1,"")</f>
        <v>-1.0574331329048281E-2</v>
      </c>
      <c r="U1141" s="19">
        <f ca="1">IF('Stock Price'!$I$11="OK",H1141/INDEX(H$5:H$1258,'Stock Price'!$I$9)-1,"")</f>
        <v>7.0789473684210513E-2</v>
      </c>
      <c r="V1141" s="19">
        <f ca="1">IF('Stock Price'!$I$11="OK",I1141/INDEX(I$5:I$1258,'Stock Price'!$I$9)-1,"")</f>
        <v>8.1016679904686306E-2</v>
      </c>
      <c r="W1141" s="19">
        <f ca="1">IF('Stock Price'!$I$11="OK",J1141/INDEX(J$5:J$1258,'Stock Price'!$I$9)-1,"")</f>
        <v>-0.16325113850938566</v>
      </c>
      <c r="X1141" s="19">
        <f ca="1">IF('Stock Price'!$I$11="OK",K1141/INDEX(K$5:K$1258,'Stock Price'!$I$9)-1,"")</f>
        <v>0.10288065843621408</v>
      </c>
      <c r="Y1141" s="19">
        <f ca="1">IF('Stock Price'!$I$11="OK",L1141/INDEX(L$5:L$1258,'Stock Price'!$I$9)-1,"")</f>
        <v>0.13113093802748965</v>
      </c>
      <c r="Z1141" s="19">
        <f ca="1">IF('Stock Price'!$I$11="OK",M1141/INDEX(M$5:M$1258,'Stock Price'!$I$9)-1,"")</f>
        <v>-8.861366708822116E-2</v>
      </c>
    </row>
    <row r="1142" spans="1:26" x14ac:dyDescent="0.2">
      <c r="A1142" s="16">
        <f>'Stock Price'!A1142</f>
        <v>46129</v>
      </c>
      <c r="B1142" s="17">
        <f>'Stock Price'!E1142</f>
        <v>119.07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0.11855331141380931</v>
      </c>
      <c r="P1142" s="19">
        <f ca="1">IF('Stock Price'!$I$11="OK",C1142/INDEX(C$5:C$1258,'Stock Price'!$I$9)-1,"")</f>
        <v>9.6939512054280419E-2</v>
      </c>
      <c r="Q1142" s="19">
        <f ca="1">IF('Stock Price'!$I$11="OK",D1142/INDEX(D$5:D$1258,'Stock Price'!$I$9)-1,"")</f>
        <v>0.12111673737511963</v>
      </c>
      <c r="R1142" s="19">
        <f ca="1">IF('Stock Price'!$I$11="OK",E1142/INDEX(E$5:E$1258,'Stock Price'!$I$9)-1,"")</f>
        <v>0.17570018134193033</v>
      </c>
      <c r="S1142" s="19">
        <f ca="1">IF('Stock Price'!$I$11="OK",F1142/INDEX(F$5:F$1258,'Stock Price'!$I$9)-1,"")</f>
        <v>-3.4985422740524408E-3</v>
      </c>
      <c r="T1142" s="19">
        <f ca="1">IF('Stock Price'!$I$11="OK",G1142/INDEX(G$5:G$1258,'Stock Price'!$I$9)-1,"")</f>
        <v>-3.5247771096826863E-3</v>
      </c>
      <c r="U1142" s="19">
        <f ca="1">IF('Stock Price'!$I$11="OK",H1142/INDEX(H$5:H$1258,'Stock Price'!$I$9)-1,"")</f>
        <v>8.1578947368421195E-2</v>
      </c>
      <c r="V1142" s="19">
        <f ca="1">IF('Stock Price'!$I$11="OK",I1142/INDEX(I$5:I$1258,'Stock Price'!$I$9)-1,"")</f>
        <v>9.4519459888800617E-2</v>
      </c>
      <c r="W1142" s="19">
        <f ca="1">IF('Stock Price'!$I$11="OK",J1142/INDEX(J$5:J$1258,'Stock Price'!$I$9)-1,"")</f>
        <v>-0.141924913917583</v>
      </c>
      <c r="X1142" s="19">
        <f ca="1">IF('Stock Price'!$I$11="OK",K1142/INDEX(K$5:K$1258,'Stock Price'!$I$9)-1,"")</f>
        <v>0.12551440329218111</v>
      </c>
      <c r="Y1142" s="19">
        <f ca="1">IF('Stock Price'!$I$11="OK",L1142/INDEX(L$5:L$1258,'Stock Price'!$I$9)-1,"")</f>
        <v>0.12939474318784661</v>
      </c>
      <c r="Z1142" s="19">
        <f ca="1">IF('Stock Price'!$I$11="OK",M1142/INDEX(M$5:M$1258,'Stock Price'!$I$9)-1,"")</f>
        <v>-9.1273821464393223E-2</v>
      </c>
    </row>
    <row r="1143" spans="1:26" x14ac:dyDescent="0.2">
      <c r="A1143" s="16">
        <f>'Stock Price'!A1143</f>
        <v>46132</v>
      </c>
      <c r="B1143" s="17">
        <f>'Stock Price'!E1143</f>
        <v>117.1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0.10004697040864241</v>
      </c>
      <c r="P1143" s="19">
        <f ca="1">IF('Stock Price'!$I$11="OK",C1143/INDEX(C$5:C$1258,'Stock Price'!$I$9)-1,"")</f>
        <v>8.9865742745777411E-2</v>
      </c>
      <c r="Q1143" s="19">
        <f ca="1">IF('Stock Price'!$I$11="OK",D1143/INDEX(D$5:D$1258,'Stock Price'!$I$9)-1,"")</f>
        <v>9.8617763788148238E-2</v>
      </c>
      <c r="R1143" s="19">
        <f ca="1">IF('Stock Price'!$I$11="OK",E1143/INDEX(E$5:E$1258,'Stock Price'!$I$9)-1,"")</f>
        <v>0.15555107797702994</v>
      </c>
      <c r="S1143" s="19">
        <f ca="1">IF('Stock Price'!$I$11="OK",F1143/INDEX(F$5:F$1258,'Stock Price'!$I$9)-1,"")</f>
        <v>-2.3323615160351086E-3</v>
      </c>
      <c r="T1143" s="19">
        <f ca="1">IF('Stock Price'!$I$11="OK",G1143/INDEX(G$5:G$1258,'Stock Price'!$I$9)-1,"")</f>
        <v>-4.9761559195520277E-3</v>
      </c>
      <c r="U1143" s="19">
        <f ca="1">IF('Stock Price'!$I$11="OK",H1143/INDEX(H$5:H$1258,'Stock Price'!$I$9)-1,"")</f>
        <v>8.8421052631578956E-2</v>
      </c>
      <c r="V1143" s="19">
        <f ca="1">IF('Stock Price'!$I$11="OK",I1143/INDEX(I$5:I$1258,'Stock Price'!$I$9)-1,"")</f>
        <v>9.2930897537728319E-2</v>
      </c>
      <c r="W1143" s="19">
        <f ca="1">IF('Stock Price'!$I$11="OK",J1143/INDEX(J$5:J$1258,'Stock Price'!$I$9)-1,"")</f>
        <v>-0.14852456588544549</v>
      </c>
      <c r="X1143" s="19">
        <f ca="1">IF('Stock Price'!$I$11="OK",K1143/INDEX(K$5:K$1258,'Stock Price'!$I$9)-1,"")</f>
        <v>0.10606060606060619</v>
      </c>
      <c r="Y1143" s="19">
        <f ca="1">IF('Stock Price'!$I$11="OK",L1143/INDEX(L$5:L$1258,'Stock Price'!$I$9)-1,"")</f>
        <v>0.11256329877019544</v>
      </c>
      <c r="Z1143" s="19">
        <f ca="1">IF('Stock Price'!$I$11="OK",M1143/INDEX(M$5:M$1258,'Stock Price'!$I$9)-1,"")</f>
        <v>-0.11163926562295579</v>
      </c>
    </row>
    <row r="1144" spans="1:26" x14ac:dyDescent="0.2">
      <c r="A1144" s="16">
        <f>'Stock Price'!A1144</f>
        <v>46133</v>
      </c>
      <c r="B1144" s="17">
        <f>'Stock Price'!E1144</f>
        <v>112.56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5.7397839361202463E-2</v>
      </c>
      <c r="P1144" s="19">
        <f ca="1">IF('Stock Price'!$I$11="OK",C1144/INDEX(C$5:C$1258,'Stock Price'!$I$9)-1,"")</f>
        <v>6.806698426447233E-2</v>
      </c>
      <c r="Q1144" s="19">
        <f ca="1">IF('Stock Price'!$I$11="OK",D1144/INDEX(D$5:D$1258,'Stock Price'!$I$9)-1,"")</f>
        <v>7.1739427945805234E-2</v>
      </c>
      <c r="R1144" s="19">
        <f ca="1">IF('Stock Price'!$I$11="OK",E1144/INDEX(E$5:E$1258,'Stock Price'!$I$9)-1,"")</f>
        <v>0.13076768083820256</v>
      </c>
      <c r="S1144" s="19">
        <f ca="1">IF('Stock Price'!$I$11="OK",F1144/INDEX(F$5:F$1258,'Stock Price'!$I$9)-1,"")</f>
        <v>-2.9543245869776524E-2</v>
      </c>
      <c r="T1144" s="19">
        <f ca="1">IF('Stock Price'!$I$11="OK",G1144/INDEX(G$5:G$1258,'Stock Price'!$I$9)-1,"")</f>
        <v>-2.2807381297947238E-2</v>
      </c>
      <c r="U1144" s="19">
        <f ca="1">IF('Stock Price'!$I$11="OK",H1144/INDEX(H$5:H$1258,'Stock Price'!$I$9)-1,"")</f>
        <v>5.1842105263157912E-2</v>
      </c>
      <c r="V1144" s="19">
        <f ca="1">IF('Stock Price'!$I$11="OK",I1144/INDEX(I$5:I$1258,'Stock Price'!$I$9)-1,"")</f>
        <v>8.4590945194598754E-2</v>
      </c>
      <c r="W1144" s="19">
        <f ca="1">IF('Stock Price'!$I$11="OK",J1144/INDEX(J$5:J$1258,'Stock Price'!$I$9)-1,"")</f>
        <v>-0.16414898737457884</v>
      </c>
      <c r="X1144" s="19">
        <f ca="1">IF('Stock Price'!$I$11="OK",K1144/INDEX(K$5:K$1258,'Stock Price'!$I$9)-1,"")</f>
        <v>0.11092405536849981</v>
      </c>
      <c r="Y1144" s="19">
        <f ca="1">IF('Stock Price'!$I$11="OK",L1144/INDEX(L$5:L$1258,'Stock Price'!$I$9)-1,"")</f>
        <v>9.0716180371352761E-2</v>
      </c>
      <c r="Z1144" s="19">
        <f ca="1">IF('Stock Price'!$I$11="OK",M1144/INDEX(M$5:M$1258,'Stock Price'!$I$9)-1,"")</f>
        <v>-0.10549038419606649</v>
      </c>
    </row>
    <row r="1145" spans="1:26" x14ac:dyDescent="0.2">
      <c r="A1145" s="16">
        <f>'Stock Price'!A1145</f>
        <v>46134</v>
      </c>
      <c r="B1145" s="17">
        <f>'Stock Price'!E1145</f>
        <v>112.89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6.0497886331611017E-2</v>
      </c>
      <c r="P1145" s="19">
        <f ca="1">IF('Stock Price'!$I$11="OK",C1145/INDEX(C$5:C$1258,'Stock Price'!$I$9)-1,"")</f>
        <v>6.3375198498628604E-2</v>
      </c>
      <c r="Q1145" s="19">
        <f ca="1">IF('Stock Price'!$I$11="OK",D1145/INDEX(D$5:D$1258,'Stock Price'!$I$9)-1,"")</f>
        <v>6.642945121116739E-2</v>
      </c>
      <c r="R1145" s="19">
        <f ca="1">IF('Stock Price'!$I$11="OK",E1145/INDEX(E$5:E$1258,'Stock Price'!$I$9)-1,"")</f>
        <v>0.12230505742494469</v>
      </c>
      <c r="S1145" s="19">
        <f ca="1">IF('Stock Price'!$I$11="OK",F1145/INDEX(F$5:F$1258,'Stock Price'!$I$9)-1,"")</f>
        <v>-4.8590864917396059E-3</v>
      </c>
      <c r="T1145" s="19">
        <f ca="1">IF('Stock Price'!$I$11="OK",G1145/INDEX(G$5:G$1258,'Stock Price'!$I$9)-1,"")</f>
        <v>-2.7576197387518153E-2</v>
      </c>
      <c r="U1145" s="19">
        <f ca="1">IF('Stock Price'!$I$11="OK",H1145/INDEX(H$5:H$1258,'Stock Price'!$I$9)-1,"")</f>
        <v>5.8947368421052637E-2</v>
      </c>
      <c r="V1145" s="19">
        <f ca="1">IF('Stock Price'!$I$11="OK",I1145/INDEX(I$5:I$1258,'Stock Price'!$I$9)-1,"")</f>
        <v>6.43367752184274E-2</v>
      </c>
      <c r="W1145" s="19">
        <f ca="1">IF('Stock Price'!$I$11="OK",J1145/INDEX(J$5:J$1258,'Stock Price'!$I$9)-1,"")</f>
        <v>-0.14706209041430629</v>
      </c>
      <c r="X1145" s="19">
        <f ca="1">IF('Stock Price'!$I$11="OK",K1145/INDEX(K$5:K$1258,'Stock Price'!$I$9)-1,"")</f>
        <v>9.9887766554433099E-2</v>
      </c>
      <c r="Y1145" s="19">
        <f ca="1">IF('Stock Price'!$I$11="OK",L1145/INDEX(L$5:L$1258,'Stock Price'!$I$9)-1,"")</f>
        <v>9.042681456474555E-2</v>
      </c>
      <c r="Z1145" s="19">
        <f ca="1">IF('Stock Price'!$I$11="OK",M1145/INDEX(M$5:M$1258,'Stock Price'!$I$9)-1,"")</f>
        <v>-0.12563778291395933</v>
      </c>
    </row>
    <row r="1146" spans="1:26" x14ac:dyDescent="0.2">
      <c r="A1146" s="16">
        <f>'Stock Price'!A1146</f>
        <v>46135</v>
      </c>
      <c r="B1146" s="17">
        <f>'Stock Price'!E1146</f>
        <v>114.62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7.6749647721935155E-2</v>
      </c>
      <c r="P1146" s="19">
        <f ca="1">IF('Stock Price'!$I$11="OK",C1146/INDEX(C$5:C$1258,'Stock Price'!$I$9)-1,"")</f>
        <v>6.4530099610220937E-2</v>
      </c>
      <c r="Q1146" s="19">
        <f ca="1">IF('Stock Price'!$I$11="OK",D1146/INDEX(D$5:D$1258,'Stock Price'!$I$9)-1,"")</f>
        <v>5.2689202134938995E-2</v>
      </c>
      <c r="R1146" s="19">
        <f ca="1">IF('Stock Price'!$I$11="OK",E1146/INDEX(E$5:E$1258,'Stock Price'!$I$9)-1,"")</f>
        <v>0.12089462018940167</v>
      </c>
      <c r="S1146" s="19">
        <f ca="1">IF('Stock Price'!$I$11="OK",F1146/INDEX(F$5:F$1258,'Stock Price'!$I$9)-1,"")</f>
        <v>7.968901846452825E-3</v>
      </c>
      <c r="T1146" s="19">
        <f ca="1">IF('Stock Price'!$I$11="OK",G1146/INDEX(G$5:G$1258,'Stock Price'!$I$9)-1,"")</f>
        <v>-1.4513788098693636E-2</v>
      </c>
      <c r="U1146" s="19">
        <f ca="1">IF('Stock Price'!$I$11="OK",H1146/INDEX(H$5:H$1258,'Stock Price'!$I$9)-1,"")</f>
        <v>5.3684210526315779E-2</v>
      </c>
      <c r="V1146" s="19">
        <f ca="1">IF('Stock Price'!$I$11="OK",I1146/INDEX(I$5:I$1258,'Stock Price'!$I$9)-1,"")</f>
        <v>5.9173947577442432E-2</v>
      </c>
      <c r="W1146" s="19">
        <f ca="1">IF('Stock Price'!$I$11="OK",J1146/INDEX(J$5:J$1258,'Stock Price'!$I$9)-1,"")</f>
        <v>-0.15060720500573876</v>
      </c>
      <c r="X1146" s="19">
        <f ca="1">IF('Stock Price'!$I$11="OK",K1146/INDEX(K$5:K$1258,'Stock Price'!$I$9)-1,"")</f>
        <v>0.10400299289188175</v>
      </c>
      <c r="Y1146" s="19">
        <f ca="1">IF('Stock Price'!$I$11="OK",L1146/INDEX(L$5:L$1258,'Stock Price'!$I$9)-1,"")</f>
        <v>0.11237038823245715</v>
      </c>
      <c r="Z1146" s="19">
        <f ca="1">IF('Stock Price'!$I$11="OK",M1146/INDEX(M$5:M$1258,'Stock Price'!$I$9)-1,"")</f>
        <v>-0.12367537394793082</v>
      </c>
    </row>
    <row r="1147" spans="1:26" x14ac:dyDescent="0.2">
      <c r="A1147" s="16">
        <f>'Stock Price'!A1147</f>
        <v>46136</v>
      </c>
      <c r="B1147" s="17">
        <f>'Stock Price'!E1147</f>
        <v>111.9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5.1197745420385132E-2</v>
      </c>
      <c r="P1147" s="19">
        <f ca="1">IF('Stock Price'!$I$11="OK",C1147/INDEX(C$5:C$1258,'Stock Price'!$I$9)-1,"")</f>
        <v>5.0021654395842496E-2</v>
      </c>
      <c r="Q1147" s="19">
        <f ca="1">IF('Stock Price'!$I$11="OK",D1147/INDEX(D$5:D$1258,'Stock Price'!$I$9)-1,"")</f>
        <v>3.8729984945942153E-2</v>
      </c>
      <c r="R1147" s="19">
        <f ca="1">IF('Stock Price'!$I$11="OK",E1147/INDEX(E$5:E$1258,'Stock Price'!$I$9)-1,"")</f>
        <v>9.6917187185170173E-2</v>
      </c>
      <c r="S1147" s="19">
        <f ca="1">IF('Stock Price'!$I$11="OK",F1147/INDEX(F$5:F$1258,'Stock Price'!$I$9)-1,"")</f>
        <v>3.6929057337220517E-3</v>
      </c>
      <c r="T1147" s="19">
        <f ca="1">IF('Stock Price'!$I$11="OK",G1147/INDEX(G$5:G$1258,'Stock Price'!$I$9)-1,"")</f>
        <v>-3.0064275347294167E-2</v>
      </c>
      <c r="U1147" s="19">
        <f ca="1">IF('Stock Price'!$I$11="OK",H1147/INDEX(H$5:H$1258,'Stock Price'!$I$9)-1,"")</f>
        <v>1.3157894736842035E-2</v>
      </c>
      <c r="V1147" s="19">
        <f ca="1">IF('Stock Price'!$I$11="OK",I1147/INDEX(I$5:I$1258,'Stock Price'!$I$9)-1,"")</f>
        <v>7.2279586973788668E-2</v>
      </c>
      <c r="W1147" s="19">
        <f ca="1">IF('Stock Price'!$I$11="OK",J1147/INDEX(J$5:J$1258,'Stock Price'!$I$9)-1,"")</f>
        <v>-0.18179125476692948</v>
      </c>
      <c r="X1147" s="19">
        <f ca="1">IF('Stock Price'!$I$11="OK",K1147/INDEX(K$5:K$1258,'Stock Price'!$I$9)-1,"")</f>
        <v>9.820426487093159E-2</v>
      </c>
      <c r="Y1147" s="19">
        <f ca="1">IF('Stock Price'!$I$11="OK",L1147/INDEX(L$5:L$1258,'Stock Price'!$I$9)-1,"")</f>
        <v>9.7178683385579889E-2</v>
      </c>
      <c r="Z1147" s="19">
        <f ca="1">IF('Stock Price'!$I$11="OK",M1147/INDEX(M$5:M$1258,'Stock Price'!$I$9)-1,"")</f>
        <v>-0.13344380968993941</v>
      </c>
    </row>
    <row r="1148" spans="1:26" x14ac:dyDescent="0.2">
      <c r="A1148" s="16">
        <f>'Stock Price'!A1148</f>
        <v>46139</v>
      </c>
      <c r="B1148" s="17">
        <f>'Stock Price'!E1148</f>
        <v>110.23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3.5509628933771742E-2</v>
      </c>
      <c r="P1148" s="19">
        <f ca="1">IF('Stock Price'!$I$11="OK",C1148/INDEX(C$5:C$1258,'Stock Price'!$I$9)-1,"")</f>
        <v>4.0782445503103837E-2</v>
      </c>
      <c r="Q1148" s="19">
        <f ca="1">IF('Stock Price'!$I$11="OK",D1148/INDEX(D$5:D$1258,'Stock Price'!$I$9)-1,"")</f>
        <v>2.6467770630901777E-2</v>
      </c>
      <c r="R1148" s="19">
        <f ca="1">IF('Stock Price'!$I$11="OK",E1148/INDEX(E$5:E$1258,'Stock Price'!$I$9)-1,"")</f>
        <v>9.2484384444892154E-2</v>
      </c>
      <c r="S1148" s="19">
        <f ca="1">IF('Stock Price'!$I$11="OK",F1148/INDEX(F$5:F$1258,'Stock Price'!$I$9)-1,"")</f>
        <v>-4.4703595724004952E-3</v>
      </c>
      <c r="T1148" s="19">
        <f ca="1">IF('Stock Price'!$I$11="OK",G1148/INDEX(G$5:G$1258,'Stock Price'!$I$9)-1,"")</f>
        <v>-4.8310180385652046E-2</v>
      </c>
      <c r="U1148" s="19">
        <f ca="1">IF('Stock Price'!$I$11="OK",H1148/INDEX(H$5:H$1258,'Stock Price'!$I$9)-1,"")</f>
        <v>1.0000000000000009E-2</v>
      </c>
      <c r="V1148" s="19">
        <f ca="1">IF('Stock Price'!$I$11="OK",I1148/INDEX(I$5:I$1258,'Stock Price'!$I$9)-1,"")</f>
        <v>6.3939634630659326E-2</v>
      </c>
      <c r="W1148" s="19">
        <f ca="1">IF('Stock Price'!$I$11="OK",J1148/INDEX(J$5:J$1258,'Stock Price'!$I$9)-1,"")</f>
        <v>-0.19631419156577434</v>
      </c>
      <c r="X1148" s="19">
        <f ca="1">IF('Stock Price'!$I$11="OK",K1148/INDEX(K$5:K$1258,'Stock Price'!$I$9)-1,"")</f>
        <v>8.0808080808080884E-2</v>
      </c>
      <c r="Y1148" s="19">
        <f ca="1">IF('Stock Price'!$I$11="OK",L1148/INDEX(L$5:L$1258,'Stock Price'!$I$9)-1,"")</f>
        <v>8.6761514347721391E-2</v>
      </c>
      <c r="Z1148" s="19">
        <f ca="1">IF('Stock Price'!$I$11="OK",M1148/INDEX(M$5:M$1258,'Stock Price'!$I$9)-1,"")</f>
        <v>-0.13924381841175704</v>
      </c>
    </row>
    <row r="1149" spans="1:26" x14ac:dyDescent="0.2">
      <c r="A1149" s="16">
        <f>'Stock Price'!A1149</f>
        <v>46140</v>
      </c>
      <c r="B1149" s="17">
        <f>'Stock Price'!E1149</f>
        <v>110.03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3.3630812588069547E-2</v>
      </c>
      <c r="P1149" s="19">
        <f ca="1">IF('Stock Price'!$I$11="OK",C1149/INDEX(C$5:C$1258,'Stock Price'!$I$9)-1,"")</f>
        <v>5.0238198354265906E-2</v>
      </c>
      <c r="Q1149" s="19">
        <f ca="1">IF('Stock Price'!$I$11="OK",D1149/INDEX(D$5:D$1258,'Stock Price'!$I$9)-1,"")</f>
        <v>2.1924182290953942E-2</v>
      </c>
      <c r="R1149" s="19">
        <f ca="1">IF('Stock Price'!$I$11="OK",E1149/INDEX(E$5:E$1258,'Stock Price'!$I$9)-1,"")</f>
        <v>9.7521660286117084E-2</v>
      </c>
      <c r="S1149" s="19">
        <f ca="1">IF('Stock Price'!$I$11="OK",F1149/INDEX(F$5:F$1258,'Stock Price'!$I$9)-1,"")</f>
        <v>-7.968901846452936E-3</v>
      </c>
      <c r="T1149" s="19">
        <f ca="1">IF('Stock Price'!$I$11="OK",G1149/INDEX(G$5:G$1258,'Stock Price'!$I$9)-1,"")</f>
        <v>-4.7273481235745263E-2</v>
      </c>
      <c r="U1149" s="19">
        <f ca="1">IF('Stock Price'!$I$11="OK",H1149/INDEX(H$5:H$1258,'Stock Price'!$I$9)-1,"")</f>
        <v>-3.6315789473684301E-2</v>
      </c>
      <c r="V1149" s="19">
        <f ca="1">IF('Stock Price'!$I$11="OK",I1149/INDEX(I$5:I$1258,'Stock Price'!$I$9)-1,"")</f>
        <v>5.1628276409849017E-2</v>
      </c>
      <c r="W1149" s="19">
        <f ca="1">IF('Stock Price'!$I$11="OK",J1149/INDEX(J$5:J$1258,'Stock Price'!$I$9)-1,"")</f>
        <v>-0.19101040393942748</v>
      </c>
      <c r="X1149" s="19">
        <f ca="1">IF('Stock Price'!$I$11="OK",K1149/INDEX(K$5:K$1258,'Stock Price'!$I$9)-1,"")</f>
        <v>8.9786756453423155E-2</v>
      </c>
      <c r="Y1149" s="19">
        <f ca="1">IF('Stock Price'!$I$11="OK",L1149/INDEX(L$5:L$1258,'Stock Price'!$I$9)-1,"")</f>
        <v>9.8577284784181263E-2</v>
      </c>
      <c r="Z1149" s="19">
        <f ca="1">IF('Stock Price'!$I$11="OK",M1149/INDEX(M$5:M$1258,'Stock Price'!$I$9)-1,"")</f>
        <v>-0.13789193667960409</v>
      </c>
    </row>
    <row r="1150" spans="1:26" x14ac:dyDescent="0.2">
      <c r="A1150" s="16">
        <f>'Stock Price'!A1150</f>
        <v>46141</v>
      </c>
      <c r="B1150" s="17">
        <f>'Stock Price'!E1150</f>
        <v>110.95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4.2273367778299598E-2</v>
      </c>
      <c r="P1150" s="19">
        <f ca="1">IF('Stock Price'!$I$11="OK",C1150/INDEX(C$5:C$1258,'Stock Price'!$I$9)-1,"")</f>
        <v>3.1759780568788809E-2</v>
      </c>
      <c r="Q1150" s="19">
        <f ca="1">IF('Stock Price'!$I$11="OK",D1150/INDEX(D$5:D$1258,'Stock Price'!$I$9)-1,"")</f>
        <v>1.3822362118516285E-2</v>
      </c>
      <c r="R1150" s="19">
        <f ca="1">IF('Stock Price'!$I$11="OK",E1150/INDEX(E$5:E$1258,'Stock Price'!$I$9)-1,"")</f>
        <v>3.5663912955873345E-2</v>
      </c>
      <c r="S1150" s="19">
        <f ca="1">IF('Stock Price'!$I$11="OK",F1150/INDEX(F$5:F$1258,'Stock Price'!$I$9)-1,"")</f>
        <v>-1.9825072886297423E-2</v>
      </c>
      <c r="T1150" s="19">
        <f ca="1">IF('Stock Price'!$I$11="OK",G1150/INDEX(G$5:G$1258,'Stock Price'!$I$9)-1,"")</f>
        <v>-4.5614762595894587E-2</v>
      </c>
      <c r="U1150" s="19">
        <f ca="1">IF('Stock Price'!$I$11="OK",H1150/INDEX(H$5:H$1258,'Stock Price'!$I$9)-1,"")</f>
        <v>-4.0789473684210487E-2</v>
      </c>
      <c r="V1150" s="19">
        <f ca="1">IF('Stock Price'!$I$11="OK",I1150/INDEX(I$5:I$1258,'Stock Price'!$I$9)-1,"")</f>
        <v>4.28911834789516E-2</v>
      </c>
      <c r="W1150" s="19">
        <f ca="1">IF('Stock Price'!$I$11="OK",J1150/INDEX(J$5:J$1258,'Stock Price'!$I$9)-1,"")</f>
        <v>-0.21210522418453093</v>
      </c>
      <c r="X1150" s="19">
        <f ca="1">IF('Stock Price'!$I$11="OK",K1150/INDEX(K$5:K$1258,'Stock Price'!$I$9)-1,"")</f>
        <v>7.7254021698466291E-2</v>
      </c>
      <c r="Y1150" s="19">
        <f ca="1">IF('Stock Price'!$I$11="OK",L1150/INDEX(L$5:L$1258,'Stock Price'!$I$9)-1,"")</f>
        <v>9.6455268869062083E-2</v>
      </c>
      <c r="Z1150" s="19">
        <f ca="1">IF('Stock Price'!$I$11="OK",M1150/INDEX(M$5:M$1258,'Stock Price'!$I$9)-1,"")</f>
        <v>-0.11085430203654445</v>
      </c>
    </row>
    <row r="1151" spans="1:26" x14ac:dyDescent="0.2">
      <c r="A1151" s="16">
        <f>'Stock Price'!A1151</f>
        <v>46142</v>
      </c>
      <c r="B1151" s="17">
        <f>'Stock Price'!E1151</f>
        <v>109.18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2.564584311883511E-2</v>
      </c>
      <c r="P1151" s="19">
        <f ca="1">IF('Stock Price'!$I$11="OK",C1151/INDEX(C$5:C$1258,'Stock Price'!$I$9)-1,"")</f>
        <v>6.7200808430778025E-2</v>
      </c>
      <c r="Q1151" s="19">
        <f ca="1">IF('Stock Price'!$I$11="OK",D1151/INDEX(D$5:D$1258,'Stock Price'!$I$9)-1,"")</f>
        <v>2.5701382236211767E-2</v>
      </c>
      <c r="R1151" s="19">
        <f ca="1">IF('Stock Price'!$I$11="OK",E1151/INDEX(E$5:E$1258,'Stock Price'!$I$9)-1,"")</f>
        <v>5.3999597017932777E-2</v>
      </c>
      <c r="S1151" s="19">
        <f ca="1">IF('Stock Price'!$I$11="OK",F1151/INDEX(F$5:F$1258,'Stock Price'!$I$9)-1,"")</f>
        <v>-1.1078717201166155E-2</v>
      </c>
      <c r="T1151" s="19">
        <f ca="1">IF('Stock Price'!$I$11="OK",G1151/INDEX(G$5:G$1258,'Stock Price'!$I$9)-1,"")</f>
        <v>-3.4211071946920968E-2</v>
      </c>
      <c r="U1151" s="19">
        <f ca="1">IF('Stock Price'!$I$11="OK",H1151/INDEX(H$5:H$1258,'Stock Price'!$I$9)-1,"")</f>
        <v>1.3157894736841591E-3</v>
      </c>
      <c r="V1151" s="19">
        <f ca="1">IF('Stock Price'!$I$11="OK",I1151/INDEX(I$5:I$1258,'Stock Price'!$I$9)-1,"")</f>
        <v>6.0365369340746655E-2</v>
      </c>
      <c r="W1151" s="19">
        <f ca="1">IF('Stock Price'!$I$11="OK",J1151/INDEX(J$5:J$1258,'Stock Price'!$I$9)-1,"")</f>
        <v>-0.13491799029952967</v>
      </c>
      <c r="X1151" s="19">
        <f ca="1">IF('Stock Price'!$I$11="OK",K1151/INDEX(K$5:K$1258,'Stock Price'!$I$9)-1,"")</f>
        <v>0.13337074448185571</v>
      </c>
      <c r="Y1151" s="19">
        <f ca="1">IF('Stock Price'!$I$11="OK",L1151/INDEX(L$5:L$1258,'Stock Price'!$I$9)-1,"")</f>
        <v>0.1085121774776947</v>
      </c>
      <c r="Z1151" s="19">
        <f ca="1">IF('Stock Price'!$I$11="OK",M1151/INDEX(M$5:M$1258,'Stock Price'!$I$9)-1,"")</f>
        <v>-7.8452749553006851E-2</v>
      </c>
    </row>
    <row r="1152" spans="1:26" x14ac:dyDescent="0.2">
      <c r="A1152" s="16">
        <f>'Stock Price'!A1152</f>
        <v>46143</v>
      </c>
      <c r="B1152" s="17">
        <f>'Stock Price'!E1152</f>
        <v>112.16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5.3640206669798074E-2</v>
      </c>
      <c r="P1152" s="19">
        <f ca="1">IF('Stock Price'!$I$11="OK",C1152/INDEX(C$5:C$1258,'Stock Price'!$I$9)-1,"")</f>
        <v>5.7961599538039588E-2</v>
      </c>
      <c r="Q1152" s="19">
        <f ca="1">IF('Stock Price'!$I$11="OK",D1152/INDEX(D$5:D$1258,'Stock Price'!$I$9)-1,"")</f>
        <v>1.1304228821677809E-2</v>
      </c>
      <c r="R1152" s="19">
        <f ca="1">IF('Stock Price'!$I$11="OK",E1152/INDEX(E$5:E$1258,'Stock Price'!$I$9)-1,"")</f>
        <v>3.9895224662502393E-2</v>
      </c>
      <c r="S1152" s="19">
        <f ca="1">IF('Stock Price'!$I$11="OK",F1152/INDEX(F$5:F$1258,'Stock Price'!$I$9)-1,"")</f>
        <v>-8.7463556851312685E-3</v>
      </c>
      <c r="T1152" s="19">
        <f ca="1">IF('Stock Price'!$I$11="OK",G1152/INDEX(G$5:G$1258,'Stock Price'!$I$9)-1,"")</f>
        <v>-4.4578063445987914E-2</v>
      </c>
      <c r="U1152" s="19">
        <f ca="1">IF('Stock Price'!$I$11="OK",H1152/INDEX(H$5:H$1258,'Stock Price'!$I$9)-1,"")</f>
        <v>1.3157894736841591E-3</v>
      </c>
      <c r="V1152" s="19">
        <f ca="1">IF('Stock Price'!$I$11="OK",I1152/INDEX(I$5:I$1258,'Stock Price'!$I$9)-1,"")</f>
        <v>4.5671167593327899E-2</v>
      </c>
      <c r="W1152" s="19">
        <f ca="1">IF('Stock Price'!$I$11="OK",J1152/INDEX(J$5:J$1258,'Stock Price'!$I$9)-1,"")</f>
        <v>-0.10832500277685209</v>
      </c>
      <c r="X1152" s="19">
        <f ca="1">IF('Stock Price'!$I$11="OK",K1152/INDEX(K$5:K$1258,'Stock Price'!$I$9)-1,"")</f>
        <v>8.9038533482977966E-2</v>
      </c>
      <c r="Y1152" s="19">
        <f ca="1">IF('Stock Price'!$I$11="OK",L1152/INDEX(L$5:L$1258,'Stock Price'!$I$9)-1,"")</f>
        <v>9.5683626718109593E-2</v>
      </c>
      <c r="Z1152" s="19">
        <f ca="1">IF('Stock Price'!$I$11="OK",M1152/INDEX(M$5:M$1258,'Stock Price'!$I$9)-1,"")</f>
        <v>-9.9036239152239358E-2</v>
      </c>
    </row>
    <row r="1153" spans="1:26" x14ac:dyDescent="0.2">
      <c r="A1153" s="16">
        <f>'Stock Price'!A1153</f>
        <v>46146</v>
      </c>
      <c r="B1153" s="17">
        <f>'Stock Price'!E1153</f>
        <v>113.11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6.2564584311883387E-2</v>
      </c>
      <c r="P1153" s="19">
        <f ca="1">IF('Stock Price'!$I$11="OK",C1153/INDEX(C$5:C$1258,'Stock Price'!$I$9)-1,"")</f>
        <v>4.3886242240508189E-2</v>
      </c>
      <c r="Q1153" s="19">
        <f ca="1">IF('Stock Price'!$I$11="OK",D1153/INDEX(D$5:D$1258,'Stock Price'!$I$9)-1,"")</f>
        <v>4.2972492130832762E-3</v>
      </c>
      <c r="R1153" s="19">
        <f ca="1">IF('Stock Price'!$I$11="OK",E1153/INDEX(E$5:E$1258,'Stock Price'!$I$9)-1,"")</f>
        <v>2.5589361273423261E-2</v>
      </c>
      <c r="S1153" s="19">
        <f ca="1">IF('Stock Price'!$I$11="OK",F1153/INDEX(F$5:F$1258,'Stock Price'!$I$9)-1,"")</f>
        <v>-2.2740524781341143E-2</v>
      </c>
      <c r="T1153" s="19">
        <f ca="1">IF('Stock Price'!$I$11="OK",G1153/INDEX(G$5:G$1258,'Stock Price'!$I$9)-1,"")</f>
        <v>-0.10118183703089356</v>
      </c>
      <c r="U1153" s="19">
        <f ca="1">IF('Stock Price'!$I$11="OK",H1153/INDEX(H$5:H$1258,'Stock Price'!$I$9)-1,"")</f>
        <v>-1.5789473684210575E-2</v>
      </c>
      <c r="V1153" s="19">
        <f ca="1">IF('Stock Price'!$I$11="OK",I1153/INDEX(I$5:I$1258,'Stock Price'!$I$9)-1,"")</f>
        <v>4.4479745830023898E-2</v>
      </c>
      <c r="W1153" s="19">
        <f ca="1">IF('Stock Price'!$I$11="OK",J1153/INDEX(J$5:J$1258,'Stock Price'!$I$9)-1,"")</f>
        <v>-0.10406716279758599</v>
      </c>
      <c r="X1153" s="19">
        <f ca="1">IF('Stock Price'!$I$11="OK",K1153/INDEX(K$5:K$1258,'Stock Price'!$I$9)-1,"")</f>
        <v>7.3325851103628992E-2</v>
      </c>
      <c r="Y1153" s="19">
        <f ca="1">IF('Stock Price'!$I$11="OK",L1153/INDEX(L$5:L$1258,'Stock Price'!$I$9)-1,"")</f>
        <v>8.1263564022184598E-2</v>
      </c>
      <c r="Z1153" s="19">
        <f ca="1">IF('Stock Price'!$I$11="OK",M1153/INDEX(M$5:M$1258,'Stock Price'!$I$9)-1,"")</f>
        <v>-9.2233221403340448E-2</v>
      </c>
    </row>
    <row r="1154" spans="1:26" x14ac:dyDescent="0.2">
      <c r="A1154" s="16">
        <f>'Stock Price'!A1154</f>
        <v>46147</v>
      </c>
      <c r="B1154" s="17">
        <f>'Stock Price'!E1154</f>
        <v>113.15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6.2940347581023959E-2</v>
      </c>
      <c r="P1154" s="19">
        <f ca="1">IF('Stock Price'!$I$11="OK",C1154/INDEX(C$5:C$1258,'Stock Price'!$I$9)-1,"")</f>
        <v>5.0238198354265906E-2</v>
      </c>
      <c r="Q1154" s="19">
        <f ca="1">IF('Stock Price'!$I$11="OK",D1154/INDEX(D$5:D$1258,'Stock Price'!$I$9)-1,"")</f>
        <v>-7.8554810455727653E-3</v>
      </c>
      <c r="R1154" s="19">
        <f ca="1">IF('Stock Price'!$I$11="OK",E1154/INDEX(E$5:E$1258,'Stock Price'!$I$9)-1,"")</f>
        <v>1.5111827523675236E-2</v>
      </c>
      <c r="S1154" s="19">
        <f ca="1">IF('Stock Price'!$I$11="OK",F1154/INDEX(F$5:F$1258,'Stock Price'!$I$9)-1,"")</f>
        <v>-1.1856171039844488E-2</v>
      </c>
      <c r="T1154" s="19">
        <f ca="1">IF('Stock Price'!$I$11="OK",G1154/INDEX(G$5:G$1258,'Stock Price'!$I$9)-1,"")</f>
        <v>-0.10097449720091223</v>
      </c>
      <c r="U1154" s="19">
        <f ca="1">IF('Stock Price'!$I$11="OK",H1154/INDEX(H$5:H$1258,'Stock Price'!$I$9)-1,"")</f>
        <v>-2.6315789473684292E-3</v>
      </c>
      <c r="V1154" s="19">
        <f ca="1">IF('Stock Price'!$I$11="OK",I1154/INDEX(I$5:I$1258,'Stock Price'!$I$9)-1,"")</f>
        <v>5.0436854646544793E-2</v>
      </c>
      <c r="W1154" s="19">
        <f ca="1">IF('Stock Price'!$I$11="OK",J1154/INDEX(J$5:J$1258,'Stock Price'!$I$9)-1,"")</f>
        <v>-8.468473471805682E-2</v>
      </c>
      <c r="X1154" s="19">
        <f ca="1">IF('Stock Price'!$I$11="OK",K1154/INDEX(K$5:K$1258,'Stock Price'!$I$9)-1,"")</f>
        <v>6.5282454171343041E-2</v>
      </c>
      <c r="Y1154" s="19">
        <f ca="1">IF('Stock Price'!$I$11="OK",L1154/INDEX(L$5:L$1258,'Stock Price'!$I$9)-1,"")</f>
        <v>8.7774294670846409E-2</v>
      </c>
      <c r="Z1154" s="19">
        <f ca="1">IF('Stock Price'!$I$11="OK",M1154/INDEX(M$5:M$1258,'Stock Price'!$I$9)-1,"")</f>
        <v>-0.10117308447080364</v>
      </c>
    </row>
    <row r="1155" spans="1:26" x14ac:dyDescent="0.2">
      <c r="A1155" s="16">
        <f>'Stock Price'!A1155</f>
        <v>46148</v>
      </c>
      <c r="B1155" s="17">
        <f>'Stock Price'!E1155</f>
        <v>113.56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6.6791921089713435E-2</v>
      </c>
      <c r="P1155" s="19">
        <f ca="1">IF('Stock Price'!$I$11="OK",C1155/INDEX(C$5:C$1258,'Stock Price'!$I$9)-1,"")</f>
        <v>7.0882055723978876E-2</v>
      </c>
      <c r="Q1155" s="19">
        <f ca="1">IF('Stock Price'!$I$11="OK",D1155/INDEX(D$5:D$1258,'Stock Price'!$I$9)-1,"")</f>
        <v>1.2289585329136266E-2</v>
      </c>
      <c r="R1155" s="19">
        <f ca="1">IF('Stock Price'!$I$11="OK",E1155/INDEX(E$5:E$1258,'Stock Price'!$I$9)-1,"")</f>
        <v>1.8134193028410239E-2</v>
      </c>
      <c r="S1155" s="19">
        <f ca="1">IF('Stock Price'!$I$11="OK",F1155/INDEX(F$5:F$1258,'Stock Price'!$I$9)-1,"")</f>
        <v>3.4985422740525518E-3</v>
      </c>
      <c r="T1155" s="19">
        <f ca="1">IF('Stock Price'!$I$11="OK",G1155/INDEX(G$5:G$1258,'Stock Price'!$I$9)-1,"")</f>
        <v>-9.2473564171677292E-2</v>
      </c>
      <c r="U1155" s="19">
        <f ca="1">IF('Stock Price'!$I$11="OK",H1155/INDEX(H$5:H$1258,'Stock Price'!$I$9)-1,"")</f>
        <v>1.3421052631579E-2</v>
      </c>
      <c r="V1155" s="19">
        <f ca="1">IF('Stock Price'!$I$11="OK",I1155/INDEX(I$5:I$1258,'Stock Price'!$I$9)-1,"")</f>
        <v>5.3613979348689389E-2</v>
      </c>
      <c r="W1155" s="19">
        <f ca="1">IF('Stock Price'!$I$11="OK",J1155/INDEX(J$5:J$1258,'Stock Price'!$I$9)-1,"")</f>
        <v>-8.6369358362027415E-2</v>
      </c>
      <c r="X1155" s="19">
        <f ca="1">IF('Stock Price'!$I$11="OK",K1155/INDEX(K$5:K$1258,'Stock Price'!$I$9)-1,"")</f>
        <v>5.8548447437336337E-2</v>
      </c>
      <c r="Y1155" s="19">
        <f ca="1">IF('Stock Price'!$I$11="OK",L1155/INDEX(L$5:L$1258,'Stock Price'!$I$9)-1,"")</f>
        <v>8.3289124668435077E-2</v>
      </c>
      <c r="Z1155" s="19">
        <f ca="1">IF('Stock Price'!$I$11="OK",M1155/INDEX(M$5:M$1258,'Stock Price'!$I$9)-1,"")</f>
        <v>-0.10588286598927221</v>
      </c>
    </row>
    <row r="1156" spans="1:26" x14ac:dyDescent="0.2">
      <c r="A1156" s="16">
        <f>'Stock Price'!A1156</f>
        <v>46149</v>
      </c>
      <c r="B1156" s="17">
        <f>'Stock Price'!E1156</f>
        <v>112.3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5.4955378111789521E-2</v>
      </c>
      <c r="P1156" s="19">
        <f ca="1">IF('Stock Price'!$I$11="OK",C1156/INDEX(C$5:C$1258,'Stock Price'!$I$9)-1,"")</f>
        <v>4.9444203840046219E-2</v>
      </c>
      <c r="Q1156" s="19">
        <f ca="1">IF('Stock Price'!$I$11="OK",D1156/INDEX(D$5:D$1258,'Stock Price'!$I$9)-1,"")</f>
        <v>-8.4850143697823288E-4</v>
      </c>
      <c r="R1156" s="19">
        <f ca="1">IF('Stock Price'!$I$11="OK",E1156/INDEX(E$5:E$1258,'Stock Price'!$I$9)-1,"")</f>
        <v>1.7529719927463105E-2</v>
      </c>
      <c r="S1156" s="19">
        <f ca="1">IF('Stock Price'!$I$11="OK",F1156/INDEX(F$5:F$1258,'Stock Price'!$I$9)-1,"")</f>
        <v>-1.6715257531584093E-2</v>
      </c>
      <c r="T1156" s="19">
        <f ca="1">IF('Stock Price'!$I$11="OK",G1156/INDEX(G$5:G$1258,'Stock Price'!$I$9)-1,"")</f>
        <v>-0.10470661414057636</v>
      </c>
      <c r="U1156" s="19">
        <f ca="1">IF('Stock Price'!$I$11="OK",H1156/INDEX(H$5:H$1258,'Stock Price'!$I$9)-1,"")</f>
        <v>-1.5000000000000013E-2</v>
      </c>
      <c r="V1156" s="19">
        <f ca="1">IF('Stock Price'!$I$11="OK",I1156/INDEX(I$5:I$1258,'Stock Price'!$I$9)-1,"")</f>
        <v>5.1628276409849017E-2</v>
      </c>
      <c r="W1156" s="19">
        <f ca="1">IF('Stock Price'!$I$11="OK",J1156/INDEX(J$5:J$1258,'Stock Price'!$I$9)-1,"")</f>
        <v>-9.7560072568403045E-2</v>
      </c>
      <c r="X1156" s="19">
        <f ca="1">IF('Stock Price'!$I$11="OK",K1156/INDEX(K$5:K$1258,'Stock Price'!$I$9)-1,"")</f>
        <v>5.2188552188552118E-2</v>
      </c>
      <c r="Y1156" s="19">
        <f ca="1">IF('Stock Price'!$I$11="OK",L1156/INDEX(L$5:L$1258,'Stock Price'!$I$9)-1,"")</f>
        <v>7.3113093802748885E-2</v>
      </c>
      <c r="Z1156" s="19">
        <f ca="1">IF('Stock Price'!$I$11="OK",M1156/INDEX(M$5:M$1258,'Stock Price'!$I$9)-1,"")</f>
        <v>-0.11600017443635247</v>
      </c>
    </row>
    <row r="1157" spans="1:26" x14ac:dyDescent="0.2">
      <c r="A1157" s="16">
        <f>'Stock Price'!A1157</f>
        <v>46150</v>
      </c>
      <c r="B1157" s="17">
        <f>'Stock Price'!E1157</f>
        <v>111.38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4.6312822921559249E-2</v>
      </c>
      <c r="P1157" s="19">
        <f ca="1">IF('Stock Price'!$I$11="OK",C1157/INDEX(C$5:C$1258,'Stock Price'!$I$9)-1,"")</f>
        <v>5.4063808286415549E-2</v>
      </c>
      <c r="Q1157" s="19">
        <f ca="1">IF('Stock Price'!$I$11="OK",D1157/INDEX(D$5:D$1258,'Stock Price'!$I$9)-1,"")</f>
        <v>9.5798549336234551E-4</v>
      </c>
      <c r="R1157" s="19">
        <f ca="1">IF('Stock Price'!$I$11="OK",E1157/INDEX(E$5:E$1258,'Stock Price'!$I$9)-1,"")</f>
        <v>1.5716300624622148E-2</v>
      </c>
      <c r="S1157" s="19">
        <f ca="1">IF('Stock Price'!$I$11="OK",F1157/INDEX(F$5:F$1258,'Stock Price'!$I$9)-1,"")</f>
        <v>-6.9970845481049926E-3</v>
      </c>
      <c r="T1157" s="19">
        <f ca="1">IF('Stock Price'!$I$11="OK",G1157/INDEX(G$5:G$1258,'Stock Price'!$I$9)-1,"")</f>
        <v>-0.1020111963508189</v>
      </c>
      <c r="U1157" s="19">
        <f ca="1">IF('Stock Price'!$I$11="OK",H1157/INDEX(H$5:H$1258,'Stock Price'!$I$9)-1,"")</f>
        <v>-2.6842105263158E-2</v>
      </c>
      <c r="V1157" s="19">
        <f ca="1">IF('Stock Price'!$I$11="OK",I1157/INDEX(I$5:I$1258,'Stock Price'!$I$9)-1,"")</f>
        <v>1.9857029388403502E-2</v>
      </c>
      <c r="W1157" s="19">
        <f ca="1">IF('Stock Price'!$I$11="OK",J1157/INDEX(J$5:J$1258,'Stock Price'!$I$9)-1,"")</f>
        <v>-0.12209818949239126</v>
      </c>
      <c r="X1157" s="19">
        <f ca="1">IF('Stock Price'!$I$11="OK",K1157/INDEX(K$5:K$1258,'Stock Price'!$I$9)-1,"")</f>
        <v>5.0505050505050386E-2</v>
      </c>
      <c r="Y1157" s="19">
        <f ca="1">IF('Stock Price'!$I$11="OK",L1157/INDEX(L$5:L$1258,'Stock Price'!$I$9)-1,"")</f>
        <v>6.7374005305039786E-2</v>
      </c>
      <c r="Z1157" s="19">
        <f ca="1">IF('Stock Price'!$I$11="OK",M1157/INDEX(M$5:M$1258,'Stock Price'!$I$9)-1,"")</f>
        <v>-0.1210588286598927</v>
      </c>
    </row>
    <row r="1158" spans="1:26" x14ac:dyDescent="0.2">
      <c r="A1158" s="16">
        <f>'Stock Price'!A1158</f>
        <v>46153</v>
      </c>
      <c r="B1158" s="17">
        <f>'Stock Price'!E1158</f>
        <v>111.28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4.5373414748708374E-2</v>
      </c>
      <c r="P1158" s="19">
        <f ca="1">IF('Stock Price'!$I$11="OK",C1158/INDEX(C$5:C$1258,'Stock Price'!$I$9)-1,"")</f>
        <v>4.8289302728453887E-2</v>
      </c>
      <c r="Q1158" s="19">
        <f ca="1">IF('Stock Price'!$I$11="OK",D1158/INDEX(D$5:D$1258,'Stock Price'!$I$9)-1,"")</f>
        <v>-4.4614752976597227E-3</v>
      </c>
      <c r="R1158" s="19">
        <f ca="1">IF('Stock Price'!$I$11="OK",E1158/INDEX(E$5:E$1258,'Stock Price'!$I$9)-1,"")</f>
        <v>3.6268386056821367E-3</v>
      </c>
      <c r="S1158" s="19">
        <f ca="1">IF('Stock Price'!$I$11="OK",F1158/INDEX(F$5:F$1258,'Stock Price'!$I$9)-1,"")</f>
        <v>-7.7745383867844353E-4</v>
      </c>
      <c r="T1158" s="19">
        <f ca="1">IF('Stock Price'!$I$11="OK",G1158/INDEX(G$5:G$1258,'Stock Price'!$I$9)-1,"")</f>
        <v>-0.11880572257930744</v>
      </c>
      <c r="U1158" s="19">
        <f ca="1">IF('Stock Price'!$I$11="OK",H1158/INDEX(H$5:H$1258,'Stock Price'!$I$9)-1,"")</f>
        <v>-2.4210526315789571E-2</v>
      </c>
      <c r="V1158" s="19">
        <f ca="1">IF('Stock Price'!$I$11="OK",I1158/INDEX(I$5:I$1258,'Stock Price'!$I$9)-1,"")</f>
        <v>2.501985702938847E-2</v>
      </c>
      <c r="W1158" s="19">
        <f ca="1">IF('Stock Price'!$I$11="OK",J1158/INDEX(J$5:J$1258,'Stock Price'!$I$9)-1,"")</f>
        <v>-0.10493724314117503</v>
      </c>
      <c r="X1158" s="19">
        <f ca="1">IF('Stock Price'!$I$11="OK",K1158/INDEX(K$5:K$1258,'Stock Price'!$I$9)-1,"")</f>
        <v>4.1339319117096984E-2</v>
      </c>
      <c r="Y1158" s="19">
        <f ca="1">IF('Stock Price'!$I$11="OK",L1158/INDEX(L$5:L$1258,'Stock Price'!$I$9)-1,"")</f>
        <v>6.7904509283819747E-2</v>
      </c>
      <c r="Z1158" s="19">
        <f ca="1">IF('Stock Price'!$I$11="OK",M1158/INDEX(M$5:M$1258,'Stock Price'!$I$9)-1,"")</f>
        <v>-0.11569491081941474</v>
      </c>
    </row>
    <row r="1159" spans="1:26" x14ac:dyDescent="0.2">
      <c r="A1159" s="16">
        <f>'Stock Price'!A1159</f>
        <v>46154</v>
      </c>
      <c r="B1159" s="17">
        <f>'Stock Price'!E1159</f>
        <v>112.37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5.5612963832785356E-2</v>
      </c>
      <c r="P1159" s="19">
        <f ca="1">IF('Stock Price'!$I$11="OK",C1159/INDEX(C$5:C$1258,'Stock Price'!$I$9)-1,"")</f>
        <v>6.9438429334488294E-2</v>
      </c>
      <c r="Q1159" s="19">
        <f ca="1">IF('Stock Price'!$I$11="OK",D1159/INDEX(D$5:D$1258,'Stock Price'!$I$9)-1,"")</f>
        <v>1.0209388257834906E-2</v>
      </c>
      <c r="R1159" s="19">
        <f ca="1">IF('Stock Price'!$I$11="OK",E1159/INDEX(E$5:E$1258,'Stock Price'!$I$9)-1,"")</f>
        <v>2.5589361273423261E-2</v>
      </c>
      <c r="S1159" s="19">
        <f ca="1">IF('Stock Price'!$I$11="OK",F1159/INDEX(F$5:F$1258,'Stock Price'!$I$9)-1,"")</f>
        <v>-5.2478134110788277E-3</v>
      </c>
      <c r="T1159" s="19">
        <f ca="1">IF('Stock Price'!$I$11="OK",G1159/INDEX(G$5:G$1258,'Stock Price'!$I$9)-1,"")</f>
        <v>-0.11134148869997917</v>
      </c>
      <c r="U1159" s="19">
        <f ca="1">IF('Stock Price'!$I$11="OK",H1159/INDEX(H$5:H$1258,'Stock Price'!$I$9)-1,"")</f>
        <v>1.1578947368420911E-2</v>
      </c>
      <c r="V1159" s="19">
        <f ca="1">IF('Stock Price'!$I$11="OK",I1159/INDEX(I$5:I$1258,'Stock Price'!$I$9)-1,"")</f>
        <v>2.7402700555996917E-2</v>
      </c>
      <c r="W1159" s="19">
        <f ca="1">IF('Stock Price'!$I$11="OK",J1159/INDEX(J$5:J$1258,'Stock Price'!$I$9)-1,"")</f>
        <v>-8.3759117331259847E-2</v>
      </c>
      <c r="X1159" s="19">
        <f ca="1">IF('Stock Price'!$I$11="OK",K1159/INDEX(K$5:K$1258,'Stock Price'!$I$9)-1,"")</f>
        <v>5.5929667040778286E-2</v>
      </c>
      <c r="Y1159" s="19">
        <f ca="1">IF('Stock Price'!$I$11="OK",L1159/INDEX(L$5:L$1258,'Stock Price'!$I$9)-1,"")</f>
        <v>8.1552929828791809E-2</v>
      </c>
      <c r="Z1159" s="19">
        <f ca="1">IF('Stock Price'!$I$11="OK",M1159/INDEX(M$5:M$1258,'Stock Price'!$I$9)-1,"")</f>
        <v>-9.3541494047359453E-2</v>
      </c>
    </row>
    <row r="1160" spans="1:26" x14ac:dyDescent="0.2">
      <c r="A1160" s="16">
        <f>'Stock Price'!A1160</f>
        <v>46155</v>
      </c>
      <c r="B1160" s="17">
        <f>'Stock Price'!E1160</f>
        <v>113.45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6.575857209957725E-2</v>
      </c>
      <c r="P1160" s="19">
        <f ca="1">IF('Stock Price'!$I$11="OK",C1160/INDEX(C$5:C$1258,'Stock Price'!$I$9)-1,"")</f>
        <v>8.0915259130937001E-2</v>
      </c>
      <c r="Q1160" s="19">
        <f ca="1">IF('Stock Price'!$I$11="OK",D1160/INDEX(D$5:D$1258,'Stock Price'!$I$9)-1,"")</f>
        <v>2.7617353222936902E-2</v>
      </c>
      <c r="R1160" s="19">
        <f ca="1">IF('Stock Price'!$I$11="OK",E1160/INDEX(E$5:E$1258,'Stock Price'!$I$9)-1,"")</f>
        <v>2.7402780576264441E-2</v>
      </c>
      <c r="S1160" s="19">
        <f ca="1">IF('Stock Price'!$I$11="OK",F1160/INDEX(F$5:F$1258,'Stock Price'!$I$9)-1,"")</f>
        <v>-3.6929057337221627E-3</v>
      </c>
      <c r="T1160" s="19">
        <f ca="1">IF('Stock Price'!$I$11="OK",G1160/INDEX(G$5:G$1258,'Stock Price'!$I$9)-1,"")</f>
        <v>-0.12046444121915811</v>
      </c>
      <c r="U1160" s="19">
        <f ca="1">IF('Stock Price'!$I$11="OK",H1160/INDEX(H$5:H$1258,'Stock Price'!$I$9)-1,"")</f>
        <v>-7.8947368421056208E-4</v>
      </c>
      <c r="V1160" s="19">
        <f ca="1">IF('Stock Price'!$I$11="OK",I1160/INDEX(I$5:I$1258,'Stock Price'!$I$9)-1,"")</f>
        <v>3.0976965845909588E-2</v>
      </c>
      <c r="W1160" s="19">
        <f ca="1">IF('Stock Price'!$I$11="OK",J1160/INDEX(J$5:J$1258,'Stock Price'!$I$9)-1,"")</f>
        <v>-5.9804139360953634E-2</v>
      </c>
      <c r="X1160" s="19">
        <f ca="1">IF('Stock Price'!$I$11="OK",K1160/INDEX(K$5:K$1258,'Stock Price'!$I$9)-1,"")</f>
        <v>5.4807332585110391E-2</v>
      </c>
      <c r="Y1160" s="19">
        <f ca="1">IF('Stock Price'!$I$11="OK",L1160/INDEX(L$5:L$1258,'Stock Price'!$I$9)-1,"")</f>
        <v>0.11126115264046299</v>
      </c>
      <c r="Z1160" s="19">
        <f ca="1">IF('Stock Price'!$I$11="OK",M1160/INDEX(M$5:M$1258,'Stock Price'!$I$9)-1,"")</f>
        <v>-9.0750512406785555E-2</v>
      </c>
    </row>
    <row r="1161" spans="1:26" x14ac:dyDescent="0.2">
      <c r="A1161" s="16">
        <f>'Stock Price'!A1161</f>
        <v>46156</v>
      </c>
      <c r="B1161" s="17">
        <f>'Stock Price'!E1161</f>
        <v>113.41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6.5382808830436678E-2</v>
      </c>
      <c r="P1161" s="19">
        <f ca="1">IF('Stock Price'!$I$11="OK",C1161/INDEX(C$5:C$1258,'Stock Price'!$I$9)-1,"")</f>
        <v>8.1059621769886014E-2</v>
      </c>
      <c r="Q1161" s="19">
        <f ca="1">IF('Stock Price'!$I$11="OK",D1161/INDEX(D$5:D$1258,'Stock Price'!$I$9)-1,"")</f>
        <v>1.2508553441904935E-2</v>
      </c>
      <c r="R1161" s="19">
        <f ca="1">IF('Stock Price'!$I$11="OK",E1161/INDEX(E$5:E$1258,'Stock Price'!$I$9)-1,"")</f>
        <v>2.6798307475317307E-2</v>
      </c>
      <c r="S1161" s="19">
        <f ca="1">IF('Stock Price'!$I$11="OK",F1161/INDEX(F$5:F$1258,'Stock Price'!$I$9)-1,"")</f>
        <v>-3.10981535471333E-3</v>
      </c>
      <c r="T1161" s="19">
        <f ca="1">IF('Stock Price'!$I$11="OK",G1161/INDEX(G$5:G$1258,'Stock Price'!$I$9)-1,"")</f>
        <v>-0.11154882852996051</v>
      </c>
      <c r="U1161" s="19">
        <f ca="1">IF('Stock Price'!$I$11="OK",H1161/INDEX(H$5:H$1258,'Stock Price'!$I$9)-1,"")</f>
        <v>4.7368421052631504E-3</v>
      </c>
      <c r="V1161" s="19">
        <f ca="1">IF('Stock Price'!$I$11="OK",I1161/INDEX(I$5:I$1258,'Stock Price'!$I$9)-1,"")</f>
        <v>2.2637013502780023E-2</v>
      </c>
      <c r="W1161" s="19">
        <f ca="1">IF('Stock Price'!$I$11="OK",J1161/INDEX(J$5:J$1258,'Stock Price'!$I$9)-1,"")</f>
        <v>-6.818097671146639E-2</v>
      </c>
      <c r="X1161" s="19">
        <f ca="1">IF('Stock Price'!$I$11="OK",K1161/INDEX(K$5:K$1258,'Stock Price'!$I$9)-1,"")</f>
        <v>6.19154508043398E-2</v>
      </c>
      <c r="Y1161" s="19">
        <f ca="1">IF('Stock Price'!$I$11="OK",L1161/INDEX(L$5:L$1258,'Stock Price'!$I$9)-1,"")</f>
        <v>0.11309380274897518</v>
      </c>
      <c r="Z1161" s="19">
        <f ca="1">IF('Stock Price'!$I$11="OK",M1161/INDEX(M$5:M$1258,'Stock Price'!$I$9)-1,"")</f>
        <v>-8.0851249400375025E-2</v>
      </c>
    </row>
    <row r="1162" spans="1:26" x14ac:dyDescent="0.2">
      <c r="A1162" s="16">
        <f>'Stock Price'!A1162</f>
        <v>46157</v>
      </c>
      <c r="B1162" s="17">
        <f>'Stock Price'!E1162</f>
        <v>111.38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4.6312822921559249E-2</v>
      </c>
      <c r="P1162" s="19">
        <f ca="1">IF('Stock Price'!$I$11="OK",C1162/INDEX(C$5:C$1258,'Stock Price'!$I$9)-1,"")</f>
        <v>6.8860978778692239E-2</v>
      </c>
      <c r="Q1162" s="19">
        <f ca="1">IF('Stock Price'!$I$11="OK",D1162/INDEX(D$5:D$1258,'Stock Price'!$I$9)-1,"")</f>
        <v>-5.994252087039853E-3</v>
      </c>
      <c r="R1162" s="19">
        <f ca="1">IF('Stock Price'!$I$11="OK",E1162/INDEX(E$5:E$1258,'Stock Price'!$I$9)-1,"")</f>
        <v>8.0596413459588234E-4</v>
      </c>
      <c r="S1162" s="19">
        <f ca="1">IF('Stock Price'!$I$11="OK",F1162/INDEX(F$5:F$1258,'Stock Price'!$I$9)-1,"")</f>
        <v>-6.9970845481049926E-3</v>
      </c>
      <c r="T1162" s="19">
        <f ca="1">IF('Stock Price'!$I$11="OK",G1162/INDEX(G$5:G$1258,'Stock Price'!$I$9)-1,"")</f>
        <v>-0.11486626580966197</v>
      </c>
      <c r="U1162" s="19">
        <f ca="1">IF('Stock Price'!$I$11="OK",H1162/INDEX(H$5:H$1258,'Stock Price'!$I$9)-1,"")</f>
        <v>-7.6315789473684337E-3</v>
      </c>
      <c r="V1162" s="19">
        <f ca="1">IF('Stock Price'!$I$11="OK",I1162/INDEX(I$5:I$1258,'Stock Price'!$I$9)-1,"")</f>
        <v>5.9571088165208952E-3</v>
      </c>
      <c r="W1162" s="19">
        <f ca="1">IF('Stock Price'!$I$11="OK",J1162/INDEX(J$5:J$1258,'Stock Price'!$I$9)-1,"")</f>
        <v>-6.9828575659965142E-2</v>
      </c>
      <c r="X1162" s="19">
        <f ca="1">IF('Stock Price'!$I$11="OK",K1162/INDEX(K$5:K$1258,'Stock Price'!$I$9)-1,"")</f>
        <v>6.6217732884399583E-2</v>
      </c>
      <c r="Y1162" s="19">
        <f ca="1">IF('Stock Price'!$I$11="OK",L1162/INDEX(L$5:L$1258,'Stock Price'!$I$9)-1,"")</f>
        <v>9.3368700265252125E-2</v>
      </c>
      <c r="Z1162" s="19">
        <f ca="1">IF('Stock Price'!$I$11="OK",M1162/INDEX(M$5:M$1258,'Stock Price'!$I$9)-1,"")</f>
        <v>-8.2508394749465808E-2</v>
      </c>
    </row>
    <row r="1163" spans="1:26" x14ac:dyDescent="0.2">
      <c r="A1163" s="16">
        <f>'Stock Price'!A1163</f>
        <v>46160</v>
      </c>
      <c r="B1163" s="17">
        <f>'Stock Price'!E1163</f>
        <v>112.56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5.7397839361202463E-2</v>
      </c>
      <c r="P1163" s="19">
        <f ca="1">IF('Stock Price'!$I$11="OK",C1163/INDEX(C$5:C$1258,'Stock Price'!$I$9)-1,"")</f>
        <v>7.658437996246592E-2</v>
      </c>
      <c r="Q1163" s="19">
        <f ca="1">IF('Stock Price'!$I$11="OK",D1163/INDEX(D$5:D$1258,'Stock Price'!$I$9)-1,"")</f>
        <v>6.8153825099217524E-3</v>
      </c>
      <c r="R1163" s="19">
        <f ca="1">IF('Stock Price'!$I$11="OK",E1163/INDEX(E$5:E$1258,'Stock Price'!$I$9)-1,"")</f>
        <v>1.2693935119887145E-2</v>
      </c>
      <c r="S1163" s="19">
        <f ca="1">IF('Stock Price'!$I$11="OK",F1163/INDEX(F$5:F$1258,'Stock Price'!$I$9)-1,"")</f>
        <v>-6.8027210884353817E-3</v>
      </c>
      <c r="T1163" s="19">
        <f ca="1">IF('Stock Price'!$I$11="OK",G1163/INDEX(G$5:G$1258,'Stock Price'!$I$9)-1,"")</f>
        <v>-9.7242380261248096E-2</v>
      </c>
      <c r="U1163" s="19">
        <f ca="1">IF('Stock Price'!$I$11="OK",H1163/INDEX(H$5:H$1258,'Stock Price'!$I$9)-1,"")</f>
        <v>-4.4736842105264074E-3</v>
      </c>
      <c r="V1163" s="19">
        <f ca="1">IF('Stock Price'!$I$11="OK",I1163/INDEX(I$5:I$1258,'Stock Price'!$I$9)-1,"")</f>
        <v>5.9571088165208952E-3</v>
      </c>
      <c r="W1163" s="19">
        <f ca="1">IF('Stock Price'!$I$11="OK",J1163/INDEX(J$5:J$1258,'Stock Price'!$I$9)-1,"")</f>
        <v>-8.5406716279758488E-2</v>
      </c>
      <c r="X1163" s="19">
        <f ca="1">IF('Stock Price'!$I$11="OK",K1163/INDEX(K$5:K$1258,'Stock Price'!$I$9)-1,"")</f>
        <v>7.2016460905349744E-2</v>
      </c>
      <c r="Y1163" s="19">
        <f ca="1">IF('Stock Price'!$I$11="OK",L1163/INDEX(L$5:L$1258,'Stock Price'!$I$9)-1,"")</f>
        <v>0.10402700747528337</v>
      </c>
      <c r="Z1163" s="19">
        <f ca="1">IF('Stock Price'!$I$11="OK",M1163/INDEX(M$5:M$1258,'Stock Price'!$I$9)-1,"")</f>
        <v>-8.6782085386594598E-2</v>
      </c>
    </row>
    <row r="1164" spans="1:26" x14ac:dyDescent="0.2">
      <c r="A1164" s="16">
        <f>'Stock Price'!A1164</f>
        <v>46161</v>
      </c>
      <c r="B1164" s="17">
        <f>'Stock Price'!E1164</f>
        <v>114.24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7.3179896665100941E-2</v>
      </c>
      <c r="P1164" s="19">
        <f ca="1">IF('Stock Price'!$I$11="OK",C1164/INDEX(C$5:C$1258,'Stock Price'!$I$9)-1,"")</f>
        <v>8.5895770174678754E-2</v>
      </c>
      <c r="Q1164" s="19">
        <f ca="1">IF('Stock Price'!$I$11="OK",D1164/INDEX(D$5:D$1258,'Stock Price'!$I$9)-1,"")</f>
        <v>1.0756808539756246E-2</v>
      </c>
      <c r="R1164" s="19">
        <f ca="1">IF('Stock Price'!$I$11="OK",E1164/INDEX(E$5:E$1258,'Stock Price'!$I$9)-1,"")</f>
        <v>2.8611726778158264E-2</v>
      </c>
      <c r="S1164" s="19">
        <f ca="1">IF('Stock Price'!$I$11="OK",F1164/INDEX(F$5:F$1258,'Stock Price'!$I$9)-1,"")</f>
        <v>7.968901846452825E-3</v>
      </c>
      <c r="T1164" s="19">
        <f ca="1">IF('Stock Price'!$I$11="OK",G1164/INDEX(G$5:G$1258,'Stock Price'!$I$9)-1,"")</f>
        <v>-9.7035040431266872E-2</v>
      </c>
      <c r="U1164" s="19">
        <f ca="1">IF('Stock Price'!$I$11="OK",H1164/INDEX(H$5:H$1258,'Stock Price'!$I$9)-1,"")</f>
        <v>1.3684210526315965E-2</v>
      </c>
      <c r="V1164" s="19">
        <f ca="1">IF('Stock Price'!$I$11="OK",I1164/INDEX(I$5:I$1258,'Stock Price'!$I$9)-1,"")</f>
        <v>1.9062748212867353E-2</v>
      </c>
      <c r="W1164" s="19">
        <f ca="1">IF('Stock Price'!$I$11="OK",J1164/INDEX(J$5:J$1258,'Stock Price'!$I$9)-1,"")</f>
        <v>-5.4565144951682742E-2</v>
      </c>
      <c r="X1164" s="19">
        <f ca="1">IF('Stock Price'!$I$11="OK",K1164/INDEX(K$5:K$1258,'Stock Price'!$I$9)-1,"")</f>
        <v>9.0722035166479698E-2</v>
      </c>
      <c r="Y1164" s="19">
        <f ca="1">IF('Stock Price'!$I$11="OK",L1164/INDEX(L$5:L$1258,'Stock Price'!$I$9)-1,"")</f>
        <v>0.10923559199421273</v>
      </c>
      <c r="Z1164" s="19">
        <f ca="1">IF('Stock Price'!$I$11="OK",M1164/INDEX(M$5:M$1258,'Stock Price'!$I$9)-1,"")</f>
        <v>-6.7812132048318929E-2</v>
      </c>
    </row>
    <row r="1165" spans="1:26" x14ac:dyDescent="0.2">
      <c r="A1165" s="16">
        <f>'Stock Price'!A1165</f>
        <v>46162</v>
      </c>
      <c r="B1165" s="17">
        <f>'Stock Price'!E1165</f>
        <v>113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6.1531235321747202E-2</v>
      </c>
      <c r="P1165" s="19">
        <f ca="1">IF('Stock Price'!$I$11="OK",C1165/INDEX(C$5:C$1258,'Stock Price'!$I$9)-1,"")</f>
        <v>8.5967951494153372E-2</v>
      </c>
      <c r="Q1165" s="19">
        <f ca="1">IF('Stock Price'!$I$11="OK",D1165/INDEX(D$5:D$1258,'Stock Price'!$I$9)-1,"")</f>
        <v>2.6194060489941107E-2</v>
      </c>
      <c r="R1165" s="19">
        <f ca="1">IF('Stock Price'!$I$11="OK",E1165/INDEX(E$5:E$1258,'Stock Price'!$I$9)-1,"")</f>
        <v>2.317146886963517E-2</v>
      </c>
      <c r="S1165" s="19">
        <f ca="1">IF('Stock Price'!$I$11="OK",F1165/INDEX(F$5:F$1258,'Stock Price'!$I$9)-1,"")</f>
        <v>9.52380952380949E-3</v>
      </c>
      <c r="T1165" s="19">
        <f ca="1">IF('Stock Price'!$I$11="OK",G1165/INDEX(G$5:G$1258,'Stock Price'!$I$9)-1,"")</f>
        <v>-7.3812979473356743E-2</v>
      </c>
      <c r="U1165" s="19">
        <f ca="1">IF('Stock Price'!$I$11="OK",H1165/INDEX(H$5:H$1258,'Stock Price'!$I$9)-1,"")</f>
        <v>3.2368421052631602E-2</v>
      </c>
      <c r="V1165" s="19">
        <f ca="1">IF('Stock Price'!$I$11="OK",I1165/INDEX(I$5:I$1258,'Stock Price'!$I$9)-1,"")</f>
        <v>2.4225575853852321E-2</v>
      </c>
      <c r="W1165" s="19">
        <f ca="1">IF('Stock Price'!$I$11="OK",J1165/INDEX(J$5:J$1258,'Stock Price'!$I$9)-1,"")</f>
        <v>-5.6916213114147074E-2</v>
      </c>
      <c r="X1165" s="19">
        <f ca="1">IF('Stock Price'!$I$11="OK",K1165/INDEX(K$5:K$1258,'Stock Price'!$I$9)-1,"")</f>
        <v>9.502431724653948E-2</v>
      </c>
      <c r="Y1165" s="19">
        <f ca="1">IF('Stock Price'!$I$11="OK",L1165/INDEX(L$5:L$1258,'Stock Price'!$I$9)-1,"")</f>
        <v>0.10595611285266449</v>
      </c>
      <c r="Z1165" s="19">
        <f ca="1">IF('Stock Price'!$I$11="OK",M1165/INDEX(M$5:M$1258,'Stock Price'!$I$9)-1,"")</f>
        <v>-7.417905891587806E-2</v>
      </c>
    </row>
    <row r="1166" spans="1:26" x14ac:dyDescent="0.2">
      <c r="A1166" s="16">
        <f>'Stock Price'!A1166</f>
        <v>46163</v>
      </c>
      <c r="B1166" s="17">
        <f>'Stock Price'!E1166</f>
        <v>115.88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8.8586190699859069E-2</v>
      </c>
      <c r="P1166" s="19">
        <f ca="1">IF('Stock Price'!$I$11="OK",C1166/INDEX(C$5:C$1258,'Stock Price'!$I$9)-1,"")</f>
        <v>9.5423704345315441E-2</v>
      </c>
      <c r="Q1166" s="19">
        <f ca="1">IF('Stock Price'!$I$11="OK",D1166/INDEX(D$5:D$1258,'Stock Price'!$I$9)-1,"")</f>
        <v>3.8729984945942153E-2</v>
      </c>
      <c r="R1166" s="19">
        <f ca="1">IF('Stock Price'!$I$11="OK",E1166/INDEX(E$5:E$1258,'Stock Price'!$I$9)-1,"")</f>
        <v>3.8283296393310406E-2</v>
      </c>
      <c r="S1166" s="19">
        <f ca="1">IF('Stock Price'!$I$11="OK",F1166/INDEX(F$5:F$1258,'Stock Price'!$I$9)-1,"")</f>
        <v>2.4489795918367196E-2</v>
      </c>
      <c r="T1166" s="19">
        <f ca="1">IF('Stock Price'!$I$11="OK",G1166/INDEX(G$5:G$1258,'Stock Price'!$I$9)-1,"")</f>
        <v>-6.862948372382327E-2</v>
      </c>
      <c r="U1166" s="19">
        <f ca="1">IF('Stock Price'!$I$11="OK",H1166/INDEX(H$5:H$1258,'Stock Price'!$I$9)-1,"")</f>
        <v>2.3947368421052495E-2</v>
      </c>
      <c r="V1166" s="19">
        <f ca="1">IF('Stock Price'!$I$11="OK",I1166/INDEX(I$5:I$1258,'Stock Price'!$I$9)-1,"")</f>
        <v>3.0579825258141291E-2</v>
      </c>
      <c r="W1166" s="19">
        <f ca="1">IF('Stock Price'!$I$11="OK",J1166/INDEX(J$5:J$1258,'Stock Price'!$I$9)-1,"")</f>
        <v>-3.5830649042911444E-2</v>
      </c>
      <c r="X1166" s="19">
        <f ca="1">IF('Stock Price'!$I$11="OK",K1166/INDEX(K$5:K$1258,'Stock Price'!$I$9)-1,"")</f>
        <v>0.11391694725028056</v>
      </c>
      <c r="Y1166" s="19">
        <f ca="1">IF('Stock Price'!$I$11="OK",L1166/INDEX(L$5:L$1258,'Stock Price'!$I$9)-1,"")</f>
        <v>0.11757897275138651</v>
      </c>
      <c r="Z1166" s="19">
        <f ca="1">IF('Stock Price'!$I$11="OK",M1166/INDEX(M$5:M$1258,'Stock Price'!$I$9)-1,"")</f>
        <v>-6.4585059526405364E-2</v>
      </c>
    </row>
    <row r="1167" spans="1:26" x14ac:dyDescent="0.2">
      <c r="A1167" s="16">
        <f>'Stock Price'!A1167</f>
        <v>46164</v>
      </c>
      <c r="B1167" s="17">
        <f>'Stock Price'!E1167</f>
        <v>122.41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0.1499295443870361</v>
      </c>
      <c r="P1167" s="19">
        <f ca="1">IF('Stock Price'!$I$11="OK",C1167/INDEX(C$5:C$1258,'Stock Price'!$I$9)-1,"")</f>
        <v>9.7228237332178447E-2</v>
      </c>
      <c r="Q1167" s="19">
        <f ca="1">IF('Stock Price'!$I$11="OK",D1167/INDEX(D$5:D$1258,'Stock Price'!$I$9)-1,"")</f>
        <v>2.3840153277678855E-2</v>
      </c>
      <c r="R1167" s="19">
        <f ca="1">IF('Stock Price'!$I$11="OK",E1167/INDEX(E$5:E$1258,'Stock Price'!$I$9)-1,"")</f>
        <v>3.5260930888575404E-2</v>
      </c>
      <c r="S1167" s="19">
        <f ca="1">IF('Stock Price'!$I$11="OK",F1167/INDEX(F$5:F$1258,'Stock Price'!$I$9)-1,"")</f>
        <v>3.6734693877551017E-2</v>
      </c>
      <c r="T1167" s="19">
        <f ca="1">IF('Stock Price'!$I$11="OK",G1167/INDEX(G$5:G$1258,'Stock Price'!$I$9)-1,"")</f>
        <v>-8.1691893012647676E-2</v>
      </c>
      <c r="U1167" s="19">
        <f ca="1">IF('Stock Price'!$I$11="OK",H1167/INDEX(H$5:H$1258,'Stock Price'!$I$9)-1,"")</f>
        <v>1.3421052631579E-2</v>
      </c>
      <c r="V1167" s="19">
        <f ca="1">IF('Stock Price'!$I$11="OK",I1167/INDEX(I$5:I$1258,'Stock Price'!$I$9)-1,"")</f>
        <v>2.8594122319300919E-2</v>
      </c>
      <c r="W1167" s="19">
        <f ca="1">IF('Stock Price'!$I$11="OK",J1167/INDEX(J$5:J$1258,'Stock Price'!$I$9)-1,"")</f>
        <v>-1.4217483061201741E-2</v>
      </c>
      <c r="X1167" s="19">
        <f ca="1">IF('Stock Price'!$I$11="OK",K1167/INDEX(K$5:K$1258,'Stock Price'!$I$9)-1,"")</f>
        <v>0.11223344556677883</v>
      </c>
      <c r="Y1167" s="19">
        <f ca="1">IF('Stock Price'!$I$11="OK",L1167/INDEX(L$5:L$1258,'Stock Price'!$I$9)-1,"")</f>
        <v>0.1301663853387991</v>
      </c>
      <c r="Z1167" s="19">
        <f ca="1">IF('Stock Price'!$I$11="OK",M1167/INDEX(M$5:M$1258,'Stock Price'!$I$9)-1,"")</f>
        <v>-5.9351968950329348E-2</v>
      </c>
    </row>
    <row r="1168" spans="1:26" x14ac:dyDescent="0.2">
      <c r="A1168" s="16">
        <f>'Stock Price'!A1168</f>
        <v>46168</v>
      </c>
      <c r="B1168" s="17">
        <f>'Stock Price'!E1168</f>
        <v>119.72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0.12465946453734134</v>
      </c>
      <c r="P1168" s="19">
        <f ca="1">IF('Stock Price'!$I$11="OK",C1168/INDEX(C$5:C$1258,'Stock Price'!$I$9)-1,"")</f>
        <v>8.8494297675761668E-2</v>
      </c>
      <c r="Q1168" s="19">
        <f ca="1">IF('Stock Price'!$I$11="OK",D1168/INDEX(D$5:D$1258,'Stock Price'!$I$9)-1,"")</f>
        <v>2.4716025728753088E-2</v>
      </c>
      <c r="R1168" s="19">
        <f ca="1">IF('Stock Price'!$I$11="OK",E1168/INDEX(E$5:E$1258,'Stock Price'!$I$9)-1,"")</f>
        <v>3.7678823292363495E-2</v>
      </c>
      <c r="S1168" s="19">
        <f ca="1">IF('Stock Price'!$I$11="OK",F1168/INDEX(F$5:F$1258,'Stock Price'!$I$9)-1,"")</f>
        <v>2.235179786200181E-2</v>
      </c>
      <c r="T1168" s="19">
        <f ca="1">IF('Stock Price'!$I$11="OK",G1168/INDEX(G$5:G$1258,'Stock Price'!$I$9)-1,"")</f>
        <v>-8.459465063238647E-2</v>
      </c>
      <c r="U1168" s="19">
        <f ca="1">IF('Stock Price'!$I$11="OK",H1168/INDEX(H$5:H$1258,'Stock Price'!$I$9)-1,"")</f>
        <v>-4.7368421052631504E-3</v>
      </c>
      <c r="V1168" s="19">
        <f ca="1">IF('Stock Price'!$I$11="OK",I1168/INDEX(I$5:I$1258,'Stock Price'!$I$9)-1,"")</f>
        <v>2.6608419380460768E-2</v>
      </c>
      <c r="W1168" s="19">
        <f ca="1">IF('Stock Price'!$I$11="OK",J1168/INDEX(J$5:J$1258,'Stock Price'!$I$9)-1,"")</f>
        <v>-1.445814358176889E-2</v>
      </c>
      <c r="X1168" s="19">
        <f ca="1">IF('Stock Price'!$I$11="OK",K1168/INDEX(K$5:K$1258,'Stock Price'!$I$9)-1,"")</f>
        <v>8.5484474373363373E-2</v>
      </c>
      <c r="Y1168" s="19">
        <f ca="1">IF('Stock Price'!$I$11="OK",L1168/INDEX(L$5:L$1258,'Stock Price'!$I$9)-1,"")</f>
        <v>0.11010368941403437</v>
      </c>
      <c r="Z1168" s="19">
        <f ca="1">IF('Stock Price'!$I$11="OK",M1168/INDEX(M$5:M$1258,'Stock Price'!$I$9)-1,"")</f>
        <v>-7.0603113688892716E-2</v>
      </c>
    </row>
    <row r="1169" spans="1:26" x14ac:dyDescent="0.2">
      <c r="A1169" s="16">
        <f>'Stock Price'!A1169</f>
        <v>46169</v>
      </c>
      <c r="B1169" s="17">
        <f>'Stock Price'!E1169</f>
        <v>120.24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0.12954438703616722</v>
      </c>
      <c r="P1169" s="19">
        <f ca="1">IF('Stock Price'!$I$11="OK",C1169/INDEX(C$5:C$1258,'Stock Price'!$I$9)-1,"")</f>
        <v>9.0804099898946333E-2</v>
      </c>
      <c r="Q1169" s="19">
        <f ca="1">IF('Stock Price'!$I$11="OK",D1169/INDEX(D$5:D$1258,'Stock Price'!$I$9)-1,"")</f>
        <v>1.6285753387162982E-2</v>
      </c>
      <c r="R1169" s="19">
        <f ca="1">IF('Stock Price'!$I$11="OK",E1169/INDEX(E$5:E$1258,'Stock Price'!$I$9)-1,"")</f>
        <v>3.9290751561555481E-2</v>
      </c>
      <c r="S1169" s="19">
        <f ca="1">IF('Stock Price'!$I$11="OK",F1169/INDEX(F$5:F$1258,'Stock Price'!$I$9)-1,"")</f>
        <v>1.9825072886297201E-2</v>
      </c>
      <c r="T1169" s="19">
        <f ca="1">IF('Stock Price'!$I$11="OK",G1169/INDEX(G$5:G$1258,'Stock Price'!$I$9)-1,"")</f>
        <v>-7.8789135392908882E-2</v>
      </c>
      <c r="U1169" s="19">
        <f ca="1">IF('Stock Price'!$I$11="OK",H1169/INDEX(H$5:H$1258,'Stock Price'!$I$9)-1,"")</f>
        <v>3.1578947368420263E-3</v>
      </c>
      <c r="V1169" s="19">
        <f ca="1">IF('Stock Price'!$I$11="OK",I1169/INDEX(I$5:I$1258,'Stock Price'!$I$9)-1,"")</f>
        <v>4.0905480540111228E-2</v>
      </c>
      <c r="W1169" s="19">
        <f ca="1">IF('Stock Price'!$I$11="OK",J1169/INDEX(J$5:J$1258,'Stock Price'!$I$9)-1,"")</f>
        <v>2.3695805102004197E-3</v>
      </c>
      <c r="X1169" s="19">
        <f ca="1">IF('Stock Price'!$I$11="OK",K1169/INDEX(K$5:K$1258,'Stock Price'!$I$9)-1,"")</f>
        <v>7.5944631500187043E-2</v>
      </c>
      <c r="Y1169" s="19">
        <f ca="1">IF('Stock Price'!$I$11="OK",L1169/INDEX(L$5:L$1258,'Stock Price'!$I$9)-1,"")</f>
        <v>0.11545695683626711</v>
      </c>
      <c r="Z1169" s="19">
        <f ca="1">IF('Stock Price'!$I$11="OK",M1169/INDEX(M$5:M$1258,'Stock Price'!$I$9)-1,"")</f>
        <v>-6.0660241594348241E-2</v>
      </c>
    </row>
    <row r="1170" spans="1:26" x14ac:dyDescent="0.2">
      <c r="A1170" s="16">
        <f>'Stock Price'!A1170</f>
        <v>46170</v>
      </c>
      <c r="B1170" s="17">
        <f>'Stock Price'!E1170</f>
        <v>119.89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0.12625645843118827</v>
      </c>
      <c r="P1170" s="19">
        <f ca="1">IF('Stock Price'!$I$11="OK",C1170/INDEX(C$5:C$1258,'Stock Price'!$I$9)-1,"")</f>
        <v>9.2825176844232749E-2</v>
      </c>
      <c r="Q1170" s="19">
        <f ca="1">IF('Stock Price'!$I$11="OK",D1170/INDEX(D$5:D$1258,'Stock Price'!$I$9)-1,"")</f>
        <v>1.4534008485014294E-2</v>
      </c>
      <c r="R1170" s="19">
        <f ca="1">IF('Stock Price'!$I$11="OK",E1170/INDEX(E$5:E$1258,'Stock Price'!$I$9)-1,"")</f>
        <v>3.2440056417489371E-2</v>
      </c>
      <c r="S1170" s="19">
        <f ca="1">IF('Stock Price'!$I$11="OK",F1170/INDEX(F$5:F$1258,'Stock Price'!$I$9)-1,"")</f>
        <v>1.7687074829931815E-2</v>
      </c>
      <c r="T1170" s="19">
        <f ca="1">IF('Stock Price'!$I$11="OK",G1170/INDEX(G$5:G$1258,'Stock Price'!$I$9)-1,"")</f>
        <v>-8.1691893012647676E-2</v>
      </c>
      <c r="U1170" s="19">
        <f ca="1">IF('Stock Price'!$I$11="OK",H1170/INDEX(H$5:H$1258,'Stock Price'!$I$9)-1,"")</f>
        <v>-4.2105263157893313E-3</v>
      </c>
      <c r="V1170" s="19">
        <f ca="1">IF('Stock Price'!$I$11="OK",I1170/INDEX(I$5:I$1258,'Stock Price'!$I$9)-1,"")</f>
        <v>3.8125496425734706E-2</v>
      </c>
      <c r="W1170" s="19">
        <f ca="1">IF('Stock Price'!$I$11="OK",J1170/INDEX(J$5:J$1258,'Stock Price'!$I$9)-1,"")</f>
        <v>4.298567144285248E-2</v>
      </c>
      <c r="X1170" s="19">
        <f ca="1">IF('Stock Price'!$I$11="OK",K1170/INDEX(K$5:K$1258,'Stock Price'!$I$9)-1,"")</f>
        <v>6.4534231200897851E-2</v>
      </c>
      <c r="Y1170" s="19">
        <f ca="1">IF('Stock Price'!$I$11="OK",L1170/INDEX(L$5:L$1258,'Stock Price'!$I$9)-1,"")</f>
        <v>0.11309380274897518</v>
      </c>
      <c r="Z1170" s="19">
        <f ca="1">IF('Stock Price'!$I$11="OK",M1170/INDEX(M$5:M$1258,'Stock Price'!$I$9)-1,"")</f>
        <v>-4.657450612707692E-2</v>
      </c>
    </row>
    <row r="1171" spans="1:26" x14ac:dyDescent="0.2">
      <c r="A1171" s="16">
        <f>'Stock Price'!A1171</f>
        <v>46171</v>
      </c>
      <c r="B1171" s="17">
        <f>'Stock Price'!E1171</f>
        <v>118.72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0.11526538280883036</v>
      </c>
      <c r="P1171" s="19">
        <f ca="1">IF('Stock Price'!$I$11="OK",C1171/INDEX(C$5:C$1258,'Stock Price'!$I$9)-1,"")</f>
        <v>8.3946874548866735E-2</v>
      </c>
      <c r="Q1171" s="19">
        <f ca="1">IF('Stock Price'!$I$11="OK",D1171/INDEX(D$5:D$1258,'Stock Price'!$I$9)-1,"")</f>
        <v>1.6395237443547206E-2</v>
      </c>
      <c r="R1171" s="19">
        <f ca="1">IF('Stock Price'!$I$11="OK",E1171/INDEX(E$5:E$1258,'Stock Price'!$I$9)-1,"")</f>
        <v>1.833568406205921E-2</v>
      </c>
      <c r="S1171" s="19">
        <f ca="1">IF('Stock Price'!$I$11="OK",F1171/INDEX(F$5:F$1258,'Stock Price'!$I$9)-1,"")</f>
        <v>1.8464528668610258E-2</v>
      </c>
      <c r="T1171" s="19">
        <f ca="1">IF('Stock Price'!$I$11="OK",G1171/INDEX(G$5:G$1258,'Stock Price'!$I$9)-1,"")</f>
        <v>-9.4546962471490636E-2</v>
      </c>
      <c r="U1171" s="19">
        <f ca="1">IF('Stock Price'!$I$11="OK",H1171/INDEX(H$5:H$1258,'Stock Price'!$I$9)-1,"")</f>
        <v>-3.8684210526315765E-2</v>
      </c>
      <c r="V1171" s="19">
        <f ca="1">IF('Stock Price'!$I$11="OK",I1171/INDEX(I$5:I$1258,'Stock Price'!$I$9)-1,"")</f>
        <v>3.9714058776807004E-2</v>
      </c>
      <c r="W1171" s="19">
        <f ca="1">IF('Stock Price'!$I$11="OK",J1171/INDEX(J$5:J$1258,'Stock Price'!$I$9)-1,"")</f>
        <v>2.2807212410677957E-2</v>
      </c>
      <c r="X1171" s="19">
        <f ca="1">IF('Stock Price'!$I$11="OK",K1171/INDEX(K$5:K$1258,'Stock Price'!$I$9)-1,"")</f>
        <v>6.9584736251402823E-2</v>
      </c>
      <c r="Y1171" s="19">
        <f ca="1">IF('Stock Price'!$I$11="OK",L1171/INDEX(L$5:L$1258,'Stock Price'!$I$9)-1,"")</f>
        <v>8.6713286713286708E-2</v>
      </c>
      <c r="Z1171" s="19">
        <f ca="1">IF('Stock Price'!$I$11="OK",M1171/INDEX(M$5:M$1258,'Stock Price'!$I$9)-1,"")</f>
        <v>-5.0542933147267877E-2</v>
      </c>
    </row>
    <row r="1172" spans="1:26" x14ac:dyDescent="0.2">
      <c r="A1172" s="16">
        <f>'Stock Price'!A1172</f>
        <v>46174</v>
      </c>
      <c r="B1172" s="17">
        <f>'Stock Price'!E1172</f>
        <v>115.17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8.1916392672616301E-2</v>
      </c>
      <c r="P1172" s="19">
        <f ca="1">IF('Stock Price'!$I$11="OK",C1172/INDEX(C$5:C$1258,'Stock Price'!$I$9)-1,"")</f>
        <v>5.1537462104807474E-2</v>
      </c>
      <c r="Q1172" s="19">
        <f ca="1">IF('Stock Price'!$I$11="OK",D1172/INDEX(D$5:D$1258,'Stock Price'!$I$9)-1,"")</f>
        <v>-1.623101135897087E-2</v>
      </c>
      <c r="R1172" s="19">
        <f ca="1">IF('Stock Price'!$I$11="OK",E1172/INDEX(E$5:E$1258,'Stock Price'!$I$9)-1,"")</f>
        <v>-6.4477130767680579E-3</v>
      </c>
      <c r="S1172" s="19">
        <f ca="1">IF('Stock Price'!$I$11="OK",F1172/INDEX(F$5:F$1258,'Stock Price'!$I$9)-1,"")</f>
        <v>-2.3906705539358697E-2</v>
      </c>
      <c r="T1172" s="19">
        <f ca="1">IF('Stock Price'!$I$11="OK",G1172/INDEX(G$5:G$1258,'Stock Price'!$I$9)-1,"")</f>
        <v>-0.10926809040016583</v>
      </c>
      <c r="U1172" s="19">
        <f ca="1">IF('Stock Price'!$I$11="OK",H1172/INDEX(H$5:H$1258,'Stock Price'!$I$9)-1,"")</f>
        <v>-7.5526315789473664E-2</v>
      </c>
      <c r="V1172" s="19">
        <f ca="1">IF('Stock Price'!$I$11="OK",I1172/INDEX(I$5:I$1258,'Stock Price'!$I$9)-1,"")</f>
        <v>1.787132644956313E-2</v>
      </c>
      <c r="W1172" s="19">
        <f ca="1">IF('Stock Price'!$I$11="OK",J1172/INDEX(J$5:J$1258,'Stock Price'!$I$9)-1,"")</f>
        <v>1.7031359917065725E-3</v>
      </c>
      <c r="X1172" s="19">
        <f ca="1">IF('Stock Price'!$I$11="OK",K1172/INDEX(K$5:K$1258,'Stock Price'!$I$9)-1,"")</f>
        <v>2.7871305649083356E-2</v>
      </c>
      <c r="Y1172" s="19">
        <f ca="1">IF('Stock Price'!$I$11="OK",L1172/INDEX(L$5:L$1258,'Stock Price'!$I$9)-1,"")</f>
        <v>7.7935857246202112E-2</v>
      </c>
      <c r="Z1172" s="19">
        <f ca="1">IF('Stock Price'!$I$11="OK",M1172/INDEX(M$5:M$1258,'Stock Price'!$I$9)-1,"")</f>
        <v>-7.1431686363438107E-2</v>
      </c>
    </row>
    <row r="1173" spans="1:26" x14ac:dyDescent="0.2">
      <c r="A1173" s="16">
        <f>'Stock Price'!A1173</f>
        <v>46175</v>
      </c>
      <c r="B1173" s="17">
        <f>'Stock Price'!E1173</f>
        <v>115.65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8.6425551902301612E-2</v>
      </c>
      <c r="P1173" s="19">
        <f ca="1">IF('Stock Price'!$I$11="OK",C1173/INDEX(C$5:C$1258,'Stock Price'!$I$9)-1,"")</f>
        <v>3.5657571820412848E-2</v>
      </c>
      <c r="Q1173" s="19">
        <f ca="1">IF('Stock Price'!$I$11="OK",D1173/INDEX(D$5:D$1258,'Stock Price'!$I$9)-1,"")</f>
        <v>-2.8602709730395581E-2</v>
      </c>
      <c r="R1173" s="19">
        <f ca="1">IF('Stock Price'!$I$11="OK",E1173/INDEX(E$5:E$1258,'Stock Price'!$I$9)-1,"")</f>
        <v>-1.2693935119887256E-2</v>
      </c>
      <c r="S1173" s="19">
        <f ca="1">IF('Stock Price'!$I$11="OK",F1173/INDEX(F$5:F$1258,'Stock Price'!$I$9)-1,"")</f>
        <v>-4.6258503401360618E-2</v>
      </c>
      <c r="T1173" s="19">
        <f ca="1">IF('Stock Price'!$I$11="OK",G1173/INDEX(G$5:G$1258,'Stock Price'!$I$9)-1,"")</f>
        <v>-0.11258552767986729</v>
      </c>
      <c r="U1173" s="19">
        <f ca="1">IF('Stock Price'!$I$11="OK",H1173/INDEX(H$5:H$1258,'Stock Price'!$I$9)-1,"")</f>
        <v>-0.10263157894736841</v>
      </c>
      <c r="V1173" s="19">
        <f ca="1">IF('Stock Price'!$I$11="OK",I1173/INDEX(I$5:I$1258,'Stock Price'!$I$9)-1,"")</f>
        <v>1.4694201747418534E-2</v>
      </c>
      <c r="W1173" s="19">
        <f ca="1">IF('Stock Price'!$I$11="OK",J1173/INDEX(J$5:J$1258,'Stock Price'!$I$9)-1,"")</f>
        <v>-1.5004257839979052E-2</v>
      </c>
      <c r="X1173" s="19">
        <f ca="1">IF('Stock Price'!$I$11="OK",K1173/INDEX(K$5:K$1258,'Stock Price'!$I$9)-1,"")</f>
        <v>1.8705574261129732E-2</v>
      </c>
      <c r="Y1173" s="19">
        <f ca="1">IF('Stock Price'!$I$11="OK",L1173/INDEX(L$5:L$1258,'Stock Price'!$I$9)-1,"")</f>
        <v>7.4945743911261076E-2</v>
      </c>
      <c r="Z1173" s="19">
        <f ca="1">IF('Stock Price'!$I$11="OK",M1173/INDEX(M$5:M$1258,'Stock Price'!$I$9)-1,"")</f>
        <v>-6.0660241594348241E-2</v>
      </c>
    </row>
    <row r="1174" spans="1:26" x14ac:dyDescent="0.2">
      <c r="A1174" s="16">
        <f>'Stock Price'!A1174</f>
        <v>46176</v>
      </c>
      <c r="B1174" s="17">
        <f>'Stock Price'!E1174</f>
        <v>114.7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7.7501174260216077E-2</v>
      </c>
      <c r="P1174" s="19">
        <f ca="1">IF('Stock Price'!$I$11="OK",C1174/INDEX(C$5:C$1258,'Stock Price'!$I$9)-1,"")</f>
        <v>3.6956835570954194E-2</v>
      </c>
      <c r="Q1174" s="19">
        <f ca="1">IF('Stock Price'!$I$11="OK",D1174/INDEX(D$5:D$1258,'Stock Price'!$I$9)-1,"")</f>
        <v>-3.500752702887644E-2</v>
      </c>
      <c r="R1174" s="19">
        <f ca="1">IF('Stock Price'!$I$11="OK",E1174/INDEX(E$5:E$1258,'Stock Price'!$I$9)-1,"")</f>
        <v>1.8134193028409573E-3</v>
      </c>
      <c r="S1174" s="19">
        <f ca="1">IF('Stock Price'!$I$11="OK",F1174/INDEX(F$5:F$1258,'Stock Price'!$I$9)-1,"")</f>
        <v>-4.7619047619047672E-2</v>
      </c>
      <c r="T1174" s="19">
        <f ca="1">IF('Stock Price'!$I$11="OK",G1174/INDEX(G$5:G$1258,'Stock Price'!$I$9)-1,"")</f>
        <v>-0.1215011403690649</v>
      </c>
      <c r="U1174" s="19">
        <f ca="1">IF('Stock Price'!$I$11="OK",H1174/INDEX(H$5:H$1258,'Stock Price'!$I$9)-1,"")</f>
        <v>-8.6842105263157832E-2</v>
      </c>
      <c r="V1174" s="19">
        <f ca="1">IF('Stock Price'!$I$11="OK",I1174/INDEX(I$5:I$1258,'Stock Price'!$I$9)-1,"")</f>
        <v>6.3542494042891917E-3</v>
      </c>
      <c r="W1174" s="19">
        <f ca="1">IF('Stock Price'!$I$11="OK",J1174/INDEX(J$5:J$1258,'Stock Price'!$I$9)-1,"")</f>
        <v>-1.4624754711392018E-3</v>
      </c>
      <c r="X1174" s="19">
        <f ca="1">IF('Stock Price'!$I$11="OK",K1174/INDEX(K$5:K$1258,'Stock Price'!$I$9)-1,"")</f>
        <v>2.3569023569023573E-2</v>
      </c>
      <c r="Y1174" s="19">
        <f ca="1">IF('Stock Price'!$I$11="OK",L1174/INDEX(L$5:L$1258,'Stock Price'!$I$9)-1,"")</f>
        <v>7.6633711116469883E-2</v>
      </c>
      <c r="Z1174" s="19">
        <f ca="1">IF('Stock Price'!$I$11="OK",M1174/INDEX(M$5:M$1258,'Stock Price'!$I$9)-1,"")</f>
        <v>-5.311586934717194E-2</v>
      </c>
    </row>
    <row r="1175" spans="1:26" x14ac:dyDescent="0.2">
      <c r="A1175" s="16">
        <f>'Stock Price'!A1175</f>
        <v>46177</v>
      </c>
      <c r="B1175" s="17">
        <f>'Stock Price'!E1175</f>
        <v>120.26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0.12973226867073739</v>
      </c>
      <c r="P1175" s="19">
        <f ca="1">IF('Stock Price'!$I$11="OK",C1175/INDEX(C$5:C$1258,'Stock Price'!$I$9)-1,"")</f>
        <v>7.1170781001876904E-2</v>
      </c>
      <c r="Q1175" s="19">
        <f ca="1">IF('Stock Price'!$I$11="OK",D1175/INDEX(D$5:D$1258,'Stock Price'!$I$9)-1,"")</f>
        <v>-4.7899274668126157E-3</v>
      </c>
      <c r="R1175" s="19">
        <f ca="1">IF('Stock Price'!$I$11="OK",E1175/INDEX(E$5:E$1258,'Stock Price'!$I$9)-1,"")</f>
        <v>3.3044529518436505E-2</v>
      </c>
      <c r="S1175" s="19">
        <f ca="1">IF('Stock Price'!$I$11="OK",F1175/INDEX(F$5:F$1258,'Stock Price'!$I$9)-1,"")</f>
        <v>2.3323615160348865E-3</v>
      </c>
      <c r="T1175" s="19">
        <f ca="1">IF('Stock Price'!$I$11="OK",G1175/INDEX(G$5:G$1258,'Stock Price'!$I$9)-1,"")</f>
        <v>-7.9825834542815555E-2</v>
      </c>
      <c r="U1175" s="19">
        <f ca="1">IF('Stock Price'!$I$11="OK",H1175/INDEX(H$5:H$1258,'Stock Price'!$I$9)-1,"")</f>
        <v>-6.4210526315789385E-2</v>
      </c>
      <c r="V1175" s="19">
        <f ca="1">IF('Stock Price'!$I$11="OK",I1175/INDEX(I$5:I$1258,'Stock Price'!$I$9)-1,"")</f>
        <v>2.0254169976171577E-2</v>
      </c>
      <c r="W1175" s="19">
        <f ca="1">IF('Stock Price'!$I$11="OK",J1175/INDEX(J$5:J$1258,'Stock Price'!$I$9)-1,"")</f>
        <v>4.1569476841053055E-2</v>
      </c>
      <c r="X1175" s="19">
        <f ca="1">IF('Stock Price'!$I$11="OK",K1175/INDEX(K$5:K$1258,'Stock Price'!$I$9)-1,"")</f>
        <v>5.873550317994769E-2</v>
      </c>
      <c r="Y1175" s="19">
        <f ca="1">IF('Stock Price'!$I$11="OK",L1175/INDEX(L$5:L$1258,'Stock Price'!$I$9)-1,"")</f>
        <v>0.10040993489269345</v>
      </c>
      <c r="Z1175" s="19">
        <f ca="1">IF('Stock Price'!$I$11="OK",M1175/INDEX(M$5:M$1258,'Stock Price'!$I$9)-1,"")</f>
        <v>-1.9057171514543669E-2</v>
      </c>
    </row>
    <row r="1176" spans="1:26" x14ac:dyDescent="0.2">
      <c r="A1176" s="16">
        <f>'Stock Price'!A1176</f>
        <v>46178</v>
      </c>
      <c r="B1176" s="17">
        <f>'Stock Price'!E1176</f>
        <v>120.79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0.13471113198684836</v>
      </c>
      <c r="P1176" s="19">
        <f ca="1">IF('Stock Price'!$I$11="OK",C1176/INDEX(C$5:C$1258,'Stock Price'!$I$9)-1,"")</f>
        <v>7.6656561281940316E-2</v>
      </c>
      <c r="Q1176" s="19">
        <f ca="1">IF('Stock Price'!$I$11="OK",D1176/INDEX(D$5:D$1258,'Stock Price'!$I$9)-1,"")</f>
        <v>1.7928014232927225E-2</v>
      </c>
      <c r="R1176" s="19">
        <f ca="1">IF('Stock Price'!$I$11="OK",E1176/INDEX(E$5:E$1258,'Stock Price'!$I$9)-1,"")</f>
        <v>3.8081805359661436E-2</v>
      </c>
      <c r="S1176" s="19">
        <f ca="1">IF('Stock Price'!$I$11="OK",F1176/INDEX(F$5:F$1258,'Stock Price'!$I$9)-1,"")</f>
        <v>5.8309037900872163E-4</v>
      </c>
      <c r="T1176" s="19">
        <f ca="1">IF('Stock Price'!$I$11="OK",G1176/INDEX(G$5:G$1258,'Stock Price'!$I$9)-1,"")</f>
        <v>-6.6556085424009814E-2</v>
      </c>
      <c r="U1176" s="19">
        <f ca="1">IF('Stock Price'!$I$11="OK",H1176/INDEX(H$5:H$1258,'Stock Price'!$I$9)-1,"")</f>
        <v>-4.8421052631579031E-2</v>
      </c>
      <c r="V1176" s="19">
        <f ca="1">IF('Stock Price'!$I$11="OK",I1176/INDEX(I$5:I$1258,'Stock Price'!$I$9)-1,"")</f>
        <v>3.4154090548053961E-2</v>
      </c>
      <c r="W1176" s="19">
        <f ca="1">IF('Stock Price'!$I$11="OK",J1176/INDEX(J$5:J$1258,'Stock Price'!$I$9)-1,"")</f>
        <v>4.7262023769854666E-2</v>
      </c>
      <c r="X1176" s="19">
        <f ca="1">IF('Stock Price'!$I$11="OK",K1176/INDEX(K$5:K$1258,'Stock Price'!$I$9)-1,"")</f>
        <v>7.1268237934904555E-2</v>
      </c>
      <c r="Y1176" s="19">
        <f ca="1">IF('Stock Price'!$I$11="OK",L1176/INDEX(L$5:L$1258,'Stock Price'!$I$9)-1,"")</f>
        <v>0.12259464673257781</v>
      </c>
      <c r="Z1176" s="19">
        <f ca="1">IF('Stock Price'!$I$11="OK",M1176/INDEX(M$5:M$1258,'Stock Price'!$I$9)-1,"")</f>
        <v>-9.0706903318652499E-3</v>
      </c>
    </row>
    <row r="1177" spans="1:26" x14ac:dyDescent="0.2">
      <c r="A1177" s="16">
        <f>'Stock Price'!A1177</f>
        <v>46181</v>
      </c>
      <c r="B1177" s="17">
        <f>'Stock Price'!E1177</f>
        <v>119.52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0.12278064819163914</v>
      </c>
      <c r="P1177" s="19">
        <f ca="1">IF('Stock Price'!$I$11="OK",C1177/INDEX(C$5:C$1258,'Stock Price'!$I$9)-1,"")</f>
        <v>5.6878879745921651E-2</v>
      </c>
      <c r="Q1177" s="19">
        <f ca="1">IF('Stock Price'!$I$11="OK",D1177/INDEX(D$5:D$1258,'Stock Price'!$I$9)-1,"")</f>
        <v>-6.1584781716162995E-3</v>
      </c>
      <c r="R1177" s="19">
        <f ca="1">IF('Stock Price'!$I$11="OK",E1177/INDEX(E$5:E$1258,'Stock Price'!$I$9)-1,"")</f>
        <v>2.0350594398549138E-2</v>
      </c>
      <c r="S1177" s="19">
        <f ca="1">IF('Stock Price'!$I$11="OK",F1177/INDEX(F$5:F$1258,'Stock Price'!$I$9)-1,"")</f>
        <v>-1.7492711370262537E-2</v>
      </c>
      <c r="T1177" s="19">
        <f ca="1">IF('Stock Price'!$I$11="OK",G1177/INDEX(G$5:G$1258,'Stock Price'!$I$9)-1,"")</f>
        <v>-9.0192826041882501E-2</v>
      </c>
      <c r="U1177" s="19">
        <f ca="1">IF('Stock Price'!$I$11="OK",H1177/INDEX(H$5:H$1258,'Stock Price'!$I$9)-1,"")</f>
        <v>-6.0789473684210615E-2</v>
      </c>
      <c r="V1177" s="19">
        <f ca="1">IF('Stock Price'!$I$11="OK",I1177/INDEX(I$5:I$1258,'Stock Price'!$I$9)-1,"")</f>
        <v>1.7474185861795055E-2</v>
      </c>
      <c r="W1177" s="19">
        <f ca="1">IF('Stock Price'!$I$11="OK",J1177/INDEX(J$5:J$1258,'Stock Price'!$I$9)-1,"")</f>
        <v>6.3673220037765432E-2</v>
      </c>
      <c r="X1177" s="19">
        <f ca="1">IF('Stock Price'!$I$11="OK",K1177/INDEX(K$5:K$1258,'Stock Price'!$I$9)-1,"")</f>
        <v>3.94687616909839E-2</v>
      </c>
      <c r="Y1177" s="19">
        <f ca="1">IF('Stock Price'!$I$11="OK",L1177/INDEX(L$5:L$1258,'Stock Price'!$I$9)-1,"")</f>
        <v>0.11965276103207145</v>
      </c>
      <c r="Z1177" s="19">
        <f ca="1">IF('Stock Price'!$I$11="OK",M1177/INDEX(M$5:M$1258,'Stock Price'!$I$9)-1,"")</f>
        <v>-2.7212070995595528E-2</v>
      </c>
    </row>
    <row r="1178" spans="1:26" x14ac:dyDescent="0.2">
      <c r="A1178" s="16">
        <f>'Stock Price'!A1178</f>
        <v>46182</v>
      </c>
      <c r="B1178" s="17">
        <f>'Stock Price'!E1178</f>
        <v>119.6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0.12353217472992006</v>
      </c>
      <c r="P1178" s="19">
        <f ca="1">IF('Stock Price'!$I$11="OK",C1178/INDEX(C$5:C$1258,'Stock Price'!$I$9)-1,"")</f>
        <v>7.6367836004042289E-2</v>
      </c>
      <c r="Q1178" s="19">
        <f ca="1">IF('Stock Price'!$I$11="OK",D1178/INDEX(D$5:D$1258,'Stock Price'!$I$9)-1,"")</f>
        <v>4.1330231285068297E-3</v>
      </c>
      <c r="R1178" s="19">
        <f ca="1">IF('Stock Price'!$I$11="OK",E1178/INDEX(E$5:E$1258,'Stock Price'!$I$9)-1,"")</f>
        <v>3.2641547451138342E-2</v>
      </c>
      <c r="S1178" s="19">
        <f ca="1">IF('Stock Price'!$I$11="OK",F1178/INDEX(F$5:F$1258,'Stock Price'!$I$9)-1,"")</f>
        <v>-2.3712342079689086E-2</v>
      </c>
      <c r="T1178" s="19">
        <f ca="1">IF('Stock Price'!$I$11="OK",G1178/INDEX(G$5:G$1258,'Stock Price'!$I$9)-1,"")</f>
        <v>-7.2568940493468848E-2</v>
      </c>
      <c r="U1178" s="19">
        <f ca="1">IF('Stock Price'!$I$11="OK",H1178/INDEX(H$5:H$1258,'Stock Price'!$I$9)-1,"")</f>
        <v>-6.6052631578947363E-2</v>
      </c>
      <c r="V1178" s="19">
        <f ca="1">IF('Stock Price'!$I$11="OK",I1178/INDEX(I$5:I$1258,'Stock Price'!$I$9)-1,"")</f>
        <v>2.0651310563939651E-2</v>
      </c>
      <c r="W1178" s="19">
        <f ca="1">IF('Stock Price'!$I$11="OK",J1178/INDEX(J$5:J$1258,'Stock Price'!$I$9)-1,"")</f>
        <v>5.9535710318782797E-2</v>
      </c>
      <c r="X1178" s="19">
        <f ca="1">IF('Stock Price'!$I$11="OK",K1178/INDEX(K$5:K$1258,'Stock Price'!$I$9)-1,"")</f>
        <v>5.64908342686119E-2</v>
      </c>
      <c r="Y1178" s="19">
        <f ca="1">IF('Stock Price'!$I$11="OK",L1178/INDEX(L$5:L$1258,'Stock Price'!$I$9)-1,"")</f>
        <v>0.14299493609838443</v>
      </c>
      <c r="Z1178" s="19">
        <f ca="1">IF('Stock Price'!$I$11="OK",M1178/INDEX(M$5:M$1258,'Stock Price'!$I$9)-1,"")</f>
        <v>-1.6963935284113218E-2</v>
      </c>
    </row>
    <row r="1179" spans="1:26" x14ac:dyDescent="0.2">
      <c r="A1179" s="16">
        <f>'Stock Price'!A1179</f>
        <v>46183</v>
      </c>
      <c r="B1179" s="17">
        <f>'Stock Price'!E1179</f>
        <v>119.09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0.11874119304837949</v>
      </c>
      <c r="P1179" s="19">
        <f ca="1">IF('Stock Price'!$I$11="OK",C1179/INDEX(C$5:C$1258,'Stock Price'!$I$9)-1,"")</f>
        <v>6.9149704056590267E-2</v>
      </c>
      <c r="Q1179" s="19">
        <f ca="1">IF('Stock Price'!$I$11="OK",D1179/INDEX(D$5:D$1258,'Stock Price'!$I$9)-1,"")</f>
        <v>-2.03366634733817E-2</v>
      </c>
      <c r="R1179" s="19">
        <f ca="1">IF('Stock Price'!$I$11="OK",E1179/INDEX(E$5:E$1258,'Stock Price'!$I$9)-1,"")</f>
        <v>3.1029619181946355E-2</v>
      </c>
      <c r="S1179" s="19">
        <f ca="1">IF('Stock Price'!$I$11="OK",F1179/INDEX(F$5:F$1258,'Stock Price'!$I$9)-1,"")</f>
        <v>-2.0019436345967034E-2</v>
      </c>
      <c r="T1179" s="19">
        <f ca="1">IF('Stock Price'!$I$11="OK",G1179/INDEX(G$5:G$1258,'Stock Price'!$I$9)-1,"")</f>
        <v>-9.6620360771304092E-2</v>
      </c>
      <c r="U1179" s="19">
        <f ca="1">IF('Stock Price'!$I$11="OK",H1179/INDEX(H$5:H$1258,'Stock Price'!$I$9)-1,"")</f>
        <v>-6.92105263157895E-2</v>
      </c>
      <c r="V1179" s="19">
        <f ca="1">IF('Stock Price'!$I$11="OK",I1179/INDEX(I$5:I$1258,'Stock Price'!$I$9)-1,"")</f>
        <v>1.6679904686258906E-2</v>
      </c>
      <c r="W1179" s="19">
        <f ca="1">IF('Stock Price'!$I$11="OK",J1179/INDEX(J$5:J$1258,'Stock Price'!$I$9)-1,"")</f>
        <v>5.1843829834499644E-2</v>
      </c>
      <c r="X1179" s="19">
        <f ca="1">IF('Stock Price'!$I$11="OK",K1179/INDEX(K$5:K$1258,'Stock Price'!$I$9)-1,"")</f>
        <v>4.0029928918817737E-2</v>
      </c>
      <c r="Y1179" s="19">
        <f ca="1">IF('Stock Price'!$I$11="OK",L1179/INDEX(L$5:L$1258,'Stock Price'!$I$9)-1,"")</f>
        <v>0.15018085362912958</v>
      </c>
      <c r="Z1179" s="19">
        <f ca="1">IF('Stock Price'!$I$11="OK",M1179/INDEX(M$5:M$1258,'Stock Price'!$I$9)-1,"")</f>
        <v>-1.9013562426409725E-2</v>
      </c>
    </row>
    <row r="1180" spans="1:26" x14ac:dyDescent="0.2">
      <c r="A1180" s="16">
        <f>'Stock Price'!A1180</f>
        <v>46184</v>
      </c>
      <c r="B1180" s="17">
        <f>'Stock Price'!E1180</f>
        <v>120.76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0.13442930953499288</v>
      </c>
      <c r="P1180" s="19">
        <f ca="1">IF('Stock Price'!$I$11="OK",C1180/INDEX(C$5:C$1258,'Stock Price'!$I$9)-1,"")</f>
        <v>0.11101486935181182</v>
      </c>
      <c r="Q1180" s="19">
        <f ca="1">IF('Stock Price'!$I$11="OK",D1180/INDEX(D$5:D$1258,'Stock Price'!$I$9)-1,"")</f>
        <v>-2.1623101135898048E-3</v>
      </c>
      <c r="R1180" s="19">
        <f ca="1">IF('Stock Price'!$I$11="OK",E1180/INDEX(E$5:E$1258,'Stock Price'!$I$9)-1,"")</f>
        <v>6.5081603868627713E-2</v>
      </c>
      <c r="S1180" s="19">
        <f ca="1">IF('Stock Price'!$I$11="OK",F1180/INDEX(F$5:F$1258,'Stock Price'!$I$9)-1,"")</f>
        <v>-1.9436345966958868E-3</v>
      </c>
      <c r="T1180" s="19">
        <f ca="1">IF('Stock Price'!$I$11="OK",G1180/INDEX(G$5:G$1258,'Stock Price'!$I$9)-1,"")</f>
        <v>-8.5424009952311808E-2</v>
      </c>
      <c r="U1180" s="19">
        <f ca="1">IF('Stock Price'!$I$11="OK",H1180/INDEX(H$5:H$1258,'Stock Price'!$I$9)-1,"")</f>
        <v>-5.8157894736842075E-2</v>
      </c>
      <c r="V1180" s="19">
        <f ca="1">IF('Stock Price'!$I$11="OK",I1180/INDEX(I$5:I$1258,'Stock Price'!$I$9)-1,"")</f>
        <v>3.931691818903893E-2</v>
      </c>
      <c r="W1180" s="19">
        <f ca="1">IF('Stock Price'!$I$11="OK",J1180/INDEX(J$5:J$1258,'Stock Price'!$I$9)-1,"")</f>
        <v>7.4595505201969781E-2</v>
      </c>
      <c r="X1180" s="19">
        <f ca="1">IF('Stock Price'!$I$11="OK",K1180/INDEX(K$5:K$1258,'Stock Price'!$I$9)-1,"")</f>
        <v>6.4347175458286499E-2</v>
      </c>
      <c r="Y1180" s="19">
        <f ca="1">IF('Stock Price'!$I$11="OK",L1180/INDEX(L$5:L$1258,'Stock Price'!$I$9)-1,"")</f>
        <v>0.1494092114781771</v>
      </c>
      <c r="Z1180" s="19">
        <f ca="1">IF('Stock Price'!$I$11="OK",M1180/INDEX(M$5:M$1258,'Stock Price'!$I$9)-1,"")</f>
        <v>-1.9798526012821061E-2</v>
      </c>
    </row>
    <row r="1181" spans="1:26" x14ac:dyDescent="0.2">
      <c r="A1181" s="16">
        <f>'Stock Price'!A1181</f>
        <v>46185</v>
      </c>
      <c r="B1181" s="17">
        <f>'Stock Price'!E1181</f>
        <v>119.05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0.11836542977923892</v>
      </c>
      <c r="P1181" s="19">
        <f ca="1">IF('Stock Price'!$I$11="OK",C1181/INDEX(C$5:C$1258,'Stock Price'!$I$9)-1,"")</f>
        <v>0.10487945719647751</v>
      </c>
      <c r="Q1181" s="19">
        <f ca="1">IF('Stock Price'!$I$11="OK",D1181/INDEX(D$5:D$1258,'Stock Price'!$I$9)-1,"")</f>
        <v>-2.1486246065416825E-2</v>
      </c>
      <c r="R1181" s="19">
        <f ca="1">IF('Stock Price'!$I$11="OK",E1181/INDEX(E$5:E$1258,'Stock Price'!$I$9)-1,"")</f>
        <v>6.870844247430985E-2</v>
      </c>
      <c r="S1181" s="19">
        <f ca="1">IF('Stock Price'!$I$11="OK",F1181/INDEX(F$5:F$1258,'Stock Price'!$I$9)-1,"")</f>
        <v>3.8872691933915515E-3</v>
      </c>
      <c r="T1181" s="19">
        <f ca="1">IF('Stock Price'!$I$11="OK",G1181/INDEX(G$5:G$1258,'Stock Price'!$I$9)-1,"")</f>
        <v>-8.2521252332573014E-2</v>
      </c>
      <c r="U1181" s="19">
        <f ca="1">IF('Stock Price'!$I$11="OK",H1181/INDEX(H$5:H$1258,'Stock Price'!$I$9)-1,"")</f>
        <v>-4.7631578947368469E-2</v>
      </c>
      <c r="V1181" s="19">
        <f ca="1">IF('Stock Price'!$I$11="OK",I1181/INDEX(I$5:I$1258,'Stock Price'!$I$9)-1,"")</f>
        <v>4.0905480540111228E-2</v>
      </c>
      <c r="W1181" s="19">
        <f ca="1">IF('Stock Price'!$I$11="OK",J1181/INDEX(J$5:J$1258,'Stock Price'!$I$9)-1,"")</f>
        <v>4.8724499240993868E-2</v>
      </c>
      <c r="X1181" s="19">
        <f ca="1">IF('Stock Price'!$I$11="OK",K1181/INDEX(K$5:K$1258,'Stock Price'!$I$9)-1,"")</f>
        <v>6.8649457538346503E-2</v>
      </c>
      <c r="Y1181" s="19">
        <f ca="1">IF('Stock Price'!$I$11="OK",L1181/INDEX(L$5:L$1258,'Stock Price'!$I$9)-1,"")</f>
        <v>0.16165903062454801</v>
      </c>
      <c r="Z1181" s="19">
        <f ca="1">IF('Stock Price'!$I$11="OK",M1181/INDEX(M$5:M$1258,'Stock Price'!$I$9)-1,"")</f>
        <v>-6.8902359251669099E-3</v>
      </c>
    </row>
    <row r="1182" spans="1:26" x14ac:dyDescent="0.2">
      <c r="A1182" s="16">
        <f>'Stock Price'!A1182</f>
        <v>46188</v>
      </c>
      <c r="B1182" s="17">
        <f>'Stock Price'!E1182</f>
        <v>114.9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7.9379990605918271E-2</v>
      </c>
      <c r="P1182" s="19">
        <f ca="1">IF('Stock Price'!$I$11="OK",C1182/INDEX(C$5:C$1258,'Stock Price'!$I$9)-1,"")</f>
        <v>9.3980077955825081E-2</v>
      </c>
      <c r="Q1182" s="19">
        <f ca="1">IF('Stock Price'!$I$11="OK",D1182/INDEX(D$5:D$1258,'Stock Price'!$I$9)-1,"")</f>
        <v>-2.9588066237854149E-2</v>
      </c>
      <c r="R1182" s="19">
        <f ca="1">IF('Stock Price'!$I$11="OK",E1182/INDEX(E$5:E$1258,'Stock Price'!$I$9)-1,"")</f>
        <v>5.2387668748740568E-2</v>
      </c>
      <c r="S1182" s="19">
        <f ca="1">IF('Stock Price'!$I$11="OK",F1182/INDEX(F$5:F$1258,'Stock Price'!$I$9)-1,"")</f>
        <v>-8.5519922254616576E-3</v>
      </c>
      <c r="T1182" s="19">
        <f ca="1">IF('Stock Price'!$I$11="OK",G1182/INDEX(G$5:G$1258,'Stock Price'!$I$9)-1,"")</f>
        <v>-9.1851544681733399E-2</v>
      </c>
      <c r="U1182" s="19">
        <f ca="1">IF('Stock Price'!$I$11="OK",H1182/INDEX(H$5:H$1258,'Stock Price'!$I$9)-1,"")</f>
        <v>-4.4473684210526221E-2</v>
      </c>
      <c r="V1182" s="19">
        <f ca="1">IF('Stock Price'!$I$11="OK",I1182/INDEX(I$5:I$1258,'Stock Price'!$I$9)-1,"")</f>
        <v>3.2565528196981663E-2</v>
      </c>
      <c r="W1182" s="19">
        <f ca="1">IF('Stock Price'!$I$11="OK",J1182/INDEX(J$5:J$1258,'Stock Price'!$I$9)-1,"")</f>
        <v>4.5345995779184634E-2</v>
      </c>
      <c r="X1182" s="19">
        <f ca="1">IF('Stock Price'!$I$11="OK",K1182/INDEX(K$5:K$1258,'Stock Price'!$I$9)-1,"")</f>
        <v>5.2001496445940987E-2</v>
      </c>
      <c r="Y1182" s="19">
        <f ca="1">IF('Stock Price'!$I$11="OK",L1182/INDEX(L$5:L$1258,'Stock Price'!$I$9)-1,"")</f>
        <v>0.1365324330841573</v>
      </c>
      <c r="Z1182" s="19">
        <f ca="1">IF('Stock Price'!$I$11="OK",M1182/INDEX(M$5:M$1258,'Stock Price'!$I$9)-1,"")</f>
        <v>-3.3666216039422658E-2</v>
      </c>
    </row>
    <row r="1183" spans="1:26" x14ac:dyDescent="0.2">
      <c r="A1183" s="16">
        <f>'Stock Price'!A1183</f>
        <v>46189</v>
      </c>
      <c r="B1183" s="17">
        <f>'Stock Price'!E1183</f>
        <v>115.17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8.1916392672616301E-2</v>
      </c>
      <c r="P1183" s="19">
        <f ca="1">IF('Stock Price'!$I$11="OK",C1183/INDEX(C$5:C$1258,'Stock Price'!$I$9)-1,"")</f>
        <v>8.9432654828930369E-2</v>
      </c>
      <c r="Q1183" s="19">
        <f ca="1">IF('Stock Price'!$I$11="OK",D1183/INDEX(D$5:D$1258,'Stock Price'!$I$9)-1,"")</f>
        <v>-2.1705214178185273E-2</v>
      </c>
      <c r="R1183" s="19">
        <f ca="1">IF('Stock Price'!$I$11="OK",E1183/INDEX(E$5:E$1258,'Stock Price'!$I$9)-1,"")</f>
        <v>5.2186177715091597E-2</v>
      </c>
      <c r="S1183" s="19">
        <f ca="1">IF('Stock Price'!$I$11="OK",F1183/INDEX(F$5:F$1258,'Stock Price'!$I$9)-1,"")</f>
        <v>-6.2196307094266601E-3</v>
      </c>
      <c r="T1183" s="19">
        <f ca="1">IF('Stock Price'!$I$11="OK",G1183/INDEX(G$5:G$1258,'Stock Price'!$I$9)-1,"")</f>
        <v>-8.6668048932199926E-2</v>
      </c>
      <c r="U1183" s="19">
        <f ca="1">IF('Stock Price'!$I$11="OK",H1183/INDEX(H$5:H$1258,'Stock Price'!$I$9)-1,"")</f>
        <v>-5.236842105263162E-2</v>
      </c>
      <c r="V1183" s="19">
        <f ca="1">IF('Stock Price'!$I$11="OK",I1183/INDEX(I$5:I$1258,'Stock Price'!$I$9)-1,"")</f>
        <v>3.4154090548053961E-2</v>
      </c>
      <c r="W1183" s="19">
        <f ca="1">IF('Stock Price'!$I$11="OK",J1183/INDEX(J$5:J$1258,'Stock Price'!$I$9)-1,"")</f>
        <v>3.9005516679625485E-2</v>
      </c>
      <c r="X1183" s="19">
        <f ca="1">IF('Stock Price'!$I$11="OK",K1183/INDEX(K$5:K$1258,'Stock Price'!$I$9)-1,"")</f>
        <v>4.6015712682379473E-2</v>
      </c>
      <c r="Y1183" s="19">
        <f ca="1">IF('Stock Price'!$I$11="OK",L1183/INDEX(L$5:L$1258,'Stock Price'!$I$9)-1,"")</f>
        <v>0.13421750663129983</v>
      </c>
      <c r="Z1183" s="19">
        <f ca="1">IF('Stock Price'!$I$11="OK",M1183/INDEX(M$5:M$1258,'Stock Price'!$I$9)-1,"")</f>
        <v>-2.9828616283633536E-2</v>
      </c>
    </row>
    <row r="1184" spans="1:26" x14ac:dyDescent="0.2">
      <c r="A1184" s="16">
        <f>'Stock Price'!A1184</f>
        <v>46190</v>
      </c>
      <c r="B1184" s="17">
        <f>'Stock Price'!E1184</f>
        <v>115.44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8.4452794739314108E-2</v>
      </c>
      <c r="P1184" s="19">
        <f ca="1">IF('Stock Price'!$I$11="OK",C1184/INDEX(C$5:C$1258,'Stock Price'!$I$9)-1,"")</f>
        <v>8.9071748231557724E-2</v>
      </c>
      <c r="Q1184" s="19">
        <f ca="1">IF('Stock Price'!$I$11="OK",D1184/INDEX(D$5:D$1258,'Stock Price'!$I$9)-1,"")</f>
        <v>-2.6194060489941329E-2</v>
      </c>
      <c r="R1184" s="19">
        <f ca="1">IF('Stock Price'!$I$11="OK",E1184/INDEX(E$5:E$1258,'Stock Price'!$I$9)-1,"")</f>
        <v>5.0775740479548581E-2</v>
      </c>
      <c r="S1184" s="19">
        <f ca="1">IF('Stock Price'!$I$11="OK",F1184/INDEX(F$5:F$1258,'Stock Price'!$I$9)-1,"")</f>
        <v>-7.5801749271137142E-3</v>
      </c>
      <c r="T1184" s="19">
        <f ca="1">IF('Stock Price'!$I$11="OK",G1184/INDEX(G$5:G$1258,'Stock Price'!$I$9)-1,"")</f>
        <v>-0.11880572257930744</v>
      </c>
      <c r="U1184" s="19">
        <f ca="1">IF('Stock Price'!$I$11="OK",H1184/INDEX(H$5:H$1258,'Stock Price'!$I$9)-1,"")</f>
        <v>-6.8421052631578716E-3</v>
      </c>
      <c r="V1184" s="19">
        <f ca="1">IF('Stock Price'!$I$11="OK",I1184/INDEX(I$5:I$1258,'Stock Price'!$I$9)-1,"")</f>
        <v>2.938840349483729E-2</v>
      </c>
      <c r="W1184" s="19">
        <f ca="1">IF('Stock Price'!$I$11="OK",J1184/INDEX(J$5:J$1258,'Stock Price'!$I$9)-1,"")</f>
        <v>2.9286534118256879E-2</v>
      </c>
      <c r="X1184" s="19">
        <f ca="1">IF('Stock Price'!$I$11="OK",K1184/INDEX(K$5:K$1258,'Stock Price'!$I$9)-1,"")</f>
        <v>3.4044145155256222E-2</v>
      </c>
      <c r="Y1184" s="19">
        <f ca="1">IF('Stock Price'!$I$11="OK",L1184/INDEX(L$5:L$1258,'Stock Price'!$I$9)-1,"")</f>
        <v>0.12949119845671575</v>
      </c>
      <c r="Z1184" s="19">
        <f ca="1">IF('Stock Price'!$I$11="OK",M1184/INDEX(M$5:M$1258,'Stock Price'!$I$9)-1,"")</f>
        <v>-3.5236143212245441E-2</v>
      </c>
    </row>
    <row r="1185" spans="1:26" x14ac:dyDescent="0.2">
      <c r="A1185" s="16">
        <f>'Stock Price'!A1185</f>
        <v>46191</v>
      </c>
      <c r="B1185" s="17">
        <f>'Stock Price'!E1185</f>
        <v>113.87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6.9704086425551814E-2</v>
      </c>
      <c r="P1185" s="19">
        <f ca="1">IF('Stock Price'!$I$11="OK",C1185/INDEX(C$5:C$1258,'Stock Price'!$I$9)-1,"")</f>
        <v>6.1642846831240217E-2</v>
      </c>
      <c r="Q1185" s="19">
        <f ca="1">IF('Stock Price'!$I$11="OK",D1185/INDEX(D$5:D$1258,'Stock Price'!$I$9)-1,"")</f>
        <v>-4.2397700834815977E-2</v>
      </c>
      <c r="R1185" s="19">
        <f ca="1">IF('Stock Price'!$I$11="OK",E1185/INDEX(E$5:E$1258,'Stock Price'!$I$9)-1,"")</f>
        <v>2.0955067499496272E-2</v>
      </c>
      <c r="S1185" s="19">
        <f ca="1">IF('Stock Price'!$I$11="OK",F1185/INDEX(F$5:F$1258,'Stock Price'!$I$9)-1,"")</f>
        <v>-3.3236151603498576E-2</v>
      </c>
      <c r="T1185" s="19">
        <f ca="1">IF('Stock Price'!$I$11="OK",G1185/INDEX(G$5:G$1258,'Stock Price'!$I$9)-1,"")</f>
        <v>-0.12129380053908345</v>
      </c>
      <c r="U1185" s="19">
        <f ca="1">IF('Stock Price'!$I$11="OK",H1185/INDEX(H$5:H$1258,'Stock Price'!$I$9)-1,"")</f>
        <v>-2.2368421052631593E-2</v>
      </c>
      <c r="V1185" s="19">
        <f ca="1">IF('Stock Price'!$I$11="OK",I1185/INDEX(I$5:I$1258,'Stock Price'!$I$9)-1,"")</f>
        <v>1.1914217633042234E-3</v>
      </c>
      <c r="W1185" s="19">
        <f ca="1">IF('Stock Price'!$I$11="OK",J1185/INDEX(J$5:J$1258,'Stock Price'!$I$9)-1,"")</f>
        <v>1.6855492613573331E-2</v>
      </c>
      <c r="X1185" s="19">
        <f ca="1">IF('Stock Price'!$I$11="OK",K1185/INDEX(K$5:K$1258,'Stock Price'!$I$9)-1,"")</f>
        <v>1.0101010101010166E-2</v>
      </c>
      <c r="Y1185" s="19">
        <f ca="1">IF('Stock Price'!$I$11="OK",L1185/INDEX(L$5:L$1258,'Stock Price'!$I$9)-1,"")</f>
        <v>0.10147094285025315</v>
      </c>
      <c r="Z1185" s="19">
        <f ca="1">IF('Stock Price'!$I$11="OK",M1185/INDEX(M$5:M$1258,'Stock Price'!$I$9)-1,"")</f>
        <v>-5.5906850987745838E-2</v>
      </c>
    </row>
    <row r="1186" spans="1:26" x14ac:dyDescent="0.2">
      <c r="A1186" s="16">
        <f>'Stock Price'!A1186</f>
        <v>46195</v>
      </c>
      <c r="B1186" s="17">
        <f>'Stock Price'!E1186</f>
        <v>115.48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8.482855800845468E-2</v>
      </c>
      <c r="P1186" s="19">
        <f ca="1">IF('Stock Price'!$I$11="OK",C1186/INDEX(C$5:C$1258,'Stock Price'!$I$9)-1,"")</f>
        <v>7.4996390934026325E-2</v>
      </c>
      <c r="Q1186" s="19">
        <f ca="1">IF('Stock Price'!$I$11="OK",D1186/INDEX(D$5:D$1258,'Stock Price'!$I$9)-1,"")</f>
        <v>-3.4186396605994318E-2</v>
      </c>
      <c r="R1186" s="19">
        <f ca="1">IF('Stock Price'!$I$11="OK",E1186/INDEX(E$5:E$1258,'Stock Price'!$I$9)-1,"")</f>
        <v>2.2365504735039288E-2</v>
      </c>
      <c r="S1186" s="19">
        <f ca="1">IF('Stock Price'!$I$11="OK",F1186/INDEX(F$5:F$1258,'Stock Price'!$I$9)-1,"")</f>
        <v>-4.5286686103012785E-2</v>
      </c>
      <c r="T1186" s="19">
        <f ca="1">IF('Stock Price'!$I$11="OK",G1186/INDEX(G$5:G$1258,'Stock Price'!$I$9)-1,"")</f>
        <v>-0.13373419033796385</v>
      </c>
      <c r="U1186" s="19">
        <f ca="1">IF('Stock Price'!$I$11="OK",H1186/INDEX(H$5:H$1258,'Stock Price'!$I$9)-1,"")</f>
        <v>4.7368421052631504E-3</v>
      </c>
      <c r="V1186" s="19">
        <f ca="1">IF('Stock Price'!$I$11="OK",I1186/INDEX(I$5:I$1258,'Stock Price'!$I$9)-1,"")</f>
        <v>-3.9714058776807448E-3</v>
      </c>
      <c r="W1186" s="19">
        <f ca="1">IF('Stock Price'!$I$11="OK",J1186/INDEX(J$5:J$1258,'Stock Price'!$I$9)-1,"")</f>
        <v>2.0104409641230836E-2</v>
      </c>
      <c r="X1186" s="19">
        <f ca="1">IF('Stock Price'!$I$11="OK",K1186/INDEX(K$5:K$1258,'Stock Price'!$I$9)-1,"")</f>
        <v>2.3194912083801089E-2</v>
      </c>
      <c r="Y1186" s="19">
        <f ca="1">IF('Stock Price'!$I$11="OK",L1186/INDEX(L$5:L$1258,'Stock Price'!$I$9)-1,"")</f>
        <v>0.11545695683626711</v>
      </c>
      <c r="Z1186" s="19">
        <f ca="1">IF('Stock Price'!$I$11="OK",M1186/INDEX(M$5:M$1258,'Stock Price'!$I$9)-1,"")</f>
        <v>3.052636169377676E-3</v>
      </c>
    </row>
    <row r="1187" spans="1:26" x14ac:dyDescent="0.2">
      <c r="A1187" s="16">
        <f>'Stock Price'!A1187</f>
        <v>46196</v>
      </c>
      <c r="B1187" s="17">
        <f>'Stock Price'!E1187</f>
        <v>119.6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0.12353217472992006</v>
      </c>
      <c r="P1187" s="19">
        <f ca="1">IF('Stock Price'!$I$11="OK",C1187/INDEX(C$5:C$1258,'Stock Price'!$I$9)-1,"")</f>
        <v>0.10711707810018778</v>
      </c>
      <c r="Q1187" s="19">
        <f ca="1">IF('Stock Price'!$I$11="OK",D1187/INDEX(D$5:D$1258,'Stock Price'!$I$9)-1,"")</f>
        <v>-9.0598056657998915E-3</v>
      </c>
      <c r="R1187" s="19">
        <f ca="1">IF('Stock Price'!$I$11="OK",E1187/INDEX(E$5:E$1258,'Stock Price'!$I$9)-1,"")</f>
        <v>4.9163812210356594E-2</v>
      </c>
      <c r="S1187" s="19">
        <f ca="1">IF('Stock Price'!$I$11="OK",F1187/INDEX(F$5:F$1258,'Stock Price'!$I$9)-1,"")</f>
        <v>-2.1379980563654088E-2</v>
      </c>
      <c r="T1187" s="19">
        <f ca="1">IF('Stock Price'!$I$11="OK",G1187/INDEX(G$5:G$1258,'Stock Price'!$I$9)-1,"")</f>
        <v>-0.13746630727762799</v>
      </c>
      <c r="U1187" s="19">
        <f ca="1">IF('Stock Price'!$I$11="OK",H1187/INDEX(H$5:H$1258,'Stock Price'!$I$9)-1,"")</f>
        <v>1.5789473684210575E-2</v>
      </c>
      <c r="V1187" s="19">
        <f ca="1">IF('Stock Price'!$I$11="OK",I1187/INDEX(I$5:I$1258,'Stock Price'!$I$9)-1,"")</f>
        <v>-1.8268467037331204E-2</v>
      </c>
      <c r="W1187" s="19">
        <f ca="1">IF('Stock Price'!$I$11="OK",J1187/INDEX(J$5:J$1258,'Stock Price'!$I$9)-1,"")</f>
        <v>2.473249657521559E-2</v>
      </c>
      <c r="X1187" s="19">
        <f ca="1">IF('Stock Price'!$I$11="OK",K1187/INDEX(K$5:K$1258,'Stock Price'!$I$9)-1,"")</f>
        <v>3.8720538720538711E-2</v>
      </c>
      <c r="Y1187" s="19">
        <f ca="1">IF('Stock Price'!$I$11="OK",L1187/INDEX(L$5:L$1258,'Stock Price'!$I$9)-1,"")</f>
        <v>0.15302628406076701</v>
      </c>
      <c r="Z1187" s="19">
        <f ca="1">IF('Stock Price'!$I$11="OK",M1187/INDEX(M$5:M$1258,'Stock Price'!$I$9)-1,"")</f>
        <v>2.3766953033012017E-2</v>
      </c>
    </row>
    <row r="1188" spans="1:26" x14ac:dyDescent="0.2">
      <c r="A1188" s="16">
        <f>'Stock Price'!A1188</f>
        <v>46197</v>
      </c>
      <c r="B1188" s="17">
        <f>'Stock Price'!E1188</f>
        <v>120.6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0.13292625645843104</v>
      </c>
      <c r="P1188" s="19">
        <f ca="1">IF('Stock Price'!$I$11="OK",C1188/INDEX(C$5:C$1258,'Stock Price'!$I$9)-1,"")</f>
        <v>0.10524036379385016</v>
      </c>
      <c r="Q1188" s="19">
        <f ca="1">IF('Stock Price'!$I$11="OK",D1188/INDEX(D$5:D$1258,'Stock Price'!$I$9)-1,"")</f>
        <v>1.8885999726290237E-3</v>
      </c>
      <c r="R1188" s="19">
        <f ca="1">IF('Stock Price'!$I$11="OK",E1188/INDEX(E$5:E$1258,'Stock Price'!$I$9)-1,"")</f>
        <v>2.9417690912754368E-2</v>
      </c>
      <c r="S1188" s="19">
        <f ca="1">IF('Stock Price'!$I$11="OK",F1188/INDEX(F$5:F$1258,'Stock Price'!$I$9)-1,"")</f>
        <v>-4.2759961127308843E-3</v>
      </c>
      <c r="T1188" s="19">
        <f ca="1">IF('Stock Price'!$I$11="OK",G1188/INDEX(G$5:G$1258,'Stock Price'!$I$9)-1,"")</f>
        <v>-0.14306448268712413</v>
      </c>
      <c r="U1188" s="19">
        <f ca="1">IF('Stock Price'!$I$11="OK",H1188/INDEX(H$5:H$1258,'Stock Price'!$I$9)-1,"")</f>
        <v>4.1842105263157903E-2</v>
      </c>
      <c r="V1188" s="19">
        <f ca="1">IF('Stock Price'!$I$11="OK",I1188/INDEX(I$5:I$1258,'Stock Price'!$I$9)-1,"")</f>
        <v>-4.5274027005559936E-2</v>
      </c>
      <c r="W1188" s="19">
        <f ca="1">IF('Stock Price'!$I$11="OK",J1188/INDEX(J$5:J$1258,'Stock Price'!$I$9)-1,"")</f>
        <v>3.4155281572809226E-2</v>
      </c>
      <c r="X1188" s="19">
        <f ca="1">IF('Stock Price'!$I$11="OK",K1188/INDEX(K$5:K$1258,'Stock Price'!$I$9)-1,"")</f>
        <v>2.8806584362139898E-2</v>
      </c>
      <c r="Y1188" s="19">
        <f ca="1">IF('Stock Price'!$I$11="OK",L1188/INDEX(L$5:L$1258,'Stock Price'!$I$9)-1,"")</f>
        <v>0.16228598987219689</v>
      </c>
      <c r="Z1188" s="19">
        <f ca="1">IF('Stock Price'!$I$11="OK",M1188/INDEX(M$5:M$1258,'Stock Price'!$I$9)-1,"")</f>
        <v>2.4333871178753519E-2</v>
      </c>
    </row>
    <row r="1189" spans="1:26" x14ac:dyDescent="0.2">
      <c r="A1189" s="16">
        <f>'Stock Price'!A1189</f>
        <v>46198</v>
      </c>
      <c r="B1189" s="17">
        <f>'Stock Price'!E1189</f>
        <v>125.45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0.17848755284170981</v>
      </c>
      <c r="P1189" s="19">
        <f ca="1">IF('Stock Price'!$I$11="OK",C1189/INDEX(C$5:C$1258,'Stock Price'!$I$9)-1,"")</f>
        <v>0.1196766276887542</v>
      </c>
      <c r="Q1189" s="19">
        <f ca="1">IF('Stock Price'!$I$11="OK",D1189/INDEX(D$5:D$1258,'Stock Price'!$I$9)-1,"")</f>
        <v>1.6449979471739429E-2</v>
      </c>
      <c r="R1189" s="19">
        <f ca="1">IF('Stock Price'!$I$11="OK",E1189/INDEX(E$5:E$1258,'Stock Price'!$I$9)-1,"")</f>
        <v>4.5536973604674458E-2</v>
      </c>
      <c r="S1189" s="19">
        <f ca="1">IF('Stock Price'!$I$11="OK",F1189/INDEX(F$5:F$1258,'Stock Price'!$I$9)-1,"")</f>
        <v>7.968901846452825E-3</v>
      </c>
      <c r="T1189" s="19">
        <f ca="1">IF('Stock Price'!$I$11="OK",G1189/INDEX(G$5:G$1258,'Stock Price'!$I$9)-1,"")</f>
        <v>-0.1333195106780013</v>
      </c>
      <c r="U1189" s="19">
        <f ca="1">IF('Stock Price'!$I$11="OK",H1189/INDEX(H$5:H$1258,'Stock Price'!$I$9)-1,"")</f>
        <v>0.23684210526315796</v>
      </c>
      <c r="V1189" s="19">
        <f ca="1">IF('Stock Price'!$I$11="OK",I1189/INDEX(I$5:I$1258,'Stock Price'!$I$9)-1,"")</f>
        <v>-5.996822875297847E-2</v>
      </c>
      <c r="W1189" s="19">
        <f ca="1">IF('Stock Price'!$I$11="OK",J1189/INDEX(J$5:J$1258,'Stock Price'!$I$9)-1,"")</f>
        <v>4.3809470917101745E-2</v>
      </c>
      <c r="X1189" s="19">
        <f ca="1">IF('Stock Price'!$I$11="OK",K1189/INDEX(K$5:K$1258,'Stock Price'!$I$9)-1,"")</f>
        <v>3.6101758323980437E-2</v>
      </c>
      <c r="Y1189" s="19">
        <f ca="1">IF('Stock Price'!$I$11="OK",L1189/INDEX(L$5:L$1258,'Stock Price'!$I$9)-1,"")</f>
        <v>0.18099831203279471</v>
      </c>
      <c r="Z1189" s="19">
        <f ca="1">IF('Stock Price'!$I$11="OK",M1189/INDEX(M$5:M$1258,'Stock Price'!$I$9)-1,"")</f>
        <v>6.0311368889276462E-2</v>
      </c>
    </row>
    <row r="1190" spans="1:26" x14ac:dyDescent="0.2">
      <c r="A1190" s="16">
        <f>'Stock Price'!A1190</f>
        <v>46199</v>
      </c>
      <c r="B1190" s="17">
        <f>'Stock Price'!E1190</f>
        <v>128.66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0.20864255519023001</v>
      </c>
      <c r="P1190" s="19">
        <f ca="1">IF('Stock Price'!$I$11="OK",C1190/INDEX(C$5:C$1258,'Stock Price'!$I$9)-1,"")</f>
        <v>0.12176988595351523</v>
      </c>
      <c r="Q1190" s="19">
        <f ca="1">IF('Stock Price'!$I$11="OK",D1190/INDEX(D$5:D$1258,'Stock Price'!$I$9)-1,"")</f>
        <v>3.1394553168194728E-2</v>
      </c>
      <c r="R1190" s="19">
        <f ca="1">IF('Stock Price'!$I$11="OK",E1190/INDEX(E$5:E$1258,'Stock Price'!$I$9)-1,"")</f>
        <v>5.7827926657263662E-2</v>
      </c>
      <c r="S1190" s="19">
        <f ca="1">IF('Stock Price'!$I$11="OK",F1190/INDEX(F$5:F$1258,'Stock Price'!$I$9)-1,"")</f>
        <v>5.6365403304179384E-3</v>
      </c>
      <c r="T1190" s="19">
        <f ca="1">IF('Stock Price'!$I$11="OK",G1190/INDEX(G$5:G$1258,'Stock Price'!$I$9)-1,"")</f>
        <v>-0.10947543023014705</v>
      </c>
      <c r="U1190" s="19">
        <f ca="1">IF('Stock Price'!$I$11="OK",H1190/INDEX(H$5:H$1258,'Stock Price'!$I$9)-1,"")</f>
        <v>0.23684210526315796</v>
      </c>
      <c r="V1190" s="19">
        <f ca="1">IF('Stock Price'!$I$11="OK",I1190/INDEX(I$5:I$1258,'Stock Price'!$I$9)-1,"")</f>
        <v>-3.5345512311358296E-2</v>
      </c>
      <c r="W1190" s="19">
        <f ca="1">IF('Stock Price'!$I$11="OK",J1190/INDEX(J$5:J$1258,'Stock Price'!$I$9)-1,"")</f>
        <v>0.11825687733718393</v>
      </c>
      <c r="X1190" s="19">
        <f ca="1">IF('Stock Price'!$I$11="OK",K1190/INDEX(K$5:K$1258,'Stock Price'!$I$9)-1,"")</f>
        <v>7.5944631500187043E-2</v>
      </c>
      <c r="Y1190" s="19">
        <f ca="1">IF('Stock Price'!$I$11="OK",L1190/INDEX(L$5:L$1258,'Stock Price'!$I$9)-1,"")</f>
        <v>0.22816493850976616</v>
      </c>
      <c r="Z1190" s="19">
        <f ca="1">IF('Stock Price'!$I$11="OK",M1190/INDEX(M$5:M$1258,'Stock Price'!$I$9)-1,"")</f>
        <v>0.10483624787405699</v>
      </c>
    </row>
    <row r="1191" spans="1:26" x14ac:dyDescent="0.2">
      <c r="A1191" s="16">
        <f>'Stock Price'!A1191</f>
        <v>46202</v>
      </c>
      <c r="B1191" s="17">
        <f>'Stock Price'!E1191</f>
        <v>129.38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0.21540629403475808</v>
      </c>
      <c r="P1191" s="19">
        <f ca="1">IF('Stock Price'!$I$11="OK",C1191/INDEX(C$5:C$1258,'Stock Price'!$I$9)-1,"")</f>
        <v>0.13750541359896062</v>
      </c>
      <c r="Q1191" s="19">
        <f ca="1">IF('Stock Price'!$I$11="OK",D1191/INDEX(D$5:D$1258,'Stock Price'!$I$9)-1,"")</f>
        <v>4.5299028328999569E-2</v>
      </c>
      <c r="R1191" s="19">
        <f ca="1">IF('Stock Price'!$I$11="OK",E1191/INDEX(E$5:E$1258,'Stock Price'!$I$9)-1,"")</f>
        <v>6.407414870038286E-2</v>
      </c>
      <c r="S1191" s="19">
        <f ca="1">IF('Stock Price'!$I$11="OK",F1191/INDEX(F$5:F$1258,'Stock Price'!$I$9)-1,"")</f>
        <v>2.1963070942662588E-2</v>
      </c>
      <c r="T1191" s="19">
        <f ca="1">IF('Stock Price'!$I$11="OK",G1191/INDEX(G$5:G$1258,'Stock Price'!$I$9)-1,"")</f>
        <v>-9.9523118391042886E-2</v>
      </c>
      <c r="U1191" s="19">
        <f ca="1">IF('Stock Price'!$I$11="OK",H1191/INDEX(H$5:H$1258,'Stock Price'!$I$9)-1,"")</f>
        <v>0.21131578947368435</v>
      </c>
      <c r="V1191" s="19">
        <f ca="1">IF('Stock Price'!$I$11="OK",I1191/INDEX(I$5:I$1258,'Stock Price'!$I$9)-1,"")</f>
        <v>-3.2168387609213589E-2</v>
      </c>
      <c r="W1191" s="19">
        <f ca="1">IF('Stock Price'!$I$11="OK",J1191/INDEX(J$5:J$1258,'Stock Price'!$I$9)-1,"")</f>
        <v>0.1384445925432265</v>
      </c>
      <c r="X1191" s="19">
        <f ca="1">IF('Stock Price'!$I$11="OK",K1191/INDEX(K$5:K$1258,'Stock Price'!$I$9)-1,"")</f>
        <v>9.5398428731762186E-2</v>
      </c>
      <c r="Y1191" s="19">
        <f ca="1">IF('Stock Price'!$I$11="OK",L1191/INDEX(L$5:L$1258,'Stock Price'!$I$9)-1,"")</f>
        <v>0.24673257776706059</v>
      </c>
      <c r="Z1191" s="19">
        <f ca="1">IF('Stock Price'!$I$11="OK",M1191/INDEX(M$5:M$1258,'Stock Price'!$I$9)-1,"")</f>
        <v>0.10902272033491789</v>
      </c>
    </row>
    <row r="1192" spans="1:26" x14ac:dyDescent="0.2">
      <c r="A1192" s="16">
        <f>'Stock Price'!A1192</f>
        <v>46203</v>
      </c>
      <c r="B1192" s="17">
        <f>'Stock Price'!E1192</f>
        <v>128.5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0.20713950211366838</v>
      </c>
      <c r="P1192" s="19">
        <f ca="1">IF('Stock Price'!$I$11="OK",C1192/INDEX(C$5:C$1258,'Stock Price'!$I$9)-1,"")</f>
        <v>0.1312256388046773</v>
      </c>
      <c r="Q1192" s="19">
        <f ca="1">IF('Stock Price'!$I$11="OK",D1192/INDEX(D$5:D$1258,'Stock Price'!$I$9)-1,"")</f>
        <v>3.8018338579444366E-2</v>
      </c>
      <c r="R1192" s="19">
        <f ca="1">IF('Stock Price'!$I$11="OK",E1192/INDEX(E$5:E$1258,'Stock Price'!$I$9)-1,"")</f>
        <v>5.6215998388071675E-2</v>
      </c>
      <c r="S1192" s="19">
        <f ca="1">IF('Stock Price'!$I$11="OK",F1192/INDEX(F$5:F$1258,'Stock Price'!$I$9)-1,"")</f>
        <v>-1.9436345966958868E-3</v>
      </c>
      <c r="T1192" s="19">
        <f ca="1">IF('Stock Price'!$I$11="OK",G1192/INDEX(G$5:G$1258,'Stock Price'!$I$9)-1,"")</f>
        <v>-0.11548828529960609</v>
      </c>
      <c r="U1192" s="19">
        <f ca="1">IF('Stock Price'!$I$11="OK",H1192/INDEX(H$5:H$1258,'Stock Price'!$I$9)-1,"")</f>
        <v>0.2739473684210525</v>
      </c>
      <c r="V1192" s="19">
        <f ca="1">IF('Stock Price'!$I$11="OK",I1192/INDEX(I$5:I$1258,'Stock Price'!$I$9)-1,"")</f>
        <v>-4.3685464654487749E-2</v>
      </c>
      <c r="W1192" s="19">
        <f ca="1">IF('Stock Price'!$I$11="OK",J1192/INDEX(J$5:J$1258,'Stock Price'!$I$9)-1,"")</f>
        <v>0.11021326224591821</v>
      </c>
      <c r="X1192" s="19">
        <f ca="1">IF('Stock Price'!$I$11="OK",K1192/INDEX(K$5:K$1258,'Stock Price'!$I$9)-1,"")</f>
        <v>7.7815188926299905E-2</v>
      </c>
      <c r="Y1192" s="19">
        <f ca="1">IF('Stock Price'!$I$11="OK",L1192/INDEX(L$5:L$1258,'Stock Price'!$I$9)-1,"")</f>
        <v>0.22483723173378345</v>
      </c>
      <c r="Z1192" s="19">
        <f ca="1">IF('Stock Price'!$I$11="OK",M1192/INDEX(M$5:M$1258,'Stock Price'!$I$9)-1,"")</f>
        <v>9.7379093803148464E-2</v>
      </c>
    </row>
    <row r="1193" spans="1:26" x14ac:dyDescent="0.2">
      <c r="A1193" s="16">
        <f>'Stock Price'!A1193</f>
        <v>46204</v>
      </c>
      <c r="B1193" s="17">
        <f>'Stock Price'!E1193</f>
        <v>125.37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0.17773602630342888</v>
      </c>
      <c r="P1193" s="19">
        <f ca="1">IF('Stock Price'!$I$11="OK",C1193/INDEX(C$5:C$1258,'Stock Price'!$I$9)-1,"")</f>
        <v>0.11260285838025119</v>
      </c>
      <c r="Q1193" s="19">
        <f ca="1">IF('Stock Price'!$I$11="OK",D1193/INDEX(D$5:D$1258,'Stock Price'!$I$9)-1,"")</f>
        <v>6.4869303407690815E-3</v>
      </c>
      <c r="R1193" s="19">
        <f ca="1">IF('Stock Price'!$I$11="OK",E1193/INDEX(E$5:E$1258,'Stock Price'!$I$9)-1,"")</f>
        <v>3.3649002619383417E-2</v>
      </c>
      <c r="S1193" s="19">
        <f ca="1">IF('Stock Price'!$I$11="OK",F1193/INDEX(F$5:F$1258,'Stock Price'!$I$9)-1,"")</f>
        <v>-2.196307094266281E-2</v>
      </c>
      <c r="T1193" s="19">
        <f ca="1">IF('Stock Price'!$I$11="OK",G1193/INDEX(G$5:G$1258,'Stock Price'!$I$9)-1,"")</f>
        <v>-0.13684428778768387</v>
      </c>
      <c r="U1193" s="19">
        <f ca="1">IF('Stock Price'!$I$11="OK",H1193/INDEX(H$5:H$1258,'Stock Price'!$I$9)-1,"")</f>
        <v>0.28947368421052633</v>
      </c>
      <c r="V1193" s="19">
        <f ca="1">IF('Stock Price'!$I$11="OK",I1193/INDEX(I$5:I$1258,'Stock Price'!$I$9)-1,"")</f>
        <v>-5.1628276409849128E-2</v>
      </c>
      <c r="W1193" s="19">
        <f ca="1">IF('Stock Price'!$I$11="OK",J1193/INDEX(J$5:J$1258,'Stock Price'!$I$9)-1,"")</f>
        <v>0.10309526454144935</v>
      </c>
      <c r="X1193" s="19">
        <f ca="1">IF('Stock Price'!$I$11="OK",K1193/INDEX(K$5:K$1258,'Stock Price'!$I$9)-1,"")</f>
        <v>5.5742611298166711E-2</v>
      </c>
      <c r="Y1193" s="19">
        <f ca="1">IF('Stock Price'!$I$11="OK",L1193/INDEX(L$5:L$1258,'Stock Price'!$I$9)-1,"")</f>
        <v>0.22488545936821791</v>
      </c>
      <c r="Z1193" s="19">
        <f ca="1">IF('Stock Price'!$I$11="OK",M1193/INDEX(M$5:M$1258,'Stock Price'!$I$9)-1,"")</f>
        <v>9.4849766691378568E-2</v>
      </c>
    </row>
    <row r="1194" spans="1:26" x14ac:dyDescent="0.2">
      <c r="A1194" s="16">
        <f>'Stock Price'!A1194</f>
        <v>46205</v>
      </c>
      <c r="B1194" s="17">
        <f>'Stock Price'!E1194</f>
        <v>129.56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0.2170972287458901</v>
      </c>
      <c r="P1194" s="19">
        <f ca="1">IF('Stock Price'!$I$11="OK",C1194/INDEX(C$5:C$1258,'Stock Price'!$I$9)-1,"")</f>
        <v>0.15417929839757472</v>
      </c>
      <c r="Q1194" s="19">
        <f ca="1">IF('Stock Price'!$I$11="OK",D1194/INDEX(D$5:D$1258,'Stock Price'!$I$9)-1,"")</f>
        <v>6.8290680169700302E-2</v>
      </c>
      <c r="R1194" s="19">
        <f ca="1">IF('Stock Price'!$I$11="OK",E1194/INDEX(E$5:E$1258,'Stock Price'!$I$9)-1,"")</f>
        <v>8.1200886560548025E-2</v>
      </c>
      <c r="S1194" s="19">
        <f ca="1">IF('Stock Price'!$I$11="OK",F1194/INDEX(F$5:F$1258,'Stock Price'!$I$9)-1,"")</f>
        <v>3.0903790087463578E-2</v>
      </c>
      <c r="T1194" s="19">
        <f ca="1">IF('Stock Price'!$I$11="OK",G1194/INDEX(G$5:G$1258,'Stock Price'!$I$9)-1,"")</f>
        <v>-0.10512129380053914</v>
      </c>
      <c r="U1194" s="19">
        <f ca="1">IF('Stock Price'!$I$11="OK",H1194/INDEX(H$5:H$1258,'Stock Price'!$I$9)-1,"")</f>
        <v>0.40421052631578935</v>
      </c>
      <c r="V1194" s="19">
        <f ca="1">IF('Stock Price'!$I$11="OK",I1194/INDEX(I$5:I$1258,'Stock Price'!$I$9)-1,"")</f>
        <v>-3.4154090548053961E-2</v>
      </c>
      <c r="W1194" s="19">
        <f ca="1">IF('Stock Price'!$I$11="OK",J1194/INDEX(J$5:J$1258,'Stock Price'!$I$9)-1,"")</f>
        <v>0.12361620200673862</v>
      </c>
      <c r="X1194" s="19">
        <f ca="1">IF('Stock Price'!$I$11="OK",K1194/INDEX(K$5:K$1258,'Stock Price'!$I$9)-1,"")</f>
        <v>8.7355031799476235E-2</v>
      </c>
      <c r="Y1194" s="19">
        <f ca="1">IF('Stock Price'!$I$11="OK",L1194/INDEX(L$5:L$1258,'Stock Price'!$I$9)-1,"")</f>
        <v>0.26857969616590327</v>
      </c>
      <c r="Z1194" s="19">
        <f ca="1">IF('Stock Price'!$I$11="OK",M1194/INDEX(M$5:M$1258,'Stock Price'!$I$9)-1,"")</f>
        <v>0.13850246391347953</v>
      </c>
    </row>
    <row r="1195" spans="1:26" x14ac:dyDescent="0.2">
      <c r="A1195" s="16">
        <f>'Stock Price'!A1195</f>
        <v>46209</v>
      </c>
      <c r="B1195" s="17">
        <f>'Stock Price'!E1195</f>
        <v>126.78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0.19098168154062933</v>
      </c>
      <c r="P1195" s="19">
        <f ca="1">IF('Stock Price'!$I$11="OK",C1195/INDEX(C$5:C$1258,'Stock Price'!$I$9)-1,"")</f>
        <v>0.12234733650931151</v>
      </c>
      <c r="Q1195" s="19">
        <f ca="1">IF('Stock Price'!$I$11="OK",D1195/INDEX(D$5:D$1258,'Stock Price'!$I$9)-1,"")</f>
        <v>4.0974408101820181E-2</v>
      </c>
      <c r="R1195" s="19">
        <f ca="1">IF('Stock Price'!$I$11="OK",E1195/INDEX(E$5:E$1258,'Stock Price'!$I$9)-1,"")</f>
        <v>6.9715897642554925E-2</v>
      </c>
      <c r="S1195" s="19">
        <f ca="1">IF('Stock Price'!$I$11="OK",F1195/INDEX(F$5:F$1258,'Stock Price'!$I$9)-1,"")</f>
        <v>2.7210884353741083E-3</v>
      </c>
      <c r="T1195" s="19">
        <f ca="1">IF('Stock Price'!$I$11="OK",G1195/INDEX(G$5:G$1258,'Stock Price'!$I$9)-1,"")</f>
        <v>-0.11652498444951276</v>
      </c>
      <c r="U1195" s="19">
        <f ca="1">IF('Stock Price'!$I$11="OK",H1195/INDEX(H$5:H$1258,'Stock Price'!$I$9)-1,"")</f>
        <v>0.34684210526315784</v>
      </c>
      <c r="V1195" s="19">
        <f ca="1">IF('Stock Price'!$I$11="OK",I1195/INDEX(I$5:I$1258,'Stock Price'!$I$9)-1,"")</f>
        <v>-5.7982525814138208E-2</v>
      </c>
      <c r="W1195" s="19">
        <f ca="1">IF('Stock Price'!$I$11="OK",J1195/INDEX(J$5:J$1258,'Stock Price'!$I$9)-1,"")</f>
        <v>0.1107964011996001</v>
      </c>
      <c r="X1195" s="19">
        <f ca="1">IF('Stock Price'!$I$11="OK",K1195/INDEX(K$5:K$1258,'Stock Price'!$I$9)-1,"")</f>
        <v>6.0606060606060552E-2</v>
      </c>
      <c r="Y1195" s="19">
        <f ca="1">IF('Stock Price'!$I$11="OK",L1195/INDEX(L$5:L$1258,'Stock Price'!$I$9)-1,"")</f>
        <v>0.25068724379069196</v>
      </c>
      <c r="Z1195" s="19">
        <f ca="1">IF('Stock Price'!$I$11="OK",M1195/INDEX(M$5:M$1258,'Stock Price'!$I$9)-1,"")</f>
        <v>0.11098512930094628</v>
      </c>
    </row>
    <row r="1196" spans="1:26" x14ac:dyDescent="0.2">
      <c r="A1196" s="16">
        <f>'Stock Price'!A1196</f>
        <v>46210</v>
      </c>
      <c r="B1196" s="17">
        <f>'Stock Price'!E1196</f>
        <v>128.86000000000001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0.21052137153593242</v>
      </c>
      <c r="P1196" s="19">
        <f ca="1">IF('Stock Price'!$I$11="OK",C1196/INDEX(C$5:C$1258,'Stock Price'!$I$9)-1,"")</f>
        <v>0.13346325970838757</v>
      </c>
      <c r="Q1196" s="19">
        <f ca="1">IF('Stock Price'!$I$11="OK",D1196/INDEX(D$5:D$1258,'Stock Price'!$I$9)-1,"")</f>
        <v>5.7178048446694829E-2</v>
      </c>
      <c r="R1196" s="19">
        <f ca="1">IF('Stock Price'!$I$11="OK",E1196/INDEX(E$5:E$1258,'Stock Price'!$I$9)-1,"")</f>
        <v>7.4350191416481914E-2</v>
      </c>
      <c r="S1196" s="19">
        <f ca="1">IF('Stock Price'!$I$11="OK",F1196/INDEX(F$5:F$1258,'Stock Price'!$I$9)-1,"")</f>
        <v>1.3994169096209985E-2</v>
      </c>
      <c r="T1196" s="19">
        <f ca="1">IF('Stock Price'!$I$11="OK",G1196/INDEX(G$5:G$1258,'Stock Price'!$I$9)-1,"")</f>
        <v>-0.10885341074020316</v>
      </c>
      <c r="U1196" s="19">
        <f ca="1">IF('Stock Price'!$I$11="OK",H1196/INDEX(H$5:H$1258,'Stock Price'!$I$9)-1,"")</f>
        <v>0.33736842105263154</v>
      </c>
      <c r="V1196" s="19">
        <f ca="1">IF('Stock Price'!$I$11="OK",I1196/INDEX(I$5:I$1258,'Stock Price'!$I$9)-1,"")</f>
        <v>-4.4082605242255712E-2</v>
      </c>
      <c r="W1196" s="19">
        <f ca="1">IF('Stock Price'!$I$11="OK",J1196/INDEX(J$5:J$1258,'Stock Price'!$I$9)-1,"")</f>
        <v>0.14365581843089337</v>
      </c>
      <c r="X1196" s="19">
        <f ca="1">IF('Stock Price'!$I$11="OK",K1196/INDEX(K$5:K$1258,'Stock Price'!$I$9)-1,"")</f>
        <v>8.4362139917695478E-2</v>
      </c>
      <c r="Y1196" s="19">
        <f ca="1">IF('Stock Price'!$I$11="OK",L1196/INDEX(L$5:L$1258,'Stock Price'!$I$9)-1,"")</f>
        <v>0.28883530262840607</v>
      </c>
      <c r="Z1196" s="19">
        <f ca="1">IF('Stock Price'!$I$11="OK",M1196/INDEX(M$5:M$1258,'Stock Price'!$I$9)-1,"")</f>
        <v>0.11050542933147267</v>
      </c>
    </row>
    <row r="1197" spans="1:26" x14ac:dyDescent="0.2">
      <c r="A1197" s="16">
        <f>'Stock Price'!A1197</f>
        <v>46211</v>
      </c>
      <c r="B1197" s="17">
        <f>'Stock Price'!E1197</f>
        <v>125.99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0.18356035697510564</v>
      </c>
      <c r="P1197" s="19">
        <f ca="1">IF('Stock Price'!$I$11="OK",C1197/INDEX(C$5:C$1258,'Stock Price'!$I$9)-1,"")</f>
        <v>0.12003753428612662</v>
      </c>
      <c r="Q1197" s="19">
        <f ca="1">IF('Stock Price'!$I$11="OK",D1197/INDEX(D$5:D$1258,'Stock Price'!$I$9)-1,"")</f>
        <v>3.6157109620911454E-2</v>
      </c>
      <c r="R1197" s="19">
        <f ca="1">IF('Stock Price'!$I$11="OK",E1197/INDEX(E$5:E$1258,'Stock Price'!$I$9)-1,"")</f>
        <v>5.8230908724561825E-2</v>
      </c>
      <c r="S1197" s="19">
        <f ca="1">IF('Stock Price'!$I$11="OK",F1197/INDEX(F$5:F$1258,'Stock Price'!$I$9)-1,"")</f>
        <v>6.0252672497569382E-3</v>
      </c>
      <c r="T1197" s="19">
        <f ca="1">IF('Stock Price'!$I$11="OK",G1197/INDEX(G$5:G$1258,'Stock Price'!$I$9)-1,"")</f>
        <v>-0.11300020733982985</v>
      </c>
      <c r="U1197" s="19">
        <f ca="1">IF('Stock Price'!$I$11="OK",H1197/INDEX(H$5:H$1258,'Stock Price'!$I$9)-1,"")</f>
        <v>0.30631578947368432</v>
      </c>
      <c r="V1197" s="19">
        <f ca="1">IF('Stock Price'!$I$11="OK",I1197/INDEX(I$5:I$1258,'Stock Price'!$I$9)-1,"")</f>
        <v>-4.4876886417791861E-2</v>
      </c>
      <c r="W1197" s="19">
        <f ca="1">IF('Stock Price'!$I$11="OK",J1197/INDEX(J$5:J$1258,'Stock Price'!$I$9)-1,"")</f>
        <v>0.12539338738938866</v>
      </c>
      <c r="X1197" s="19">
        <f ca="1">IF('Stock Price'!$I$11="OK",K1197/INDEX(K$5:K$1258,'Stock Price'!$I$9)-1,"")</f>
        <v>7.6318742985409527E-2</v>
      </c>
      <c r="Y1197" s="19">
        <f ca="1">IF('Stock Price'!$I$11="OK",L1197/INDEX(L$5:L$1258,'Stock Price'!$I$9)-1,"")</f>
        <v>0.27031589100554609</v>
      </c>
      <c r="Z1197" s="19">
        <f ca="1">IF('Stock Price'!$I$11="OK",M1197/INDEX(M$5:M$1258,'Stock Price'!$I$9)-1,"")</f>
        <v>0.10217609349788503</v>
      </c>
    </row>
    <row r="1198" spans="1:26" x14ac:dyDescent="0.2">
      <c r="A1198" s="16">
        <f>'Stock Price'!A1198</f>
        <v>46212</v>
      </c>
      <c r="B1198" s="17">
        <f>'Stock Price'!E1198</f>
        <v>125.07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0.17491780178487537</v>
      </c>
      <c r="P1198" s="19">
        <f ca="1">IF('Stock Price'!$I$11="OK",C1198/INDEX(C$5:C$1258,'Stock Price'!$I$9)-1,"")</f>
        <v>0.11606756171502819</v>
      </c>
      <c r="Q1198" s="19">
        <f ca="1">IF('Stock Price'!$I$11="OK",D1198/INDEX(D$5:D$1258,'Stock Price'!$I$9)-1,"")</f>
        <v>-2.290953879841251E-2</v>
      </c>
      <c r="R1198" s="19">
        <f ca="1">IF('Stock Price'!$I$11="OK",E1198/INDEX(E$5:E$1258,'Stock Price'!$I$9)-1,"")</f>
        <v>5.722345355631675E-2</v>
      </c>
      <c r="S1198" s="19">
        <f ca="1">IF('Stock Price'!$I$11="OK",F1198/INDEX(F$5:F$1258,'Stock Price'!$I$9)-1,"")</f>
        <v>1.1078717201166155E-2</v>
      </c>
      <c r="T1198" s="19">
        <f ca="1">IF('Stock Price'!$I$11="OK",G1198/INDEX(G$5:G$1258,'Stock Price'!$I$9)-1,"")</f>
        <v>-8.9778146381919943E-2</v>
      </c>
      <c r="U1198" s="19">
        <f ca="1">IF('Stock Price'!$I$11="OK",H1198/INDEX(H$5:H$1258,'Stock Price'!$I$9)-1,"")</f>
        <v>0.33421052631578951</v>
      </c>
      <c r="V1198" s="19">
        <f ca="1">IF('Stock Price'!$I$11="OK",I1198/INDEX(I$5:I$1258,'Stock Price'!$I$9)-1,"")</f>
        <v>-3.6934074662430483E-2</v>
      </c>
      <c r="W1198" s="19">
        <f ca="1">IF('Stock Price'!$I$11="OK",J1198/INDEX(J$5:J$1258,'Stock Price'!$I$9)-1,"")</f>
        <v>0.1264300788626016</v>
      </c>
      <c r="X1198" s="19">
        <f ca="1">IF('Stock Price'!$I$11="OK",K1198/INDEX(K$5:K$1258,'Stock Price'!$I$9)-1,"")</f>
        <v>8.3800972689861419E-2</v>
      </c>
      <c r="Y1198" s="19">
        <f ca="1">IF('Stock Price'!$I$11="OK",L1198/INDEX(L$5:L$1258,'Stock Price'!$I$9)-1,"")</f>
        <v>0.24957800819869802</v>
      </c>
      <c r="Z1198" s="19">
        <f ca="1">IF('Stock Price'!$I$11="OK",M1198/INDEX(M$5:M$1258,'Stock Price'!$I$9)-1,"")</f>
        <v>8.9834721555972274E-2</v>
      </c>
    </row>
    <row r="1199" spans="1:26" x14ac:dyDescent="0.2">
      <c r="A1199" s="16">
        <f>'Stock Price'!A1199</f>
        <v>46213</v>
      </c>
      <c r="B1199" s="17">
        <f>'Stock Price'!E1199</f>
        <v>123.54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0.16054485674025365</v>
      </c>
      <c r="P1199" s="19">
        <f ca="1">IF('Stock Price'!$I$11="OK",C1199/INDEX(C$5:C$1258,'Stock Price'!$I$9)-1,"")</f>
        <v>0.11195322650498074</v>
      </c>
      <c r="Q1199" s="19">
        <f ca="1">IF('Stock Price'!$I$11="OK",D1199/INDEX(D$5:D$1258,'Stock Price'!$I$9)-1,"")</f>
        <v>-6.0572054194607872E-2</v>
      </c>
      <c r="R1199" s="19">
        <f ca="1">IF('Stock Price'!$I$11="OK",E1199/INDEX(E$5:E$1258,'Stock Price'!$I$9)-1,"")</f>
        <v>6.3469675599435726E-2</v>
      </c>
      <c r="S1199" s="19">
        <f ca="1">IF('Stock Price'!$I$11="OK",F1199/INDEX(F$5:F$1258,'Stock Price'!$I$9)-1,"")</f>
        <v>8.7463556851310464E-3</v>
      </c>
      <c r="T1199" s="19">
        <f ca="1">IF('Stock Price'!$I$11="OK",G1199/INDEX(G$5:G$1258,'Stock Price'!$I$9)-1,"")</f>
        <v>-9.8071739581173434E-2</v>
      </c>
      <c r="U1199" s="19">
        <f ca="1">IF('Stock Price'!$I$11="OK",H1199/INDEX(H$5:H$1258,'Stock Price'!$I$9)-1,"")</f>
        <v>0.31894736842105265</v>
      </c>
      <c r="V1199" s="19">
        <f ca="1">IF('Stock Price'!$I$11="OK",I1199/INDEX(I$5:I$1258,'Stock Price'!$I$9)-1,"")</f>
        <v>-4.0111199364574968E-2</v>
      </c>
      <c r="W1199" s="19">
        <f ca="1">IF('Stock Price'!$I$11="OK",J1199/INDEX(J$5:J$1258,'Stock Price'!$I$9)-1,"")</f>
        <v>0.10017031359917072</v>
      </c>
      <c r="X1199" s="19">
        <f ca="1">IF('Stock Price'!$I$11="OK",K1199/INDEX(K$5:K$1258,'Stock Price'!$I$9)-1,"")</f>
        <v>7.7066965955854716E-2</v>
      </c>
      <c r="Y1199" s="19">
        <f ca="1">IF('Stock Price'!$I$11="OK",L1199/INDEX(L$5:L$1258,'Stock Price'!$I$9)-1,"")</f>
        <v>0.23935374969857737</v>
      </c>
      <c r="Z1199" s="19">
        <f ca="1">IF('Stock Price'!$I$11="OK",M1199/INDEX(M$5:M$1258,'Stock Price'!$I$9)-1,"")</f>
        <v>8.1854258427456417E-2</v>
      </c>
    </row>
    <row r="1200" spans="1:26" x14ac:dyDescent="0.2">
      <c r="A1200" s="16">
        <f>'Stock Price'!A1200</f>
        <v>46216</v>
      </c>
      <c r="B1200" s="17">
        <f>'Stock Price'!E1200</f>
        <v>124.03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0.16514795678722405</v>
      </c>
      <c r="P1200" s="19">
        <f ca="1">IF('Stock Price'!$I$11="OK",C1200/INDEX(C$5:C$1258,'Stock Price'!$I$9)-1,"")</f>
        <v>0.10704489678071316</v>
      </c>
      <c r="Q1200" s="19">
        <f ca="1">IF('Stock Price'!$I$11="OK",D1200/INDEX(D$5:D$1258,'Stock Price'!$I$9)-1,"")</f>
        <v>-7.2286848227726908E-2</v>
      </c>
      <c r="R1200" s="19">
        <f ca="1">IF('Stock Price'!$I$11="OK",E1200/INDEX(E$5:E$1258,'Stock Price'!$I$9)-1,"")</f>
        <v>5.3596614950634613E-2</v>
      </c>
      <c r="S1200" s="19">
        <f ca="1">IF('Stock Price'!$I$11="OK",F1200/INDEX(F$5:F$1258,'Stock Price'!$I$9)-1,"")</f>
        <v>-1.8464528668610369E-2</v>
      </c>
      <c r="T1200" s="19">
        <f ca="1">IF('Stock Price'!$I$11="OK",G1200/INDEX(G$5:G$1258,'Stock Price'!$I$9)-1,"")</f>
        <v>-8.7704748082106487E-2</v>
      </c>
      <c r="U1200" s="19">
        <f ca="1">IF('Stock Price'!$I$11="OK",H1200/INDEX(H$5:H$1258,'Stock Price'!$I$9)-1,"")</f>
        <v>0.31368421052631579</v>
      </c>
      <c r="V1200" s="19">
        <f ca="1">IF('Stock Price'!$I$11="OK",I1200/INDEX(I$5:I$1258,'Stock Price'!$I$9)-1,"")</f>
        <v>-2.7799841143764881E-2</v>
      </c>
      <c r="W1200" s="19">
        <f ca="1">IF('Stock Price'!$I$11="OK",J1200/INDEX(J$5:J$1258,'Stock Price'!$I$9)-1,"")</f>
        <v>9.3959420933762861E-2</v>
      </c>
      <c r="X1200" s="19">
        <f ca="1">IF('Stock Price'!$I$11="OK",K1200/INDEX(K$5:K$1258,'Stock Price'!$I$9)-1,"")</f>
        <v>0.10998877665544327</v>
      </c>
      <c r="Y1200" s="19">
        <f ca="1">IF('Stock Price'!$I$11="OK",L1200/INDEX(L$5:L$1258,'Stock Price'!$I$9)-1,"")</f>
        <v>0.24316373281890513</v>
      </c>
      <c r="Z1200" s="19">
        <f ca="1">IF('Stock Price'!$I$11="OK",M1200/INDEX(M$5:M$1258,'Stock Price'!$I$9)-1,"")</f>
        <v>8.1505385722384638E-2</v>
      </c>
    </row>
    <row r="1201" spans="1:26" x14ac:dyDescent="0.2">
      <c r="A1201" s="16">
        <f>'Stock Price'!A1201</f>
        <v>46217</v>
      </c>
      <c r="B1201" s="17">
        <f>'Stock Price'!E1201</f>
        <v>120.78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0.13461719116956306</v>
      </c>
      <c r="P1201" s="19">
        <f ca="1">IF('Stock Price'!$I$11="OK",C1201/INDEX(C$5:C$1258,'Stock Price'!$I$9)-1,"")</f>
        <v>8.5318319618882699E-2</v>
      </c>
      <c r="Q1201" s="19">
        <f ca="1">IF('Stock Price'!$I$11="OK",D1201/INDEX(D$5:D$1258,'Stock Price'!$I$9)-1,"")</f>
        <v>-9.9493636239222694E-2</v>
      </c>
      <c r="R1201" s="19">
        <f ca="1">IF('Stock Price'!$I$11="OK",E1201/INDEX(E$5:E$1258,'Stock Price'!$I$9)-1,"")</f>
        <v>3.2641547451138342E-2</v>
      </c>
      <c r="S1201" s="19">
        <f ca="1">IF('Stock Price'!$I$11="OK",F1201/INDEX(F$5:F$1258,'Stock Price'!$I$9)-1,"")</f>
        <v>-2.5072886297376251E-2</v>
      </c>
      <c r="T1201" s="19">
        <f ca="1">IF('Stock Price'!$I$11="OK",G1201/INDEX(G$5:G$1258,'Stock Price'!$I$9)-1,"")</f>
        <v>-0.10470661414057636</v>
      </c>
      <c r="U1201" s="19">
        <f ca="1">IF('Stock Price'!$I$11="OK",H1201/INDEX(H$5:H$1258,'Stock Price'!$I$9)-1,"")</f>
        <v>0.29263157894736835</v>
      </c>
      <c r="V1201" s="19">
        <f ca="1">IF('Stock Price'!$I$11="OK",I1201/INDEX(I$5:I$1258,'Stock Price'!$I$9)-1,"")</f>
        <v>-3.6934074662430483E-2</v>
      </c>
      <c r="W1201" s="19">
        <f ca="1">IF('Stock Price'!$I$11="OK",J1201/INDEX(J$5:J$1258,'Stock Price'!$I$9)-1,"")</f>
        <v>6.6811062979007074E-2</v>
      </c>
      <c r="X1201" s="19">
        <f ca="1">IF('Stock Price'!$I$11="OK",K1201/INDEX(K$5:K$1258,'Stock Price'!$I$9)-1,"")</f>
        <v>6.5282454171343041E-2</v>
      </c>
      <c r="Y1201" s="19">
        <f ca="1">IF('Stock Price'!$I$11="OK",L1201/INDEX(L$5:L$1258,'Stock Price'!$I$9)-1,"")</f>
        <v>0.22425850012056903</v>
      </c>
      <c r="Z1201" s="19">
        <f ca="1">IF('Stock Price'!$I$11="OK",M1201/INDEX(M$5:M$1258,'Stock Price'!$I$9)-1,"")</f>
        <v>6.7463259343247151E-2</v>
      </c>
    </row>
    <row r="1202" spans="1:26" x14ac:dyDescent="0.2">
      <c r="A1202" s="16">
        <f>'Stock Price'!A1202</f>
        <v>46218</v>
      </c>
      <c r="B1202" s="17">
        <f>'Stock Price'!E1202</f>
        <v>123.61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0.16120244246124948</v>
      </c>
      <c r="P1202" s="19">
        <f ca="1">IF('Stock Price'!$I$11="OK",C1202/INDEX(C$5:C$1258,'Stock Price'!$I$9)-1,"")</f>
        <v>8.8494297675761668E-2</v>
      </c>
      <c r="Q1202" s="19">
        <f ca="1">IF('Stock Price'!$I$11="OK",D1202/INDEX(D$5:D$1258,'Stock Price'!$I$9)-1,"")</f>
        <v>-7.8308471328862761E-2</v>
      </c>
      <c r="R1202" s="19">
        <f ca="1">IF('Stock Price'!$I$11="OK",E1202/INDEX(E$5:E$1258,'Stock Price'!$I$9)-1,"")</f>
        <v>3.667136812411842E-2</v>
      </c>
      <c r="S1202" s="19">
        <f ca="1">IF('Stock Price'!$I$11="OK",F1202/INDEX(F$5:F$1258,'Stock Price'!$I$9)-1,"")</f>
        <v>-5.2478134110788277E-3</v>
      </c>
      <c r="T1202" s="19">
        <f ca="1">IF('Stock Price'!$I$11="OK",G1202/INDEX(G$5:G$1258,'Stock Price'!$I$9)-1,"")</f>
        <v>-9.4339622641509413E-2</v>
      </c>
      <c r="U1202" s="19">
        <f ca="1">IF('Stock Price'!$I$11="OK",H1202/INDEX(H$5:H$1258,'Stock Price'!$I$9)-1,"")</f>
        <v>0.2555263157894736</v>
      </c>
      <c r="V1202" s="19">
        <f ca="1">IF('Stock Price'!$I$11="OK",I1202/INDEX(I$5:I$1258,'Stock Price'!$I$9)-1,"")</f>
        <v>-1.4297061159650459E-2</v>
      </c>
      <c r="W1202" s="19">
        <f ca="1">IF('Stock Price'!$I$11="OK",J1202/INDEX(J$5:J$1258,'Stock Price'!$I$9)-1,"")</f>
        <v>7.0596838091006919E-2</v>
      </c>
      <c r="X1202" s="19">
        <f ca="1">IF('Stock Price'!$I$11="OK",K1202/INDEX(K$5:K$1258,'Stock Price'!$I$9)-1,"")</f>
        <v>9.8391320613542721E-2</v>
      </c>
      <c r="Y1202" s="19">
        <f ca="1">IF('Stock Price'!$I$11="OK",L1202/INDEX(L$5:L$1258,'Stock Price'!$I$9)-1,"")</f>
        <v>0.1913190258017845</v>
      </c>
      <c r="Z1202" s="19">
        <f ca="1">IF('Stock Price'!$I$11="OK",M1202/INDEX(M$5:M$1258,'Stock Price'!$I$9)-1,"")</f>
        <v>6.4541450438271308E-2</v>
      </c>
    </row>
    <row r="1203" spans="1:26" x14ac:dyDescent="0.2">
      <c r="A1203" s="16">
        <f>'Stock Price'!A1203</f>
        <v>46219</v>
      </c>
      <c r="B1203" s="17">
        <f>'Stock Price'!E1203</f>
        <v>127.63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0.19896665100986377</v>
      </c>
      <c r="P1203" s="19">
        <f ca="1">IF('Stock Price'!$I$11="OK",C1203/INDEX(C$5:C$1258,'Stock Price'!$I$9)-1,"")</f>
        <v>0.10242529233434383</v>
      </c>
      <c r="Q1203" s="19">
        <f ca="1">IF('Stock Price'!$I$11="OK",D1203/INDEX(D$5:D$1258,'Stock Price'!$I$9)-1,"")</f>
        <v>-7.3272204735185587E-2</v>
      </c>
      <c r="R1203" s="19">
        <f ca="1">IF('Stock Price'!$I$11="OK",E1203/INDEX(E$5:E$1258,'Stock Price'!$I$9)-1,"")</f>
        <v>6.3268184565786756E-2</v>
      </c>
      <c r="S1203" s="19">
        <f ca="1">IF('Stock Price'!$I$11="OK",F1203/INDEX(F$5:F$1258,'Stock Price'!$I$9)-1,"")</f>
        <v>0</v>
      </c>
      <c r="T1203" s="19">
        <f ca="1">IF('Stock Price'!$I$11="OK",G1203/INDEX(G$5:G$1258,'Stock Price'!$I$9)-1,"")</f>
        <v>-8.3350611652498352E-2</v>
      </c>
      <c r="U1203" s="19">
        <f ca="1">IF('Stock Price'!$I$11="OK",H1203/INDEX(H$5:H$1258,'Stock Price'!$I$9)-1,"")</f>
        <v>0.25578947368421057</v>
      </c>
      <c r="V1203" s="19">
        <f ca="1">IF('Stock Price'!$I$11="OK",I1203/INDEX(I$5:I$1258,'Stock Price'!$I$9)-1,"")</f>
        <v>-1.5885623510722979E-3</v>
      </c>
      <c r="W1203" s="19">
        <f ca="1">IF('Stock Price'!$I$11="OK",J1203/INDEX(J$5:J$1258,'Stock Price'!$I$9)-1,"")</f>
        <v>8.2204080121441203E-2</v>
      </c>
      <c r="X1203" s="19">
        <f ca="1">IF('Stock Price'!$I$11="OK",K1203/INDEX(K$5:K$1258,'Stock Price'!$I$9)-1,"")</f>
        <v>0.13187429854096511</v>
      </c>
      <c r="Y1203" s="19">
        <f ca="1">IF('Stock Price'!$I$11="OK",L1203/INDEX(L$5:L$1258,'Stock Price'!$I$9)-1,"")</f>
        <v>0.20554617795997099</v>
      </c>
      <c r="Z1203" s="19">
        <f ca="1">IF('Stock Price'!$I$11="OK",M1203/INDEX(M$5:M$1258,'Stock Price'!$I$9)-1,"")</f>
        <v>0.10937159303998945</v>
      </c>
    </row>
    <row r="1204" spans="1:26" x14ac:dyDescent="0.2">
      <c r="A1204" s="16">
        <f>'Stock Price'!A1204</f>
        <v>46220</v>
      </c>
      <c r="B1204" s="17">
        <f>'Stock Price'!E1204</f>
        <v>127.5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0.19774542038515741</v>
      </c>
      <c r="P1204" s="19">
        <f ca="1">IF('Stock Price'!$I$11="OK",C1204/INDEX(C$5:C$1258,'Stock Price'!$I$9)-1,"")</f>
        <v>0.10985996824021949</v>
      </c>
      <c r="Q1204" s="19">
        <f ca="1">IF('Stock Price'!$I$11="OK",D1204/INDEX(D$5:D$1258,'Stock Price'!$I$9)-1,"")</f>
        <v>-7.5407143834679058E-2</v>
      </c>
      <c r="R1204" s="19">
        <f ca="1">IF('Stock Price'!$I$11="OK",E1204/INDEX(E$5:E$1258,'Stock Price'!$I$9)-1,"")</f>
        <v>4.2917590167237396E-2</v>
      </c>
      <c r="S1204" s="19">
        <f ca="1">IF('Stock Price'!$I$11="OK",F1204/INDEX(F$5:F$1258,'Stock Price'!$I$9)-1,"")</f>
        <v>2.9154518950436081E-3</v>
      </c>
      <c r="T1204" s="19">
        <f ca="1">IF('Stock Price'!$I$11="OK",G1204/INDEX(G$5:G$1258,'Stock Price'!$I$9)-1,"")</f>
        <v>-7.4020319303338189E-2</v>
      </c>
      <c r="U1204" s="19">
        <f ca="1">IF('Stock Price'!$I$11="OK",H1204/INDEX(H$5:H$1258,'Stock Price'!$I$9)-1,"")</f>
        <v>0.27526315789473688</v>
      </c>
      <c r="V1204" s="19">
        <f ca="1">IF('Stock Price'!$I$11="OK",I1204/INDEX(I$5:I$1258,'Stock Price'!$I$9)-1,"")</f>
        <v>-5.1628276409848572E-3</v>
      </c>
      <c r="W1204" s="19">
        <f ca="1">IF('Stock Price'!$I$11="OK",J1204/INDEX(J$5:J$1258,'Stock Price'!$I$9)-1,"")</f>
        <v>9.1404716946203113E-2</v>
      </c>
      <c r="X1204" s="19">
        <f ca="1">IF('Stock Price'!$I$11="OK",K1204/INDEX(K$5:K$1258,'Stock Price'!$I$9)-1,"")</f>
        <v>0.13617658062102511</v>
      </c>
      <c r="Y1204" s="19">
        <f ca="1">IF('Stock Price'!$I$11="OK",L1204/INDEX(L$5:L$1258,'Stock Price'!$I$9)-1,"")</f>
        <v>0.22035206173137212</v>
      </c>
      <c r="Z1204" s="19">
        <f ca="1">IF('Stock Price'!$I$11="OK",M1204/INDEX(M$5:M$1258,'Stock Price'!$I$9)-1,"")</f>
        <v>0.10980768392132934</v>
      </c>
    </row>
    <row r="1205" spans="1:26" x14ac:dyDescent="0.2">
      <c r="A1205" s="16">
        <f>'Stock Price'!A1205</f>
        <v>46223</v>
      </c>
      <c r="B1205" s="17">
        <f>'Stock Price'!E1205</f>
        <v>124.4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0.16862376702677317</v>
      </c>
      <c r="P1205" s="19">
        <f ca="1">IF('Stock Price'!$I$11="OK",C1205/INDEX(C$5:C$1258,'Stock Price'!$I$9)-1,"")</f>
        <v>7.9543814060921036E-2</v>
      </c>
      <c r="Q1205" s="19">
        <f ca="1">IF('Stock Price'!$I$11="OK",D1205/INDEX(D$5:D$1258,'Stock Price'!$I$9)-1,"")</f>
        <v>-9.9384152182838359E-2</v>
      </c>
      <c r="R1205" s="19">
        <f ca="1">IF('Stock Price'!$I$11="OK",E1205/INDEX(E$5:E$1258,'Stock Price'!$I$9)-1,"")</f>
        <v>8.2611323796091263E-3</v>
      </c>
      <c r="S1205" s="19">
        <f ca="1">IF('Stock Price'!$I$11="OK",F1205/INDEX(F$5:F$1258,'Stock Price'!$I$9)-1,"")</f>
        <v>-8.7463556851312685E-3</v>
      </c>
      <c r="T1205" s="19">
        <f ca="1">IF('Stock Price'!$I$11="OK",G1205/INDEX(G$5:G$1258,'Stock Price'!$I$9)-1,"")</f>
        <v>-8.8119427742069267E-2</v>
      </c>
      <c r="U1205" s="19">
        <f ca="1">IF('Stock Price'!$I$11="OK",H1205/INDEX(H$5:H$1258,'Stock Price'!$I$9)-1,"")</f>
        <v>0.24500000000000011</v>
      </c>
      <c r="V1205" s="19">
        <f ca="1">IF('Stock Price'!$I$11="OK",I1205/INDEX(I$5:I$1258,'Stock Price'!$I$9)-1,"")</f>
        <v>-1.7077045274026981E-2</v>
      </c>
      <c r="W1205" s="19">
        <f ca="1">IF('Stock Price'!$I$11="OK",J1205/INDEX(J$5:J$1258,'Stock Price'!$I$9)-1,"")</f>
        <v>6.159058091747216E-2</v>
      </c>
      <c r="X1205" s="19">
        <f ca="1">IF('Stock Price'!$I$11="OK",K1205/INDEX(K$5:K$1258,'Stock Price'!$I$9)-1,"")</f>
        <v>0.12532734754956976</v>
      </c>
      <c r="Y1205" s="19">
        <f ca="1">IF('Stock Price'!$I$11="OK",L1205/INDEX(L$5:L$1258,'Stock Price'!$I$9)-1,"")</f>
        <v>0.19999999999999996</v>
      </c>
      <c r="Z1205" s="19">
        <f ca="1">IF('Stock Price'!$I$11="OK",M1205/INDEX(M$5:M$1258,'Stock Price'!$I$9)-1,"")</f>
        <v>0.10496707513845882</v>
      </c>
    </row>
    <row r="1206" spans="1:26" x14ac:dyDescent="0.2">
      <c r="A1206" s="16">
        <f>'Stock Price'!A1206</f>
        <v>46224</v>
      </c>
      <c r="B1206" s="17">
        <f>'Stock Price'!E1206</f>
        <v>126.26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0.18609675904180367</v>
      </c>
      <c r="P1206" s="19">
        <f ca="1">IF('Stock Price'!$I$11="OK",C1206/INDEX(C$5:C$1258,'Stock Price'!$I$9)-1,"")</f>
        <v>0.11065396275443917</v>
      </c>
      <c r="Q1206" s="19">
        <f ca="1">IF('Stock Price'!$I$11="OK",D1206/INDEX(D$5:D$1258,'Stock Price'!$I$9)-1,"")</f>
        <v>-7.2998494594224805E-2</v>
      </c>
      <c r="R1206" s="19">
        <f ca="1">IF('Stock Price'!$I$11="OK",E1206/INDEX(E$5:E$1258,'Stock Price'!$I$9)-1,"")</f>
        <v>2.317146886963517E-2</v>
      </c>
      <c r="S1206" s="19">
        <f ca="1">IF('Stock Price'!$I$11="OK",F1206/INDEX(F$5:F$1258,'Stock Price'!$I$9)-1,"")</f>
        <v>-6.0252672497570492E-3</v>
      </c>
      <c r="T1206" s="19">
        <f ca="1">IF('Stock Price'!$I$11="OK",G1206/INDEX(G$5:G$1258,'Stock Price'!$I$9)-1,"")</f>
        <v>-9.2888243831639961E-2</v>
      </c>
      <c r="U1206" s="19">
        <f ca="1">IF('Stock Price'!$I$11="OK",H1206/INDEX(H$5:H$1258,'Stock Price'!$I$9)-1,"")</f>
        <v>0.25315789473684203</v>
      </c>
      <c r="V1206" s="19">
        <f ca="1">IF('Stock Price'!$I$11="OK",I1206/INDEX(I$5:I$1258,'Stock Price'!$I$9)-1,"")</f>
        <v>-9.5313741064335655E-3</v>
      </c>
      <c r="W1206" s="19">
        <f ca="1">IF('Stock Price'!$I$11="OK",J1206/INDEX(J$5:J$1258,'Stock Price'!$I$9)-1,"")</f>
        <v>8.7979932615054324E-2</v>
      </c>
      <c r="X1206" s="19">
        <f ca="1">IF('Stock Price'!$I$11="OK",K1206/INDEX(K$5:K$1258,'Stock Price'!$I$9)-1,"")</f>
        <v>0.13973063973063971</v>
      </c>
      <c r="Y1206" s="19">
        <f ca="1">IF('Stock Price'!$I$11="OK",L1206/INDEX(L$5:L$1258,'Stock Price'!$I$9)-1,"")</f>
        <v>0.20863274656378117</v>
      </c>
      <c r="Z1206" s="19">
        <f ca="1">IF('Stock Price'!$I$11="OK",M1206/INDEX(M$5:M$1258,'Stock Price'!$I$9)-1,"")</f>
        <v>0.11682874711089797</v>
      </c>
    </row>
    <row r="1207" spans="1:26" x14ac:dyDescent="0.2">
      <c r="A1207" s="16">
        <f>'Stock Price'!A1207</f>
        <v>46225</v>
      </c>
      <c r="B1207" s="17">
        <f>'Stock Price'!E1207</f>
        <v>127.47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0.19746359793330193</v>
      </c>
      <c r="P1207" s="19">
        <f ca="1">IF('Stock Price'!$I$11="OK",C1207/INDEX(C$5:C$1258,'Stock Price'!$I$9)-1,"")</f>
        <v>0.10495163851595213</v>
      </c>
      <c r="Q1207" s="19">
        <f ca="1">IF('Stock Price'!$I$11="OK",D1207/INDEX(D$5:D$1258,'Stock Price'!$I$9)-1,"")</f>
        <v>-7.0863555494731223E-2</v>
      </c>
      <c r="R1207" s="19">
        <f ca="1">IF('Stock Price'!$I$11="OK",E1207/INDEX(E$5:E$1258,'Stock Price'!$I$9)-1,"")</f>
        <v>2.2768486802337229E-2</v>
      </c>
      <c r="S1207" s="19">
        <f ca="1">IF('Stock Price'!$I$11="OK",F1207/INDEX(F$5:F$1258,'Stock Price'!$I$9)-1,"")</f>
        <v>4.8590864917394949E-3</v>
      </c>
      <c r="T1207" s="19">
        <f ca="1">IF('Stock Price'!$I$11="OK",G1207/INDEX(G$5:G$1258,'Stock Price'!$I$9)-1,"")</f>
        <v>-9.2058884511714623E-2</v>
      </c>
      <c r="U1207" s="19">
        <f ca="1">IF('Stock Price'!$I$11="OK",H1207/INDEX(H$5:H$1258,'Stock Price'!$I$9)-1,"")</f>
        <v>0.23605263157894729</v>
      </c>
      <c r="V1207" s="19">
        <f ca="1">IF('Stock Price'!$I$11="OK",I1207/INDEX(I$5:I$1258,'Stock Price'!$I$9)-1,"")</f>
        <v>-1.4297061159650459E-2</v>
      </c>
      <c r="W1207" s="19">
        <f ca="1">IF('Stock Price'!$I$11="OK",J1207/INDEX(J$5:J$1258,'Stock Price'!$I$9)-1,"")</f>
        <v>7.6502277018771547E-2</v>
      </c>
      <c r="X1207" s="19">
        <f ca="1">IF('Stock Price'!$I$11="OK",K1207/INDEX(K$5:K$1258,'Stock Price'!$I$9)-1,"")</f>
        <v>0.1365506921062476</v>
      </c>
      <c r="Y1207" s="19">
        <f ca="1">IF('Stock Price'!$I$11="OK",L1207/INDEX(L$5:L$1258,'Stock Price'!$I$9)-1,"")</f>
        <v>0.23284301904991556</v>
      </c>
      <c r="Z1207" s="19">
        <f ca="1">IF('Stock Price'!$I$11="OK",M1207/INDEX(M$5:M$1258,'Stock Price'!$I$9)-1,"")</f>
        <v>0.10461820243338726</v>
      </c>
    </row>
    <row r="1208" spans="1:26" x14ac:dyDescent="0.2">
      <c r="A1208" s="16">
        <f>'Stock Price'!A1208</f>
        <v>46226</v>
      </c>
      <c r="B1208" s="17">
        <f>'Stock Price'!E1208</f>
        <v>130.47999999999999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0.22573978393612015</v>
      </c>
      <c r="P1208" s="19">
        <f ca="1">IF('Stock Price'!$I$11="OK",C1208/INDEX(C$5:C$1258,'Stock Price'!$I$9)-1,"")</f>
        <v>0.12703912227515524</v>
      </c>
      <c r="Q1208" s="19">
        <f ca="1">IF('Stock Price'!$I$11="OK",D1208/INDEX(D$5:D$1258,'Stock Price'!$I$9)-1,"")</f>
        <v>-7.8855891610784212E-2</v>
      </c>
      <c r="R1208" s="19">
        <f ca="1">IF('Stock Price'!$I$11="OK",E1208/INDEX(E$5:E$1258,'Stock Price'!$I$9)-1,"")</f>
        <v>2.2365504735039288E-2</v>
      </c>
      <c r="S1208" s="19">
        <f ca="1">IF('Stock Price'!$I$11="OK",F1208/INDEX(F$5:F$1258,'Stock Price'!$I$9)-1,"")</f>
        <v>4.8007774538386672E-2</v>
      </c>
      <c r="T1208" s="19">
        <f ca="1">IF('Stock Price'!$I$11="OK",G1208/INDEX(G$5:G$1258,'Stock Price'!$I$9)-1,"")</f>
        <v>-0.10097449720091223</v>
      </c>
      <c r="U1208" s="19">
        <f ca="1">IF('Stock Price'!$I$11="OK",H1208/INDEX(H$5:H$1258,'Stock Price'!$I$9)-1,"")</f>
        <v>0.21578947368421053</v>
      </c>
      <c r="V1208" s="19">
        <f ca="1">IF('Stock Price'!$I$11="OK",I1208/INDEX(I$5:I$1258,'Stock Price'!$I$9)-1,"")</f>
        <v>-6.7513899920571552E-3</v>
      </c>
      <c r="W1208" s="19">
        <f ca="1">IF('Stock Price'!$I$11="OK",J1208/INDEX(J$5:J$1258,'Stock Price'!$I$9)-1,"")</f>
        <v>9.7661890480950753E-2</v>
      </c>
      <c r="X1208" s="19">
        <f ca="1">IF('Stock Price'!$I$11="OK",K1208/INDEX(K$5:K$1258,'Stock Price'!$I$9)-1,"")</f>
        <v>0.15057987280209506</v>
      </c>
      <c r="Y1208" s="19">
        <f ca="1">IF('Stock Price'!$I$11="OK",L1208/INDEX(L$5:L$1258,'Stock Price'!$I$9)-1,"")</f>
        <v>0.25039787798408475</v>
      </c>
      <c r="Z1208" s="19">
        <f ca="1">IF('Stock Price'!$I$11="OK",M1208/INDEX(M$5:M$1258,'Stock Price'!$I$9)-1,"")</f>
        <v>0.1204046923378832</v>
      </c>
    </row>
    <row r="1209" spans="1:26" x14ac:dyDescent="0.2">
      <c r="A1209" s="16">
        <f>'Stock Price'!A1209</f>
        <v>46227</v>
      </c>
      <c r="B1209" s="17">
        <f>'Stock Price'!E1209</f>
        <v>131.07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0.23128229215594165</v>
      </c>
      <c r="P1209" s="19">
        <f ca="1">IF('Stock Price'!$I$11="OK",C1209/INDEX(C$5:C$1258,'Stock Price'!$I$9)-1,"")</f>
        <v>0.11888263317453451</v>
      </c>
      <c r="Q1209" s="19">
        <f ca="1">IF('Stock Price'!$I$11="OK",D1209/INDEX(D$5:D$1258,'Stock Price'!$I$9)-1,"")</f>
        <v>-7.3436430819762033E-2</v>
      </c>
      <c r="R1209" s="19">
        <f ca="1">IF('Stock Price'!$I$11="OK",E1209/INDEX(E$5:E$1258,'Stock Price'!$I$9)-1,"")</f>
        <v>3.4656457787628492E-2</v>
      </c>
      <c r="S1209" s="19">
        <f ca="1">IF('Stock Price'!$I$11="OK",F1209/INDEX(F$5:F$1258,'Stock Price'!$I$9)-1,"")</f>
        <v>6.31681243926141E-2</v>
      </c>
      <c r="T1209" s="19">
        <f ca="1">IF('Stock Price'!$I$11="OK",G1209/INDEX(G$5:G$1258,'Stock Price'!$I$9)-1,"")</f>
        <v>-0.10118183703089356</v>
      </c>
      <c r="U1209" s="19">
        <f ca="1">IF('Stock Price'!$I$11="OK",H1209/INDEX(H$5:H$1258,'Stock Price'!$I$9)-1,"")</f>
        <v>0.2121052631578948</v>
      </c>
      <c r="V1209" s="19">
        <f ca="1">IF('Stock Price'!$I$11="OK",I1209/INDEX(I$5:I$1258,'Stock Price'!$I$9)-1,"")</f>
        <v>-2.5416997617156545E-2</v>
      </c>
      <c r="W1209" s="19">
        <f ca="1">IF('Stock Price'!$I$11="OK",J1209/INDEX(J$5:J$1258,'Stock Price'!$I$9)-1,"")</f>
        <v>0.1070661631308083</v>
      </c>
      <c r="X1209" s="19">
        <f ca="1">IF('Stock Price'!$I$11="OK",K1209/INDEX(K$5:K$1258,'Stock Price'!$I$9)-1,"")</f>
        <v>0.16142910587355042</v>
      </c>
      <c r="Y1209" s="19">
        <f ca="1">IF('Stock Price'!$I$11="OK",L1209/INDEX(L$5:L$1258,'Stock Price'!$I$9)-1,"")</f>
        <v>0.27031589100554609</v>
      </c>
      <c r="Z1209" s="19">
        <f ca="1">IF('Stock Price'!$I$11="OK",M1209/INDEX(M$5:M$1258,'Stock Price'!$I$9)-1,"")</f>
        <v>0.13104530984257123</v>
      </c>
    </row>
    <row r="1210" spans="1:26" x14ac:dyDescent="0.2">
      <c r="A1210" s="16">
        <f>'Stock Price'!A1210</f>
        <v>46230</v>
      </c>
      <c r="B1210" s="17">
        <f>'Stock Price'!E1210</f>
        <v>130.76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0.22837012682010327</v>
      </c>
      <c r="P1210" s="19">
        <f ca="1">IF('Stock Price'!$I$11="OK",C1210/INDEX(C$5:C$1258,'Stock Price'!$I$9)-1,"")</f>
        <v>0.12682257831673183</v>
      </c>
      <c r="Q1210" s="19">
        <f ca="1">IF('Stock Price'!$I$11="OK",D1210/INDEX(D$5:D$1258,'Stock Price'!$I$9)-1,"")</f>
        <v>-7.1356233748460562E-2</v>
      </c>
      <c r="R1210" s="19">
        <f ca="1">IF('Stock Price'!$I$11="OK",E1210/INDEX(E$5:E$1258,'Stock Price'!$I$9)-1,"")</f>
        <v>4.7350392907515415E-2</v>
      </c>
      <c r="S1210" s="19">
        <f ca="1">IF('Stock Price'!$I$11="OK",F1210/INDEX(F$5:F$1258,'Stock Price'!$I$9)-1,"")</f>
        <v>6.4528668610301265E-2</v>
      </c>
      <c r="T1210" s="19">
        <f ca="1">IF('Stock Price'!$I$11="OK",G1210/INDEX(G$5:G$1258,'Stock Price'!$I$9)-1,"")</f>
        <v>-8.7704748082106487E-2</v>
      </c>
      <c r="U1210" s="19">
        <f ca="1">IF('Stock Price'!$I$11="OK",H1210/INDEX(H$5:H$1258,'Stock Price'!$I$9)-1,"")</f>
        <v>0.24289473684210527</v>
      </c>
      <c r="V1210" s="19">
        <f ca="1">IF('Stock Price'!$I$11="OK",I1210/INDEX(I$5:I$1258,'Stock Price'!$I$9)-1,"")</f>
        <v>-2.0254169976171466E-2</v>
      </c>
      <c r="W1210" s="19">
        <f ca="1">IF('Stock Price'!$I$11="OK",J1210/INDEX(J$5:J$1258,'Stock Price'!$I$9)-1,"")</f>
        <v>0.10845458921100382</v>
      </c>
      <c r="X1210" s="19">
        <f ca="1">IF('Stock Price'!$I$11="OK",K1210/INDEX(K$5:K$1258,'Stock Price'!$I$9)-1,"")</f>
        <v>0.17022072577628133</v>
      </c>
      <c r="Y1210" s="19">
        <f ca="1">IF('Stock Price'!$I$11="OK",L1210/INDEX(L$5:L$1258,'Stock Price'!$I$9)-1,"")</f>
        <v>0.28261393778635147</v>
      </c>
      <c r="Z1210" s="19">
        <f ca="1">IF('Stock Price'!$I$11="OK",M1210/INDEX(M$5:M$1258,'Stock Price'!$I$9)-1,"")</f>
        <v>0.12036108324974926</v>
      </c>
    </row>
    <row r="1211" spans="1:26" x14ac:dyDescent="0.2">
      <c r="A1211" s="16">
        <f>'Stock Price'!A1211</f>
        <v>46231</v>
      </c>
      <c r="B1211" s="17">
        <f>'Stock Price'!E1211</f>
        <v>131.82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0.23832785345232499</v>
      </c>
      <c r="P1211" s="19">
        <f ca="1">IF('Stock Price'!$I$11="OK",C1211/INDEX(C$5:C$1258,'Stock Price'!$I$9)-1,"")</f>
        <v>0.15381839180020207</v>
      </c>
      <c r="Q1211" s="19">
        <f ca="1">IF('Stock Price'!$I$11="OK",D1211/INDEX(D$5:D$1258,'Stock Price'!$I$9)-1,"")</f>
        <v>-5.5809497741891478E-2</v>
      </c>
      <c r="R1211" s="19">
        <f ca="1">IF('Stock Price'!$I$11="OK",E1211/INDEX(E$5:E$1258,'Stock Price'!$I$9)-1,"")</f>
        <v>8.22083417287931E-2</v>
      </c>
      <c r="S1211" s="19">
        <f ca="1">IF('Stock Price'!$I$11="OK",F1211/INDEX(F$5:F$1258,'Stock Price'!$I$9)-1,"")</f>
        <v>9.8542274052478174E-2</v>
      </c>
      <c r="T1211" s="19">
        <f ca="1">IF('Stock Price'!$I$11="OK",G1211/INDEX(G$5:G$1258,'Stock Price'!$I$9)-1,"")</f>
        <v>-5.577441426498031E-2</v>
      </c>
      <c r="U1211" s="19">
        <f ca="1">IF('Stock Price'!$I$11="OK",H1211/INDEX(H$5:H$1258,'Stock Price'!$I$9)-1,"")</f>
        <v>0.23763157894736842</v>
      </c>
      <c r="V1211" s="19">
        <f ca="1">IF('Stock Price'!$I$11="OK",I1211/INDEX(I$5:I$1258,'Stock Price'!$I$9)-1,"")</f>
        <v>2.7799841143765214E-3</v>
      </c>
      <c r="W1211" s="19">
        <f ca="1">IF('Stock Price'!$I$11="OK",J1211/INDEX(J$5:J$1258,'Stock Price'!$I$9)-1,"")</f>
        <v>0.12986411936761844</v>
      </c>
      <c r="X1211" s="19">
        <f ca="1">IF('Stock Price'!$I$11="OK",K1211/INDEX(K$5:K$1258,'Stock Price'!$I$9)-1,"")</f>
        <v>0.18967452300785625</v>
      </c>
      <c r="Y1211" s="19">
        <f ca="1">IF('Stock Price'!$I$11="OK",L1211/INDEX(L$5:L$1258,'Stock Price'!$I$9)-1,"")</f>
        <v>0.28637569327224521</v>
      </c>
      <c r="Z1211" s="19">
        <f ca="1">IF('Stock Price'!$I$11="OK",M1211/INDEX(M$5:M$1258,'Stock Price'!$I$9)-1,"")</f>
        <v>0.1477911996860144</v>
      </c>
    </row>
    <row r="1212" spans="1:26" x14ac:dyDescent="0.2">
      <c r="A1212" s="16">
        <f>'Stock Price'!A1212</f>
        <v>46232</v>
      </c>
      <c r="B1212" s="17">
        <f>'Stock Price'!E1212</f>
        <v>130.36000000000001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0.2246124941286991</v>
      </c>
      <c r="P1212" s="19">
        <f ca="1">IF('Stock Price'!$I$11="OK",C1212/INDEX(C$5:C$1258,'Stock Price'!$I$9)-1,"")</f>
        <v>0.14645589721380126</v>
      </c>
      <c r="Q1212" s="19">
        <f ca="1">IF('Stock Price'!$I$11="OK",D1212/INDEX(D$5:D$1258,'Stock Price'!$I$9)-1,"")</f>
        <v>-5.1320651430135533E-2</v>
      </c>
      <c r="R1212" s="19">
        <f ca="1">IF('Stock Price'!$I$11="OK",E1212/INDEX(E$5:E$1258,'Stock Price'!$I$9)-1,"")</f>
        <v>7.2335281079991764E-2</v>
      </c>
      <c r="S1212" s="19">
        <f ca="1">IF('Stock Price'!$I$11="OK",F1212/INDEX(F$5:F$1258,'Stock Price'!$I$9)-1,"")</f>
        <v>6.8415937803692817E-2</v>
      </c>
      <c r="T1212" s="19">
        <f ca="1">IF('Stock Price'!$I$11="OK",G1212/INDEX(G$5:G$1258,'Stock Price'!$I$9)-1,"")</f>
        <v>-7.0080862533692612E-2</v>
      </c>
      <c r="U1212" s="19">
        <f ca="1">IF('Stock Price'!$I$11="OK",H1212/INDEX(H$5:H$1258,'Stock Price'!$I$9)-1,"")</f>
        <v>0.25499999999999989</v>
      </c>
      <c r="V1212" s="19">
        <f ca="1">IF('Stock Price'!$I$11="OK",I1212/INDEX(I$5:I$1258,'Stock Price'!$I$9)-1,"")</f>
        <v>-1.1914217633042234E-3</v>
      </c>
      <c r="W1212" s="19">
        <f ca="1">IF('Stock Price'!$I$11="OK",J1212/INDEX(J$5:J$1258,'Stock Price'!$I$9)-1,"")</f>
        <v>0.12001555037209832</v>
      </c>
      <c r="X1212" s="19">
        <f ca="1">IF('Stock Price'!$I$11="OK",K1212/INDEX(K$5:K$1258,'Stock Price'!$I$9)-1,"")</f>
        <v>0.1803217358772915</v>
      </c>
      <c r="Y1212" s="19">
        <f ca="1">IF('Stock Price'!$I$11="OK",L1212/INDEX(L$5:L$1258,'Stock Price'!$I$9)-1,"")</f>
        <v>0.28058837714010121</v>
      </c>
      <c r="Z1212" s="19">
        <f ca="1">IF('Stock Price'!$I$11="OK",M1212/INDEX(M$5:M$1258,'Stock Price'!$I$9)-1,"")</f>
        <v>0.14822729056735429</v>
      </c>
    </row>
    <row r="1213" spans="1:26" x14ac:dyDescent="0.2">
      <c r="A1213" s="16">
        <f>'Stock Price'!A1213</f>
        <v>46233</v>
      </c>
      <c r="B1213" s="17">
        <f>'Stock Price'!E1213</f>
        <v>129.79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0.21925786754344756</v>
      </c>
      <c r="P1213" s="19">
        <f ca="1">IF('Stock Price'!$I$11="OK",C1213/INDEX(C$5:C$1258,'Stock Price'!$I$9)-1,"")</f>
        <v>0.14364082575429493</v>
      </c>
      <c r="Q1213" s="19">
        <f ca="1">IF('Stock Price'!$I$11="OK",D1213/INDEX(D$5:D$1258,'Stock Price'!$I$9)-1,"")</f>
        <v>-6.205008895579589E-2</v>
      </c>
      <c r="R1213" s="19">
        <f ca="1">IF('Stock Price'!$I$11="OK",E1213/INDEX(E$5:E$1258,'Stock Price'!$I$9)-1,"")</f>
        <v>4.9163812210356594E-2</v>
      </c>
      <c r="S1213" s="19">
        <f ca="1">IF('Stock Price'!$I$11="OK",F1213/INDEX(F$5:F$1258,'Stock Price'!$I$9)-1,"")</f>
        <v>7.4246841593780477E-2</v>
      </c>
      <c r="T1213" s="19">
        <f ca="1">IF('Stock Price'!$I$11="OK",G1213/INDEX(G$5:G$1258,'Stock Price'!$I$9)-1,"")</f>
        <v>-0.11071946921003517</v>
      </c>
      <c r="U1213" s="19">
        <f ca="1">IF('Stock Price'!$I$11="OK",H1213/INDEX(H$5:H$1258,'Stock Price'!$I$9)-1,"")</f>
        <v>0.27473684210526317</v>
      </c>
      <c r="V1213" s="19">
        <f ca="1">IF('Stock Price'!$I$11="OK",I1213/INDEX(I$5:I$1258,'Stock Price'!$I$9)-1,"")</f>
        <v>-1.07227958697379E-2</v>
      </c>
      <c r="W1213" s="19">
        <f ca="1">IF('Stock Price'!$I$11="OK",J1213/INDEX(J$5:J$1258,'Stock Price'!$I$9)-1,"")</f>
        <v>6.9060313228923809E-2</v>
      </c>
      <c r="X1213" s="19">
        <f ca="1">IF('Stock Price'!$I$11="OK",K1213/INDEX(K$5:K$1258,'Stock Price'!$I$9)-1,"")</f>
        <v>0.21324354657687983</v>
      </c>
      <c r="Y1213" s="19">
        <f ca="1">IF('Stock Price'!$I$11="OK",L1213/INDEX(L$5:L$1258,'Stock Price'!$I$9)-1,"")</f>
        <v>0.23375934410417165</v>
      </c>
      <c r="Z1213" s="19">
        <f ca="1">IF('Stock Price'!$I$11="OK",M1213/INDEX(M$5:M$1258,'Stock Price'!$I$9)-1,"")</f>
        <v>0.1225415376564476</v>
      </c>
    </row>
    <row r="1214" spans="1:26" x14ac:dyDescent="0.2">
      <c r="A1214" s="16">
        <f>'Stock Price'!A1214</f>
        <v>46234</v>
      </c>
      <c r="B1214" s="17">
        <f>'Stock Price'!E1214</f>
        <v>130.19999999999999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0.22310944105213704</v>
      </c>
      <c r="P1214" s="19">
        <f ca="1">IF('Stock Price'!$I$11="OK",C1214/INDEX(C$5:C$1258,'Stock Price'!$I$9)-1,"")</f>
        <v>0.12711130359462985</v>
      </c>
      <c r="Q1214" s="19">
        <f ca="1">IF('Stock Price'!$I$11="OK",D1214/INDEX(D$5:D$1258,'Stock Price'!$I$9)-1,"")</f>
        <v>-7.1356233748460562E-2</v>
      </c>
      <c r="R1214" s="19">
        <f ca="1">IF('Stock Price'!$I$11="OK",E1214/INDEX(E$5:E$1258,'Stock Price'!$I$9)-1,"")</f>
        <v>4.150715293169438E-2</v>
      </c>
      <c r="S1214" s="19">
        <f ca="1">IF('Stock Price'!$I$11="OK",F1214/INDEX(F$5:F$1258,'Stock Price'!$I$9)-1,"")</f>
        <v>6.2585034013605378E-2</v>
      </c>
      <c r="T1214" s="19">
        <f ca="1">IF('Stock Price'!$I$11="OK",G1214/INDEX(G$5:G$1258,'Stock Price'!$I$9)-1,"")</f>
        <v>-0.10678001244038982</v>
      </c>
      <c r="U1214" s="19">
        <f ca="1">IF('Stock Price'!$I$11="OK",H1214/INDEX(H$5:H$1258,'Stock Price'!$I$9)-1,"")</f>
        <v>0.26447368421052619</v>
      </c>
      <c r="V1214" s="19">
        <f ca="1">IF('Stock Price'!$I$11="OK",I1214/INDEX(I$5:I$1258,'Stock Price'!$I$9)-1,"")</f>
        <v>-6.7513899920571552E-3</v>
      </c>
      <c r="W1214" s="19">
        <f ca="1">IF('Stock Price'!$I$11="OK",J1214/INDEX(J$5:J$1258,'Stock Price'!$I$9)-1,"")</f>
        <v>6.3386278647858063E-2</v>
      </c>
      <c r="X1214" s="19">
        <f ca="1">IF('Stock Price'!$I$11="OK",K1214/INDEX(K$5:K$1258,'Stock Price'!$I$9)-1,"")</f>
        <v>0.22166105499438826</v>
      </c>
      <c r="Y1214" s="19">
        <f ca="1">IF('Stock Price'!$I$11="OK",L1214/INDEX(L$5:L$1258,'Stock Price'!$I$9)-1,"")</f>
        <v>0.23631540872920187</v>
      </c>
      <c r="Z1214" s="19">
        <f ca="1">IF('Stock Price'!$I$11="OK",M1214/INDEX(M$5:M$1258,'Stock Price'!$I$9)-1,"")</f>
        <v>9.4326457633770788E-2</v>
      </c>
    </row>
    <row r="1215" spans="1:26" x14ac:dyDescent="0.2">
      <c r="A1215" s="16">
        <f>'Stock Price'!A1215</f>
        <v>46237</v>
      </c>
      <c r="B1215" s="17">
        <f>'Stock Price'!E1215</f>
        <v>127.77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0.20028182245185522</v>
      </c>
      <c r="P1215" s="19">
        <f ca="1">IF('Stock Price'!$I$11="OK",C1215/INDEX(C$5:C$1258,'Stock Price'!$I$9)-1,"")</f>
        <v>0.10921033636494881</v>
      </c>
      <c r="Q1215" s="19">
        <f ca="1">IF('Stock Price'!$I$11="OK",D1215/INDEX(D$5:D$1258,'Stock Price'!$I$9)-1,"")</f>
        <v>-0.13524018064869314</v>
      </c>
      <c r="R1215" s="19">
        <f ca="1">IF('Stock Price'!$I$11="OK",E1215/INDEX(E$5:E$1258,'Stock Price'!$I$9)-1,"")</f>
        <v>3.7880314326012465E-2</v>
      </c>
      <c r="S1215" s="19">
        <f ca="1">IF('Stock Price'!$I$11="OK",F1215/INDEX(F$5:F$1258,'Stock Price'!$I$9)-1,"")</f>
        <v>7.0553935860058203E-2</v>
      </c>
      <c r="T1215" s="19">
        <f ca="1">IF('Stock Price'!$I$11="OK",G1215/INDEX(G$5:G$1258,'Stock Price'!$I$9)-1,"")</f>
        <v>-0.10947543023014705</v>
      </c>
      <c r="U1215" s="19">
        <f ca="1">IF('Stock Price'!$I$11="OK",H1215/INDEX(H$5:H$1258,'Stock Price'!$I$9)-1,"")</f>
        <v>0.24</v>
      </c>
      <c r="V1215" s="19">
        <f ca="1">IF('Stock Price'!$I$11="OK",I1215/INDEX(I$5:I$1258,'Stock Price'!$I$9)-1,"")</f>
        <v>-5.9571088165210062E-3</v>
      </c>
      <c r="W1215" s="19">
        <f ca="1">IF('Stock Price'!$I$11="OK",J1215/INDEX(J$5:J$1258,'Stock Price'!$I$9)-1,"")</f>
        <v>3.7950312858676671E-2</v>
      </c>
      <c r="X1215" s="19">
        <f ca="1">IF('Stock Price'!$I$11="OK",K1215/INDEX(K$5:K$1258,'Stock Price'!$I$9)-1,"")</f>
        <v>0.22465394687616902</v>
      </c>
      <c r="Y1215" s="19">
        <f ca="1">IF('Stock Price'!$I$11="OK",L1215/INDEX(L$5:L$1258,'Stock Price'!$I$9)-1,"")</f>
        <v>0.22695924764890285</v>
      </c>
      <c r="Z1215" s="19">
        <f ca="1">IF('Stock Price'!$I$11="OK",M1215/INDEX(M$5:M$1258,'Stock Price'!$I$9)-1,"")</f>
        <v>6.8858750163534044E-2</v>
      </c>
    </row>
    <row r="1216" spans="1:26" x14ac:dyDescent="0.2">
      <c r="A1216" s="16">
        <f>'Stock Price'!A1216</f>
        <v>46238</v>
      </c>
      <c r="B1216" s="17">
        <f>'Stock Price'!E1216</f>
        <v>128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0.2024424612494129</v>
      </c>
      <c r="P1216" s="19">
        <f ca="1">IF('Stock Price'!$I$11="OK",C1216/INDEX(C$5:C$1258,'Stock Price'!$I$9)-1,"")</f>
        <v>0.10632308358596809</v>
      </c>
      <c r="Q1216" s="19">
        <f ca="1">IF('Stock Price'!$I$11="OK",D1216/INDEX(D$5:D$1258,'Stock Price'!$I$9)-1,"")</f>
        <v>-0.14810455727384697</v>
      </c>
      <c r="R1216" s="19">
        <f ca="1">IF('Stock Price'!$I$11="OK",E1216/INDEX(E$5:E$1258,'Stock Price'!$I$9)-1,"")</f>
        <v>3.8283296393310406E-2</v>
      </c>
      <c r="S1216" s="19">
        <f ca="1">IF('Stock Price'!$I$11="OK",F1216/INDEX(F$5:F$1258,'Stock Price'!$I$9)-1,"")</f>
        <v>7.7162293488824085E-2</v>
      </c>
      <c r="T1216" s="19">
        <f ca="1">IF('Stock Price'!$I$11="OK",G1216/INDEX(G$5:G$1258,'Stock Price'!$I$9)-1,"")</f>
        <v>-0.11507360563964331</v>
      </c>
      <c r="U1216" s="19">
        <f ca="1">IF('Stock Price'!$I$11="OK",H1216/INDEX(H$5:H$1258,'Stock Price'!$I$9)-1,"")</f>
        <v>0.26973684210526305</v>
      </c>
      <c r="V1216" s="19">
        <f ca="1">IF('Stock Price'!$I$11="OK",I1216/INDEX(I$5:I$1258,'Stock Price'!$I$9)-1,"")</f>
        <v>9.1342335186657131E-3</v>
      </c>
      <c r="W1216" s="19">
        <f ca="1">IF('Stock Price'!$I$11="OK",J1216/INDEX(J$5:J$1258,'Stock Price'!$I$9)-1,"")</f>
        <v>3.2692806101670024E-2</v>
      </c>
      <c r="X1216" s="19">
        <f ca="1">IF('Stock Price'!$I$11="OK",K1216/INDEX(K$5:K$1258,'Stock Price'!$I$9)-1,"")</f>
        <v>0.23251028806584362</v>
      </c>
      <c r="Y1216" s="19">
        <f ca="1">IF('Stock Price'!$I$11="OK",L1216/INDEX(L$5:L$1258,'Stock Price'!$I$9)-1,"")</f>
        <v>0.22946708463949861</v>
      </c>
      <c r="Z1216" s="19">
        <f ca="1">IF('Stock Price'!$I$11="OK",M1216/INDEX(M$5:M$1258,'Stock Price'!$I$9)-1,"")</f>
        <v>6.318956870611836E-2</v>
      </c>
    </row>
    <row r="1217" spans="1:26" x14ac:dyDescent="0.2">
      <c r="A1217" s="16">
        <f>'Stock Price'!A1217</f>
        <v>46239</v>
      </c>
      <c r="B1217" s="17">
        <f>'Stock Price'!E1217</f>
        <v>128.33000000000001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0.20554250821982167</v>
      </c>
      <c r="P1217" s="19">
        <f ca="1">IF('Stock Price'!$I$11="OK",C1217/INDEX(C$5:C$1258,'Stock Price'!$I$9)-1,"")</f>
        <v>0.11476829796448684</v>
      </c>
      <c r="Q1217" s="19">
        <f ca="1">IF('Stock Price'!$I$11="OK",D1217/INDEX(D$5:D$1258,'Stock Price'!$I$9)-1,"")</f>
        <v>-0.11591624469686612</v>
      </c>
      <c r="R1217" s="19">
        <f ca="1">IF('Stock Price'!$I$11="OK",E1217/INDEX(E$5:E$1258,'Stock Price'!$I$9)-1,"")</f>
        <v>3.687285915776739E-2</v>
      </c>
      <c r="S1217" s="19">
        <f ca="1">IF('Stock Price'!$I$11="OK",F1217/INDEX(F$5:F$1258,'Stock Price'!$I$9)-1,"")</f>
        <v>9.6404275996112565E-2</v>
      </c>
      <c r="T1217" s="19">
        <f ca="1">IF('Stock Price'!$I$11="OK",G1217/INDEX(G$5:G$1258,'Stock Price'!$I$9)-1,"")</f>
        <v>-0.11300020733982985</v>
      </c>
      <c r="U1217" s="19">
        <f ca="1">IF('Stock Price'!$I$11="OK",H1217/INDEX(H$5:H$1258,'Stock Price'!$I$9)-1,"")</f>
        <v>0.29526315789473689</v>
      </c>
      <c r="V1217" s="19">
        <f ca="1">IF('Stock Price'!$I$11="OK",I1217/INDEX(I$5:I$1258,'Stock Price'!$I$9)-1,"")</f>
        <v>2.501985702938847E-2</v>
      </c>
      <c r="W1217" s="19">
        <f ca="1">IF('Stock Price'!$I$11="OK",J1217/INDEX(J$5:J$1258,'Stock Price'!$I$9)-1,"")</f>
        <v>8.2842756118330918E-2</v>
      </c>
      <c r="X1217" s="19">
        <f ca="1">IF('Stock Price'!$I$11="OK",K1217/INDEX(K$5:K$1258,'Stock Price'!$I$9)-1,"")</f>
        <v>0.19023569023569031</v>
      </c>
      <c r="Y1217" s="19">
        <f ca="1">IF('Stock Price'!$I$11="OK",L1217/INDEX(L$5:L$1258,'Stock Price'!$I$9)-1,"")</f>
        <v>0.2422956353990835</v>
      </c>
      <c r="Z1217" s="19">
        <f ca="1">IF('Stock Price'!$I$11="OK",M1217/INDEX(M$5:M$1258,'Stock Price'!$I$9)-1,"")</f>
        <v>7.3655749858270392E-2</v>
      </c>
    </row>
    <row r="1218" spans="1:26" x14ac:dyDescent="0.2">
      <c r="A1218" s="16">
        <f>'Stock Price'!A1218</f>
        <v>46240</v>
      </c>
      <c r="B1218" s="17">
        <f>'Stock Price'!E1218</f>
        <v>128.37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0.20591827148896202</v>
      </c>
      <c r="P1218" s="19">
        <f ca="1">IF('Stock Price'!$I$11="OK",C1218/INDEX(C$5:C$1258,'Stock Price'!$I$9)-1,"")</f>
        <v>0.11310812761657285</v>
      </c>
      <c r="Q1218" s="19">
        <f ca="1">IF('Stock Price'!$I$11="OK",D1218/INDEX(D$5:D$1258,'Stock Price'!$I$9)-1,"")</f>
        <v>-0.11827015190912837</v>
      </c>
      <c r="R1218" s="19">
        <f ca="1">IF('Stock Price'!$I$11="OK",E1218/INDEX(E$5:E$1258,'Stock Price'!$I$9)-1,"")</f>
        <v>5.1178722546846744E-2</v>
      </c>
      <c r="S1218" s="19">
        <f ca="1">IF('Stock Price'!$I$11="OK",F1218/INDEX(F$5:F$1258,'Stock Price'!$I$9)-1,"")</f>
        <v>9.1739552964042792E-2</v>
      </c>
      <c r="T1218" s="19">
        <f ca="1">IF('Stock Price'!$I$11="OK",G1218/INDEX(G$5:G$1258,'Stock Price'!$I$9)-1,"")</f>
        <v>-0.11071946921003517</v>
      </c>
      <c r="U1218" s="19">
        <f ca="1">IF('Stock Price'!$I$11="OK",H1218/INDEX(H$5:H$1258,'Stock Price'!$I$9)-1,"")</f>
        <v>0.30000000000000004</v>
      </c>
      <c r="V1218" s="19">
        <f ca="1">IF('Stock Price'!$I$11="OK",I1218/INDEX(I$5:I$1258,'Stock Price'!$I$9)-1,"")</f>
        <v>4.0508339952343153E-2</v>
      </c>
      <c r="W1218" s="19">
        <f ca="1">IF('Stock Price'!$I$11="OK",J1218/INDEX(J$5:J$1258,'Stock Price'!$I$9)-1,"")</f>
        <v>0.10328038801880868</v>
      </c>
      <c r="X1218" s="19">
        <f ca="1">IF('Stock Price'!$I$11="OK",K1218/INDEX(K$5:K$1258,'Stock Price'!$I$9)-1,"")</f>
        <v>0.19996258885147777</v>
      </c>
      <c r="Y1218" s="19">
        <f ca="1">IF('Stock Price'!$I$11="OK",L1218/INDEX(L$5:L$1258,'Stock Price'!$I$9)-1,"")</f>
        <v>0.23935374969857737</v>
      </c>
      <c r="Z1218" s="19">
        <f ca="1">IF('Stock Price'!$I$11="OK",M1218/INDEX(M$5:M$1258,'Stock Price'!$I$9)-1,"")</f>
        <v>6.3494832323056194E-2</v>
      </c>
    </row>
    <row r="1219" spans="1:26" x14ac:dyDescent="0.2">
      <c r="A1219" s="16">
        <f>'Stock Price'!A1219</f>
        <v>46241</v>
      </c>
      <c r="B1219" s="17">
        <f>'Stock Price'!E1219</f>
        <v>128.58000000000001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0.20789102865194931</v>
      </c>
      <c r="P1219" s="19">
        <f ca="1">IF('Stock Price'!$I$11="OK",C1219/INDEX(C$5:C$1258,'Stock Price'!$I$9)-1,"")</f>
        <v>0.1284105673451712</v>
      </c>
      <c r="Q1219" s="19">
        <f ca="1">IF('Stock Price'!$I$11="OK",D1219/INDEX(D$5:D$1258,'Stock Price'!$I$9)-1,"")</f>
        <v>-0.11635418092240335</v>
      </c>
      <c r="R1219" s="19">
        <f ca="1">IF('Stock Price'!$I$11="OK",E1219/INDEX(E$5:E$1258,'Stock Price'!$I$9)-1,"")</f>
        <v>6.7096514205117863E-2</v>
      </c>
      <c r="S1219" s="19">
        <f ca="1">IF('Stock Price'!$I$11="OK",F1219/INDEX(F$5:F$1258,'Stock Price'!$I$9)-1,"")</f>
        <v>0.11292517006802716</v>
      </c>
      <c r="T1219" s="19">
        <f ca="1">IF('Stock Price'!$I$11="OK",G1219/INDEX(G$5:G$1258,'Stock Price'!$I$9)-1,"")</f>
        <v>-9.8901098901098772E-2</v>
      </c>
      <c r="U1219" s="19">
        <f ca="1">IF('Stock Price'!$I$11="OK",H1219/INDEX(H$5:H$1258,'Stock Price'!$I$9)-1,"")</f>
        <v>0.3107894736842105</v>
      </c>
      <c r="V1219" s="19">
        <f ca="1">IF('Stock Price'!$I$11="OK",I1219/INDEX(I$5:I$1258,'Stock Price'!$I$9)-1,"")</f>
        <v>6.2748212867355102E-2</v>
      </c>
      <c r="W1219" s="19">
        <f ca="1">IF('Stock Price'!$I$11="OK",J1219/INDEX(J$5:J$1258,'Stock Price'!$I$9)-1,"")</f>
        <v>9.7513791699063379E-2</v>
      </c>
      <c r="X1219" s="19">
        <f ca="1">IF('Stock Price'!$I$11="OK",K1219/INDEX(K$5:K$1258,'Stock Price'!$I$9)-1,"")</f>
        <v>0.21062476618032178</v>
      </c>
      <c r="Y1219" s="19">
        <f ca="1">IF('Stock Price'!$I$11="OK",L1219/INDEX(L$5:L$1258,'Stock Price'!$I$9)-1,"")</f>
        <v>0.25025319508078137</v>
      </c>
      <c r="Z1219" s="19">
        <f ca="1">IF('Stock Price'!$I$11="OK",M1219/INDEX(M$5:M$1258,'Stock Price'!$I$9)-1,"")</f>
        <v>7.2958004448126834E-2</v>
      </c>
    </row>
    <row r="1220" spans="1:26" x14ac:dyDescent="0.2">
      <c r="A1220" s="16">
        <f>'Stock Price'!A1220</f>
        <v>46244</v>
      </c>
      <c r="B1220" s="17">
        <f>'Stock Price'!E1220</f>
        <v>130.91999999999999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0.22987317989666489</v>
      </c>
      <c r="P1220" s="19">
        <f ca="1">IF('Stock Price'!$I$11="OK",C1220/INDEX(C$5:C$1258,'Stock Price'!$I$9)-1,"")</f>
        <v>0.13173090804099896</v>
      </c>
      <c r="Q1220" s="19">
        <f ca="1">IF('Stock Price'!$I$11="OK",D1220/INDEX(D$5:D$1258,'Stock Price'!$I$9)-1,"")</f>
        <v>-0.1136718215409882</v>
      </c>
      <c r="R1220" s="19">
        <f ca="1">IF('Stock Price'!$I$11="OK",E1220/INDEX(E$5:E$1258,'Stock Price'!$I$9)-1,"")</f>
        <v>5.0977231513197552E-2</v>
      </c>
      <c r="S1220" s="19">
        <f ca="1">IF('Stock Price'!$I$11="OK",F1220/INDEX(F$5:F$1258,'Stock Price'!$I$9)-1,"")</f>
        <v>0.11622934888240999</v>
      </c>
      <c r="T1220" s="19">
        <f ca="1">IF('Stock Price'!$I$11="OK",G1220/INDEX(G$5:G$1258,'Stock Price'!$I$9)-1,"")</f>
        <v>-9.8486419241136214E-2</v>
      </c>
      <c r="U1220" s="19">
        <f ca="1">IF('Stock Price'!$I$11="OK",H1220/INDEX(H$5:H$1258,'Stock Price'!$I$9)-1,"")</f>
        <v>0.29552631578947364</v>
      </c>
      <c r="V1220" s="19">
        <f ca="1">IF('Stock Price'!$I$11="OK",I1220/INDEX(I$5:I$1258,'Stock Price'!$I$9)-1,"")</f>
        <v>7.426528991262904E-2</v>
      </c>
      <c r="W1220" s="19">
        <f ca="1">IF('Stock Price'!$I$11="OK",J1220/INDEX(J$5:J$1258,'Stock Price'!$I$9)-1,"")</f>
        <v>0.14030508349068849</v>
      </c>
      <c r="X1220" s="19">
        <f ca="1">IF('Stock Price'!$I$11="OK",K1220/INDEX(K$5:K$1258,'Stock Price'!$I$9)-1,"")</f>
        <v>0.21286943509165734</v>
      </c>
      <c r="Y1220" s="19">
        <f ca="1">IF('Stock Price'!$I$11="OK",L1220/INDEX(L$5:L$1258,'Stock Price'!$I$9)-1,"")</f>
        <v>0.26264769713045588</v>
      </c>
      <c r="Z1220" s="19">
        <f ca="1">IF('Stock Price'!$I$11="OK",M1220/INDEX(M$5:M$1258,'Stock Price'!$I$9)-1,"")</f>
        <v>8.1374558457982582E-2</v>
      </c>
    </row>
    <row r="1221" spans="1:26" x14ac:dyDescent="0.2">
      <c r="A1221" s="16">
        <f>'Stock Price'!A1221</f>
        <v>46245</v>
      </c>
      <c r="B1221" s="17">
        <f>'Stock Price'!E1221</f>
        <v>130.41999999999999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0.22517613903240941</v>
      </c>
      <c r="P1221" s="19">
        <f ca="1">IF('Stock Price'!$I$11="OK",C1221/INDEX(C$5:C$1258,'Stock Price'!$I$9)-1,"")</f>
        <v>0.11599538039555379</v>
      </c>
      <c r="Q1221" s="19">
        <f ca="1">IF('Stock Price'!$I$11="OK",D1221/INDEX(D$5:D$1258,'Stock Price'!$I$9)-1,"")</f>
        <v>-0.13097030244970587</v>
      </c>
      <c r="R1221" s="19">
        <f ca="1">IF('Stock Price'!$I$11="OK",E1221/INDEX(E$5:E$1258,'Stock Price'!$I$9)-1,"")</f>
        <v>2.5589361273423261E-2</v>
      </c>
      <c r="S1221" s="19">
        <f ca="1">IF('Stock Price'!$I$11="OK",F1221/INDEX(F$5:F$1258,'Stock Price'!$I$9)-1,"")</f>
        <v>0.10048590864917384</v>
      </c>
      <c r="T1221" s="19">
        <f ca="1">IF('Stock Price'!$I$11="OK",G1221/INDEX(G$5:G$1258,'Stock Price'!$I$9)-1,"")</f>
        <v>-9.6827700601285427E-2</v>
      </c>
      <c r="U1221" s="19">
        <f ca="1">IF('Stock Price'!$I$11="OK",H1221/INDEX(H$5:H$1258,'Stock Price'!$I$9)-1,"")</f>
        <v>0.28815789473684217</v>
      </c>
      <c r="V1221" s="19">
        <f ca="1">IF('Stock Price'!$I$11="OK",I1221/INDEX(I$5:I$1258,'Stock Price'!$I$9)-1,"")</f>
        <v>5.7188244638602059E-2</v>
      </c>
      <c r="W1221" s="19">
        <f ca="1">IF('Stock Price'!$I$11="OK",J1221/INDEX(J$5:J$1258,'Stock Price'!$I$9)-1,"")</f>
        <v>0.1246436373060833</v>
      </c>
      <c r="X1221" s="19">
        <f ca="1">IF('Stock Price'!$I$11="OK",K1221/INDEX(K$5:K$1258,'Stock Price'!$I$9)-1,"")</f>
        <v>0.18986157875046761</v>
      </c>
      <c r="Y1221" s="19">
        <f ca="1">IF('Stock Price'!$I$11="OK",L1221/INDEX(L$5:L$1258,'Stock Price'!$I$9)-1,"")</f>
        <v>0.25295394260911519</v>
      </c>
      <c r="Z1221" s="19">
        <f ca="1">IF('Stock Price'!$I$11="OK",M1221/INDEX(M$5:M$1258,'Stock Price'!$I$9)-1,"")</f>
        <v>9.0619685142383721E-2</v>
      </c>
    </row>
    <row r="1222" spans="1:26" x14ac:dyDescent="0.2">
      <c r="A1222" s="16">
        <f>'Stock Price'!A1222</f>
        <v>46246</v>
      </c>
      <c r="B1222" s="17">
        <f>'Stock Price'!E1222</f>
        <v>132.91999999999999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0.24866134335368706</v>
      </c>
      <c r="P1222" s="19">
        <f ca="1">IF('Stock Price'!$I$11="OK",C1222/INDEX(C$5:C$1258,'Stock Price'!$I$9)-1,"")</f>
        <v>9.9465858235888494E-2</v>
      </c>
      <c r="Q1222" s="19">
        <f ca="1">IF('Stock Price'!$I$11="OK",D1222/INDEX(D$5:D$1258,'Stock Price'!$I$9)-1,"")</f>
        <v>-0.13233885315450944</v>
      </c>
      <c r="R1222" s="19">
        <f ca="1">IF('Stock Price'!$I$11="OK",E1222/INDEX(E$5:E$1258,'Stock Price'!$I$9)-1,"")</f>
        <v>1.3499899254483028E-2</v>
      </c>
      <c r="S1222" s="19">
        <f ca="1">IF('Stock Price'!$I$11="OK",F1222/INDEX(F$5:F$1258,'Stock Price'!$I$9)-1,"")</f>
        <v>9.8347910592808452E-2</v>
      </c>
      <c r="T1222" s="19">
        <f ca="1">IF('Stock Price'!$I$11="OK",G1222/INDEX(G$5:G$1258,'Stock Price'!$I$9)-1,"")</f>
        <v>-9.3717603151565299E-2</v>
      </c>
      <c r="U1222" s="19">
        <f ca="1">IF('Stock Price'!$I$11="OK",H1222/INDEX(H$5:H$1258,'Stock Price'!$I$9)-1,"")</f>
        <v>0.26315789473684204</v>
      </c>
      <c r="V1222" s="19">
        <f ca="1">IF('Stock Price'!$I$11="OK",I1222/INDEX(I$5:I$1258,'Stock Price'!$I$9)-1,"")</f>
        <v>4.487688641779175E-2</v>
      </c>
      <c r="W1222" s="19">
        <f ca="1">IF('Stock Price'!$I$11="OK",J1222/INDEX(J$5:J$1258,'Stock Price'!$I$9)-1,"")</f>
        <v>0.12951238476063542</v>
      </c>
      <c r="X1222" s="19">
        <f ca="1">IF('Stock Price'!$I$11="OK",K1222/INDEX(K$5:K$1258,'Stock Price'!$I$9)-1,"")</f>
        <v>0.19154508043396934</v>
      </c>
      <c r="Y1222" s="19">
        <f ca="1">IF('Stock Price'!$I$11="OK",L1222/INDEX(L$5:L$1258,'Stock Price'!$I$9)-1,"")</f>
        <v>0.25806607185917541</v>
      </c>
      <c r="Z1222" s="19">
        <f ca="1">IF('Stock Price'!$I$11="OK",M1222/INDEX(M$5:M$1258,'Stock Price'!$I$9)-1,"")</f>
        <v>8.4819676420565981E-2</v>
      </c>
    </row>
    <row r="1223" spans="1:26" x14ac:dyDescent="0.2">
      <c r="A1223" s="16">
        <f>'Stock Price'!A1223</f>
        <v>46247</v>
      </c>
      <c r="B1223" s="17">
        <f>'Stock Price'!E1223</f>
        <v>135.55000000000001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0.27336777829967129</v>
      </c>
      <c r="P1223" s="19">
        <f ca="1">IF('Stock Price'!$I$11="OK",C1223/INDEX(C$5:C$1258,'Stock Price'!$I$9)-1,"")</f>
        <v>9.5134979067417413E-2</v>
      </c>
      <c r="Q1223" s="19">
        <f ca="1">IF('Stock Price'!$I$11="OK",D1223/INDEX(D$5:D$1258,'Stock Price'!$I$9)-1,"")</f>
        <v>-0.13923634870671964</v>
      </c>
      <c r="R1223" s="19">
        <f ca="1">IF('Stock Price'!$I$11="OK",E1223/INDEX(E$5:E$1258,'Stock Price'!$I$9)-1,"")</f>
        <v>1.6522264759218253E-2</v>
      </c>
      <c r="S1223" s="19">
        <f ca="1">IF('Stock Price'!$I$11="OK",F1223/INDEX(F$5:F$1258,'Stock Price'!$I$9)-1,"")</f>
        <v>7.852283770651125E-2</v>
      </c>
      <c r="T1223" s="19">
        <f ca="1">IF('Stock Price'!$I$11="OK",G1223/INDEX(G$5:G$1258,'Stock Price'!$I$9)-1,"")</f>
        <v>-9.2266224341695957E-2</v>
      </c>
      <c r="U1223" s="19">
        <f ca="1">IF('Stock Price'!$I$11="OK",H1223/INDEX(H$5:H$1258,'Stock Price'!$I$9)-1,"")</f>
        <v>0.26473684210526316</v>
      </c>
      <c r="V1223" s="19">
        <f ca="1">IF('Stock Price'!$I$11="OK",I1223/INDEX(I$5:I$1258,'Stock Price'!$I$9)-1,"")</f>
        <v>6.43367752184274E-2</v>
      </c>
      <c r="W1223" s="19">
        <f ca="1">IF('Stock Price'!$I$11="OK",J1223/INDEX(J$5:J$1258,'Stock Price'!$I$9)-1,"")</f>
        <v>0.11907142063756537</v>
      </c>
      <c r="X1223" s="19">
        <f ca="1">IF('Stock Price'!$I$11="OK",K1223/INDEX(K$5:K$1258,'Stock Price'!$I$9)-1,"")</f>
        <v>0.20931537598204275</v>
      </c>
      <c r="Y1223" s="19">
        <f ca="1">IF('Stock Price'!$I$11="OK",L1223/INDEX(L$5:L$1258,'Stock Price'!$I$9)-1,"")</f>
        <v>0.26394984326018811</v>
      </c>
      <c r="Z1223" s="19">
        <f ca="1">IF('Stock Price'!$I$11="OK",M1223/INDEX(M$5:M$1258,'Stock Price'!$I$9)-1,"")</f>
        <v>9.3803148576163231E-2</v>
      </c>
    </row>
    <row r="1224" spans="1:26" x14ac:dyDescent="0.2">
      <c r="A1224" s="16">
        <f>'Stock Price'!A1224</f>
        <v>46248</v>
      </c>
      <c r="B1224" s="17">
        <f>'Stock Price'!E1224</f>
        <v>135.84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0.2760920620009395</v>
      </c>
      <c r="P1224" s="19">
        <f ca="1">IF('Stock Price'!$I$11="OK",C1224/INDEX(C$5:C$1258,'Stock Price'!$I$9)-1,"")</f>
        <v>8.9071748231557724E-2</v>
      </c>
      <c r="Q1224" s="19">
        <f ca="1">IF('Stock Price'!$I$11="OK",D1224/INDEX(D$5:D$1258,'Stock Price'!$I$9)-1,"")</f>
        <v>-0.14356096893389914</v>
      </c>
      <c r="R1224" s="19">
        <f ca="1">IF('Stock Price'!$I$11="OK",E1224/INDEX(E$5:E$1258,'Stock Price'!$I$9)-1,"")</f>
        <v>-2.2164013701390095E-3</v>
      </c>
      <c r="S1224" s="19">
        <f ca="1">IF('Stock Price'!$I$11="OK",F1224/INDEX(F$5:F$1258,'Stock Price'!$I$9)-1,"")</f>
        <v>5.966958211856177E-2</v>
      </c>
      <c r="T1224" s="19">
        <f ca="1">IF('Stock Price'!$I$11="OK",G1224/INDEX(G$5:G$1258,'Stock Price'!$I$9)-1,"")</f>
        <v>-9.3510263321584075E-2</v>
      </c>
      <c r="U1224" s="19">
        <f ca="1">IF('Stock Price'!$I$11="OK",H1224/INDEX(H$5:H$1258,'Stock Price'!$I$9)-1,"")</f>
        <v>0.25763157894736843</v>
      </c>
      <c r="V1224" s="19">
        <f ca="1">IF('Stock Price'!$I$11="OK",I1224/INDEX(I$5:I$1258,'Stock Price'!$I$9)-1,"")</f>
        <v>6.3939634630659326E-2</v>
      </c>
      <c r="W1224" s="19">
        <f ca="1">IF('Stock Price'!$I$11="OK",J1224/INDEX(J$5:J$1258,'Stock Price'!$I$9)-1,"")</f>
        <v>9.2376615202340195E-2</v>
      </c>
      <c r="X1224" s="19">
        <f ca="1">IF('Stock Price'!$I$11="OK",K1224/INDEX(K$5:K$1258,'Stock Price'!$I$9)-1,"")</f>
        <v>0.19397680508791604</v>
      </c>
      <c r="Y1224" s="19">
        <f ca="1">IF('Stock Price'!$I$11="OK",L1224/INDEX(L$5:L$1258,'Stock Price'!$I$9)-1,"")</f>
        <v>0.25560646250301433</v>
      </c>
      <c r="Z1224" s="19">
        <f ca="1">IF('Stock Price'!$I$11="OK",M1224/INDEX(M$5:M$1258,'Stock Price'!$I$9)-1,"")</f>
        <v>8.7872312589943657E-2</v>
      </c>
    </row>
    <row r="1225" spans="1:26" x14ac:dyDescent="0.2">
      <c r="A1225" s="16">
        <f>'Stock Price'!A1225</f>
        <v>46251</v>
      </c>
      <c r="B1225" s="17">
        <f>'Stock Price'!E1225</f>
        <v>135.97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0.27731329262564586</v>
      </c>
      <c r="P1225" s="19">
        <f ca="1">IF('Stock Price'!$I$11="OK",C1225/INDEX(C$5:C$1258,'Stock Price'!$I$9)-1,"")</f>
        <v>9.6939512054280419E-2</v>
      </c>
      <c r="Q1225" s="19">
        <f ca="1">IF('Stock Price'!$I$11="OK",D1225/INDEX(D$5:D$1258,'Stock Price'!$I$9)-1,"")</f>
        <v>-0.14115231969344477</v>
      </c>
      <c r="R1225" s="19">
        <f ca="1">IF('Stock Price'!$I$11="OK",E1225/INDEX(E$5:E$1258,'Stock Price'!$I$9)-1,"")</f>
        <v>1.3096917187185086E-2</v>
      </c>
      <c r="S1225" s="19">
        <f ca="1">IF('Stock Price'!$I$11="OK",F1225/INDEX(F$5:F$1258,'Stock Price'!$I$9)-1,"")</f>
        <v>6.1418853255587935E-2</v>
      </c>
      <c r="T1225" s="19">
        <f ca="1">IF('Stock Price'!$I$11="OK",G1225/INDEX(G$5:G$1258,'Stock Price'!$I$9)-1,"")</f>
        <v>-7.9203815052871662E-2</v>
      </c>
      <c r="U1225" s="19">
        <f ca="1">IF('Stock Price'!$I$11="OK",H1225/INDEX(H$5:H$1258,'Stock Price'!$I$9)-1,"")</f>
        <v>0.26052631578947372</v>
      </c>
      <c r="V1225" s="19">
        <f ca="1">IF('Stock Price'!$I$11="OK",I1225/INDEX(I$5:I$1258,'Stock Price'!$I$9)-1,"")</f>
        <v>6.7116759332803921E-2</v>
      </c>
      <c r="W1225" s="19">
        <f ca="1">IF('Stock Price'!$I$11="OK",J1225/INDEX(J$5:J$1258,'Stock Price'!$I$9)-1,"")</f>
        <v>9.5153467362731226E-2</v>
      </c>
      <c r="X1225" s="19">
        <f ca="1">IF('Stock Price'!$I$11="OK",K1225/INDEX(K$5:K$1258,'Stock Price'!$I$9)-1,"")</f>
        <v>0.20894126449682004</v>
      </c>
      <c r="Y1225" s="19">
        <f ca="1">IF('Stock Price'!$I$11="OK",L1225/INDEX(L$5:L$1258,'Stock Price'!$I$9)-1,"")</f>
        <v>0.26534844465878948</v>
      </c>
      <c r="Z1225" s="19">
        <f ca="1">IF('Stock Price'!$I$11="OK",M1225/INDEX(M$5:M$1258,'Stock Price'!$I$9)-1,"")</f>
        <v>9.1666303257598836E-2</v>
      </c>
    </row>
    <row r="1226" spans="1:26" x14ac:dyDescent="0.2">
      <c r="A1226" s="16">
        <f>'Stock Price'!A1226</f>
        <v>46252</v>
      </c>
      <c r="B1226" s="17">
        <f>'Stock Price'!E1226</f>
        <v>135.16999999999999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0.26979802724283686</v>
      </c>
      <c r="P1226" s="19">
        <f ca="1">IF('Stock Price'!$I$11="OK",C1226/INDEX(C$5:C$1258,'Stock Price'!$I$9)-1,"")</f>
        <v>0.11556229247870675</v>
      </c>
      <c r="Q1226" s="19">
        <f ca="1">IF('Stock Price'!$I$11="OK",D1226/INDEX(D$5:D$1258,'Stock Price'!$I$9)-1,"")</f>
        <v>-0.12358012864376633</v>
      </c>
      <c r="R1226" s="19">
        <f ca="1">IF('Stock Price'!$I$11="OK",E1226/INDEX(E$5:E$1258,'Stock Price'!$I$9)-1,"")</f>
        <v>3.0626637114648414E-2</v>
      </c>
      <c r="S1226" s="19">
        <f ca="1">IF('Stock Price'!$I$11="OK",F1226/INDEX(F$5:F$1258,'Stock Price'!$I$9)-1,"")</f>
        <v>7.9300291545189472E-2</v>
      </c>
      <c r="T1226" s="19">
        <f ca="1">IF('Stock Price'!$I$11="OK",G1226/INDEX(G$5:G$1258,'Stock Price'!$I$9)-1,"")</f>
        <v>-6.7592784573916598E-2</v>
      </c>
      <c r="U1226" s="19">
        <f ca="1">IF('Stock Price'!$I$11="OK",H1226/INDEX(H$5:H$1258,'Stock Price'!$I$9)-1,"")</f>
        <v>0.28263157894736857</v>
      </c>
      <c r="V1226" s="19">
        <f ca="1">IF('Stock Price'!$I$11="OK",I1226/INDEX(I$5:I$1258,'Stock Price'!$I$9)-1,"")</f>
        <v>8.220810166799053E-2</v>
      </c>
      <c r="W1226" s="19">
        <f ca="1">IF('Stock Price'!$I$11="OK",J1226/INDEX(J$5:J$1258,'Stock Price'!$I$9)-1,"")</f>
        <v>0.13455699951867905</v>
      </c>
      <c r="X1226" s="19">
        <f ca="1">IF('Stock Price'!$I$11="OK",K1226/INDEX(K$5:K$1258,'Stock Price'!$I$9)-1,"")</f>
        <v>0.23550317994762437</v>
      </c>
      <c r="Y1226" s="19">
        <f ca="1">IF('Stock Price'!$I$11="OK",L1226/INDEX(L$5:L$1258,'Stock Price'!$I$9)-1,"")</f>
        <v>0.30749939715456964</v>
      </c>
      <c r="Z1226" s="19">
        <f ca="1">IF('Stock Price'!$I$11="OK",M1226/INDEX(M$5:M$1258,'Stock Price'!$I$9)-1,"")</f>
        <v>0.12912650996467678</v>
      </c>
    </row>
    <row r="1227" spans="1:26" x14ac:dyDescent="0.2">
      <c r="A1227" s="16">
        <f>'Stock Price'!A1227</f>
        <v>46253</v>
      </c>
      <c r="B1227" s="17">
        <f>'Stock Price'!E1227</f>
        <v>152.19999999999999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0.42977923907937976</v>
      </c>
      <c r="P1227" s="19">
        <f ca="1">IF('Stock Price'!$I$11="OK",C1227/INDEX(C$5:C$1258,'Stock Price'!$I$9)-1,"")</f>
        <v>0.15713873249603005</v>
      </c>
      <c r="Q1227" s="19">
        <f ca="1">IF('Stock Price'!$I$11="OK",D1227/INDEX(D$5:D$1258,'Stock Price'!$I$9)-1,"")</f>
        <v>-9.7030244970576329E-2</v>
      </c>
      <c r="R1227" s="19">
        <f ca="1">IF('Stock Price'!$I$11="OK",E1227/INDEX(E$5:E$1258,'Stock Price'!$I$9)-1,"")</f>
        <v>6.5484585935925876E-2</v>
      </c>
      <c r="S1227" s="19">
        <f ca="1">IF('Stock Price'!$I$11="OK",F1227/INDEX(F$5:F$1258,'Stock Price'!$I$9)-1,"")</f>
        <v>0.13119533527696792</v>
      </c>
      <c r="T1227" s="19">
        <f ca="1">IF('Stock Price'!$I$11="OK",G1227/INDEX(G$5:G$1258,'Stock Price'!$I$9)-1,"")</f>
        <v>-4.9761559195521388E-2</v>
      </c>
      <c r="U1227" s="19">
        <f ca="1">IF('Stock Price'!$I$11="OK",H1227/INDEX(H$5:H$1258,'Stock Price'!$I$9)-1,"")</f>
        <v>0.28973684210526307</v>
      </c>
      <c r="V1227" s="19">
        <f ca="1">IF('Stock Price'!$I$11="OK",I1227/INDEX(I$5:I$1258,'Stock Price'!$I$9)-1,"")</f>
        <v>0.12152501985702924</v>
      </c>
      <c r="W1227" s="19">
        <f ca="1">IF('Stock Price'!$I$11="OK",J1227/INDEX(J$5:J$1258,'Stock Price'!$I$9)-1,"")</f>
        <v>0.18510496501166274</v>
      </c>
      <c r="X1227" s="19">
        <f ca="1">IF('Stock Price'!$I$11="OK",K1227/INDEX(K$5:K$1258,'Stock Price'!$I$9)-1,"")</f>
        <v>0.26468387579498698</v>
      </c>
      <c r="Y1227" s="19">
        <f ca="1">IF('Stock Price'!$I$11="OK",L1227/INDEX(L$5:L$1258,'Stock Price'!$I$9)-1,"")</f>
        <v>0.31859175307451193</v>
      </c>
      <c r="Z1227" s="19">
        <f ca="1">IF('Stock Price'!$I$11="OK",M1227/INDEX(M$5:M$1258,'Stock Price'!$I$9)-1,"")</f>
        <v>0.15987091709912349</v>
      </c>
    </row>
    <row r="1228" spans="1:26" x14ac:dyDescent="0.2">
      <c r="A1228" s="16">
        <f>'Stock Price'!A1228</f>
        <v>46254</v>
      </c>
      <c r="B1228" s="17">
        <f>'Stock Price'!E1228</f>
        <v>148.99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0.39962423673085956</v>
      </c>
      <c r="P1228" s="19">
        <f ca="1">IF('Stock Price'!$I$11="OK",C1228/INDEX(C$5:C$1258,'Stock Price'!$I$9)-1,"")</f>
        <v>0.12776093546990053</v>
      </c>
      <c r="Q1228" s="19">
        <f ca="1">IF('Stock Price'!$I$11="OK",D1228/INDEX(D$5:D$1258,'Stock Price'!$I$9)-1,"")</f>
        <v>-9.9548378267414805E-2</v>
      </c>
      <c r="R1228" s="19">
        <f ca="1">IF('Stock Price'!$I$11="OK",E1228/INDEX(E$5:E$1258,'Stock Price'!$I$9)-1,"")</f>
        <v>4.6947410840217474E-2</v>
      </c>
      <c r="S1228" s="19">
        <f ca="1">IF('Stock Price'!$I$11="OK",F1228/INDEX(F$5:F$1258,'Stock Price'!$I$9)-1,"")</f>
        <v>0.11273080660835766</v>
      </c>
      <c r="T1228" s="19">
        <f ca="1">IF('Stock Price'!$I$11="OK",G1228/INDEX(G$5:G$1258,'Stock Price'!$I$9)-1,"")</f>
        <v>-6.3860667634252466E-2</v>
      </c>
      <c r="U1228" s="19">
        <f ca="1">IF('Stock Price'!$I$11="OK",H1228/INDEX(H$5:H$1258,'Stock Price'!$I$9)-1,"")</f>
        <v>0.27921052631578935</v>
      </c>
      <c r="V1228" s="19">
        <f ca="1">IF('Stock Price'!$I$11="OK",I1228/INDEX(I$5:I$1258,'Stock Price'!$I$9)-1,"")</f>
        <v>0.10365369340746633</v>
      </c>
      <c r="W1228" s="19">
        <f ca="1">IF('Stock Price'!$I$11="OK",J1228/INDEX(J$5:J$1258,'Stock Price'!$I$9)-1,"")</f>
        <v>0.15183827613017908</v>
      </c>
      <c r="X1228" s="19">
        <f ca="1">IF('Stock Price'!$I$11="OK",K1228/INDEX(K$5:K$1258,'Stock Price'!$I$9)-1,"")</f>
        <v>0.22465394687616902</v>
      </c>
      <c r="Y1228" s="19">
        <f ca="1">IF('Stock Price'!$I$11="OK",L1228/INDEX(L$5:L$1258,'Stock Price'!$I$9)-1,"")</f>
        <v>0.28946226187605495</v>
      </c>
      <c r="Z1228" s="19">
        <f ca="1">IF('Stock Price'!$I$11="OK",M1228/INDEX(M$5:M$1258,'Stock Price'!$I$9)-1,"")</f>
        <v>0.1418167546116611</v>
      </c>
    </row>
    <row r="1229" spans="1:26" x14ac:dyDescent="0.2">
      <c r="A1229" s="16">
        <f>'Stock Price'!A1229</f>
        <v>46255</v>
      </c>
      <c r="B1229" s="17">
        <f>'Stock Price'!E1229</f>
        <v>152.55000000000001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0.43306716768435893</v>
      </c>
      <c r="P1229" s="19">
        <f ca="1">IF('Stock Price'!$I$11="OK",C1229/INDEX(C$5:C$1258,'Stock Price'!$I$9)-1,"")</f>
        <v>0.14667244117222489</v>
      </c>
      <c r="Q1229" s="19">
        <f ca="1">IF('Stock Price'!$I$11="OK",D1229/INDEX(D$5:D$1258,'Stock Price'!$I$9)-1,"")</f>
        <v>-9.139181606678537E-2</v>
      </c>
      <c r="R1229" s="19">
        <f ca="1">IF('Stock Price'!$I$11="OK",E1229/INDEX(E$5:E$1258,'Stock Price'!$I$9)-1,"")</f>
        <v>5.6014507354422705E-2</v>
      </c>
      <c r="S1229" s="19">
        <f ca="1">IF('Stock Price'!$I$11="OK",F1229/INDEX(F$5:F$1258,'Stock Price'!$I$9)-1,"")</f>
        <v>0.12925170068027203</v>
      </c>
      <c r="T1229" s="19">
        <f ca="1">IF('Stock Price'!$I$11="OK",G1229/INDEX(G$5:G$1258,'Stock Price'!$I$9)-1,"")</f>
        <v>-4.9346879535558719E-2</v>
      </c>
      <c r="U1229" s="19">
        <f ca="1">IF('Stock Price'!$I$11="OK",H1229/INDEX(H$5:H$1258,'Stock Price'!$I$9)-1,"")</f>
        <v>0.26421052631578945</v>
      </c>
      <c r="V1229" s="19">
        <f ca="1">IF('Stock Price'!$I$11="OK",I1229/INDEX(I$5:I$1258,'Stock Price'!$I$9)-1,"")</f>
        <v>0.11477362986497219</v>
      </c>
      <c r="W1229" s="19">
        <f ca="1">IF('Stock Price'!$I$11="OK",J1229/INDEX(J$5:J$1258,'Stock Price'!$I$9)-1,"")</f>
        <v>0.1620200673849459</v>
      </c>
      <c r="X1229" s="19">
        <f ca="1">IF('Stock Price'!$I$11="OK",K1229/INDEX(K$5:K$1258,'Stock Price'!$I$9)-1,"")</f>
        <v>0.25346053123830914</v>
      </c>
      <c r="Y1229" s="19">
        <f ca="1">IF('Stock Price'!$I$11="OK",L1229/INDEX(L$5:L$1258,'Stock Price'!$I$9)-1,"")</f>
        <v>0.30330359295876552</v>
      </c>
      <c r="Z1229" s="19">
        <f ca="1">IF('Stock Price'!$I$11="OK",M1229/INDEX(M$5:M$1258,'Stock Price'!$I$9)-1,"")</f>
        <v>0.15546639919759264</v>
      </c>
    </row>
    <row r="1230" spans="1:26" x14ac:dyDescent="0.2">
      <c r="A1230" s="16">
        <f>'Stock Price'!A1230</f>
        <v>46258</v>
      </c>
      <c r="B1230" s="17">
        <f>'Stock Price'!E1230</f>
        <v>150.66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0.41531235321747295</v>
      </c>
      <c r="P1230" s="19">
        <f ca="1">IF('Stock Price'!$I$11="OK",C1230/INDEX(C$5:C$1258,'Stock Price'!$I$9)-1,"")</f>
        <v>0.1406092103363652</v>
      </c>
      <c r="Q1230" s="19">
        <f ca="1">IF('Stock Price'!$I$11="OK",D1230/INDEX(D$5:D$1258,'Stock Price'!$I$9)-1,"")</f>
        <v>-8.7395648008758764E-2</v>
      </c>
      <c r="R1230" s="19">
        <f ca="1">IF('Stock Price'!$I$11="OK",E1230/INDEX(E$5:E$1258,'Stock Price'!$I$9)-1,"")</f>
        <v>4.3320572234535559E-2</v>
      </c>
      <c r="S1230" s="19">
        <f ca="1">IF('Stock Price'!$I$11="OK",F1230/INDEX(F$5:F$1258,'Stock Price'!$I$9)-1,"")</f>
        <v>0.11700680272108843</v>
      </c>
      <c r="T1230" s="19">
        <f ca="1">IF('Stock Price'!$I$11="OK",G1230/INDEX(G$5:G$1258,'Stock Price'!$I$9)-1,"")</f>
        <v>-5.2664316815260181E-2</v>
      </c>
      <c r="U1230" s="19">
        <f ca="1">IF('Stock Price'!$I$11="OK",H1230/INDEX(H$5:H$1258,'Stock Price'!$I$9)-1,"")</f>
        <v>0.27578947368421036</v>
      </c>
      <c r="V1230" s="19">
        <f ca="1">IF('Stock Price'!$I$11="OK",I1230/INDEX(I$5:I$1258,'Stock Price'!$I$9)-1,"")</f>
        <v>0.11080222398729145</v>
      </c>
      <c r="W1230" s="19">
        <f ca="1">IF('Stock Price'!$I$11="OK",J1230/INDEX(J$5:J$1258,'Stock Price'!$I$9)-1,"")</f>
        <v>0.15418008811877537</v>
      </c>
      <c r="X1230" s="19">
        <f ca="1">IF('Stock Price'!$I$11="OK",K1230/INDEX(K$5:K$1258,'Stock Price'!$I$9)-1,"")</f>
        <v>0.25851103628881411</v>
      </c>
      <c r="Y1230" s="19">
        <f ca="1">IF('Stock Price'!$I$11="OK",L1230/INDEX(L$5:L$1258,'Stock Price'!$I$9)-1,"")</f>
        <v>0.3168073306004342</v>
      </c>
      <c r="Z1230" s="19">
        <f ca="1">IF('Stock Price'!$I$11="OK",M1230/INDEX(M$5:M$1258,'Stock Price'!$I$9)-1,"")</f>
        <v>0.15354759931969819</v>
      </c>
    </row>
    <row r="1231" spans="1:26" x14ac:dyDescent="0.2">
      <c r="A1231" s="16">
        <f>'Stock Price'!A1231</f>
        <v>46259</v>
      </c>
      <c r="B1231" s="17">
        <f>'Stock Price'!E1231</f>
        <v>156.44999999999999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0.46970408642555173</v>
      </c>
      <c r="P1231" s="19">
        <f ca="1">IF('Stock Price'!$I$11="OK",C1231/INDEX(C$5:C$1258,'Stock Price'!$I$9)-1,"")</f>
        <v>0.15475674895337077</v>
      </c>
      <c r="Q1231" s="19">
        <f ca="1">IF('Stock Price'!$I$11="OK",D1231/INDEX(D$5:D$1258,'Stock Price'!$I$9)-1,"")</f>
        <v>-7.1246749692076117E-2</v>
      </c>
      <c r="R1231" s="19">
        <f ca="1">IF('Stock Price'!$I$11="OK",E1231/INDEX(E$5:E$1258,'Stock Price'!$I$9)-1,"")</f>
        <v>4.9163812210356594E-2</v>
      </c>
      <c r="S1231" s="19">
        <f ca="1">IF('Stock Price'!$I$11="OK",F1231/INDEX(F$5:F$1258,'Stock Price'!$I$9)-1,"")</f>
        <v>0.13644314868804663</v>
      </c>
      <c r="T1231" s="19">
        <f ca="1">IF('Stock Price'!$I$11="OK",G1231/INDEX(G$5:G$1258,'Stock Price'!$I$9)-1,"")</f>
        <v>-4.5822102425875921E-2</v>
      </c>
      <c r="U1231" s="19">
        <f ca="1">IF('Stock Price'!$I$11="OK",H1231/INDEX(H$5:H$1258,'Stock Price'!$I$9)-1,"")</f>
        <v>0.29631578947368409</v>
      </c>
      <c r="V1231" s="19">
        <f ca="1">IF('Stock Price'!$I$11="OK",I1231/INDEX(I$5:I$1258,'Stock Price'!$I$9)-1,"")</f>
        <v>0.1346306592533757</v>
      </c>
      <c r="W1231" s="19">
        <f ca="1">IF('Stock Price'!$I$11="OK",J1231/INDEX(J$5:J$1258,'Stock Price'!$I$9)-1,"")</f>
        <v>0.1418971453959792</v>
      </c>
      <c r="X1231" s="19">
        <f ca="1">IF('Stock Price'!$I$11="OK",K1231/INDEX(K$5:K$1258,'Stock Price'!$I$9)-1,"")</f>
        <v>0.27048260381593714</v>
      </c>
      <c r="Y1231" s="19">
        <f ca="1">IF('Stock Price'!$I$11="OK",L1231/INDEX(L$5:L$1258,'Stock Price'!$I$9)-1,"")</f>
        <v>0.31728960694477926</v>
      </c>
      <c r="Z1231" s="19">
        <f ca="1">IF('Stock Price'!$I$11="OK",M1231/INDEX(M$5:M$1258,'Stock Price'!$I$9)-1,"")</f>
        <v>0.15908595351271204</v>
      </c>
    </row>
    <row r="1232" spans="1:26" x14ac:dyDescent="0.2">
      <c r="A1232" s="16">
        <f>'Stock Price'!A1232</f>
        <v>46260</v>
      </c>
      <c r="B1232" s="17">
        <f>'Stock Price'!E1232</f>
        <v>153.1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0.43823391263503986</v>
      </c>
      <c r="P1232" s="19">
        <f ca="1">IF('Stock Price'!$I$11="OK",C1232/INDEX(C$5:C$1258,'Stock Price'!$I$9)-1,"")</f>
        <v>0.13714450700158798</v>
      </c>
      <c r="Q1232" s="19">
        <f ca="1">IF('Stock Price'!$I$11="OK",D1232/INDEX(D$5:D$1258,'Stock Price'!$I$9)-1,"")</f>
        <v>-8.9804297249213128E-2</v>
      </c>
      <c r="R1232" s="19">
        <f ca="1">IF('Stock Price'!$I$11="OK",E1232/INDEX(E$5:E$1258,'Stock Price'!$I$9)-1,"")</f>
        <v>3.6268386056820479E-2</v>
      </c>
      <c r="S1232" s="19">
        <f ca="1">IF('Stock Price'!$I$11="OK",F1232/INDEX(F$5:F$1258,'Stock Price'!$I$9)-1,"")</f>
        <v>0.10573372206025256</v>
      </c>
      <c r="T1232" s="19">
        <f ca="1">IF('Stock Price'!$I$11="OK",G1232/INDEX(G$5:G$1258,'Stock Price'!$I$9)-1,"")</f>
        <v>-5.8262492224756324E-2</v>
      </c>
      <c r="U1232" s="19">
        <f ca="1">IF('Stock Price'!$I$11="OK",H1232/INDEX(H$5:H$1258,'Stock Price'!$I$9)-1,"")</f>
        <v>0.29236842105263161</v>
      </c>
      <c r="V1232" s="19">
        <f ca="1">IF('Stock Price'!$I$11="OK",I1232/INDEX(I$5:I$1258,'Stock Price'!$I$9)-1,"")</f>
        <v>0.12390786338363791</v>
      </c>
      <c r="W1232" s="19">
        <f ca="1">IF('Stock Price'!$I$11="OK",J1232/INDEX(J$5:J$1258,'Stock Price'!$I$9)-1,"")</f>
        <v>0.10093857603021239</v>
      </c>
      <c r="X1232" s="19">
        <f ca="1">IF('Stock Price'!$I$11="OK",K1232/INDEX(K$5:K$1258,'Stock Price'!$I$9)-1,"")</f>
        <v>0.26393565282454157</v>
      </c>
      <c r="Y1232" s="19">
        <f ca="1">IF('Stock Price'!$I$11="OK",L1232/INDEX(L$5:L$1258,'Stock Price'!$I$9)-1,"")</f>
        <v>0.30214612973233668</v>
      </c>
      <c r="Z1232" s="19">
        <f ca="1">IF('Stock Price'!$I$11="OK",M1232/INDEX(M$5:M$1258,'Stock Price'!$I$9)-1,"")</f>
        <v>0.14648292704199539</v>
      </c>
    </row>
    <row r="1233" spans="1:26" x14ac:dyDescent="0.2">
      <c r="A1233" s="16">
        <f>'Stock Price'!A1233</f>
        <v>46261</v>
      </c>
      <c r="B1233" s="17">
        <f>'Stock Price'!E1233</f>
        <v>149.54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0.40479098168154048</v>
      </c>
      <c r="P1233" s="19">
        <f ca="1">IF('Stock Price'!$I$11="OK",C1233/INDEX(C$5:C$1258,'Stock Price'!$I$9)-1,"")</f>
        <v>0.11628410567345182</v>
      </c>
      <c r="Q1233" s="19">
        <f ca="1">IF('Stock Price'!$I$11="OK",D1233/INDEX(D$5:D$1258,'Stock Price'!$I$9)-1,"")</f>
        <v>-9.9384152182838359E-2</v>
      </c>
      <c r="R1233" s="19">
        <f ca="1">IF('Stock Price'!$I$11="OK",E1233/INDEX(E$5:E$1258,'Stock Price'!$I$9)-1,"")</f>
        <v>1.2895426153536116E-2</v>
      </c>
      <c r="S1233" s="19">
        <f ca="1">IF('Stock Price'!$I$11="OK",F1233/INDEX(F$5:F$1258,'Stock Price'!$I$9)-1,"")</f>
        <v>9.6015549076773565E-2</v>
      </c>
      <c r="T1233" s="19">
        <f ca="1">IF('Stock Price'!$I$11="OK",G1233/INDEX(G$5:G$1258,'Stock Price'!$I$9)-1,"")</f>
        <v>-7.0288202363673946E-2</v>
      </c>
      <c r="U1233" s="19">
        <f ca="1">IF('Stock Price'!$I$11="OK",H1233/INDEX(H$5:H$1258,'Stock Price'!$I$9)-1,"")</f>
        <v>0.27578947368421036</v>
      </c>
      <c r="V1233" s="19">
        <f ca="1">IF('Stock Price'!$I$11="OK",I1233/INDEX(I$5:I$1258,'Stock Price'!$I$9)-1,"")</f>
        <v>0.11278792692613182</v>
      </c>
      <c r="W1233" s="19">
        <f ca="1">IF('Stock Price'!$I$11="OK",J1233/INDEX(J$5:J$1258,'Stock Price'!$I$9)-1,"")</f>
        <v>8.8618608611944261E-2</v>
      </c>
      <c r="X1233" s="19">
        <f ca="1">IF('Stock Price'!$I$11="OK",K1233/INDEX(K$5:K$1258,'Stock Price'!$I$9)-1,"")</f>
        <v>0.25233819678264124</v>
      </c>
      <c r="Y1233" s="19">
        <f ca="1">IF('Stock Price'!$I$11="OK",L1233/INDEX(L$5:L$1258,'Stock Price'!$I$9)-1,"")</f>
        <v>0.28174584036653005</v>
      </c>
      <c r="Z1233" s="19">
        <f ca="1">IF('Stock Price'!$I$11="OK",M1233/INDEX(M$5:M$1258,'Stock Price'!$I$9)-1,"")</f>
        <v>0.12576861017836105</v>
      </c>
    </row>
    <row r="1234" spans="1:26" x14ac:dyDescent="0.2">
      <c r="A1234" s="16">
        <f>'Stock Price'!A1234</f>
        <v>46262</v>
      </c>
      <c r="B1234" s="17">
        <f>'Stock Price'!E1234</f>
        <v>148.35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0.39361202442461241</v>
      </c>
      <c r="P1234" s="19">
        <f ca="1">IF('Stock Price'!$I$11="OK",C1234/INDEX(C$5:C$1258,'Stock Price'!$I$9)-1,"")</f>
        <v>0.11022087483759213</v>
      </c>
      <c r="Q1234" s="19">
        <f ca="1">IF('Stock Price'!$I$11="OK",D1234/INDEX(D$5:D$1258,'Stock Price'!$I$9)-1,"")</f>
        <v>-0.10934720131380882</v>
      </c>
      <c r="R1234" s="19">
        <f ca="1">IF('Stock Price'!$I$11="OK",E1234/INDEX(E$5:E$1258,'Stock Price'!$I$9)-1,"")</f>
        <v>2.3977433004231274E-2</v>
      </c>
      <c r="S1234" s="19">
        <f ca="1">IF('Stock Price'!$I$11="OK",F1234/INDEX(F$5:F$1258,'Stock Price'!$I$9)-1,"")</f>
        <v>7.269193391642359E-2</v>
      </c>
      <c r="T1234" s="19">
        <f ca="1">IF('Stock Price'!$I$11="OK",G1234/INDEX(G$5:G$1258,'Stock Price'!$I$9)-1,"")</f>
        <v>-7.0702882023636726E-2</v>
      </c>
      <c r="U1234" s="19">
        <f ca="1">IF('Stock Price'!$I$11="OK",H1234/INDEX(H$5:H$1258,'Stock Price'!$I$9)-1,"")</f>
        <v>0.28078947368421048</v>
      </c>
      <c r="V1234" s="19">
        <f ca="1">IF('Stock Price'!$I$11="OK",I1234/INDEX(I$5:I$1258,'Stock Price'!$I$9)-1,"")</f>
        <v>0.11040508339952337</v>
      </c>
      <c r="W1234" s="19">
        <f ca="1">IF('Stock Price'!$I$11="OK",J1234/INDEX(J$5:J$1258,'Stock Price'!$I$9)-1,"")</f>
        <v>8.7239438705616568E-2</v>
      </c>
      <c r="X1234" s="19">
        <f ca="1">IF('Stock Price'!$I$11="OK",K1234/INDEX(K$5:K$1258,'Stock Price'!$I$9)-1,"")</f>
        <v>0.24541713430602319</v>
      </c>
      <c r="Y1234" s="19">
        <f ca="1">IF('Stock Price'!$I$11="OK",L1234/INDEX(L$5:L$1258,'Stock Price'!$I$9)-1,"")</f>
        <v>0.29269351338316874</v>
      </c>
      <c r="Z1234" s="19">
        <f ca="1">IF('Stock Price'!$I$11="OK",M1234/INDEX(M$5:M$1258,'Stock Price'!$I$9)-1,"")</f>
        <v>0.11412498364659185</v>
      </c>
    </row>
    <row r="1235" spans="1:26" x14ac:dyDescent="0.2">
      <c r="A1235" s="16">
        <f>'Stock Price'!A1235</f>
        <v>46265</v>
      </c>
      <c r="B1235" s="17">
        <f>'Stock Price'!E1235</f>
        <v>147.76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0.38806951620479091</v>
      </c>
      <c r="P1235" s="19">
        <f ca="1">IF('Stock Price'!$I$11="OK",C1235/INDEX(C$5:C$1258,'Stock Price'!$I$9)-1,"")</f>
        <v>9.7589143929551092E-2</v>
      </c>
      <c r="Q1235" s="19">
        <f ca="1">IF('Stock Price'!$I$11="OK",D1235/INDEX(D$5:D$1258,'Stock Price'!$I$9)-1,"")</f>
        <v>-0.11246749692076097</v>
      </c>
      <c r="R1235" s="19">
        <f ca="1">IF('Stock Price'!$I$11="OK",E1235/INDEX(E$5:E$1258,'Stock Price'!$I$9)-1,"")</f>
        <v>1.2492444086238175E-2</v>
      </c>
      <c r="S1235" s="19">
        <f ca="1">IF('Stock Price'!$I$11="OK",F1235/INDEX(F$5:F$1258,'Stock Price'!$I$9)-1,"")</f>
        <v>4.3731778425655898E-2</v>
      </c>
      <c r="T1235" s="19">
        <f ca="1">IF('Stock Price'!$I$11="OK",G1235/INDEX(G$5:G$1258,'Stock Price'!$I$9)-1,"")</f>
        <v>-8.0240514202778335E-2</v>
      </c>
      <c r="U1235" s="19">
        <f ca="1">IF('Stock Price'!$I$11="OK",H1235/INDEX(H$5:H$1258,'Stock Price'!$I$9)-1,"")</f>
        <v>0.29052631578947374</v>
      </c>
      <c r="V1235" s="19">
        <f ca="1">IF('Stock Price'!$I$11="OK",I1235/INDEX(I$5:I$1258,'Stock Price'!$I$9)-1,"")</f>
        <v>0.13026211278792688</v>
      </c>
      <c r="W1235" s="19">
        <f ca="1">IF('Stock Price'!$I$11="OK",J1235/INDEX(J$5:J$1258,'Stock Price'!$I$9)-1,"")</f>
        <v>7.0689399829686472E-2</v>
      </c>
      <c r="X1235" s="19">
        <f ca="1">IF('Stock Price'!$I$11="OK",K1235/INDEX(K$5:K$1258,'Stock Price'!$I$9)-1,"")</f>
        <v>0.24971941638608297</v>
      </c>
      <c r="Y1235" s="19">
        <f ca="1">IF('Stock Price'!$I$11="OK",L1235/INDEX(L$5:L$1258,'Stock Price'!$I$9)-1,"")</f>
        <v>0.28213166144200641</v>
      </c>
      <c r="Z1235" s="19">
        <f ca="1">IF('Stock Price'!$I$11="OK",M1235/INDEX(M$5:M$1258,'Stock Price'!$I$9)-1,"")</f>
        <v>0.11822423793118486</v>
      </c>
    </row>
    <row r="1236" spans="1:26" x14ac:dyDescent="0.2">
      <c r="A1236" s="16">
        <f>'Stock Price'!A1236</f>
        <v>46266</v>
      </c>
      <c r="B1236" s="17">
        <f>'Stock Price'!E1236</f>
        <v>149.86000000000001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0.40779708783466417</v>
      </c>
      <c r="P1236" s="19">
        <f ca="1">IF('Stock Price'!$I$11="OK",C1236/INDEX(C$5:C$1258,'Stock Price'!$I$9)-1,"")</f>
        <v>0.16392377652663503</v>
      </c>
      <c r="Q1236" s="19">
        <f ca="1">IF('Stock Price'!$I$11="OK",D1236/INDEX(D$5:D$1258,'Stock Price'!$I$9)-1,"")</f>
        <v>-0.11060626796222806</v>
      </c>
      <c r="R1236" s="19">
        <f ca="1">IF('Stock Price'!$I$11="OK",E1236/INDEX(E$5:E$1258,'Stock Price'!$I$9)-1,"")</f>
        <v>2.0753576465847079E-2</v>
      </c>
      <c r="S1236" s="19">
        <f ca="1">IF('Stock Price'!$I$11="OK",F1236/INDEX(F$5:F$1258,'Stock Price'!$I$9)-1,"")</f>
        <v>3.1875607385811522E-2</v>
      </c>
      <c r="T1236" s="19">
        <f ca="1">IF('Stock Price'!$I$11="OK",G1236/INDEX(G$5:G$1258,'Stock Price'!$I$9)-1,"")</f>
        <v>-8.0033174372797E-2</v>
      </c>
      <c r="U1236" s="19">
        <f ca="1">IF('Stock Price'!$I$11="OK",H1236/INDEX(H$5:H$1258,'Stock Price'!$I$9)-1,"")</f>
        <v>0.2863157894736843</v>
      </c>
      <c r="V1236" s="19">
        <f ca="1">IF('Stock Price'!$I$11="OK",I1236/INDEX(I$5:I$1258,'Stock Price'!$I$9)-1,"")</f>
        <v>0.13383637807783955</v>
      </c>
      <c r="W1236" s="19">
        <f ca="1">IF('Stock Price'!$I$11="OK",J1236/INDEX(J$5:J$1258,'Stock Price'!$I$9)-1,"")</f>
        <v>7.3716168684512695E-2</v>
      </c>
      <c r="X1236" s="19">
        <f ca="1">IF('Stock Price'!$I$11="OK",K1236/INDEX(K$5:K$1258,'Stock Price'!$I$9)-1,"")</f>
        <v>0.25177702955480741</v>
      </c>
      <c r="Y1236" s="19">
        <f ca="1">IF('Stock Price'!$I$11="OK",L1236/INDEX(L$5:L$1258,'Stock Price'!$I$9)-1,"")</f>
        <v>0.30788521823004578</v>
      </c>
      <c r="Z1236" s="19">
        <f ca="1">IF('Stock Price'!$I$11="OK",M1236/INDEX(M$5:M$1258,'Stock Price'!$I$9)-1,"")</f>
        <v>0.13379268239501108</v>
      </c>
    </row>
    <row r="1237" spans="1:26" x14ac:dyDescent="0.2">
      <c r="A1237" s="16">
        <f>'Stock Price'!A1237</f>
        <v>46267</v>
      </c>
      <c r="B1237" s="17">
        <f>'Stock Price'!E1237</f>
        <v>151.63999999999999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0.42451855331141375</v>
      </c>
      <c r="P1237" s="19">
        <f ca="1">IF('Stock Price'!$I$11="OK",C1237/INDEX(C$5:C$1258,'Stock Price'!$I$9)-1,"")</f>
        <v>0.17265771618305203</v>
      </c>
      <c r="Q1237" s="19">
        <f ca="1">IF('Stock Price'!$I$11="OK",D1237/INDEX(D$5:D$1258,'Stock Price'!$I$9)-1,"")</f>
        <v>-0.11520459833036822</v>
      </c>
      <c r="R1237" s="19">
        <f ca="1">IF('Stock Price'!$I$11="OK",E1237/INDEX(E$5:E$1258,'Stock Price'!$I$9)-1,"")</f>
        <v>1.632077372556906E-2</v>
      </c>
      <c r="S1237" s="19">
        <f ca="1">IF('Stock Price'!$I$11="OK",F1237/INDEX(F$5:F$1258,'Stock Price'!$I$9)-1,"")</f>
        <v>4.6258503401360507E-2</v>
      </c>
      <c r="T1237" s="19">
        <f ca="1">IF('Stock Price'!$I$11="OK",G1237/INDEX(G$5:G$1258,'Stock Price'!$I$9)-1,"")</f>
        <v>-7.7959776072983544E-2</v>
      </c>
      <c r="U1237" s="19">
        <f ca="1">IF('Stock Price'!$I$11="OK",H1237/INDEX(H$5:H$1258,'Stock Price'!$I$9)-1,"")</f>
        <v>0.29421052631578948</v>
      </c>
      <c r="V1237" s="19">
        <f ca="1">IF('Stock Price'!$I$11="OK",I1237/INDEX(I$5:I$1258,'Stock Price'!$I$9)-1,"")</f>
        <v>0.15250198570293882</v>
      </c>
      <c r="W1237" s="19">
        <f ca="1">IF('Stock Price'!$I$11="OK",J1237/INDEX(J$5:J$1258,'Stock Price'!$I$9)-1,"")</f>
        <v>7.3790218075456382E-2</v>
      </c>
      <c r="X1237" s="19">
        <f ca="1">IF('Stock Price'!$I$11="OK",K1237/INDEX(K$5:K$1258,'Stock Price'!$I$9)-1,"")</f>
        <v>0.2656191545080433</v>
      </c>
      <c r="Y1237" s="19">
        <f ca="1">IF('Stock Price'!$I$11="OK",L1237/INDEX(L$5:L$1258,'Stock Price'!$I$9)-1,"")</f>
        <v>0.32727272727272716</v>
      </c>
      <c r="Z1237" s="19">
        <f ca="1">IF('Stock Price'!$I$11="OK",M1237/INDEX(M$5:M$1258,'Stock Price'!$I$9)-1,"")</f>
        <v>0.14133705464218749</v>
      </c>
    </row>
    <row r="1238" spans="1:26" x14ac:dyDescent="0.2">
      <c r="A1238" s="16">
        <f>'Stock Price'!A1238</f>
        <v>46268</v>
      </c>
      <c r="B1238" s="17">
        <f>'Stock Price'!E1238</f>
        <v>152.34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0.43109441052137143</v>
      </c>
      <c r="P1238" s="19">
        <f ca="1">IF('Stock Price'!$I$11="OK",C1238/INDEX(C$5:C$1258,'Stock Price'!$I$9)-1,"")</f>
        <v>0.17720513930994675</v>
      </c>
      <c r="Q1238" s="19">
        <f ca="1">IF('Stock Price'!$I$11="OK",D1238/INDEX(D$5:D$1258,'Stock Price'!$I$9)-1,"")</f>
        <v>-9.8015601478034786E-2</v>
      </c>
      <c r="R1238" s="19">
        <f ca="1">IF('Stock Price'!$I$11="OK",E1238/INDEX(E$5:E$1258,'Stock Price'!$I$9)-1,"")</f>
        <v>2.4984888172476127E-2</v>
      </c>
      <c r="S1238" s="19">
        <f ca="1">IF('Stock Price'!$I$11="OK",F1238/INDEX(F$5:F$1258,'Stock Price'!$I$9)-1,"")</f>
        <v>7.3275024295432312E-2</v>
      </c>
      <c r="T1238" s="19">
        <f ca="1">IF('Stock Price'!$I$11="OK",G1238/INDEX(G$5:G$1258,'Stock Price'!$I$9)-1,"")</f>
        <v>-8.0862533692722338E-2</v>
      </c>
      <c r="U1238" s="19">
        <f ca="1">IF('Stock Price'!$I$11="OK",H1238/INDEX(H$5:H$1258,'Stock Price'!$I$9)-1,"")</f>
        <v>0.29842105263157914</v>
      </c>
      <c r="V1238" s="19">
        <f ca="1">IF('Stock Price'!$I$11="OK",I1238/INDEX(I$5:I$1258,'Stock Price'!$I$9)-1,"")</f>
        <v>0.14416203335980926</v>
      </c>
      <c r="W1238" s="19">
        <f ca="1">IF('Stock Price'!$I$11="OK",J1238/INDEX(J$5:J$1258,'Stock Price'!$I$9)-1,"")</f>
        <v>7.3345921729793817E-2</v>
      </c>
      <c r="X1238" s="19">
        <f ca="1">IF('Stock Price'!$I$11="OK",K1238/INDEX(K$5:K$1258,'Stock Price'!$I$9)-1,"")</f>
        <v>0.27366255144032925</v>
      </c>
      <c r="Y1238" s="19">
        <f ca="1">IF('Stock Price'!$I$11="OK",L1238/INDEX(L$5:L$1258,'Stock Price'!$I$9)-1,"")</f>
        <v>0.34280202556064632</v>
      </c>
      <c r="Z1238" s="19">
        <f ca="1">IF('Stock Price'!$I$11="OK",M1238/INDEX(M$5:M$1258,'Stock Price'!$I$9)-1,"")</f>
        <v>0.1347520823339583</v>
      </c>
    </row>
    <row r="1239" spans="1:26" x14ac:dyDescent="0.2">
      <c r="A1239" s="16">
        <f>'Stock Price'!A1239</f>
        <v>46269</v>
      </c>
      <c r="B1239" s="17">
        <f>'Stock Price'!E1239</f>
        <v>150.33000000000001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0.4122123062470644</v>
      </c>
      <c r="P1239" s="19">
        <f ca="1">IF('Stock Price'!$I$11="OK",C1239/INDEX(C$5:C$1258,'Stock Price'!$I$9)-1,"")</f>
        <v>0.15482893027284561</v>
      </c>
      <c r="Q1239" s="19">
        <f ca="1">IF('Stock Price'!$I$11="OK",D1239/INDEX(D$5:D$1258,'Stock Price'!$I$9)-1,"")</f>
        <v>-0.10934720131380882</v>
      </c>
      <c r="R1239" s="19">
        <f ca="1">IF('Stock Price'!$I$11="OK",E1239/INDEX(E$5:E$1258,'Stock Price'!$I$9)-1,"")</f>
        <v>5.2387668748741234E-3</v>
      </c>
      <c r="S1239" s="19">
        <f ca="1">IF('Stock Price'!$I$11="OK",F1239/INDEX(F$5:F$1258,'Stock Price'!$I$9)-1,"")</f>
        <v>6.8415937803692817E-2</v>
      </c>
      <c r="T1239" s="19">
        <f ca="1">IF('Stock Price'!$I$11="OK",G1239/INDEX(G$5:G$1258,'Stock Price'!$I$9)-1,"")</f>
        <v>-8.2728592162554349E-2</v>
      </c>
      <c r="U1239" s="19">
        <f ca="1">IF('Stock Price'!$I$11="OK",H1239/INDEX(H$5:H$1258,'Stock Price'!$I$9)-1,"")</f>
        <v>0.28552631578947363</v>
      </c>
      <c r="V1239" s="19">
        <f ca="1">IF('Stock Price'!$I$11="OK",I1239/INDEX(I$5:I$1258,'Stock Price'!$I$9)-1,"")</f>
        <v>0.1298649722001588</v>
      </c>
      <c r="W1239" s="19">
        <f ca="1">IF('Stock Price'!$I$11="OK",J1239/INDEX(J$5:J$1258,'Stock Price'!$I$9)-1,"")</f>
        <v>6.3867599688992582E-2</v>
      </c>
      <c r="X1239" s="19">
        <f ca="1">IF('Stock Price'!$I$11="OK",K1239/INDEX(K$5:K$1258,'Stock Price'!$I$9)-1,"")</f>
        <v>0.2499064721286941</v>
      </c>
      <c r="Y1239" s="19">
        <f ca="1">IF('Stock Price'!$I$11="OK",L1239/INDEX(L$5:L$1258,'Stock Price'!$I$9)-1,"")</f>
        <v>0.32736918254159653</v>
      </c>
      <c r="Z1239" s="19">
        <f ca="1">IF('Stock Price'!$I$11="OK",M1239/INDEX(M$5:M$1258,'Stock Price'!$I$9)-1,"")</f>
        <v>0.11839867428372064</v>
      </c>
    </row>
    <row r="1240" spans="1:26" x14ac:dyDescent="0.2">
      <c r="A1240" s="16">
        <f>'Stock Price'!A1240</f>
        <v>46273</v>
      </c>
      <c r="B1240" s="17">
        <f>'Stock Price'!E1240</f>
        <v>148.46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0.39464537341474881</v>
      </c>
      <c r="P1240" s="19">
        <f ca="1">IF('Stock Price'!$I$11="OK",C1240/INDEX(C$5:C$1258,'Stock Price'!$I$9)-1,"")</f>
        <v>-6.0632308358596898E-3</v>
      </c>
      <c r="Q1240" s="19">
        <f ca="1">IF('Stock Price'!$I$11="OK",D1240/INDEX(D$5:D$1258,'Stock Price'!$I$9)-1,"")</f>
        <v>-0.12390858081291922</v>
      </c>
      <c r="R1240" s="19">
        <f ca="1">IF('Stock Price'!$I$11="OK",E1240/INDEX(E$5:E$1258,'Stock Price'!$I$9)-1,"")</f>
        <v>-2.1962522667741347E-2</v>
      </c>
      <c r="S1240" s="19">
        <f ca="1">IF('Stock Price'!$I$11="OK",F1240/INDEX(F$5:F$1258,'Stock Price'!$I$9)-1,"")</f>
        <v>5.0923226433430502E-2</v>
      </c>
      <c r="T1240" s="19">
        <f ca="1">IF('Stock Price'!$I$11="OK",G1240/INDEX(G$5:G$1258,'Stock Price'!$I$9)-1,"")</f>
        <v>-0.1052249637155297</v>
      </c>
      <c r="U1240" s="19">
        <f ca="1">IF('Stock Price'!$I$11="OK",H1240/INDEX(H$5:H$1258,'Stock Price'!$I$9)-1,"")</f>
        <v>0.30026315789473679</v>
      </c>
      <c r="V1240" s="19">
        <f ca="1">IF('Stock Price'!$I$11="OK",I1240/INDEX(I$5:I$1258,'Stock Price'!$I$9)-1,"")</f>
        <v>0.10365369340746633</v>
      </c>
      <c r="W1240" s="19">
        <f ca="1">IF('Stock Price'!$I$11="OK",J1240/INDEX(J$5:J$1258,'Stock Price'!$I$9)-1,"")</f>
        <v>4.0310637195009269E-2</v>
      </c>
      <c r="X1240" s="19">
        <f ca="1">IF('Stock Price'!$I$11="OK",K1240/INDEX(K$5:K$1258,'Stock Price'!$I$9)-1,"")</f>
        <v>0.21006359895248772</v>
      </c>
      <c r="Y1240" s="19">
        <f ca="1">IF('Stock Price'!$I$11="OK",L1240/INDEX(L$5:L$1258,'Stock Price'!$I$9)-1,"")</f>
        <v>0.29790209790209787</v>
      </c>
      <c r="Z1240" s="19">
        <f ca="1">IF('Stock Price'!$I$11="OK",M1240/INDEX(M$5:M$1258,'Stock Price'!$I$9)-1,"")</f>
        <v>8.4906894596833871E-2</v>
      </c>
    </row>
    <row r="1241" spans="1:26" x14ac:dyDescent="0.2">
      <c r="A1241" s="16">
        <f>'Stock Price'!A1241</f>
        <v>46274</v>
      </c>
      <c r="B1241" s="17">
        <f>'Stock Price'!E1241</f>
        <v>147.53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0.38590887740723345</v>
      </c>
      <c r="P1241" s="19">
        <f ca="1">IF('Stock Price'!$I$11="OK",C1241/INDEX(C$5:C$1258,'Stock Price'!$I$9)-1,"")</f>
        <v>-7.6512198642991747E-3</v>
      </c>
      <c r="Q1241" s="19">
        <f ca="1">IF('Stock Price'!$I$11="OK",D1241/INDEX(D$5:D$1258,'Stock Price'!$I$9)-1,"")</f>
        <v>-0.14087860955248399</v>
      </c>
      <c r="R1241" s="19">
        <f ca="1">IF('Stock Price'!$I$11="OK",E1241/INDEX(E$5:E$1258,'Stock Price'!$I$9)-1,"")</f>
        <v>-2.0149103364900278E-2</v>
      </c>
      <c r="S1241" s="19">
        <f ca="1">IF('Stock Price'!$I$11="OK",F1241/INDEX(F$5:F$1258,'Stock Price'!$I$9)-1,"")</f>
        <v>3.7512147716229238E-2</v>
      </c>
      <c r="T1241" s="19">
        <f ca="1">IF('Stock Price'!$I$11="OK",G1241/INDEX(G$5:G$1258,'Stock Price'!$I$9)-1,"")</f>
        <v>-0.11154882852996051</v>
      </c>
      <c r="U1241" s="19">
        <f ca="1">IF('Stock Price'!$I$11="OK",H1241/INDEX(H$5:H$1258,'Stock Price'!$I$9)-1,"")</f>
        <v>0.29631578947368409</v>
      </c>
      <c r="V1241" s="19">
        <f ca="1">IF('Stock Price'!$I$11="OK",I1241/INDEX(I$5:I$1258,'Stock Price'!$I$9)-1,"")</f>
        <v>0.10325655281969826</v>
      </c>
      <c r="W1241" s="19">
        <f ca="1">IF('Stock Price'!$I$11="OK",J1241/INDEX(J$5:J$1258,'Stock Price'!$I$9)-1,"")</f>
        <v>4.0588322411048372E-2</v>
      </c>
      <c r="X1241" s="19">
        <f ca="1">IF('Stock Price'!$I$11="OK",K1241/INDEX(K$5:K$1258,'Stock Price'!$I$9)-1,"")</f>
        <v>0.20482603815937139</v>
      </c>
      <c r="Y1241" s="19">
        <f ca="1">IF('Stock Price'!$I$11="OK",L1241/INDEX(L$5:L$1258,'Stock Price'!$I$9)-1,"")</f>
        <v>0.28806366047745358</v>
      </c>
      <c r="Z1241" s="19">
        <f ca="1">IF('Stock Price'!$I$11="OK",M1241/INDEX(M$5:M$1258,'Stock Price'!$I$9)-1,"")</f>
        <v>9.4195630369368955E-2</v>
      </c>
    </row>
    <row r="1242" spans="1:26" x14ac:dyDescent="0.2">
      <c r="A1242" s="16">
        <f>'Stock Price'!A1242</f>
        <v>46275</v>
      </c>
      <c r="B1242" s="17">
        <f>'Stock Price'!E1242</f>
        <v>144.71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0.35941756693283233</v>
      </c>
      <c r="P1242" s="19">
        <f ca="1">IF('Stock Price'!$I$11="OK",C1242/INDEX(C$5:C$1258,'Stock Price'!$I$9)-1,"")</f>
        <v>-7.6512198642991747E-3</v>
      </c>
      <c r="Q1242" s="19">
        <f ca="1">IF('Stock Price'!$I$11="OK",D1242/INDEX(D$5:D$1258,'Stock Price'!$I$9)-1,"")</f>
        <v>-0.12609826194060503</v>
      </c>
      <c r="R1242" s="19">
        <f ca="1">IF('Stock Price'!$I$11="OK",E1242/INDEX(E$5:E$1258,'Stock Price'!$I$9)-1,"")</f>
        <v>-3.0425146080999443E-2</v>
      </c>
      <c r="S1242" s="19">
        <f ca="1">IF('Stock Price'!$I$11="OK",F1242/INDEX(F$5:F$1258,'Stock Price'!$I$9)-1,"")</f>
        <v>3.3819241982507187E-2</v>
      </c>
      <c r="T1242" s="19">
        <f ca="1">IF('Stock Price'!$I$11="OK",G1242/INDEX(G$5:G$1258,'Stock Price'!$I$9)-1,"")</f>
        <v>-0.11424424631971797</v>
      </c>
      <c r="U1242" s="19">
        <f ca="1">IF('Stock Price'!$I$11="OK",H1242/INDEX(H$5:H$1258,'Stock Price'!$I$9)-1,"")</f>
        <v>0.28157894736842115</v>
      </c>
      <c r="V1242" s="19">
        <f ca="1">IF('Stock Price'!$I$11="OK",I1242/INDEX(I$5:I$1258,'Stock Price'!$I$9)-1,"")</f>
        <v>9.8093725178713287E-2</v>
      </c>
      <c r="W1242" s="19">
        <f ca="1">IF('Stock Price'!$I$11="OK",J1242/INDEX(J$5:J$1258,'Stock Price'!$I$9)-1,"")</f>
        <v>3.9468325373023916E-2</v>
      </c>
      <c r="X1242" s="19">
        <f ca="1">IF('Stock Price'!$I$11="OK",K1242/INDEX(K$5:K$1258,'Stock Price'!$I$9)-1,"")</f>
        <v>0.19248035914702588</v>
      </c>
      <c r="Y1242" s="19">
        <f ca="1">IF('Stock Price'!$I$11="OK",L1242/INDEX(L$5:L$1258,'Stock Price'!$I$9)-1,"")</f>
        <v>0.28454304316373302</v>
      </c>
      <c r="Z1242" s="19">
        <f ca="1">IF('Stock Price'!$I$11="OK",M1242/INDEX(M$5:M$1258,'Stock Price'!$I$9)-1,"")</f>
        <v>0.11203174741616162</v>
      </c>
    </row>
    <row r="1243" spans="1:26" x14ac:dyDescent="0.2">
      <c r="A1243" s="16">
        <f>'Stock Price'!A1243</f>
        <v>46276</v>
      </c>
      <c r="B1243" s="17">
        <f>'Stock Price'!E1243</f>
        <v>143.93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0.35209018318459373</v>
      </c>
      <c r="P1243" s="19">
        <f ca="1">IF('Stock Price'!$I$11="OK",C1243/INDEX(C$5:C$1258,'Stock Price'!$I$9)-1,"")</f>
        <v>-9.9610220874837285E-3</v>
      </c>
      <c r="Q1243" s="19">
        <f ca="1">IF('Stock Price'!$I$11="OK",D1243/INDEX(D$5:D$1258,'Stock Price'!$I$9)-1,"")</f>
        <v>-0.12319693444642132</v>
      </c>
      <c r="R1243" s="19">
        <f ca="1">IF('Stock Price'!$I$11="OK",E1243/INDEX(E$5:E$1258,'Stock Price'!$I$9)-1,"")</f>
        <v>-3.0223655047350362E-2</v>
      </c>
      <c r="S1243" s="19">
        <f ca="1">IF('Stock Price'!$I$11="OK",F1243/INDEX(F$5:F$1258,'Stock Price'!$I$9)-1,"")</f>
        <v>2.526724975704564E-2</v>
      </c>
      <c r="T1243" s="19">
        <f ca="1">IF('Stock Price'!$I$11="OK",G1243/INDEX(G$5:G$1258,'Stock Price'!$I$9)-1,"")</f>
        <v>-0.11320754716981118</v>
      </c>
      <c r="U1243" s="19">
        <f ca="1">IF('Stock Price'!$I$11="OK",H1243/INDEX(H$5:H$1258,'Stock Price'!$I$9)-1,"")</f>
        <v>0.26763157894736844</v>
      </c>
      <c r="V1243" s="19">
        <f ca="1">IF('Stock Price'!$I$11="OK",I1243/INDEX(I$5:I$1258,'Stock Price'!$I$9)-1,"")</f>
        <v>0.10087370929308981</v>
      </c>
      <c r="W1243" s="19">
        <f ca="1">IF('Stock Price'!$I$11="OK",J1243/INDEX(J$5:J$1258,'Stock Price'!$I$9)-1,"")</f>
        <v>3.2711318449405891E-2</v>
      </c>
      <c r="X1243" s="19">
        <f ca="1">IF('Stock Price'!$I$11="OK",K1243/INDEX(K$5:K$1258,'Stock Price'!$I$9)-1,"")</f>
        <v>0.19042274597830144</v>
      </c>
      <c r="Y1243" s="19">
        <f ca="1">IF('Stock Price'!$I$11="OK",L1243/INDEX(L$5:L$1258,'Stock Price'!$I$9)-1,"")</f>
        <v>0.28082951531227396</v>
      </c>
      <c r="Z1243" s="19">
        <f ca="1">IF('Stock Price'!$I$11="OK",M1243/INDEX(M$5:M$1258,'Stock Price'!$I$9)-1,"")</f>
        <v>0.12127687410056254</v>
      </c>
    </row>
    <row r="1244" spans="1:26" x14ac:dyDescent="0.2">
      <c r="A1244" s="16">
        <f>'Stock Price'!A1244</f>
        <v>46279</v>
      </c>
      <c r="B1244" s="17">
        <f>'Stock Price'!E1244</f>
        <v>144.85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0.36073273837482378</v>
      </c>
      <c r="P1244" s="19">
        <f ca="1">IF('Stock Price'!$I$11="OK",C1244/INDEX(C$5:C$1258,'Stock Price'!$I$9)-1,"")</f>
        <v>3.2481593763535876E-3</v>
      </c>
      <c r="Q1244" s="19">
        <f ca="1">IF('Stock Price'!$I$11="OK",D1244/INDEX(D$5:D$1258,'Stock Price'!$I$9)-1,"")</f>
        <v>-0.10343506226905708</v>
      </c>
      <c r="R1244" s="19">
        <f ca="1">IF('Stock Price'!$I$11="OK",E1244/INDEX(E$5:E$1258,'Stock Price'!$I$9)-1,"")</f>
        <v>8.4626234132580969E-3</v>
      </c>
      <c r="S1244" s="19">
        <f ca="1">IF('Stock Price'!$I$11="OK",F1244/INDEX(F$5:F$1258,'Stock Price'!$I$9)-1,"")</f>
        <v>6.5111758989309987E-2</v>
      </c>
      <c r="T1244" s="19">
        <f ca="1">IF('Stock Price'!$I$11="OK",G1244/INDEX(G$5:G$1258,'Stock Price'!$I$9)-1,"")</f>
        <v>-0.10159651669085634</v>
      </c>
      <c r="U1244" s="19">
        <f ca="1">IF('Stock Price'!$I$11="OK",H1244/INDEX(H$5:H$1258,'Stock Price'!$I$9)-1,"")</f>
        <v>0.29815789473684196</v>
      </c>
      <c r="V1244" s="19">
        <f ca="1">IF('Stock Price'!$I$11="OK",I1244/INDEX(I$5:I$1258,'Stock Price'!$I$9)-1,"")</f>
        <v>0.10087370929308981</v>
      </c>
      <c r="W1244" s="19">
        <f ca="1">IF('Stock Price'!$I$11="OK",J1244/INDEX(J$5:J$1258,'Stock Price'!$I$9)-1,"")</f>
        <v>5.3611759043281859E-2</v>
      </c>
      <c r="X1244" s="19">
        <f ca="1">IF('Stock Price'!$I$11="OK",K1244/INDEX(K$5:K$1258,'Stock Price'!$I$9)-1,"")</f>
        <v>0.19902731013842123</v>
      </c>
      <c r="Y1244" s="19">
        <f ca="1">IF('Stock Price'!$I$11="OK",L1244/INDEX(L$5:L$1258,'Stock Price'!$I$9)-1,"")</f>
        <v>0.28439836026042919</v>
      </c>
      <c r="Z1244" s="19">
        <f ca="1">IF('Stock Price'!$I$11="OK",M1244/INDEX(M$5:M$1258,'Stock Price'!$I$9)-1,"")</f>
        <v>0.14155510008285721</v>
      </c>
    </row>
    <row r="1245" spans="1:26" x14ac:dyDescent="0.2">
      <c r="A1245" s="16">
        <f>'Stock Price'!A1245</f>
        <v>46280</v>
      </c>
      <c r="B1245" s="17">
        <f>'Stock Price'!E1245</f>
        <v>143.79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0.35077501174260206</v>
      </c>
      <c r="P1245" s="19">
        <f ca="1">IF('Stock Price'!$I$11="OK",C1245/INDEX(C$5:C$1258,'Stock Price'!$I$9)-1,"")</f>
        <v>5.7745055579627724E-4</v>
      </c>
      <c r="Q1245" s="19">
        <f ca="1">IF('Stock Price'!$I$11="OK",D1245/INDEX(D$5:D$1258,'Stock Price'!$I$9)-1,"")</f>
        <v>-0.1140002737101411</v>
      </c>
      <c r="R1245" s="19">
        <f ca="1">IF('Stock Price'!$I$11="OK",E1245/INDEX(E$5:E$1258,'Stock Price'!$I$9)-1,"")</f>
        <v>7.6566592786619925E-3</v>
      </c>
      <c r="S1245" s="19">
        <f ca="1">IF('Stock Price'!$I$11="OK",F1245/INDEX(F$5:F$1258,'Stock Price'!$I$9)-1,"")</f>
        <v>6.8027210884353817E-2</v>
      </c>
      <c r="T1245" s="19">
        <f ca="1">IF('Stock Price'!$I$11="OK",G1245/INDEX(G$5:G$1258,'Stock Price'!$I$9)-1,"")</f>
        <v>-0.12087912087912089</v>
      </c>
      <c r="U1245" s="19">
        <f ca="1">IF('Stock Price'!$I$11="OK",H1245/INDEX(H$5:H$1258,'Stock Price'!$I$9)-1,"")</f>
        <v>0.28184210526315789</v>
      </c>
      <c r="V1245" s="19">
        <f ca="1">IF('Stock Price'!$I$11="OK",I1245/INDEX(I$5:I$1258,'Stock Price'!$I$9)-1,"")</f>
        <v>9.4122319301032542E-2</v>
      </c>
      <c r="W1245" s="19">
        <f ca="1">IF('Stock Price'!$I$11="OK",J1245/INDEX(J$5:J$1258,'Stock Price'!$I$9)-1,"")</f>
        <v>5.1603169313932495E-2</v>
      </c>
      <c r="X1245" s="19">
        <f ca="1">IF('Stock Price'!$I$11="OK",K1245/INDEX(K$5:K$1258,'Stock Price'!$I$9)-1,"")</f>
        <v>0.19210624766180318</v>
      </c>
      <c r="Y1245" s="19">
        <f ca="1">IF('Stock Price'!$I$11="OK",L1245/INDEX(L$5:L$1258,'Stock Price'!$I$9)-1,"")</f>
        <v>0.288642392090668</v>
      </c>
      <c r="Z1245" s="19">
        <f ca="1">IF('Stock Price'!$I$11="OK",M1245/INDEX(M$5:M$1258,'Stock Price'!$I$9)-1,"")</f>
        <v>0.14709345427587106</v>
      </c>
    </row>
    <row r="1246" spans="1:26" x14ac:dyDescent="0.2">
      <c r="A1246" s="16">
        <f>'Stock Price'!A1246</f>
        <v>46281</v>
      </c>
      <c r="B1246" s="17">
        <f>'Stock Price'!E1246</f>
        <v>144.91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0.36129638327853453</v>
      </c>
      <c r="P1246" s="19">
        <f ca="1">IF('Stock Price'!$I$11="OK",C1246/INDEX(C$5:C$1258,'Stock Price'!$I$9)-1,"")</f>
        <v>1.1549011115923324E-3</v>
      </c>
      <c r="Q1246" s="19">
        <f ca="1">IF('Stock Price'!$I$11="OK",D1246/INDEX(D$5:D$1258,'Stock Price'!$I$9)-1,"")</f>
        <v>-0.10830710277815803</v>
      </c>
      <c r="R1246" s="19">
        <f ca="1">IF('Stock Price'!$I$11="OK",E1246/INDEX(E$5:E$1258,'Stock Price'!$I$9)-1,"")</f>
        <v>1.3298408220834057E-2</v>
      </c>
      <c r="S1246" s="19">
        <f ca="1">IF('Stock Price'!$I$11="OK",F1246/INDEX(F$5:F$1258,'Stock Price'!$I$9)-1,"")</f>
        <v>7.1914480077745369E-2</v>
      </c>
      <c r="T1246" s="19">
        <f ca="1">IF('Stock Price'!$I$11="OK",G1246/INDEX(G$5:G$1258,'Stock Price'!$I$9)-1,"")</f>
        <v>-0.11693966410947532</v>
      </c>
      <c r="U1246" s="19">
        <f ca="1">IF('Stock Price'!$I$11="OK",H1246/INDEX(H$5:H$1258,'Stock Price'!$I$9)-1,"")</f>
        <v>0.28894736842105262</v>
      </c>
      <c r="V1246" s="19">
        <f ca="1">IF('Stock Price'!$I$11="OK",I1246/INDEX(I$5:I$1258,'Stock Price'!$I$9)-1,"")</f>
        <v>9.0548054011119872E-2</v>
      </c>
      <c r="W1246" s="19">
        <f ca="1">IF('Stock Price'!$I$11="OK",J1246/INDEX(J$5:J$1258,'Stock Price'!$I$9)-1,"")</f>
        <v>5.3185975045355383E-2</v>
      </c>
      <c r="X1246" s="19">
        <f ca="1">IF('Stock Price'!$I$11="OK",K1246/INDEX(K$5:K$1258,'Stock Price'!$I$9)-1,"")</f>
        <v>0.18967452300785625</v>
      </c>
      <c r="Y1246" s="19">
        <f ca="1">IF('Stock Price'!$I$11="OK",L1246/INDEX(L$5:L$1258,'Stock Price'!$I$9)-1,"")</f>
        <v>0.28902821316614413</v>
      </c>
      <c r="Z1246" s="19">
        <f ca="1">IF('Stock Price'!$I$11="OK",M1246/INDEX(M$5:M$1258,'Stock Price'!$I$9)-1,"")</f>
        <v>0.14478217260477089</v>
      </c>
    </row>
    <row r="1247" spans="1:26" x14ac:dyDescent="0.2">
      <c r="A1247" s="16">
        <f>'Stock Price'!A1247</f>
        <v>46282</v>
      </c>
      <c r="B1247" s="17">
        <f>'Stock Price'!E1247</f>
        <v>147.15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0.38233912635039924</v>
      </c>
      <c r="P1247" s="19">
        <f ca="1">IF('Stock Price'!$I$11="OK",C1247/INDEX(C$5:C$1258,'Stock Price'!$I$9)-1,"")</f>
        <v>1.7179154034935751E-2</v>
      </c>
      <c r="Q1247" s="19">
        <f ca="1">IF('Stock Price'!$I$11="OK",D1247/INDEX(D$5:D$1258,'Stock Price'!$I$9)-1,"")</f>
        <v>-9.0515943615711136E-2</v>
      </c>
      <c r="R1247" s="19">
        <f ca="1">IF('Stock Price'!$I$11="OK",E1247/INDEX(E$5:E$1258,'Stock Price'!$I$9)-1,"")</f>
        <v>2.8813217811807457E-2</v>
      </c>
      <c r="S1247" s="19">
        <f ca="1">IF('Stock Price'!$I$11="OK",F1247/INDEX(F$5:F$1258,'Stock Price'!$I$9)-1,"")</f>
        <v>6.1807580174927157E-2</v>
      </c>
      <c r="T1247" s="19">
        <f ca="1">IF('Stock Price'!$I$11="OK",G1247/INDEX(G$5:G$1258,'Stock Price'!$I$9)-1,"")</f>
        <v>-0.1055359734605017</v>
      </c>
      <c r="U1247" s="19">
        <f ca="1">IF('Stock Price'!$I$11="OK",H1247/INDEX(H$5:H$1258,'Stock Price'!$I$9)-1,"")</f>
        <v>0.29052631578947374</v>
      </c>
      <c r="V1247" s="19">
        <f ca="1">IF('Stock Price'!$I$11="OK",I1247/INDEX(I$5:I$1258,'Stock Price'!$I$9)-1,"")</f>
        <v>9.7696584590945212E-2</v>
      </c>
      <c r="W1247" s="19">
        <f ca="1">IF('Stock Price'!$I$11="OK",J1247/INDEX(J$5:J$1258,'Stock Price'!$I$9)-1,"")</f>
        <v>6.6718501240327521E-2</v>
      </c>
      <c r="X1247" s="19">
        <f ca="1">IF('Stock Price'!$I$11="OK",K1247/INDEX(K$5:K$1258,'Stock Price'!$I$9)-1,"")</f>
        <v>0.17545828656939766</v>
      </c>
      <c r="Y1247" s="19">
        <f ca="1">IF('Stock Price'!$I$11="OK",L1247/INDEX(L$5:L$1258,'Stock Price'!$I$9)-1,"")</f>
        <v>0.30320713768989638</v>
      </c>
      <c r="Z1247" s="19">
        <f ca="1">IF('Stock Price'!$I$11="OK",M1247/INDEX(M$5:M$1258,'Stock Price'!$I$9)-1,"")</f>
        <v>0.15136714491299985</v>
      </c>
    </row>
    <row r="1248" spans="1:26" x14ac:dyDescent="0.2">
      <c r="A1248" s="16">
        <f>'Stock Price'!A1248</f>
        <v>46283</v>
      </c>
      <c r="B1248" s="17">
        <f>'Stock Price'!E1248</f>
        <v>146.87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0.37970878346641612</v>
      </c>
      <c r="P1248" s="19">
        <f ca="1">IF('Stock Price'!$I$11="OK",C1248/INDEX(C$5:C$1258,'Stock Price'!$I$9)-1,"")</f>
        <v>1.3209181463837316E-2</v>
      </c>
      <c r="Q1248" s="19">
        <f ca="1">IF('Stock Price'!$I$11="OK",D1248/INDEX(D$5:D$1258,'Stock Price'!$I$9)-1,"")</f>
        <v>-9.0844395784863807E-2</v>
      </c>
      <c r="R1248" s="19">
        <f ca="1">IF('Stock Price'!$I$11="OK",E1248/INDEX(E$5:E$1258,'Stock Price'!$I$9)-1,"")</f>
        <v>1.1887970985291041E-2</v>
      </c>
      <c r="S1248" s="19">
        <f ca="1">IF('Stock Price'!$I$11="OK",F1248/INDEX(F$5:F$1258,'Stock Price'!$I$9)-1,"")</f>
        <v>5.2478134110787167E-2</v>
      </c>
      <c r="T1248" s="19">
        <f ca="1">IF('Stock Price'!$I$11="OK",G1248/INDEX(G$5:G$1258,'Stock Price'!$I$9)-1,"")</f>
        <v>-0.11922040223927022</v>
      </c>
      <c r="U1248" s="19">
        <f ca="1">IF('Stock Price'!$I$11="OK",H1248/INDEX(H$5:H$1258,'Stock Price'!$I$9)-1,"")</f>
        <v>0.26552631578947383</v>
      </c>
      <c r="V1248" s="19">
        <f ca="1">IF('Stock Price'!$I$11="OK",I1248/INDEX(I$5:I$1258,'Stock Price'!$I$9)-1,"")</f>
        <v>9.8490865766481361E-2</v>
      </c>
      <c r="W1248" s="19">
        <f ca="1">IF('Stock Price'!$I$11="OK",J1248/INDEX(J$5:J$1258,'Stock Price'!$I$9)-1,"")</f>
        <v>6.7172053759857908E-2</v>
      </c>
      <c r="X1248" s="19">
        <f ca="1">IF('Stock Price'!$I$11="OK",K1248/INDEX(K$5:K$1258,'Stock Price'!$I$9)-1,"")</f>
        <v>0.17957351290684631</v>
      </c>
      <c r="Y1248" s="19">
        <f ca="1">IF('Stock Price'!$I$11="OK",L1248/INDEX(L$5:L$1258,'Stock Price'!$I$9)-1,"")</f>
        <v>0.30209790209790222</v>
      </c>
      <c r="Z1248" s="19">
        <f ca="1">IF('Stock Price'!$I$11="OK",M1248/INDEX(M$5:M$1258,'Stock Price'!$I$9)-1,"")</f>
        <v>0.15110549038419596</v>
      </c>
    </row>
    <row r="1249" spans="1:26" x14ac:dyDescent="0.2">
      <c r="A1249" s="16">
        <f>'Stock Price'!A1249</f>
        <v>46286</v>
      </c>
      <c r="B1249" s="17">
        <f>'Stock Price'!E1249</f>
        <v>149.5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0.40441521841240013</v>
      </c>
      <c r="P1249" s="19">
        <f ca="1">IF('Stock Price'!$I$11="OK",C1249/INDEX(C$5:C$1258,'Stock Price'!$I$9)-1,"")</f>
        <v>1.7612241951782792E-2</v>
      </c>
      <c r="Q1249" s="19">
        <f ca="1">IF('Stock Price'!$I$11="OK",D1249/INDEX(D$5:D$1258,'Stock Price'!$I$9)-1,"")</f>
        <v>-7.9786506090050779E-2</v>
      </c>
      <c r="R1249" s="19">
        <f ca="1">IF('Stock Price'!$I$11="OK",E1249/INDEX(E$5:E$1258,'Stock Price'!$I$9)-1,"")</f>
        <v>2.9216199879105398E-2</v>
      </c>
      <c r="S1249" s="19">
        <f ca="1">IF('Stock Price'!$I$11="OK",F1249/INDEX(F$5:F$1258,'Stock Price'!$I$9)-1,"")</f>
        <v>7.4829931972788977E-2</v>
      </c>
      <c r="T1249" s="19">
        <f ca="1">IF('Stock Price'!$I$11="OK",G1249/INDEX(G$5:G$1258,'Stock Price'!$I$9)-1,"")</f>
        <v>-0.11880572257930744</v>
      </c>
      <c r="U1249" s="19">
        <f ca="1">IF('Stock Price'!$I$11="OK",H1249/INDEX(H$5:H$1258,'Stock Price'!$I$9)-1,"")</f>
        <v>0.29026315789473678</v>
      </c>
      <c r="V1249" s="19">
        <f ca="1">IF('Stock Price'!$I$11="OK",I1249/INDEX(I$5:I$1258,'Stock Price'!$I$9)-1,"")</f>
        <v>0.10166799046862574</v>
      </c>
      <c r="W1249" s="19">
        <f ca="1">IF('Stock Price'!$I$11="OK",J1249/INDEX(J$5:J$1258,'Stock Price'!$I$9)-1,"")</f>
        <v>7.8242437705950074E-2</v>
      </c>
      <c r="X1249" s="19">
        <f ca="1">IF('Stock Price'!$I$11="OK",K1249/INDEX(K$5:K$1258,'Stock Price'!$I$9)-1,"")</f>
        <v>0.17134306023194901</v>
      </c>
      <c r="Y1249" s="19">
        <f ca="1">IF('Stock Price'!$I$11="OK",L1249/INDEX(L$5:L$1258,'Stock Price'!$I$9)-1,"")</f>
        <v>0.29959006510730668</v>
      </c>
      <c r="Z1249" s="19">
        <f ca="1">IF('Stock Price'!$I$11="OK",M1249/INDEX(M$5:M$1258,'Stock Price'!$I$9)-1,"")</f>
        <v>0.15337316296716241</v>
      </c>
    </row>
    <row r="1250" spans="1:26" x14ac:dyDescent="0.2">
      <c r="A1250" s="16">
        <f>'Stock Price'!A1250</f>
        <v>46287</v>
      </c>
      <c r="B1250" s="17">
        <f>'Stock Price'!E1250</f>
        <v>150.91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0.41766087364960058</v>
      </c>
      <c r="P1250" s="19">
        <f ca="1">IF('Stock Price'!$I$11="OK",C1250/INDEX(C$5:C$1258,'Stock Price'!$I$9)-1,"")</f>
        <v>1.9777681536018443E-2</v>
      </c>
      <c r="Q1250" s="19">
        <f ca="1">IF('Stock Price'!$I$11="OK",D1250/INDEX(D$5:D$1258,'Stock Price'!$I$9)-1,"")</f>
        <v>-7.8308471328862761E-2</v>
      </c>
      <c r="R1250" s="19">
        <f ca="1">IF('Stock Price'!$I$11="OK",E1250/INDEX(E$5:E$1258,'Stock Price'!$I$9)-1,"")</f>
        <v>2.1962522667741124E-2</v>
      </c>
      <c r="S1250" s="19">
        <f ca="1">IF('Stock Price'!$I$11="OK",F1250/INDEX(F$5:F$1258,'Stock Price'!$I$9)-1,"")</f>
        <v>8.1827016520893858E-2</v>
      </c>
      <c r="T1250" s="19">
        <f ca="1">IF('Stock Price'!$I$11="OK",G1250/INDEX(G$5:G$1258,'Stock Price'!$I$9)-1,"")</f>
        <v>-0.1185983827493261</v>
      </c>
      <c r="U1250" s="19">
        <f ca="1">IF('Stock Price'!$I$11="OK",H1250/INDEX(H$5:H$1258,'Stock Price'!$I$9)-1,"")</f>
        <v>0.30394736842105252</v>
      </c>
      <c r="V1250" s="19">
        <f ca="1">IF('Stock Price'!$I$11="OK",I1250/INDEX(I$5:I$1258,'Stock Price'!$I$9)-1,"")</f>
        <v>0.10921366163621915</v>
      </c>
      <c r="W1250" s="19">
        <f ca="1">IF('Stock Price'!$I$11="OK",J1250/INDEX(J$5:J$1258,'Stock Price'!$I$9)-1,"")</f>
        <v>8.3101928986634377E-2</v>
      </c>
      <c r="X1250" s="19">
        <f ca="1">IF('Stock Price'!$I$11="OK",K1250/INDEX(K$5:K$1258,'Stock Price'!$I$9)-1,"")</f>
        <v>0.16442199775533117</v>
      </c>
      <c r="Y1250" s="19">
        <f ca="1">IF('Stock Price'!$I$11="OK",L1250/INDEX(L$5:L$1258,'Stock Price'!$I$9)-1,"")</f>
        <v>0.29823969134313955</v>
      </c>
      <c r="Z1250" s="19">
        <f ca="1">IF('Stock Price'!$I$11="OK",M1250/INDEX(M$5:M$1258,'Stock Price'!$I$9)-1,"")</f>
        <v>0.15655662640094192</v>
      </c>
    </row>
    <row r="1251" spans="1:26" x14ac:dyDescent="0.2">
      <c r="A1251" s="16">
        <f>'Stock Price'!A1251</f>
        <v>46288</v>
      </c>
      <c r="B1251" s="17">
        <f>'Stock Price'!E1251</f>
        <v>148.08000000000001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0.3910756223579146</v>
      </c>
      <c r="P1251" s="19">
        <f ca="1">IF('Stock Price'!$I$11="OK",C1251/INDEX(C$5:C$1258,'Stock Price'!$I$9)-1,"")</f>
        <v>3.0099610220875039E-2</v>
      </c>
      <c r="Q1251" s="19">
        <f ca="1">IF('Stock Price'!$I$11="OK",D1251/INDEX(D$5:D$1258,'Stock Price'!$I$9)-1,"")</f>
        <v>-0.10589845353770355</v>
      </c>
      <c r="R1251" s="19">
        <f ca="1">IF('Stock Price'!$I$11="OK",E1251/INDEX(E$5:E$1258,'Stock Price'!$I$9)-1,"")</f>
        <v>1.6119282691919867E-3</v>
      </c>
      <c r="S1251" s="19">
        <f ca="1">IF('Stock Price'!$I$11="OK",F1251/INDEX(F$5:F$1258,'Stock Price'!$I$9)-1,"")</f>
        <v>7.0165208940719204E-2</v>
      </c>
      <c r="T1251" s="19">
        <f ca="1">IF('Stock Price'!$I$11="OK",G1251/INDEX(G$5:G$1258,'Stock Price'!$I$9)-1,"")</f>
        <v>-0.13622226829773998</v>
      </c>
      <c r="U1251" s="19">
        <f ca="1">IF('Stock Price'!$I$11="OK",H1251/INDEX(H$5:H$1258,'Stock Price'!$I$9)-1,"")</f>
        <v>0.29763157894736847</v>
      </c>
      <c r="V1251" s="19">
        <f ca="1">IF('Stock Price'!$I$11="OK",I1251/INDEX(I$5:I$1258,'Stock Price'!$I$9)-1,"")</f>
        <v>0.11914217633042101</v>
      </c>
      <c r="W1251" s="19">
        <f ca="1">IF('Stock Price'!$I$11="OK",J1251/INDEX(J$5:J$1258,'Stock Price'!$I$9)-1,"")</f>
        <v>6.5376356029471783E-2</v>
      </c>
      <c r="X1251" s="19">
        <f ca="1">IF('Stock Price'!$I$11="OK",K1251/INDEX(K$5:K$1258,'Stock Price'!$I$9)-1,"")</f>
        <v>0.14384586606808814</v>
      </c>
      <c r="Y1251" s="19">
        <f ca="1">IF('Stock Price'!$I$11="OK",L1251/INDEX(L$5:L$1258,'Stock Price'!$I$9)-1,"")</f>
        <v>0.29814323607427062</v>
      </c>
      <c r="Z1251" s="19">
        <f ca="1">IF('Stock Price'!$I$11="OK",M1251/INDEX(M$5:M$1258,'Stock Price'!$I$9)-1,"")</f>
        <v>0.1559897082552002</v>
      </c>
    </row>
    <row r="1252" spans="1:26" x14ac:dyDescent="0.2">
      <c r="A1252" s="16">
        <f>'Stock Price'!A1252</f>
        <v>46289</v>
      </c>
      <c r="B1252" s="17">
        <f>'Stock Price'!E1252</f>
        <v>147.97999999999999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0.39013621418506328</v>
      </c>
      <c r="P1252" s="19">
        <f ca="1">IF('Stock Price'!$I$11="OK",C1252/INDEX(C$5:C$1258,'Stock Price'!$I$9)-1,"")</f>
        <v>3.6307203695683521E-2</v>
      </c>
      <c r="Q1252" s="19">
        <f ca="1">IF('Stock Price'!$I$11="OK",D1252/INDEX(D$5:D$1258,'Stock Price'!$I$9)-1,"")</f>
        <v>-9.9165184070069801E-2</v>
      </c>
      <c r="R1252" s="19">
        <f ca="1">IF('Stock Price'!$I$11="OK",E1252/INDEX(E$5:E$1258,'Stock Price'!$I$9)-1,"")</f>
        <v>4.0298206729794117E-4</v>
      </c>
      <c r="S1252" s="19">
        <f ca="1">IF('Stock Price'!$I$11="OK",F1252/INDEX(F$5:F$1258,'Stock Price'!$I$9)-1,"")</f>
        <v>6.5111758989309987E-2</v>
      </c>
      <c r="T1252" s="19">
        <f ca="1">IF('Stock Price'!$I$11="OK",G1252/INDEX(G$5:G$1258,'Stock Price'!$I$9)-1,"")</f>
        <v>-0.1511507360563964</v>
      </c>
      <c r="U1252" s="19">
        <f ca="1">IF('Stock Price'!$I$11="OK",H1252/INDEX(H$5:H$1258,'Stock Price'!$I$9)-1,"")</f>
        <v>0.29947368421052634</v>
      </c>
      <c r="V1252" s="19">
        <f ca="1">IF('Stock Price'!$I$11="OK",I1252/INDEX(I$5:I$1258,'Stock Price'!$I$9)-1,"")</f>
        <v>0.1282764098490865</v>
      </c>
      <c r="W1252" s="19">
        <f ca="1">IF('Stock Price'!$I$11="OK",J1252/INDEX(J$5:J$1258,'Stock Price'!$I$9)-1,"")</f>
        <v>9.3977933281498949E-2</v>
      </c>
      <c r="X1252" s="19">
        <f ca="1">IF('Stock Price'!$I$11="OK",K1252/INDEX(K$5:K$1258,'Stock Price'!$I$9)-1,"")</f>
        <v>0.15039281705948371</v>
      </c>
      <c r="Y1252" s="19">
        <f ca="1">IF('Stock Price'!$I$11="OK",L1252/INDEX(L$5:L$1258,'Stock Price'!$I$9)-1,"")</f>
        <v>0.3054256088738847</v>
      </c>
      <c r="Z1252" s="19">
        <f ca="1">IF('Stock Price'!$I$11="OK",M1252/INDEX(M$5:M$1258,'Stock Price'!$I$9)-1,"")</f>
        <v>0.1561641446077362</v>
      </c>
    </row>
    <row r="1253" spans="1:26" x14ac:dyDescent="0.2">
      <c r="A1253" s="16">
        <f>'Stock Price'!A1253</f>
        <v>46290</v>
      </c>
      <c r="B1253" s="17">
        <f>'Stock Price'!E1253</f>
        <v>148.78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0.39765147956787228</v>
      </c>
      <c r="P1253" s="19">
        <f ca="1">IF('Stock Price'!$I$11="OK",C1253/INDEX(C$5:C$1258,'Stock Price'!$I$9)-1,"")</f>
        <v>4.9949473076367878E-2</v>
      </c>
      <c r="Q1253" s="19">
        <f ca="1">IF('Stock Price'!$I$11="OK",D1253/INDEX(D$5:D$1258,'Stock Price'!$I$9)-1,"")</f>
        <v>-8.8107294375256551E-2</v>
      </c>
      <c r="R1253" s="19">
        <f ca="1">IF('Stock Price'!$I$11="OK",E1253/INDEX(E$5:E$1258,'Stock Price'!$I$9)-1,"")</f>
        <v>-7.8581503123110741E-3</v>
      </c>
      <c r="S1253" s="19">
        <f ca="1">IF('Stock Price'!$I$11="OK",F1253/INDEX(F$5:F$1258,'Stock Price'!$I$9)-1,"")</f>
        <v>5.8309037900874605E-2</v>
      </c>
      <c r="T1253" s="19">
        <f ca="1">IF('Stock Price'!$I$11="OK",G1253/INDEX(G$5:G$1258,'Stock Price'!$I$9)-1,"")</f>
        <v>-0.1476259589467136</v>
      </c>
      <c r="U1253" s="19">
        <f ca="1">IF('Stock Price'!$I$11="OK",H1253/INDEX(H$5:H$1258,'Stock Price'!$I$9)-1,"")</f>
        <v>0.31631578947368433</v>
      </c>
      <c r="V1253" s="19">
        <f ca="1">IF('Stock Price'!$I$11="OK",I1253/INDEX(I$5:I$1258,'Stock Price'!$I$9)-1,"")</f>
        <v>0.13860206513105644</v>
      </c>
      <c r="W1253" s="19">
        <f ca="1">IF('Stock Price'!$I$11="OK",J1253/INDEX(J$5:J$1258,'Stock Price'!$I$9)-1,"")</f>
        <v>9.5431152578770106E-2</v>
      </c>
      <c r="X1253" s="19">
        <f ca="1">IF('Stock Price'!$I$11="OK",K1253/INDEX(K$5:K$1258,'Stock Price'!$I$9)-1,"")</f>
        <v>0.17583239805462014</v>
      </c>
      <c r="Y1253" s="19">
        <f ca="1">IF('Stock Price'!$I$11="OK",L1253/INDEX(L$5:L$1258,'Stock Price'!$I$9)-1,"")</f>
        <v>0.3080299011333496</v>
      </c>
      <c r="Z1253" s="19">
        <f ca="1">IF('Stock Price'!$I$11="OK",M1253/INDEX(M$5:M$1258,'Stock Price'!$I$9)-1,"")</f>
        <v>0.15276263573328674</v>
      </c>
    </row>
    <row r="1254" spans="1:26" x14ac:dyDescent="0.2">
      <c r="A1254" s="16">
        <f>'Stock Price'!A1254</f>
        <v>46293</v>
      </c>
      <c r="B1254" s="17">
        <f>'Stock Price'!E1254</f>
        <v>148.69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0.39680601221230627</v>
      </c>
      <c r="P1254" s="19">
        <f ca="1">IF('Stock Price'!$I$11="OK",C1254/INDEX(C$5:C$1258,'Stock Price'!$I$9)-1,"")</f>
        <v>6.0199220441749635E-2</v>
      </c>
      <c r="Q1254" s="19">
        <f ca="1">IF('Stock Price'!$I$11="OK",D1254/INDEX(D$5:D$1258,'Stock Price'!$I$9)-1,"")</f>
        <v>-9.0461201587518802E-2</v>
      </c>
      <c r="R1254" s="19">
        <f ca="1">IF('Stock Price'!$I$11="OK",E1254/INDEX(E$5:E$1258,'Stock Price'!$I$9)-1,"")</f>
        <v>1.4104372355430161E-3</v>
      </c>
      <c r="S1254" s="19">
        <f ca="1">IF('Stock Price'!$I$11="OK",F1254/INDEX(F$5:F$1258,'Stock Price'!$I$9)-1,"")</f>
        <v>3.7317784256559738E-2</v>
      </c>
      <c r="T1254" s="19">
        <f ca="1">IF('Stock Price'!$I$11="OK",G1254/INDEX(G$5:G$1258,'Stock Price'!$I$9)-1,"")</f>
        <v>-0.14617458013684426</v>
      </c>
      <c r="U1254" s="19">
        <f ca="1">IF('Stock Price'!$I$11="OK",H1254/INDEX(H$5:H$1258,'Stock Price'!$I$9)-1,"")</f>
        <v>0.33684210526315783</v>
      </c>
      <c r="V1254" s="19">
        <f ca="1">IF('Stock Price'!$I$11="OK",I1254/INDEX(I$5:I$1258,'Stock Price'!$I$9)-1,"")</f>
        <v>0.14058776806989681</v>
      </c>
      <c r="W1254" s="19">
        <f ca="1">IF('Stock Price'!$I$11="OK",J1254/INDEX(J$5:J$1258,'Stock Price'!$I$9)-1,"")</f>
        <v>9.665296752934216E-2</v>
      </c>
      <c r="X1254" s="19">
        <f ca="1">IF('Stock Price'!$I$11="OK",K1254/INDEX(K$5:K$1258,'Stock Price'!$I$9)-1,"")</f>
        <v>0.1949120838009728</v>
      </c>
      <c r="Y1254" s="19">
        <f ca="1">IF('Stock Price'!$I$11="OK",L1254/INDEX(L$5:L$1258,'Stock Price'!$I$9)-1,"")</f>
        <v>0.31155051844707016</v>
      </c>
      <c r="Z1254" s="19">
        <f ca="1">IF('Stock Price'!$I$11="OK",M1254/INDEX(M$5:M$1258,'Stock Price'!$I$9)-1,"")</f>
        <v>0.16122279883127622</v>
      </c>
    </row>
    <row r="1255" spans="1:26" x14ac:dyDescent="0.2">
      <c r="A1255" s="16">
        <f>'Stock Price'!A1255</f>
        <v>46294</v>
      </c>
      <c r="B1255" s="17">
        <f>'Stock Price'!E1255</f>
        <v>149.28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0.40234852043212777</v>
      </c>
      <c r="P1255" s="19">
        <f ca="1">IF('Stock Price'!$I$11="OK",C1255/INDEX(C$5:C$1258,'Stock Price'!$I$9)-1,"")</f>
        <v>5.1754006063230884E-2</v>
      </c>
      <c r="Q1255" s="19">
        <f ca="1">IF('Stock Price'!$I$11="OK",D1255/INDEX(D$5:D$1258,'Stock Price'!$I$9)-1,"")</f>
        <v>-0.10108115505679482</v>
      </c>
      <c r="R1255" s="19">
        <f ca="1">IF('Stock Price'!$I$11="OK",E1255/INDEX(E$5:E$1258,'Stock Price'!$I$9)-1,"")</f>
        <v>-5.6417489421720646E-3</v>
      </c>
      <c r="S1255" s="19">
        <f ca="1">IF('Stock Price'!$I$11="OK",F1255/INDEX(F$5:F$1258,'Stock Price'!$I$9)-1,"")</f>
        <v>1.5549076773566428E-2</v>
      </c>
      <c r="T1255" s="19">
        <f ca="1">IF('Stock Price'!$I$11="OK",G1255/INDEX(G$5:G$1258,'Stock Price'!$I$9)-1,"")</f>
        <v>-0.15529753265602309</v>
      </c>
      <c r="U1255" s="19">
        <f ca="1">IF('Stock Price'!$I$11="OK",H1255/INDEX(H$5:H$1258,'Stock Price'!$I$9)-1,"")</f>
        <v>0.2863157894736843</v>
      </c>
      <c r="V1255" s="19">
        <f ca="1">IF('Stock Price'!$I$11="OK",I1255/INDEX(I$5:I$1258,'Stock Price'!$I$9)-1,"")</f>
        <v>0.14058776806989681</v>
      </c>
      <c r="W1255" s="19">
        <f ca="1">IF('Stock Price'!$I$11="OK",J1255/INDEX(J$5:J$1258,'Stock Price'!$I$9)-1,"")</f>
        <v>9.651412492132283E-2</v>
      </c>
      <c r="X1255" s="19">
        <f ca="1">IF('Stock Price'!$I$11="OK",K1255/INDEX(K$5:K$1258,'Stock Price'!$I$9)-1,"")</f>
        <v>0.17583239805462014</v>
      </c>
      <c r="Y1255" s="19">
        <f ca="1">IF('Stock Price'!$I$11="OK",L1255/INDEX(L$5:L$1258,'Stock Price'!$I$9)-1,"")</f>
        <v>0.29042681456474551</v>
      </c>
      <c r="Z1255" s="19">
        <f ca="1">IF('Stock Price'!$I$11="OK",M1255/INDEX(M$5:M$1258,'Stock Price'!$I$9)-1,"")</f>
        <v>0.14818368147922034</v>
      </c>
    </row>
    <row r="1256" spans="1:26" x14ac:dyDescent="0.2">
      <c r="A1256" s="16">
        <f>'Stock Price'!A1256</f>
        <v>46295</v>
      </c>
      <c r="B1256" s="17">
        <f>'Stock Price'!E1256</f>
        <v>145.31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0.36505401596993892</v>
      </c>
      <c r="P1256" s="19">
        <f ca="1">IF('Stock Price'!$I$11="OK",C1256/INDEX(C$5:C$1258,'Stock Price'!$I$9)-1,"")</f>
        <v>2.9089071748231499E-2</v>
      </c>
      <c r="Q1256" s="19">
        <f ca="1">IF('Stock Price'!$I$11="OK",D1256/INDEX(D$5:D$1258,'Stock Price'!$I$9)-1,"")</f>
        <v>-0.11608047078144257</v>
      </c>
      <c r="R1256" s="19">
        <f ca="1">IF('Stock Price'!$I$11="OK",E1256/INDEX(E$5:E$1258,'Stock Price'!$I$9)-1,"")</f>
        <v>-2.9417690912754368E-2</v>
      </c>
      <c r="S1256" s="19">
        <f ca="1">IF('Stock Price'!$I$11="OK",F1256/INDEX(F$5:F$1258,'Stock Price'!$I$9)-1,"")</f>
        <v>8.3576287657920467E-3</v>
      </c>
      <c r="T1256" s="19">
        <f ca="1">IF('Stock Price'!$I$11="OK",G1256/INDEX(G$5:G$1258,'Stock Price'!$I$9)-1,"")</f>
        <v>-0.14513788098693758</v>
      </c>
      <c r="U1256" s="19">
        <f ca="1">IF('Stock Price'!$I$11="OK",H1256/INDEX(H$5:H$1258,'Stock Price'!$I$9)-1,"")</f>
        <v>0.26184210526315788</v>
      </c>
      <c r="V1256" s="19">
        <f ca="1">IF('Stock Price'!$I$11="OK",I1256/INDEX(I$5:I$1258,'Stock Price'!$I$9)-1,"")</f>
        <v>0.13264495631453532</v>
      </c>
      <c r="W1256" s="19">
        <f ca="1">IF('Stock Price'!$I$11="OK",J1256/INDEX(J$5:J$1258,'Stock Price'!$I$9)-1,"")</f>
        <v>7.1013365915065352E-2</v>
      </c>
      <c r="X1256" s="19">
        <f ca="1">IF('Stock Price'!$I$11="OK",K1256/INDEX(K$5:K$1258,'Stock Price'!$I$9)-1,"")</f>
        <v>0.16722783389450058</v>
      </c>
      <c r="Y1256" s="19">
        <f ca="1">IF('Stock Price'!$I$11="OK",L1256/INDEX(L$5:L$1258,'Stock Price'!$I$9)-1,"")</f>
        <v>0.27677839401977344</v>
      </c>
      <c r="Z1256" s="19">
        <f ca="1">IF('Stock Price'!$I$11="OK",M1256/INDEX(M$5:M$1258,'Stock Price'!$I$9)-1,"")</f>
        <v>0.14077013649644576</v>
      </c>
    </row>
    <row r="1257" spans="1:26" x14ac:dyDescent="0.2">
      <c r="A1257" s="16">
        <f>'Stock Price'!A1257</f>
        <v>46296</v>
      </c>
      <c r="B1257" s="17">
        <f>'Stock Price'!E1257</f>
        <v>143.81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0.35096289337717246</v>
      </c>
      <c r="P1257" s="19">
        <f ca="1">IF('Stock Price'!$I$11="OK",C1257/INDEX(C$5:C$1258,'Stock Price'!$I$9)-1,"")</f>
        <v>1.8117511188104674E-2</v>
      </c>
      <c r="Q1257" s="19">
        <f ca="1">IF('Stock Price'!$I$11="OK",D1257/INDEX(D$5:D$1258,'Stock Price'!$I$9)-1,"")</f>
        <v>-0.13671821540988105</v>
      </c>
      <c r="R1257" s="19">
        <f ca="1">IF('Stock Price'!$I$11="OK",E1257/INDEX(E$5:E$1258,'Stock Price'!$I$9)-1,"")</f>
        <v>-4.9365303244005676E-2</v>
      </c>
      <c r="S1257" s="19">
        <f ca="1">IF('Stock Price'!$I$11="OK",F1257/INDEX(F$5:F$1258,'Stock Price'!$I$9)-1,"")</f>
        <v>1.7492711370262315E-2</v>
      </c>
      <c r="T1257" s="19">
        <f ca="1">IF('Stock Price'!$I$11="OK",G1257/INDEX(G$5:G$1258,'Stock Price'!$I$9)-1,"")</f>
        <v>-0.15674891146589254</v>
      </c>
      <c r="U1257" s="19">
        <f ca="1">IF('Stock Price'!$I$11="OK",H1257/INDEX(H$5:H$1258,'Stock Price'!$I$9)-1,"")</f>
        <v>0.1947368421052631</v>
      </c>
      <c r="V1257" s="19">
        <f ca="1">IF('Stock Price'!$I$11="OK",I1257/INDEX(I$5:I$1258,'Stock Price'!$I$9)-1,"")</f>
        <v>0.11675933280381257</v>
      </c>
      <c r="W1257" s="19">
        <f ca="1">IF('Stock Price'!$I$11="OK",J1257/INDEX(J$5:J$1258,'Stock Price'!$I$9)-1,"")</f>
        <v>6.4321152208523191E-2</v>
      </c>
      <c r="X1257" s="19">
        <f ca="1">IF('Stock Price'!$I$11="OK",K1257/INDEX(K$5:K$1258,'Stock Price'!$I$9)-1,"")</f>
        <v>0.14964459408903852</v>
      </c>
      <c r="Y1257" s="19">
        <f ca="1">IF('Stock Price'!$I$11="OK",L1257/INDEX(L$5:L$1258,'Stock Price'!$I$9)-1,"")</f>
        <v>0.24745599228357862</v>
      </c>
      <c r="Z1257" s="19">
        <f ca="1">IF('Stock Price'!$I$11="OK",M1257/INDEX(M$5:M$1258,'Stock Price'!$I$9)-1,"")</f>
        <v>0.13353102786620741</v>
      </c>
    </row>
    <row r="1258" spans="1:26" x14ac:dyDescent="0.2">
      <c r="A1258" s="16">
        <f>'Stock Price'!A1258</f>
        <v>46297</v>
      </c>
      <c r="B1258" s="17">
        <f>'Stock Price'!E1258</f>
        <v>144.30000000000001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0.35556599342414286</v>
      </c>
      <c r="P1258" s="19">
        <f ca="1">IF('Stock Price'!$I$11="OK",C1258/INDEX(C$5:C$1258,'Stock Price'!$I$9)-1,"")</f>
        <v>1.7756604590732028E-2</v>
      </c>
      <c r="Q1258" s="19">
        <f ca="1">IF('Stock Price'!$I$11="OK",D1258/INDEX(D$5:D$1258,'Stock Price'!$I$9)-1,"")</f>
        <v>-0.14109757766525255</v>
      </c>
      <c r="R1258" s="19">
        <f ca="1">IF('Stock Price'!$I$11="OK",E1258/INDEX(E$5:E$1258,'Stock Price'!$I$9)-1,"")</f>
        <v>-5.2387668748740679E-2</v>
      </c>
      <c r="S1258" s="19">
        <f ca="1">IF('Stock Price'!$I$11="OK",F1258/INDEX(F$5:F$1258,'Stock Price'!$I$9)-1,"")</f>
        <v>1.5549076773566428E-2</v>
      </c>
      <c r="T1258" s="19">
        <f ca="1">IF('Stock Price'!$I$11="OK",G1258/INDEX(G$5:G$1258,'Stock Price'!$I$9)-1,"")</f>
        <v>-0.17229939871449296</v>
      </c>
      <c r="U1258" s="19">
        <f ca="1">IF('Stock Price'!$I$11="OK",H1258/INDEX(H$5:H$1258,'Stock Price'!$I$9)-1,"")</f>
        <v>0.18263157894736826</v>
      </c>
      <c r="V1258" s="19">
        <f ca="1">IF('Stock Price'!$I$11="OK",I1258/INDEX(I$5:I$1258,'Stock Price'!$I$9)-1,"")</f>
        <v>0.1040508339952344</v>
      </c>
      <c r="W1258" s="19">
        <f ca="1">IF('Stock Price'!$I$11="OK",J1258/INDEX(J$5:J$1258,'Stock Price'!$I$9)-1,"")</f>
        <v>5.7841830500944047E-2</v>
      </c>
      <c r="X1258" s="19">
        <f ca="1">IF('Stock Price'!$I$11="OK",K1258/INDEX(K$5:K$1258,'Stock Price'!$I$9)-1,"")</f>
        <v>0.14384586606808814</v>
      </c>
      <c r="Y1258" s="19">
        <f ca="1">IF('Stock Price'!$I$11="OK",L1258/INDEX(L$5:L$1258,'Stock Price'!$I$9)-1,"")</f>
        <v>0.23477212442729667</v>
      </c>
      <c r="Z1258" s="19">
        <f ca="1">IF('Stock Price'!$I$11="OK",M1258/INDEX(M$5:M$1258,'Stock Price'!$I$9)-1,"")</f>
        <v>0.14613405433692384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2026-10-05T16:26:19Z</dcterms:created>
  <dcterms:modified xsi:type="dcterms:W3CDTF">2026-10-05T18:58:28Z</dcterms:modified>
</cp:coreProperties>
</file>