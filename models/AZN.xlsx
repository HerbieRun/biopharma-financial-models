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jult\ClaudeCode\biopharma-financial-models\models\"/>
    </mc:Choice>
  </mc:AlternateContent>
  <xr:revisionPtr revIDLastSave="0" documentId="13_ncr:1_{A3870B17-BE40-4AE6-81E2-F480264F7201}" xr6:coauthVersionLast="47" xr6:coauthVersionMax="47" xr10:uidLastSave="{00000000-0000-0000-0000-000000000000}"/>
  <bookViews>
    <workbookView xWindow="44055" yWindow="1530" windowWidth="19995" windowHeight="13635" xr2:uid="{ADAF56A0-C9E2-4B3F-9903-D92F720E8C8D}"/>
  </bookViews>
  <sheets>
    <sheet name="Stock Price" sheetId="1" r:id="rId1"/>
  </sheets>
  <definedNames>
    <definedName name="_xlnm._FilterDatabase" localSheetId="0" hidden="1">'Stock Price'!$A$4:$F$1258</definedName>
    <definedName name="ChartClose">INDEX(PxClose,MIN('Stock Price'!$I$9,COUNT(PxDates))):INDEX(PxClose,MAX('Stock Price'!$I$10,1))</definedName>
    <definedName name="ChartDates">INDEX(PxDates,MIN('Stock Price'!$I$9,COUNT(PxDates))):INDEX(PxDates,MAX('Stock Price'!$I$10,1))</definedName>
    <definedName name="PxClose">'Stock Price'!$E$5:INDEX('Stock Price'!$E:$E,COUNT('Stock Price'!$A:$A)+4)</definedName>
    <definedName name="PxDates">'Stock Price'!$A$5:INDEX('Stock Price'!$A:$A,COUNT('Stock Price'!$A:$A)+4)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" i="1" l="1"/>
  <c r="I8" i="1"/>
  <c r="I10" i="1" s="1"/>
  <c r="I11" i="1" l="1"/>
  <c r="I14" i="1" l="1"/>
  <c r="I15" i="1"/>
  <c r="I16" i="1" s="1"/>
  <c r="H18" i="1" s="1"/>
  <c r="I12" i="1"/>
  <c r="I13" i="1"/>
</calcChain>
</file>

<file path=xl/sharedStrings.xml><?xml version="1.0" encoding="utf-8"?>
<sst xmlns="http://schemas.openxmlformats.org/spreadsheetml/2006/main" count="23" uniqueCount="23">
  <si>
    <t>AstraZeneca PLC (AZN) - Daily Stock Price, Last 5 Years</t>
  </si>
  <si>
    <t>Source: Nasdaq historical quotes (nasdaq.com/market-activity/stocks/azn), retrieved 2026-10-05. USD per ordinary share. Volume before 2026-02-02 is very low (often N/A), consistent with AZN's direct NYSE listing of ordinary shares in Feb 2026; earlier quotes are thinly traded, so treat them with caution.</t>
  </si>
  <si>
    <t>Date</t>
  </si>
  <si>
    <t>Open ($)</t>
  </si>
  <si>
    <t>High ($)</t>
  </si>
  <si>
    <t>Low ($)</t>
  </si>
  <si>
    <t>Close ($)</t>
  </si>
  <si>
    <t>Volume (shares)</t>
  </si>
  <si>
    <t>Price Chart</t>
  </si>
  <si>
    <t>Start Date</t>
  </si>
  <si>
    <t>End Date</t>
  </si>
  <si>
    <t>Enter a date (yellow cells are inputs)</t>
  </si>
  <si>
    <t>Leave blank to use today</t>
  </si>
  <si>
    <t>Calculations</t>
  </si>
  <si>
    <t>End date used</t>
  </si>
  <si>
    <t>Start row #</t>
  </si>
  <si>
    <t>End row #</t>
  </si>
  <si>
    <t>Check</t>
  </si>
  <si>
    <t>First trading day</t>
  </si>
  <si>
    <t>Last trading day</t>
  </si>
  <si>
    <t>Start close ($)</t>
  </si>
  <si>
    <t>End close ($)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</si>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</sst>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0.0%;\(0.0%\);\-"/>
  </numFmts>
  <fonts count="7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rgb="FF0000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6E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1" fillId="0" borderId="0" xfId="0" applyFont="1" applyBorder="1"/>
    <xf numFmtId="164" fontId="4" fillId="3" borderId="0" xfId="0" applyNumberFormat="1" applyFont="1" applyFill="1" applyBorder="1" applyAlignment="1">
      <alignment horizontal="right"/>
    </xf>
    <xf numFmtId="0" fontId="0" fillId="0" borderId="0" xfId="0" applyBorder="1"/>
    <xf numFmtId="0" fontId="6" fillId="0" borderId="0" xfId="0" applyFont="1" applyBorder="1"/>
    <xf numFmtId="164" fontId="6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0" fontId="6" fillId="0" borderId="2" xfId="0" applyFont="1" applyBorder="1"/>
    <xf numFmtId="166" fontId="6" fillId="0" borderId="2" xfId="0" applyNumberFormat="1" applyFont="1" applyBorder="1" applyAlignment="1">
      <alignment horizontal="right"/>
    </xf>
  </cellXfs>
  <cellStyles count="1">
    <cellStyle name="Normal" xfId="0" builtinId="0" customBuiltin="1"/>
  </cellStyles>
  <dxfs count="3">
    <dxf>
      <font>
        <color rgb="FFFF0000"/>
      </font>
    </dxf>
    <dxf>
      <font>
        <color rgb="FFC00000"/>
      </font>
    </dxf>
    <dxf>
      <font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AZN Daily Close ($)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Close ($)</c:v>
          </c:tx>
          <c:spPr>
            <a:ln w="19050">
              <a:solidFill>
                <a:srgbClr val="0060B0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[0]!ChartClose</c:f>
              <c:numCache>
                <c:formatCode>"$"#,##0.00</c:formatCode>
                <c:ptCount val="1254"/>
                <c:pt idx="0">
                  <c:v>121</c:v>
                </c:pt>
                <c:pt idx="1">
                  <c:v>120.27</c:v>
                </c:pt>
                <c:pt idx="2">
                  <c:v>121.98</c:v>
                </c:pt>
                <c:pt idx="3">
                  <c:v>123.83</c:v>
                </c:pt>
                <c:pt idx="4">
                  <c:v>123.4924</c:v>
                </c:pt>
                <c:pt idx="5">
                  <c:v>122.92</c:v>
                </c:pt>
                <c:pt idx="6">
                  <c:v>119.09</c:v>
                </c:pt>
                <c:pt idx="7">
                  <c:v>121</c:v>
                </c:pt>
                <c:pt idx="8">
                  <c:v>118.58</c:v>
                </c:pt>
                <c:pt idx="9">
                  <c:v>120.12</c:v>
                </c:pt>
                <c:pt idx="10">
                  <c:v>119.37</c:v>
                </c:pt>
                <c:pt idx="11">
                  <c:v>122</c:v>
                </c:pt>
                <c:pt idx="12">
                  <c:v>122.4</c:v>
                </c:pt>
                <c:pt idx="13">
                  <c:v>123.77500000000001</c:v>
                </c:pt>
                <c:pt idx="14">
                  <c:v>124.82</c:v>
                </c:pt>
                <c:pt idx="15">
                  <c:v>123.13</c:v>
                </c:pt>
                <c:pt idx="16">
                  <c:v>122.81</c:v>
                </c:pt>
                <c:pt idx="17">
                  <c:v>127.25</c:v>
                </c:pt>
                <c:pt idx="18">
                  <c:v>125.27500000000001</c:v>
                </c:pt>
                <c:pt idx="19">
                  <c:v>127.17</c:v>
                </c:pt>
                <c:pt idx="20">
                  <c:v>126.45</c:v>
                </c:pt>
                <c:pt idx="21">
                  <c:v>129</c:v>
                </c:pt>
                <c:pt idx="22">
                  <c:v>129.91999999999999</c:v>
                </c:pt>
                <c:pt idx="23">
                  <c:v>125.47</c:v>
                </c:pt>
                <c:pt idx="24">
                  <c:v>128.37</c:v>
                </c:pt>
                <c:pt idx="25">
                  <c:v>126.42</c:v>
                </c:pt>
                <c:pt idx="26">
                  <c:v>126.77</c:v>
                </c:pt>
                <c:pt idx="27">
                  <c:v>126.92</c:v>
                </c:pt>
                <c:pt idx="28">
                  <c:v>118.39</c:v>
                </c:pt>
                <c:pt idx="29">
                  <c:v>123.13</c:v>
                </c:pt>
                <c:pt idx="30">
                  <c:v>116.81</c:v>
                </c:pt>
                <c:pt idx="31">
                  <c:v>115.94</c:v>
                </c:pt>
                <c:pt idx="32">
                  <c:v>112.42</c:v>
                </c:pt>
                <c:pt idx="33">
                  <c:v>112.6</c:v>
                </c:pt>
                <c:pt idx="34">
                  <c:v>114.21</c:v>
                </c:pt>
                <c:pt idx="35">
                  <c:v>112.25</c:v>
                </c:pt>
                <c:pt idx="36">
                  <c:v>113.72</c:v>
                </c:pt>
                <c:pt idx="37">
                  <c:v>112.355</c:v>
                </c:pt>
                <c:pt idx="38">
                  <c:v>112.35</c:v>
                </c:pt>
                <c:pt idx="39">
                  <c:v>111.57</c:v>
                </c:pt>
                <c:pt idx="40">
                  <c:v>109.35</c:v>
                </c:pt>
                <c:pt idx="41">
                  <c:v>111.42</c:v>
                </c:pt>
                <c:pt idx="42">
                  <c:v>109.66</c:v>
                </c:pt>
                <c:pt idx="43">
                  <c:v>110.93</c:v>
                </c:pt>
                <c:pt idx="44">
                  <c:v>108.63</c:v>
                </c:pt>
                <c:pt idx="45">
                  <c:v>112.47</c:v>
                </c:pt>
                <c:pt idx="46">
                  <c:v>109.25</c:v>
                </c:pt>
                <c:pt idx="47">
                  <c:v>110.43</c:v>
                </c:pt>
                <c:pt idx="48">
                  <c:v>107.28</c:v>
                </c:pt>
                <c:pt idx="49">
                  <c:v>107.76</c:v>
                </c:pt>
                <c:pt idx="50">
                  <c:v>110.34</c:v>
                </c:pt>
                <c:pt idx="51">
                  <c:v>113.92</c:v>
                </c:pt>
                <c:pt idx="52">
                  <c:v>111.4</c:v>
                </c:pt>
                <c:pt idx="53">
                  <c:v>109.56</c:v>
                </c:pt>
                <c:pt idx="54">
                  <c:v>116</c:v>
                </c:pt>
                <c:pt idx="55">
                  <c:v>115.87</c:v>
                </c:pt>
                <c:pt idx="56">
                  <c:v>115</c:v>
                </c:pt>
                <c:pt idx="57">
                  <c:v>115</c:v>
                </c:pt>
                <c:pt idx="58">
                  <c:v>117.15</c:v>
                </c:pt>
                <c:pt idx="59">
                  <c:v>116.13</c:v>
                </c:pt>
                <c:pt idx="60">
                  <c:v>118</c:v>
                </c:pt>
                <c:pt idx="61">
                  <c:v>115.8501</c:v>
                </c:pt>
                <c:pt idx="62">
                  <c:v>115.785</c:v>
                </c:pt>
                <c:pt idx="63">
                  <c:v>115.66</c:v>
                </c:pt>
                <c:pt idx="64">
                  <c:v>113.5</c:v>
                </c:pt>
                <c:pt idx="65">
                  <c:v>114.7</c:v>
                </c:pt>
                <c:pt idx="66">
                  <c:v>112.73</c:v>
                </c:pt>
                <c:pt idx="67">
                  <c:v>115.02</c:v>
                </c:pt>
                <c:pt idx="68">
                  <c:v>115.51</c:v>
                </c:pt>
                <c:pt idx="69">
                  <c:v>115.32</c:v>
                </c:pt>
                <c:pt idx="70">
                  <c:v>117.2</c:v>
                </c:pt>
                <c:pt idx="71">
                  <c:v>118.1</c:v>
                </c:pt>
                <c:pt idx="72">
                  <c:v>119</c:v>
                </c:pt>
                <c:pt idx="73">
                  <c:v>119.67</c:v>
                </c:pt>
                <c:pt idx="74">
                  <c:v>121.21</c:v>
                </c:pt>
                <c:pt idx="75">
                  <c:v>120.82</c:v>
                </c:pt>
                <c:pt idx="76">
                  <c:v>112.36</c:v>
                </c:pt>
                <c:pt idx="77">
                  <c:v>113.35</c:v>
                </c:pt>
                <c:pt idx="78">
                  <c:v>116.8</c:v>
                </c:pt>
                <c:pt idx="79">
                  <c:v>120.5</c:v>
                </c:pt>
                <c:pt idx="80">
                  <c:v>116.25</c:v>
                </c:pt>
                <c:pt idx="81">
                  <c:v>117.02</c:v>
                </c:pt>
                <c:pt idx="82">
                  <c:v>116.5</c:v>
                </c:pt>
                <c:pt idx="83">
                  <c:v>117.68</c:v>
                </c:pt>
                <c:pt idx="84">
                  <c:v>116.92</c:v>
                </c:pt>
                <c:pt idx="85">
                  <c:v>110.53</c:v>
                </c:pt>
                <c:pt idx="86">
                  <c:v>111.5</c:v>
                </c:pt>
                <c:pt idx="87">
                  <c:v>112.87</c:v>
                </c:pt>
                <c:pt idx="88">
                  <c:v>114.52</c:v>
                </c:pt>
                <c:pt idx="89">
                  <c:v>115.751</c:v>
                </c:pt>
                <c:pt idx="90">
                  <c:v>114.15</c:v>
                </c:pt>
                <c:pt idx="91">
                  <c:v>111.36</c:v>
                </c:pt>
                <c:pt idx="92">
                  <c:v>117.12</c:v>
                </c:pt>
                <c:pt idx="93">
                  <c:v>120.87</c:v>
                </c:pt>
                <c:pt idx="94">
                  <c:v>122.4</c:v>
                </c:pt>
                <c:pt idx="95">
                  <c:v>117.98</c:v>
                </c:pt>
                <c:pt idx="96">
                  <c:v>120.3</c:v>
                </c:pt>
                <c:pt idx="97">
                  <c:v>120.97</c:v>
                </c:pt>
                <c:pt idx="98">
                  <c:v>115.95</c:v>
                </c:pt>
                <c:pt idx="99">
                  <c:v>121.27</c:v>
                </c:pt>
                <c:pt idx="100">
                  <c:v>117.23</c:v>
                </c:pt>
                <c:pt idx="101">
                  <c:v>122</c:v>
                </c:pt>
                <c:pt idx="102">
                  <c:v>124.92</c:v>
                </c:pt>
                <c:pt idx="103">
                  <c:v>118.35</c:v>
                </c:pt>
                <c:pt idx="104">
                  <c:v>113.2401</c:v>
                </c:pt>
                <c:pt idx="105">
                  <c:v>114.27</c:v>
                </c:pt>
                <c:pt idx="106">
                  <c:v>112.83</c:v>
                </c:pt>
                <c:pt idx="107">
                  <c:v>119.3</c:v>
                </c:pt>
                <c:pt idx="108">
                  <c:v>122.42</c:v>
                </c:pt>
                <c:pt idx="109">
                  <c:v>119.85</c:v>
                </c:pt>
                <c:pt idx="110">
                  <c:v>120.73</c:v>
                </c:pt>
                <c:pt idx="111">
                  <c:v>121.32</c:v>
                </c:pt>
                <c:pt idx="112">
                  <c:v>121.33</c:v>
                </c:pt>
                <c:pt idx="113">
                  <c:v>124.08</c:v>
                </c:pt>
                <c:pt idx="114">
                  <c:v>127.92</c:v>
                </c:pt>
                <c:pt idx="115">
                  <c:v>121.79</c:v>
                </c:pt>
                <c:pt idx="116">
                  <c:v>127.92</c:v>
                </c:pt>
                <c:pt idx="117">
                  <c:v>129.77000000000001</c:v>
                </c:pt>
                <c:pt idx="118">
                  <c:v>133.91999999999999</c:v>
                </c:pt>
                <c:pt idx="119">
                  <c:v>134.61000000000001</c:v>
                </c:pt>
                <c:pt idx="120">
                  <c:v>133.43</c:v>
                </c:pt>
                <c:pt idx="121">
                  <c:v>136.11000000000001</c:v>
                </c:pt>
                <c:pt idx="122">
                  <c:v>131.46</c:v>
                </c:pt>
                <c:pt idx="123">
                  <c:v>134.63</c:v>
                </c:pt>
                <c:pt idx="124">
                  <c:v>133.25</c:v>
                </c:pt>
                <c:pt idx="125">
                  <c:v>136.27000000000001</c:v>
                </c:pt>
                <c:pt idx="126">
                  <c:v>133.61000000000001</c:v>
                </c:pt>
                <c:pt idx="127">
                  <c:v>137.62</c:v>
                </c:pt>
                <c:pt idx="128">
                  <c:v>139.88999999999999</c:v>
                </c:pt>
                <c:pt idx="129">
                  <c:v>140.91999999999999</c:v>
                </c:pt>
                <c:pt idx="130">
                  <c:v>137.94999999999999</c:v>
                </c:pt>
                <c:pt idx="131">
                  <c:v>138.41999999999999</c:v>
                </c:pt>
                <c:pt idx="132">
                  <c:v>134.72</c:v>
                </c:pt>
                <c:pt idx="133">
                  <c:v>134</c:v>
                </c:pt>
                <c:pt idx="134">
                  <c:v>141.57</c:v>
                </c:pt>
                <c:pt idx="135">
                  <c:v>135.08000000000001</c:v>
                </c:pt>
                <c:pt idx="136">
                  <c:v>136.83000000000001</c:v>
                </c:pt>
                <c:pt idx="137">
                  <c:v>135.38</c:v>
                </c:pt>
                <c:pt idx="138">
                  <c:v>134.66999999999999</c:v>
                </c:pt>
                <c:pt idx="139">
                  <c:v>129.33000000000001</c:v>
                </c:pt>
                <c:pt idx="140">
                  <c:v>129.46</c:v>
                </c:pt>
                <c:pt idx="141">
                  <c:v>129.33000000000001</c:v>
                </c:pt>
                <c:pt idx="142">
                  <c:v>129.83000000000001</c:v>
                </c:pt>
                <c:pt idx="143">
                  <c:v>132.33000000000001</c:v>
                </c:pt>
                <c:pt idx="144">
                  <c:v>130</c:v>
                </c:pt>
                <c:pt idx="145">
                  <c:v>130.08000000000001</c:v>
                </c:pt>
                <c:pt idx="146">
                  <c:v>129.25</c:v>
                </c:pt>
                <c:pt idx="147">
                  <c:v>127.6</c:v>
                </c:pt>
                <c:pt idx="148">
                  <c:v>125.58</c:v>
                </c:pt>
                <c:pt idx="149">
                  <c:v>121.53</c:v>
                </c:pt>
                <c:pt idx="150">
                  <c:v>123.75</c:v>
                </c:pt>
                <c:pt idx="151">
                  <c:v>122.7</c:v>
                </c:pt>
                <c:pt idx="152">
                  <c:v>120.72</c:v>
                </c:pt>
                <c:pt idx="153">
                  <c:v>125.82</c:v>
                </c:pt>
                <c:pt idx="154">
                  <c:v>126.58</c:v>
                </c:pt>
                <c:pt idx="155">
                  <c:v>129.22</c:v>
                </c:pt>
                <c:pt idx="156">
                  <c:v>125.49</c:v>
                </c:pt>
                <c:pt idx="157">
                  <c:v>125.9</c:v>
                </c:pt>
                <c:pt idx="158">
                  <c:v>127.06</c:v>
                </c:pt>
                <c:pt idx="159">
                  <c:v>131.08000000000001</c:v>
                </c:pt>
                <c:pt idx="160">
                  <c:v>132.46</c:v>
                </c:pt>
                <c:pt idx="161">
                  <c:v>134.13999999999999</c:v>
                </c:pt>
                <c:pt idx="162">
                  <c:v>134.12</c:v>
                </c:pt>
                <c:pt idx="163">
                  <c:v>130.75</c:v>
                </c:pt>
                <c:pt idx="164">
                  <c:v>129.26</c:v>
                </c:pt>
                <c:pt idx="165">
                  <c:v>132.13999999999999</c:v>
                </c:pt>
                <c:pt idx="166">
                  <c:v>128.72</c:v>
                </c:pt>
                <c:pt idx="167">
                  <c:v>126.48</c:v>
                </c:pt>
                <c:pt idx="168">
                  <c:v>125.6</c:v>
                </c:pt>
                <c:pt idx="169">
                  <c:v>125.08</c:v>
                </c:pt>
                <c:pt idx="170">
                  <c:v>125.08</c:v>
                </c:pt>
                <c:pt idx="171">
                  <c:v>123.28</c:v>
                </c:pt>
                <c:pt idx="172">
                  <c:v>122.99</c:v>
                </c:pt>
                <c:pt idx="173">
                  <c:v>115.61</c:v>
                </c:pt>
                <c:pt idx="174">
                  <c:v>114.42100000000001</c:v>
                </c:pt>
                <c:pt idx="175">
                  <c:v>115.9</c:v>
                </c:pt>
                <c:pt idx="176">
                  <c:v>118.75</c:v>
                </c:pt>
                <c:pt idx="177">
                  <c:v>120.22</c:v>
                </c:pt>
                <c:pt idx="178">
                  <c:v>121.9</c:v>
                </c:pt>
                <c:pt idx="179">
                  <c:v>125.4</c:v>
                </c:pt>
                <c:pt idx="180">
                  <c:v>126.7</c:v>
                </c:pt>
                <c:pt idx="181">
                  <c:v>129.21</c:v>
                </c:pt>
                <c:pt idx="182">
                  <c:v>127.2501</c:v>
                </c:pt>
                <c:pt idx="183">
                  <c:v>131.69999999999999</c:v>
                </c:pt>
                <c:pt idx="184">
                  <c:v>131</c:v>
                </c:pt>
                <c:pt idx="185">
                  <c:v>128.91</c:v>
                </c:pt>
                <c:pt idx="186">
                  <c:v>130.75</c:v>
                </c:pt>
                <c:pt idx="187">
                  <c:v>124.68</c:v>
                </c:pt>
                <c:pt idx="188">
                  <c:v>130.16</c:v>
                </c:pt>
                <c:pt idx="189">
                  <c:v>131.67500000000001</c:v>
                </c:pt>
                <c:pt idx="190">
                  <c:v>130.5</c:v>
                </c:pt>
                <c:pt idx="191">
                  <c:v>131.21</c:v>
                </c:pt>
                <c:pt idx="192">
                  <c:v>132</c:v>
                </c:pt>
                <c:pt idx="193">
                  <c:v>129.97999999999999</c:v>
                </c:pt>
                <c:pt idx="194">
                  <c:v>129.32</c:v>
                </c:pt>
                <c:pt idx="195">
                  <c:v>131.26</c:v>
                </c:pt>
                <c:pt idx="196">
                  <c:v>133.9</c:v>
                </c:pt>
                <c:pt idx="197">
                  <c:v>134.55000000000001</c:v>
                </c:pt>
                <c:pt idx="198">
                  <c:v>129.91</c:v>
                </c:pt>
                <c:pt idx="199">
                  <c:v>125.55</c:v>
                </c:pt>
                <c:pt idx="200">
                  <c:v>128.64009999999999</c:v>
                </c:pt>
                <c:pt idx="201">
                  <c:v>129.06</c:v>
                </c:pt>
                <c:pt idx="202">
                  <c:v>131.30000000000001</c:v>
                </c:pt>
                <c:pt idx="203">
                  <c:v>134.29</c:v>
                </c:pt>
                <c:pt idx="204">
                  <c:v>131.1</c:v>
                </c:pt>
                <c:pt idx="205">
                  <c:v>130.72</c:v>
                </c:pt>
                <c:pt idx="206">
                  <c:v>132.63999999999999</c:v>
                </c:pt>
                <c:pt idx="207">
                  <c:v>130.30000000000001</c:v>
                </c:pt>
                <c:pt idx="208">
                  <c:v>130.30000000000001</c:v>
                </c:pt>
                <c:pt idx="209">
                  <c:v>133.34</c:v>
                </c:pt>
                <c:pt idx="210">
                  <c:v>128.16</c:v>
                </c:pt>
                <c:pt idx="211">
                  <c:v>133.34</c:v>
                </c:pt>
                <c:pt idx="212">
                  <c:v>128.16</c:v>
                </c:pt>
                <c:pt idx="213">
                  <c:v>132.43</c:v>
                </c:pt>
                <c:pt idx="214">
                  <c:v>128.51499999999999</c:v>
                </c:pt>
                <c:pt idx="215">
                  <c:v>127.39</c:v>
                </c:pt>
                <c:pt idx="216">
                  <c:v>131.54499999999999</c:v>
                </c:pt>
                <c:pt idx="217">
                  <c:v>134.13</c:v>
                </c:pt>
                <c:pt idx="218">
                  <c:v>134.13</c:v>
                </c:pt>
                <c:pt idx="219">
                  <c:v>130.16999999999999</c:v>
                </c:pt>
                <c:pt idx="220">
                  <c:v>131.15</c:v>
                </c:pt>
                <c:pt idx="221">
                  <c:v>135.75</c:v>
                </c:pt>
                <c:pt idx="222">
                  <c:v>133</c:v>
                </c:pt>
                <c:pt idx="223">
                  <c:v>128.01</c:v>
                </c:pt>
                <c:pt idx="224">
                  <c:v>128.01</c:v>
                </c:pt>
                <c:pt idx="225">
                  <c:v>131.44</c:v>
                </c:pt>
                <c:pt idx="226">
                  <c:v>128.75</c:v>
                </c:pt>
                <c:pt idx="227">
                  <c:v>125.77</c:v>
                </c:pt>
                <c:pt idx="228">
                  <c:v>124.44</c:v>
                </c:pt>
                <c:pt idx="229">
                  <c:v>118.06</c:v>
                </c:pt>
                <c:pt idx="230">
                  <c:v>126.59</c:v>
                </c:pt>
                <c:pt idx="231">
                  <c:v>117.01</c:v>
                </c:pt>
                <c:pt idx="232">
                  <c:v>113.76</c:v>
                </c:pt>
                <c:pt idx="233">
                  <c:v>118.96</c:v>
                </c:pt>
                <c:pt idx="234">
                  <c:v>122.71</c:v>
                </c:pt>
                <c:pt idx="235">
                  <c:v>118.91</c:v>
                </c:pt>
                <c:pt idx="236">
                  <c:v>117.46</c:v>
                </c:pt>
                <c:pt idx="237">
                  <c:v>116.37</c:v>
                </c:pt>
                <c:pt idx="238">
                  <c:v>112.81</c:v>
                </c:pt>
                <c:pt idx="239">
                  <c:v>113</c:v>
                </c:pt>
                <c:pt idx="240">
                  <c:v>110.96</c:v>
                </c:pt>
                <c:pt idx="241">
                  <c:v>110.51</c:v>
                </c:pt>
                <c:pt idx="242">
                  <c:v>114.155</c:v>
                </c:pt>
                <c:pt idx="243">
                  <c:v>111.6</c:v>
                </c:pt>
                <c:pt idx="244">
                  <c:v>108.35</c:v>
                </c:pt>
                <c:pt idx="245">
                  <c:v>104.5</c:v>
                </c:pt>
                <c:pt idx="246">
                  <c:v>106.5</c:v>
                </c:pt>
                <c:pt idx="247">
                  <c:v>108.26</c:v>
                </c:pt>
                <c:pt idx="248">
                  <c:v>109</c:v>
                </c:pt>
                <c:pt idx="249">
                  <c:v>107.1</c:v>
                </c:pt>
                <c:pt idx="250">
                  <c:v>111.25</c:v>
                </c:pt>
                <c:pt idx="251">
                  <c:v>113</c:v>
                </c:pt>
                <c:pt idx="252">
                  <c:v>112.14</c:v>
                </c:pt>
                <c:pt idx="253">
                  <c:v>109.12</c:v>
                </c:pt>
                <c:pt idx="254">
                  <c:v>109.5</c:v>
                </c:pt>
                <c:pt idx="255">
                  <c:v>110.6</c:v>
                </c:pt>
                <c:pt idx="256">
                  <c:v>109.16</c:v>
                </c:pt>
                <c:pt idx="257">
                  <c:v>109.1</c:v>
                </c:pt>
                <c:pt idx="258">
                  <c:v>107.6</c:v>
                </c:pt>
                <c:pt idx="259">
                  <c:v>111.35</c:v>
                </c:pt>
                <c:pt idx="260">
                  <c:v>114.3</c:v>
                </c:pt>
                <c:pt idx="261">
                  <c:v>109.88</c:v>
                </c:pt>
                <c:pt idx="262">
                  <c:v>108.25</c:v>
                </c:pt>
                <c:pt idx="263">
                  <c:v>109.88</c:v>
                </c:pt>
                <c:pt idx="264">
                  <c:v>109.9</c:v>
                </c:pt>
                <c:pt idx="265">
                  <c:v>108.96</c:v>
                </c:pt>
                <c:pt idx="266">
                  <c:v>111.1999</c:v>
                </c:pt>
                <c:pt idx="267">
                  <c:v>114.47499999999999</c:v>
                </c:pt>
                <c:pt idx="268">
                  <c:v>115.35</c:v>
                </c:pt>
                <c:pt idx="269">
                  <c:v>114.4</c:v>
                </c:pt>
                <c:pt idx="270">
                  <c:v>116.44</c:v>
                </c:pt>
                <c:pt idx="271">
                  <c:v>118.1</c:v>
                </c:pt>
                <c:pt idx="272">
                  <c:v>120</c:v>
                </c:pt>
                <c:pt idx="273">
                  <c:v>120.95</c:v>
                </c:pt>
                <c:pt idx="274">
                  <c:v>119.94</c:v>
                </c:pt>
                <c:pt idx="275">
                  <c:v>120.22</c:v>
                </c:pt>
                <c:pt idx="276">
                  <c:v>121.24</c:v>
                </c:pt>
                <c:pt idx="277">
                  <c:v>120.5</c:v>
                </c:pt>
                <c:pt idx="278">
                  <c:v>127.28</c:v>
                </c:pt>
                <c:pt idx="279">
                  <c:v>123.85</c:v>
                </c:pt>
                <c:pt idx="280">
                  <c:v>126.44</c:v>
                </c:pt>
                <c:pt idx="281">
                  <c:v>125.94</c:v>
                </c:pt>
                <c:pt idx="282">
                  <c:v>126.2</c:v>
                </c:pt>
                <c:pt idx="283">
                  <c:v>126.4599</c:v>
                </c:pt>
                <c:pt idx="284">
                  <c:v>127.9</c:v>
                </c:pt>
                <c:pt idx="285">
                  <c:v>129.75989999999999</c:v>
                </c:pt>
                <c:pt idx="286">
                  <c:v>130.125</c:v>
                </c:pt>
                <c:pt idx="287">
                  <c:v>130.56</c:v>
                </c:pt>
                <c:pt idx="288">
                  <c:v>133.25</c:v>
                </c:pt>
                <c:pt idx="289">
                  <c:v>133.9</c:v>
                </c:pt>
                <c:pt idx="290">
                  <c:v>131.31</c:v>
                </c:pt>
                <c:pt idx="291">
                  <c:v>132.1</c:v>
                </c:pt>
                <c:pt idx="292">
                  <c:v>138.25</c:v>
                </c:pt>
                <c:pt idx="293">
                  <c:v>137</c:v>
                </c:pt>
                <c:pt idx="294">
                  <c:v>136.75</c:v>
                </c:pt>
                <c:pt idx="295">
                  <c:v>136.75</c:v>
                </c:pt>
                <c:pt idx="296">
                  <c:v>136</c:v>
                </c:pt>
                <c:pt idx="297">
                  <c:v>139.04</c:v>
                </c:pt>
                <c:pt idx="298">
                  <c:v>139.44999999999999</c:v>
                </c:pt>
                <c:pt idx="299">
                  <c:v>138.55009999999999</c:v>
                </c:pt>
                <c:pt idx="300">
                  <c:v>139.5</c:v>
                </c:pt>
                <c:pt idx="301">
                  <c:v>139.75989999999999</c:v>
                </c:pt>
                <c:pt idx="302">
                  <c:v>137.97989999999999</c:v>
                </c:pt>
                <c:pt idx="303">
                  <c:v>135.09989999999999</c:v>
                </c:pt>
                <c:pt idx="304">
                  <c:v>136.52000000000001</c:v>
                </c:pt>
                <c:pt idx="305">
                  <c:v>133.63990000000001</c:v>
                </c:pt>
                <c:pt idx="306">
                  <c:v>134.65</c:v>
                </c:pt>
                <c:pt idx="307">
                  <c:v>134.41990000000001</c:v>
                </c:pt>
                <c:pt idx="308">
                  <c:v>136.4</c:v>
                </c:pt>
                <c:pt idx="309">
                  <c:v>136.66</c:v>
                </c:pt>
                <c:pt idx="310">
                  <c:v>136</c:v>
                </c:pt>
                <c:pt idx="311">
                  <c:v>135.10990000000001</c:v>
                </c:pt>
                <c:pt idx="312">
                  <c:v>136.22</c:v>
                </c:pt>
                <c:pt idx="313">
                  <c:v>136.44</c:v>
                </c:pt>
                <c:pt idx="314">
                  <c:v>138.03989999999999</c:v>
                </c:pt>
                <c:pt idx="315">
                  <c:v>140.96</c:v>
                </c:pt>
                <c:pt idx="316">
                  <c:v>140.26</c:v>
                </c:pt>
                <c:pt idx="317">
                  <c:v>140.25</c:v>
                </c:pt>
                <c:pt idx="318">
                  <c:v>143.96</c:v>
                </c:pt>
                <c:pt idx="319">
                  <c:v>140.94990000000001</c:v>
                </c:pt>
                <c:pt idx="320">
                  <c:v>138.66</c:v>
                </c:pt>
                <c:pt idx="321">
                  <c:v>143.4</c:v>
                </c:pt>
                <c:pt idx="322">
                  <c:v>143.625</c:v>
                </c:pt>
                <c:pt idx="323">
                  <c:v>141.19990000000001</c:v>
                </c:pt>
                <c:pt idx="324">
                  <c:v>140.00989999999999</c:v>
                </c:pt>
                <c:pt idx="325">
                  <c:v>136.46</c:v>
                </c:pt>
                <c:pt idx="326">
                  <c:v>133.68</c:v>
                </c:pt>
                <c:pt idx="327">
                  <c:v>129.5</c:v>
                </c:pt>
                <c:pt idx="328">
                  <c:v>131.72</c:v>
                </c:pt>
                <c:pt idx="329">
                  <c:v>130.65</c:v>
                </c:pt>
                <c:pt idx="330">
                  <c:v>129.81989999999999</c:v>
                </c:pt>
                <c:pt idx="331">
                  <c:v>129.36000000000001</c:v>
                </c:pt>
                <c:pt idx="332">
                  <c:v>128</c:v>
                </c:pt>
                <c:pt idx="333">
                  <c:v>127.8</c:v>
                </c:pt>
                <c:pt idx="334">
                  <c:v>127.08</c:v>
                </c:pt>
                <c:pt idx="335">
                  <c:v>128.4</c:v>
                </c:pt>
                <c:pt idx="336">
                  <c:v>125.92</c:v>
                </c:pt>
                <c:pt idx="337">
                  <c:v>128.69999999999999</c:v>
                </c:pt>
                <c:pt idx="338">
                  <c:v>128.01</c:v>
                </c:pt>
                <c:pt idx="339">
                  <c:v>136.25</c:v>
                </c:pt>
                <c:pt idx="340">
                  <c:v>139.28</c:v>
                </c:pt>
                <c:pt idx="341">
                  <c:v>139.28</c:v>
                </c:pt>
                <c:pt idx="342">
                  <c:v>137.25</c:v>
                </c:pt>
                <c:pt idx="343">
                  <c:v>140.78</c:v>
                </c:pt>
                <c:pt idx="344">
                  <c:v>137.94</c:v>
                </c:pt>
                <c:pt idx="345">
                  <c:v>136.4</c:v>
                </c:pt>
                <c:pt idx="346">
                  <c:v>140.52000000000001</c:v>
                </c:pt>
                <c:pt idx="347">
                  <c:v>140.04</c:v>
                </c:pt>
                <c:pt idx="348">
                  <c:v>134.74</c:v>
                </c:pt>
                <c:pt idx="349">
                  <c:v>133.83000000000001</c:v>
                </c:pt>
                <c:pt idx="350">
                  <c:v>135.32</c:v>
                </c:pt>
                <c:pt idx="351">
                  <c:v>129.22</c:v>
                </c:pt>
                <c:pt idx="352">
                  <c:v>128.6</c:v>
                </c:pt>
                <c:pt idx="353">
                  <c:v>131.56</c:v>
                </c:pt>
                <c:pt idx="354">
                  <c:v>130</c:v>
                </c:pt>
                <c:pt idx="355">
                  <c:v>130.19999999999999</c:v>
                </c:pt>
                <c:pt idx="356">
                  <c:v>128.9</c:v>
                </c:pt>
                <c:pt idx="357">
                  <c:v>127.63</c:v>
                </c:pt>
                <c:pt idx="358">
                  <c:v>127.34990000000001</c:v>
                </c:pt>
                <c:pt idx="359">
                  <c:v>129.84</c:v>
                </c:pt>
                <c:pt idx="360">
                  <c:v>129.25</c:v>
                </c:pt>
                <c:pt idx="361">
                  <c:v>131.24</c:v>
                </c:pt>
                <c:pt idx="362">
                  <c:v>127.84</c:v>
                </c:pt>
                <c:pt idx="363">
                  <c:v>130.06</c:v>
                </c:pt>
                <c:pt idx="364">
                  <c:v>130.55500000000001</c:v>
                </c:pt>
                <c:pt idx="365">
                  <c:v>133.12</c:v>
                </c:pt>
                <c:pt idx="366">
                  <c:v>134.74</c:v>
                </c:pt>
                <c:pt idx="367">
                  <c:v>135.56</c:v>
                </c:pt>
                <c:pt idx="368">
                  <c:v>133.78</c:v>
                </c:pt>
                <c:pt idx="369">
                  <c:v>136.69999999999999</c:v>
                </c:pt>
                <c:pt idx="370">
                  <c:v>137.3425</c:v>
                </c:pt>
                <c:pt idx="371">
                  <c:v>138.68</c:v>
                </c:pt>
                <c:pt idx="372">
                  <c:v>136.30000000000001</c:v>
                </c:pt>
                <c:pt idx="373">
                  <c:v>139.30000000000001</c:v>
                </c:pt>
                <c:pt idx="374">
                  <c:v>140.16</c:v>
                </c:pt>
                <c:pt idx="375">
                  <c:v>137.5</c:v>
                </c:pt>
                <c:pt idx="376">
                  <c:v>141.44999999999999</c:v>
                </c:pt>
                <c:pt idx="377">
                  <c:v>142.84989999999999</c:v>
                </c:pt>
                <c:pt idx="378">
                  <c:v>142.84989999999999</c:v>
                </c:pt>
                <c:pt idx="379">
                  <c:v>144.76</c:v>
                </c:pt>
                <c:pt idx="380">
                  <c:v>142.75</c:v>
                </c:pt>
                <c:pt idx="381">
                  <c:v>147.25</c:v>
                </c:pt>
                <c:pt idx="382">
                  <c:v>149.65</c:v>
                </c:pt>
                <c:pt idx="383">
                  <c:v>146.08000000000001</c:v>
                </c:pt>
                <c:pt idx="384">
                  <c:v>146.78</c:v>
                </c:pt>
                <c:pt idx="385">
                  <c:v>148.88</c:v>
                </c:pt>
                <c:pt idx="386">
                  <c:v>147.78</c:v>
                </c:pt>
                <c:pt idx="387">
                  <c:v>147.60990000000001</c:v>
                </c:pt>
                <c:pt idx="388">
                  <c:v>151.74</c:v>
                </c:pt>
                <c:pt idx="389">
                  <c:v>153.1</c:v>
                </c:pt>
                <c:pt idx="390">
                  <c:v>151</c:v>
                </c:pt>
                <c:pt idx="391">
                  <c:v>147.15</c:v>
                </c:pt>
                <c:pt idx="392">
                  <c:v>146</c:v>
                </c:pt>
                <c:pt idx="393">
                  <c:v>146.55000000000001</c:v>
                </c:pt>
                <c:pt idx="394">
                  <c:v>146.31</c:v>
                </c:pt>
                <c:pt idx="395">
                  <c:v>146.15</c:v>
                </c:pt>
                <c:pt idx="396">
                  <c:v>151.30000000000001</c:v>
                </c:pt>
                <c:pt idx="397">
                  <c:v>150.5</c:v>
                </c:pt>
                <c:pt idx="398">
                  <c:v>148.5</c:v>
                </c:pt>
                <c:pt idx="399">
                  <c:v>147.05009999999999</c:v>
                </c:pt>
                <c:pt idx="400">
                  <c:v>149.09989999999999</c:v>
                </c:pt>
                <c:pt idx="401">
                  <c:v>151</c:v>
                </c:pt>
                <c:pt idx="402">
                  <c:v>150.63999999999999</c:v>
                </c:pt>
                <c:pt idx="403">
                  <c:v>145.80009999999999</c:v>
                </c:pt>
                <c:pt idx="404">
                  <c:v>149.44990000000001</c:v>
                </c:pt>
                <c:pt idx="405">
                  <c:v>151.19999999999999</c:v>
                </c:pt>
                <c:pt idx="406">
                  <c:v>147.19999999999999</c:v>
                </c:pt>
                <c:pt idx="407">
                  <c:v>146.44</c:v>
                </c:pt>
                <c:pt idx="408">
                  <c:v>150.96</c:v>
                </c:pt>
                <c:pt idx="409">
                  <c:v>147.9</c:v>
                </c:pt>
                <c:pt idx="410">
                  <c:v>147.94</c:v>
                </c:pt>
                <c:pt idx="411">
                  <c:v>143.75</c:v>
                </c:pt>
                <c:pt idx="412">
                  <c:v>145.26</c:v>
                </c:pt>
                <c:pt idx="413">
                  <c:v>144.55000000000001</c:v>
                </c:pt>
                <c:pt idx="414">
                  <c:v>141.13990000000001</c:v>
                </c:pt>
                <c:pt idx="415">
                  <c:v>146.08000000000001</c:v>
                </c:pt>
                <c:pt idx="416">
                  <c:v>147.69999999999999</c:v>
                </c:pt>
                <c:pt idx="417">
                  <c:v>147.12</c:v>
                </c:pt>
                <c:pt idx="418">
                  <c:v>145.1875</c:v>
                </c:pt>
                <c:pt idx="419">
                  <c:v>145.44999999999999</c:v>
                </c:pt>
                <c:pt idx="420">
                  <c:v>146.9</c:v>
                </c:pt>
                <c:pt idx="421">
                  <c:v>144.5</c:v>
                </c:pt>
                <c:pt idx="422">
                  <c:v>149.30000000000001</c:v>
                </c:pt>
                <c:pt idx="423">
                  <c:v>148.86000000000001</c:v>
                </c:pt>
                <c:pt idx="424">
                  <c:v>149.5</c:v>
                </c:pt>
                <c:pt idx="425">
                  <c:v>146.875</c:v>
                </c:pt>
                <c:pt idx="426">
                  <c:v>149.25</c:v>
                </c:pt>
                <c:pt idx="427">
                  <c:v>149.51</c:v>
                </c:pt>
                <c:pt idx="428">
                  <c:v>149.25</c:v>
                </c:pt>
                <c:pt idx="429">
                  <c:v>148.66</c:v>
                </c:pt>
                <c:pt idx="430">
                  <c:v>146.68</c:v>
                </c:pt>
                <c:pt idx="431">
                  <c:v>146.15</c:v>
                </c:pt>
                <c:pt idx="432">
                  <c:v>142.75</c:v>
                </c:pt>
                <c:pt idx="433">
                  <c:v>142.75</c:v>
                </c:pt>
                <c:pt idx="434">
                  <c:v>140.4</c:v>
                </c:pt>
                <c:pt idx="435">
                  <c:v>142.91</c:v>
                </c:pt>
                <c:pt idx="436">
                  <c:v>143.9</c:v>
                </c:pt>
                <c:pt idx="437">
                  <c:v>133.23500000000001</c:v>
                </c:pt>
                <c:pt idx="438">
                  <c:v>134</c:v>
                </c:pt>
                <c:pt idx="439">
                  <c:v>132.44</c:v>
                </c:pt>
                <c:pt idx="440">
                  <c:v>127.75</c:v>
                </c:pt>
                <c:pt idx="441">
                  <c:v>131.25</c:v>
                </c:pt>
                <c:pt idx="442">
                  <c:v>131.25</c:v>
                </c:pt>
                <c:pt idx="443">
                  <c:v>134.32</c:v>
                </c:pt>
                <c:pt idx="444">
                  <c:v>133.59989999999999</c:v>
                </c:pt>
                <c:pt idx="445">
                  <c:v>138.62</c:v>
                </c:pt>
                <c:pt idx="446">
                  <c:v>135.78</c:v>
                </c:pt>
                <c:pt idx="447">
                  <c:v>134.44999999999999</c:v>
                </c:pt>
                <c:pt idx="448">
                  <c:v>137.06</c:v>
                </c:pt>
                <c:pt idx="449">
                  <c:v>138</c:v>
                </c:pt>
                <c:pt idx="450">
                  <c:v>136.91990000000001</c:v>
                </c:pt>
                <c:pt idx="451">
                  <c:v>139.28</c:v>
                </c:pt>
                <c:pt idx="452">
                  <c:v>137.09989999999999</c:v>
                </c:pt>
                <c:pt idx="453">
                  <c:v>140.5</c:v>
                </c:pt>
                <c:pt idx="454">
                  <c:v>140.44999999999999</c:v>
                </c:pt>
                <c:pt idx="455">
                  <c:v>140.84</c:v>
                </c:pt>
                <c:pt idx="456">
                  <c:v>144.82</c:v>
                </c:pt>
                <c:pt idx="457">
                  <c:v>142.85</c:v>
                </c:pt>
                <c:pt idx="458">
                  <c:v>139.125</c:v>
                </c:pt>
                <c:pt idx="459">
                  <c:v>139.01</c:v>
                </c:pt>
                <c:pt idx="460">
                  <c:v>140.24</c:v>
                </c:pt>
                <c:pt idx="461">
                  <c:v>141.28</c:v>
                </c:pt>
                <c:pt idx="462">
                  <c:v>141.35</c:v>
                </c:pt>
                <c:pt idx="463">
                  <c:v>141.35</c:v>
                </c:pt>
                <c:pt idx="464">
                  <c:v>137.94999999999999</c:v>
                </c:pt>
                <c:pt idx="465">
                  <c:v>141.52000000000001</c:v>
                </c:pt>
                <c:pt idx="466">
                  <c:v>143.19999999999999</c:v>
                </c:pt>
                <c:pt idx="467">
                  <c:v>137.56</c:v>
                </c:pt>
                <c:pt idx="468">
                  <c:v>137.56</c:v>
                </c:pt>
                <c:pt idx="469">
                  <c:v>137.47489999999999</c:v>
                </c:pt>
                <c:pt idx="470">
                  <c:v>136.03</c:v>
                </c:pt>
                <c:pt idx="471">
                  <c:v>136.94999999999999</c:v>
                </c:pt>
                <c:pt idx="472">
                  <c:v>135.80000000000001</c:v>
                </c:pt>
                <c:pt idx="473">
                  <c:v>139.35</c:v>
                </c:pt>
                <c:pt idx="474">
                  <c:v>136</c:v>
                </c:pt>
                <c:pt idx="475">
                  <c:v>135.971</c:v>
                </c:pt>
                <c:pt idx="476">
                  <c:v>136.63999999999999</c:v>
                </c:pt>
                <c:pt idx="477">
                  <c:v>139.1</c:v>
                </c:pt>
                <c:pt idx="478">
                  <c:v>136.72499999999999</c:v>
                </c:pt>
                <c:pt idx="479">
                  <c:v>134.03989999999999</c:v>
                </c:pt>
                <c:pt idx="480">
                  <c:v>136</c:v>
                </c:pt>
                <c:pt idx="481">
                  <c:v>133.9</c:v>
                </c:pt>
                <c:pt idx="482">
                  <c:v>133.9</c:v>
                </c:pt>
                <c:pt idx="483">
                  <c:v>134.68</c:v>
                </c:pt>
                <c:pt idx="484">
                  <c:v>135.69999999999999</c:v>
                </c:pt>
                <c:pt idx="485">
                  <c:v>135.69999999999999</c:v>
                </c:pt>
                <c:pt idx="486">
                  <c:v>132.22499999999999</c:v>
                </c:pt>
                <c:pt idx="487">
                  <c:v>130.08000000000001</c:v>
                </c:pt>
                <c:pt idx="488">
                  <c:v>133</c:v>
                </c:pt>
                <c:pt idx="489">
                  <c:v>138.28</c:v>
                </c:pt>
                <c:pt idx="490">
                  <c:v>131.45490000000001</c:v>
                </c:pt>
                <c:pt idx="491">
                  <c:v>130.67500000000001</c:v>
                </c:pt>
                <c:pt idx="492">
                  <c:v>136.34</c:v>
                </c:pt>
                <c:pt idx="493">
                  <c:v>133.94999999999999</c:v>
                </c:pt>
                <c:pt idx="494">
                  <c:v>137.93</c:v>
                </c:pt>
                <c:pt idx="495">
                  <c:v>136.99</c:v>
                </c:pt>
                <c:pt idx="496">
                  <c:v>134.94990000000001</c:v>
                </c:pt>
                <c:pt idx="497">
                  <c:v>133.16</c:v>
                </c:pt>
                <c:pt idx="498">
                  <c:v>136.15</c:v>
                </c:pt>
                <c:pt idx="499">
                  <c:v>135.05000000000001</c:v>
                </c:pt>
                <c:pt idx="500">
                  <c:v>133.1</c:v>
                </c:pt>
                <c:pt idx="501">
                  <c:v>132.93</c:v>
                </c:pt>
                <c:pt idx="502">
                  <c:v>134.15</c:v>
                </c:pt>
                <c:pt idx="503">
                  <c:v>134.9</c:v>
                </c:pt>
                <c:pt idx="504">
                  <c:v>133.47989999999999</c:v>
                </c:pt>
                <c:pt idx="505">
                  <c:v>134.13999999999999</c:v>
                </c:pt>
                <c:pt idx="506">
                  <c:v>134.38</c:v>
                </c:pt>
                <c:pt idx="507">
                  <c:v>133.97200000000001</c:v>
                </c:pt>
                <c:pt idx="508">
                  <c:v>135.5</c:v>
                </c:pt>
                <c:pt idx="509">
                  <c:v>135.5</c:v>
                </c:pt>
                <c:pt idx="510">
                  <c:v>134.16</c:v>
                </c:pt>
                <c:pt idx="511">
                  <c:v>137.05000000000001</c:v>
                </c:pt>
                <c:pt idx="512">
                  <c:v>130.88999999999999</c:v>
                </c:pt>
                <c:pt idx="513">
                  <c:v>127.58</c:v>
                </c:pt>
                <c:pt idx="514">
                  <c:v>127.86</c:v>
                </c:pt>
                <c:pt idx="515">
                  <c:v>123.75</c:v>
                </c:pt>
                <c:pt idx="516">
                  <c:v>127.15</c:v>
                </c:pt>
                <c:pt idx="517">
                  <c:v>126.44499999999999</c:v>
                </c:pt>
                <c:pt idx="518">
                  <c:v>125.27500000000001</c:v>
                </c:pt>
                <c:pt idx="519">
                  <c:v>121.45</c:v>
                </c:pt>
                <c:pt idx="520">
                  <c:v>123.97499999999999</c:v>
                </c:pt>
                <c:pt idx="521">
                  <c:v>122.7599</c:v>
                </c:pt>
                <c:pt idx="522">
                  <c:v>128.58000000000001</c:v>
                </c:pt>
                <c:pt idx="523">
                  <c:v>126.8199</c:v>
                </c:pt>
                <c:pt idx="524">
                  <c:v>126.3</c:v>
                </c:pt>
                <c:pt idx="525">
                  <c:v>126.8199</c:v>
                </c:pt>
                <c:pt idx="526">
                  <c:v>125.25</c:v>
                </c:pt>
                <c:pt idx="527">
                  <c:v>125.08</c:v>
                </c:pt>
                <c:pt idx="528">
                  <c:v>126.87</c:v>
                </c:pt>
                <c:pt idx="529">
                  <c:v>124.285</c:v>
                </c:pt>
                <c:pt idx="530">
                  <c:v>124.75</c:v>
                </c:pt>
                <c:pt idx="531">
                  <c:v>125.8</c:v>
                </c:pt>
                <c:pt idx="532">
                  <c:v>125.16</c:v>
                </c:pt>
                <c:pt idx="533">
                  <c:v>125.15</c:v>
                </c:pt>
                <c:pt idx="534">
                  <c:v>128</c:v>
                </c:pt>
                <c:pt idx="535">
                  <c:v>126.14</c:v>
                </c:pt>
                <c:pt idx="536">
                  <c:v>125.642</c:v>
                </c:pt>
                <c:pt idx="537">
                  <c:v>126.54</c:v>
                </c:pt>
                <c:pt idx="538">
                  <c:v>128.55000000000001</c:v>
                </c:pt>
                <c:pt idx="539">
                  <c:v>128.76</c:v>
                </c:pt>
                <c:pt idx="540">
                  <c:v>124.9599</c:v>
                </c:pt>
                <c:pt idx="541">
                  <c:v>126.8199</c:v>
                </c:pt>
                <c:pt idx="542">
                  <c:v>128.5</c:v>
                </c:pt>
                <c:pt idx="543">
                  <c:v>125</c:v>
                </c:pt>
                <c:pt idx="544">
                  <c:v>128.52000000000001</c:v>
                </c:pt>
                <c:pt idx="545">
                  <c:v>125.75</c:v>
                </c:pt>
                <c:pt idx="546">
                  <c:v>125.5</c:v>
                </c:pt>
                <c:pt idx="547">
                  <c:v>125.4</c:v>
                </c:pt>
                <c:pt idx="548">
                  <c:v>125.06</c:v>
                </c:pt>
                <c:pt idx="549">
                  <c:v>125.2</c:v>
                </c:pt>
                <c:pt idx="550">
                  <c:v>126.48</c:v>
                </c:pt>
                <c:pt idx="551">
                  <c:v>129.25989999999999</c:v>
                </c:pt>
                <c:pt idx="552">
                  <c:v>132.495</c:v>
                </c:pt>
                <c:pt idx="553">
                  <c:v>131.28</c:v>
                </c:pt>
                <c:pt idx="554">
                  <c:v>128</c:v>
                </c:pt>
                <c:pt idx="555">
                  <c:v>132.88</c:v>
                </c:pt>
                <c:pt idx="556">
                  <c:v>131.125</c:v>
                </c:pt>
                <c:pt idx="557">
                  <c:v>130.5</c:v>
                </c:pt>
                <c:pt idx="558">
                  <c:v>130.9</c:v>
                </c:pt>
                <c:pt idx="559">
                  <c:v>134.4</c:v>
                </c:pt>
                <c:pt idx="560">
                  <c:v>133.09989999999999</c:v>
                </c:pt>
                <c:pt idx="561">
                  <c:v>136.32</c:v>
                </c:pt>
                <c:pt idx="562">
                  <c:v>134.44999999999999</c:v>
                </c:pt>
                <c:pt idx="563">
                  <c:v>132.81229999999999</c:v>
                </c:pt>
                <c:pt idx="564">
                  <c:v>138.46</c:v>
                </c:pt>
                <c:pt idx="565">
                  <c:v>137.05000000000001</c:v>
                </c:pt>
                <c:pt idx="566">
                  <c:v>135.66</c:v>
                </c:pt>
                <c:pt idx="567">
                  <c:v>139.5</c:v>
                </c:pt>
                <c:pt idx="568">
                  <c:v>139.56</c:v>
                </c:pt>
                <c:pt idx="569">
                  <c:v>137.22489999999999</c:v>
                </c:pt>
                <c:pt idx="570">
                  <c:v>137.02000000000001</c:v>
                </c:pt>
                <c:pt idx="571">
                  <c:v>139.76</c:v>
                </c:pt>
                <c:pt idx="572">
                  <c:v>132.96</c:v>
                </c:pt>
                <c:pt idx="573">
                  <c:v>134</c:v>
                </c:pt>
                <c:pt idx="574">
                  <c:v>132.25</c:v>
                </c:pt>
                <c:pt idx="575">
                  <c:v>131.80000000000001</c:v>
                </c:pt>
                <c:pt idx="576">
                  <c:v>136.28</c:v>
                </c:pt>
                <c:pt idx="577">
                  <c:v>134.9</c:v>
                </c:pt>
                <c:pt idx="578">
                  <c:v>131.91990000000001</c:v>
                </c:pt>
                <c:pt idx="579">
                  <c:v>132.03989999999999</c:v>
                </c:pt>
                <c:pt idx="580">
                  <c:v>131.75</c:v>
                </c:pt>
                <c:pt idx="581">
                  <c:v>132.47989999999999</c:v>
                </c:pt>
                <c:pt idx="582">
                  <c:v>131.25</c:v>
                </c:pt>
                <c:pt idx="583">
                  <c:v>132.4</c:v>
                </c:pt>
                <c:pt idx="584">
                  <c:v>132.12</c:v>
                </c:pt>
                <c:pt idx="585">
                  <c:v>131.9</c:v>
                </c:pt>
                <c:pt idx="586">
                  <c:v>128.04</c:v>
                </c:pt>
                <c:pt idx="587">
                  <c:v>133.84</c:v>
                </c:pt>
                <c:pt idx="588">
                  <c:v>133.34</c:v>
                </c:pt>
                <c:pt idx="589">
                  <c:v>125</c:v>
                </c:pt>
                <c:pt idx="590">
                  <c:v>123.5</c:v>
                </c:pt>
                <c:pt idx="591">
                  <c:v>120.6649</c:v>
                </c:pt>
                <c:pt idx="592">
                  <c:v>123.5</c:v>
                </c:pt>
                <c:pt idx="593">
                  <c:v>121.8</c:v>
                </c:pt>
                <c:pt idx="594">
                  <c:v>124</c:v>
                </c:pt>
                <c:pt idx="595">
                  <c:v>127.38</c:v>
                </c:pt>
                <c:pt idx="596">
                  <c:v>128.5</c:v>
                </c:pt>
                <c:pt idx="597">
                  <c:v>127</c:v>
                </c:pt>
                <c:pt idx="598">
                  <c:v>126.4684</c:v>
                </c:pt>
                <c:pt idx="599">
                  <c:v>129.15</c:v>
                </c:pt>
                <c:pt idx="600">
                  <c:v>129.99</c:v>
                </c:pt>
                <c:pt idx="601">
                  <c:v>131</c:v>
                </c:pt>
                <c:pt idx="602">
                  <c:v>131</c:v>
                </c:pt>
                <c:pt idx="603">
                  <c:v>126.625</c:v>
                </c:pt>
                <c:pt idx="604">
                  <c:v>130</c:v>
                </c:pt>
                <c:pt idx="605">
                  <c:v>129.65</c:v>
                </c:pt>
                <c:pt idx="606">
                  <c:v>126</c:v>
                </c:pt>
                <c:pt idx="607">
                  <c:v>128.9</c:v>
                </c:pt>
                <c:pt idx="608">
                  <c:v>129.25</c:v>
                </c:pt>
                <c:pt idx="609">
                  <c:v>131.125</c:v>
                </c:pt>
                <c:pt idx="610">
                  <c:v>133.375</c:v>
                </c:pt>
                <c:pt idx="611">
                  <c:v>133.31989999999999</c:v>
                </c:pt>
                <c:pt idx="612">
                  <c:v>136.4</c:v>
                </c:pt>
                <c:pt idx="613">
                  <c:v>134.125</c:v>
                </c:pt>
                <c:pt idx="614">
                  <c:v>131.41990000000001</c:v>
                </c:pt>
                <c:pt idx="615">
                  <c:v>130.91</c:v>
                </c:pt>
                <c:pt idx="616">
                  <c:v>129.94</c:v>
                </c:pt>
                <c:pt idx="617">
                  <c:v>130.99</c:v>
                </c:pt>
                <c:pt idx="618">
                  <c:v>131</c:v>
                </c:pt>
                <c:pt idx="619">
                  <c:v>132.37</c:v>
                </c:pt>
                <c:pt idx="620">
                  <c:v>133.22</c:v>
                </c:pt>
                <c:pt idx="621">
                  <c:v>130.55000000000001</c:v>
                </c:pt>
                <c:pt idx="622">
                  <c:v>134.70490000000001</c:v>
                </c:pt>
                <c:pt idx="623">
                  <c:v>136.96</c:v>
                </c:pt>
                <c:pt idx="624">
                  <c:v>135.80000000000001</c:v>
                </c:pt>
                <c:pt idx="625">
                  <c:v>131.66</c:v>
                </c:pt>
                <c:pt idx="626">
                  <c:v>131.76490000000001</c:v>
                </c:pt>
                <c:pt idx="627">
                  <c:v>137.35</c:v>
                </c:pt>
                <c:pt idx="628">
                  <c:v>133.22</c:v>
                </c:pt>
                <c:pt idx="629">
                  <c:v>136.63999999999999</c:v>
                </c:pt>
                <c:pt idx="630">
                  <c:v>134.75989999999999</c:v>
                </c:pt>
                <c:pt idx="631">
                  <c:v>136.25</c:v>
                </c:pt>
                <c:pt idx="632">
                  <c:v>136.5</c:v>
                </c:pt>
                <c:pt idx="633">
                  <c:v>138.88</c:v>
                </c:pt>
                <c:pt idx="634">
                  <c:v>135.94</c:v>
                </c:pt>
                <c:pt idx="635">
                  <c:v>135.30500000000001</c:v>
                </c:pt>
                <c:pt idx="636">
                  <c:v>140.15</c:v>
                </c:pt>
                <c:pt idx="637">
                  <c:v>138.24</c:v>
                </c:pt>
                <c:pt idx="638">
                  <c:v>136.19999999999999</c:v>
                </c:pt>
                <c:pt idx="639">
                  <c:v>138.72999999999999</c:v>
                </c:pt>
                <c:pt idx="640">
                  <c:v>140.30000000000001</c:v>
                </c:pt>
                <c:pt idx="641">
                  <c:v>135.35</c:v>
                </c:pt>
                <c:pt idx="642">
                  <c:v>146.0549</c:v>
                </c:pt>
                <c:pt idx="643">
                  <c:v>145.1</c:v>
                </c:pt>
                <c:pt idx="644">
                  <c:v>146.25</c:v>
                </c:pt>
                <c:pt idx="645">
                  <c:v>151</c:v>
                </c:pt>
                <c:pt idx="646">
                  <c:v>151.024</c:v>
                </c:pt>
                <c:pt idx="647">
                  <c:v>153.47999999999999</c:v>
                </c:pt>
                <c:pt idx="648">
                  <c:v>149.245</c:v>
                </c:pt>
                <c:pt idx="649">
                  <c:v>148.22999999999999</c:v>
                </c:pt>
                <c:pt idx="650">
                  <c:v>146.65</c:v>
                </c:pt>
                <c:pt idx="651">
                  <c:v>152.4</c:v>
                </c:pt>
                <c:pt idx="652">
                  <c:v>152.33000000000001</c:v>
                </c:pt>
                <c:pt idx="653">
                  <c:v>156.00729999999999</c:v>
                </c:pt>
                <c:pt idx="654">
                  <c:v>155.84</c:v>
                </c:pt>
                <c:pt idx="655">
                  <c:v>152.87989999999999</c:v>
                </c:pt>
                <c:pt idx="656">
                  <c:v>153</c:v>
                </c:pt>
                <c:pt idx="657">
                  <c:v>155.72</c:v>
                </c:pt>
                <c:pt idx="658">
                  <c:v>155.26</c:v>
                </c:pt>
                <c:pt idx="659">
                  <c:v>154.61000000000001</c:v>
                </c:pt>
                <c:pt idx="660">
                  <c:v>159.06</c:v>
                </c:pt>
                <c:pt idx="661">
                  <c:v>158.74</c:v>
                </c:pt>
                <c:pt idx="662">
                  <c:v>159.36000000000001</c:v>
                </c:pt>
                <c:pt idx="663">
                  <c:v>159.12</c:v>
                </c:pt>
                <c:pt idx="664">
                  <c:v>158.5</c:v>
                </c:pt>
                <c:pt idx="665">
                  <c:v>146.19999999999999</c:v>
                </c:pt>
                <c:pt idx="666">
                  <c:v>146.19999999999999</c:v>
                </c:pt>
                <c:pt idx="667">
                  <c:v>153.78</c:v>
                </c:pt>
                <c:pt idx="668">
                  <c:v>158.43</c:v>
                </c:pt>
                <c:pt idx="669">
                  <c:v>156.35</c:v>
                </c:pt>
                <c:pt idx="670">
                  <c:v>160.1</c:v>
                </c:pt>
                <c:pt idx="671">
                  <c:v>159.96</c:v>
                </c:pt>
                <c:pt idx="672">
                  <c:v>159.96</c:v>
                </c:pt>
                <c:pt idx="673">
                  <c:v>159.37989999999999</c:v>
                </c:pt>
                <c:pt idx="674">
                  <c:v>161</c:v>
                </c:pt>
                <c:pt idx="675">
                  <c:v>160.44999999999999</c:v>
                </c:pt>
                <c:pt idx="676">
                  <c:v>160.44999999999999</c:v>
                </c:pt>
                <c:pt idx="677">
                  <c:v>160.41999999999999</c:v>
                </c:pt>
                <c:pt idx="678">
                  <c:v>160.41999999999999</c:v>
                </c:pt>
                <c:pt idx="679">
                  <c:v>158.80000000000001</c:v>
                </c:pt>
                <c:pt idx="680">
                  <c:v>152</c:v>
                </c:pt>
                <c:pt idx="681">
                  <c:v>152</c:v>
                </c:pt>
                <c:pt idx="682">
                  <c:v>152.11000000000001</c:v>
                </c:pt>
                <c:pt idx="683">
                  <c:v>157.87989999999999</c:v>
                </c:pt>
                <c:pt idx="684">
                  <c:v>157.87989999999999</c:v>
                </c:pt>
                <c:pt idx="685">
                  <c:v>158.63999999999999</c:v>
                </c:pt>
                <c:pt idx="686">
                  <c:v>156.26750000000001</c:v>
                </c:pt>
                <c:pt idx="687">
                  <c:v>157.5</c:v>
                </c:pt>
                <c:pt idx="688">
                  <c:v>154.72</c:v>
                </c:pt>
                <c:pt idx="689">
                  <c:v>147.15</c:v>
                </c:pt>
                <c:pt idx="690">
                  <c:v>148.69999999999999</c:v>
                </c:pt>
                <c:pt idx="691">
                  <c:v>157</c:v>
                </c:pt>
                <c:pt idx="692">
                  <c:v>154.35</c:v>
                </c:pt>
                <c:pt idx="693">
                  <c:v>153.86000000000001</c:v>
                </c:pt>
                <c:pt idx="694">
                  <c:v>153.41</c:v>
                </c:pt>
                <c:pt idx="695">
                  <c:v>153.41</c:v>
                </c:pt>
                <c:pt idx="696">
                  <c:v>156.13990000000001</c:v>
                </c:pt>
                <c:pt idx="697">
                  <c:v>156.18</c:v>
                </c:pt>
                <c:pt idx="698">
                  <c:v>156.18</c:v>
                </c:pt>
                <c:pt idx="699">
                  <c:v>154.33029999999999</c:v>
                </c:pt>
                <c:pt idx="700">
                  <c:v>154.30000000000001</c:v>
                </c:pt>
                <c:pt idx="701">
                  <c:v>157.85</c:v>
                </c:pt>
                <c:pt idx="702">
                  <c:v>159.85</c:v>
                </c:pt>
                <c:pt idx="703">
                  <c:v>157.25</c:v>
                </c:pt>
                <c:pt idx="704">
                  <c:v>155.47999999999999</c:v>
                </c:pt>
                <c:pt idx="705">
                  <c:v>159.465</c:v>
                </c:pt>
                <c:pt idx="706">
                  <c:v>156.28</c:v>
                </c:pt>
                <c:pt idx="707">
                  <c:v>156.28</c:v>
                </c:pt>
                <c:pt idx="708">
                  <c:v>156.35</c:v>
                </c:pt>
                <c:pt idx="709">
                  <c:v>160.6</c:v>
                </c:pt>
                <c:pt idx="710">
                  <c:v>164.02</c:v>
                </c:pt>
                <c:pt idx="711">
                  <c:v>156.88</c:v>
                </c:pt>
                <c:pt idx="712">
                  <c:v>152.94999999999999</c:v>
                </c:pt>
                <c:pt idx="713">
                  <c:v>159.75989999999999</c:v>
                </c:pt>
                <c:pt idx="714">
                  <c:v>165.6</c:v>
                </c:pt>
                <c:pt idx="715">
                  <c:v>165.6</c:v>
                </c:pt>
                <c:pt idx="716">
                  <c:v>160.7099</c:v>
                </c:pt>
                <c:pt idx="717">
                  <c:v>163.56</c:v>
                </c:pt>
                <c:pt idx="718">
                  <c:v>166</c:v>
                </c:pt>
                <c:pt idx="719">
                  <c:v>167</c:v>
                </c:pt>
                <c:pt idx="720">
                  <c:v>169.9</c:v>
                </c:pt>
                <c:pt idx="721">
                  <c:v>164.41300000000001</c:v>
                </c:pt>
                <c:pt idx="722">
                  <c:v>169.25</c:v>
                </c:pt>
                <c:pt idx="723">
                  <c:v>169.25</c:v>
                </c:pt>
                <c:pt idx="724">
                  <c:v>169.5</c:v>
                </c:pt>
                <c:pt idx="725">
                  <c:v>169.55</c:v>
                </c:pt>
                <c:pt idx="726">
                  <c:v>174.9</c:v>
                </c:pt>
                <c:pt idx="727">
                  <c:v>171</c:v>
                </c:pt>
                <c:pt idx="728">
                  <c:v>173.625</c:v>
                </c:pt>
                <c:pt idx="729">
                  <c:v>172.01990000000001</c:v>
                </c:pt>
                <c:pt idx="730">
                  <c:v>175</c:v>
                </c:pt>
                <c:pt idx="731">
                  <c:v>172.8</c:v>
                </c:pt>
                <c:pt idx="732">
                  <c:v>169.78</c:v>
                </c:pt>
                <c:pt idx="733">
                  <c:v>164.76</c:v>
                </c:pt>
                <c:pt idx="734">
                  <c:v>168.97499999999999</c:v>
                </c:pt>
                <c:pt idx="735">
                  <c:v>160.08000000000001</c:v>
                </c:pt>
                <c:pt idx="736">
                  <c:v>160.24</c:v>
                </c:pt>
                <c:pt idx="737">
                  <c:v>160.24</c:v>
                </c:pt>
                <c:pt idx="738">
                  <c:v>156.37989999999999</c:v>
                </c:pt>
                <c:pt idx="739">
                  <c:v>158.13999999999999</c:v>
                </c:pt>
                <c:pt idx="740">
                  <c:v>157</c:v>
                </c:pt>
                <c:pt idx="741">
                  <c:v>157.80160000000001</c:v>
                </c:pt>
                <c:pt idx="742">
                  <c:v>163.97</c:v>
                </c:pt>
                <c:pt idx="743">
                  <c:v>157.73269999999999</c:v>
                </c:pt>
                <c:pt idx="744">
                  <c:v>155.13990000000001</c:v>
                </c:pt>
                <c:pt idx="745">
                  <c:v>155.13990000000001</c:v>
                </c:pt>
                <c:pt idx="746">
                  <c:v>149.34</c:v>
                </c:pt>
                <c:pt idx="747">
                  <c:v>153.30000000000001</c:v>
                </c:pt>
                <c:pt idx="748">
                  <c:v>153.30000000000001</c:v>
                </c:pt>
                <c:pt idx="749">
                  <c:v>154.46</c:v>
                </c:pt>
                <c:pt idx="750">
                  <c:v>154.46</c:v>
                </c:pt>
                <c:pt idx="751">
                  <c:v>155.52000000000001</c:v>
                </c:pt>
                <c:pt idx="752">
                  <c:v>158.94</c:v>
                </c:pt>
                <c:pt idx="753">
                  <c:v>152.80000000000001</c:v>
                </c:pt>
                <c:pt idx="754">
                  <c:v>152.66</c:v>
                </c:pt>
                <c:pt idx="755">
                  <c:v>155.72</c:v>
                </c:pt>
                <c:pt idx="756">
                  <c:v>148.65</c:v>
                </c:pt>
                <c:pt idx="757">
                  <c:v>148.65</c:v>
                </c:pt>
                <c:pt idx="758">
                  <c:v>147.37</c:v>
                </c:pt>
                <c:pt idx="759">
                  <c:v>147.37</c:v>
                </c:pt>
                <c:pt idx="760">
                  <c:v>147.37</c:v>
                </c:pt>
                <c:pt idx="761">
                  <c:v>153.69990000000001</c:v>
                </c:pt>
                <c:pt idx="762">
                  <c:v>153.69990000000001</c:v>
                </c:pt>
                <c:pt idx="763">
                  <c:v>154.52000000000001</c:v>
                </c:pt>
                <c:pt idx="764">
                  <c:v>157.88</c:v>
                </c:pt>
                <c:pt idx="765">
                  <c:v>154.636</c:v>
                </c:pt>
                <c:pt idx="766">
                  <c:v>156.4</c:v>
                </c:pt>
                <c:pt idx="767">
                  <c:v>152.33500000000001</c:v>
                </c:pt>
                <c:pt idx="768">
                  <c:v>151.69999999999999</c:v>
                </c:pt>
                <c:pt idx="769">
                  <c:v>148.6</c:v>
                </c:pt>
                <c:pt idx="770">
                  <c:v>148.6</c:v>
                </c:pt>
                <c:pt idx="771">
                  <c:v>149.65</c:v>
                </c:pt>
                <c:pt idx="772">
                  <c:v>149.5</c:v>
                </c:pt>
                <c:pt idx="773">
                  <c:v>141.9</c:v>
                </c:pt>
                <c:pt idx="774">
                  <c:v>142.85</c:v>
                </c:pt>
                <c:pt idx="775">
                  <c:v>142.43270000000001</c:v>
                </c:pt>
                <c:pt idx="776">
                  <c:v>131.03989999999999</c:v>
                </c:pt>
                <c:pt idx="777">
                  <c:v>126.5399</c:v>
                </c:pt>
                <c:pt idx="778">
                  <c:v>126.55500000000001</c:v>
                </c:pt>
                <c:pt idx="779">
                  <c:v>127.74</c:v>
                </c:pt>
                <c:pt idx="780">
                  <c:v>126.8</c:v>
                </c:pt>
                <c:pt idx="781">
                  <c:v>128.41489999999999</c:v>
                </c:pt>
                <c:pt idx="782">
                  <c:v>129.19990000000001</c:v>
                </c:pt>
                <c:pt idx="783">
                  <c:v>130.24</c:v>
                </c:pt>
                <c:pt idx="784">
                  <c:v>127.96</c:v>
                </c:pt>
                <c:pt idx="785">
                  <c:v>125.46</c:v>
                </c:pt>
                <c:pt idx="786">
                  <c:v>126.02</c:v>
                </c:pt>
                <c:pt idx="787">
                  <c:v>124.7</c:v>
                </c:pt>
                <c:pt idx="788">
                  <c:v>126.06</c:v>
                </c:pt>
                <c:pt idx="789">
                  <c:v>133.93</c:v>
                </c:pt>
                <c:pt idx="790">
                  <c:v>131.47489999999999</c:v>
                </c:pt>
                <c:pt idx="791">
                  <c:v>131.36000000000001</c:v>
                </c:pt>
                <c:pt idx="792">
                  <c:v>134.69999999999999</c:v>
                </c:pt>
                <c:pt idx="793">
                  <c:v>136.5</c:v>
                </c:pt>
                <c:pt idx="794">
                  <c:v>135.62</c:v>
                </c:pt>
                <c:pt idx="795">
                  <c:v>134.59989999999999</c:v>
                </c:pt>
                <c:pt idx="796">
                  <c:v>130.35</c:v>
                </c:pt>
                <c:pt idx="797">
                  <c:v>133.52000000000001</c:v>
                </c:pt>
                <c:pt idx="798">
                  <c:v>134.86000000000001</c:v>
                </c:pt>
                <c:pt idx="799">
                  <c:v>136.25989999999999</c:v>
                </c:pt>
                <c:pt idx="800">
                  <c:v>134.09989999999999</c:v>
                </c:pt>
                <c:pt idx="801">
                  <c:v>138.1</c:v>
                </c:pt>
                <c:pt idx="802">
                  <c:v>132.41990000000001</c:v>
                </c:pt>
                <c:pt idx="803">
                  <c:v>131.74</c:v>
                </c:pt>
                <c:pt idx="804">
                  <c:v>131.69990000000001</c:v>
                </c:pt>
                <c:pt idx="805">
                  <c:v>133.4</c:v>
                </c:pt>
                <c:pt idx="806">
                  <c:v>129.5752</c:v>
                </c:pt>
                <c:pt idx="807">
                  <c:v>127.96</c:v>
                </c:pt>
                <c:pt idx="808">
                  <c:v>132.65</c:v>
                </c:pt>
                <c:pt idx="809">
                  <c:v>130.91999999999999</c:v>
                </c:pt>
                <c:pt idx="810">
                  <c:v>131.12</c:v>
                </c:pt>
                <c:pt idx="811">
                  <c:v>134.66</c:v>
                </c:pt>
                <c:pt idx="812">
                  <c:v>132</c:v>
                </c:pt>
                <c:pt idx="813">
                  <c:v>130.19</c:v>
                </c:pt>
                <c:pt idx="814">
                  <c:v>130</c:v>
                </c:pt>
                <c:pt idx="815">
                  <c:v>133.91999999999999</c:v>
                </c:pt>
                <c:pt idx="816">
                  <c:v>131.25</c:v>
                </c:pt>
                <c:pt idx="817">
                  <c:v>130.38</c:v>
                </c:pt>
                <c:pt idx="818">
                  <c:v>131.88</c:v>
                </c:pt>
                <c:pt idx="819">
                  <c:v>132.66</c:v>
                </c:pt>
                <c:pt idx="820">
                  <c:v>135.5</c:v>
                </c:pt>
                <c:pt idx="821">
                  <c:v>131.27430000000001</c:v>
                </c:pt>
                <c:pt idx="822">
                  <c:v>132.52000000000001</c:v>
                </c:pt>
                <c:pt idx="823">
                  <c:v>129.75989999999999</c:v>
                </c:pt>
                <c:pt idx="824">
                  <c:v>132.13</c:v>
                </c:pt>
                <c:pt idx="825">
                  <c:v>134.97999999999999</c:v>
                </c:pt>
                <c:pt idx="826">
                  <c:v>135.79</c:v>
                </c:pt>
                <c:pt idx="827">
                  <c:v>138.06</c:v>
                </c:pt>
                <c:pt idx="828">
                  <c:v>135.53989999999999</c:v>
                </c:pt>
                <c:pt idx="829">
                  <c:v>137.946</c:v>
                </c:pt>
                <c:pt idx="830">
                  <c:v>138.91999999999999</c:v>
                </c:pt>
                <c:pt idx="831">
                  <c:v>137.21</c:v>
                </c:pt>
                <c:pt idx="832">
                  <c:v>139.31989999999999</c:v>
                </c:pt>
                <c:pt idx="833">
                  <c:v>141.03989999999999</c:v>
                </c:pt>
                <c:pt idx="834">
                  <c:v>140.72</c:v>
                </c:pt>
                <c:pt idx="835">
                  <c:v>141.9</c:v>
                </c:pt>
                <c:pt idx="836">
                  <c:v>139.54</c:v>
                </c:pt>
                <c:pt idx="837">
                  <c:v>134.66999999999999</c:v>
                </c:pt>
                <c:pt idx="838">
                  <c:v>151.5</c:v>
                </c:pt>
                <c:pt idx="839">
                  <c:v>142.84989999999999</c:v>
                </c:pt>
                <c:pt idx="840">
                  <c:v>149.16</c:v>
                </c:pt>
                <c:pt idx="841">
                  <c:v>142.077</c:v>
                </c:pt>
                <c:pt idx="842">
                  <c:v>146.43</c:v>
                </c:pt>
                <c:pt idx="843">
                  <c:v>148.935</c:v>
                </c:pt>
                <c:pt idx="844">
                  <c:v>148.71</c:v>
                </c:pt>
                <c:pt idx="845">
                  <c:v>147.94489999999999</c:v>
                </c:pt>
                <c:pt idx="846">
                  <c:v>144.82990000000001</c:v>
                </c:pt>
                <c:pt idx="847">
                  <c:v>145.47499999999999</c:v>
                </c:pt>
                <c:pt idx="848">
                  <c:v>142.4</c:v>
                </c:pt>
                <c:pt idx="849">
                  <c:v>148.01</c:v>
                </c:pt>
                <c:pt idx="850">
                  <c:v>151.21</c:v>
                </c:pt>
                <c:pt idx="851">
                  <c:v>155.65</c:v>
                </c:pt>
                <c:pt idx="852">
                  <c:v>150.46</c:v>
                </c:pt>
                <c:pt idx="853">
                  <c:v>150.46</c:v>
                </c:pt>
                <c:pt idx="854">
                  <c:v>151.16</c:v>
                </c:pt>
                <c:pt idx="855">
                  <c:v>153.16</c:v>
                </c:pt>
                <c:pt idx="856">
                  <c:v>157.58000000000001</c:v>
                </c:pt>
                <c:pt idx="857">
                  <c:v>149.25</c:v>
                </c:pt>
                <c:pt idx="858">
                  <c:v>149.25</c:v>
                </c:pt>
                <c:pt idx="859">
                  <c:v>154.22</c:v>
                </c:pt>
                <c:pt idx="860">
                  <c:v>154.22</c:v>
                </c:pt>
                <c:pt idx="861">
                  <c:v>149.4</c:v>
                </c:pt>
                <c:pt idx="862">
                  <c:v>154.46</c:v>
                </c:pt>
                <c:pt idx="863">
                  <c:v>153.56</c:v>
                </c:pt>
                <c:pt idx="864">
                  <c:v>154.97999999999999</c:v>
                </c:pt>
                <c:pt idx="865">
                  <c:v>153.21</c:v>
                </c:pt>
                <c:pt idx="866">
                  <c:v>154.19999999999999</c:v>
                </c:pt>
                <c:pt idx="867">
                  <c:v>154.63999999999999</c:v>
                </c:pt>
                <c:pt idx="868">
                  <c:v>153.41999999999999</c:v>
                </c:pt>
                <c:pt idx="869">
                  <c:v>143.4135</c:v>
                </c:pt>
                <c:pt idx="870">
                  <c:v>147.55000000000001</c:v>
                </c:pt>
                <c:pt idx="871">
                  <c:v>143.4</c:v>
                </c:pt>
                <c:pt idx="872">
                  <c:v>140.1</c:v>
                </c:pt>
                <c:pt idx="873">
                  <c:v>147.47</c:v>
                </c:pt>
                <c:pt idx="874">
                  <c:v>147.36000000000001</c:v>
                </c:pt>
                <c:pt idx="875">
                  <c:v>148.12</c:v>
                </c:pt>
                <c:pt idx="876">
                  <c:v>147.375</c:v>
                </c:pt>
                <c:pt idx="877">
                  <c:v>150.84</c:v>
                </c:pt>
                <c:pt idx="878">
                  <c:v>136.63990000000001</c:v>
                </c:pt>
                <c:pt idx="879">
                  <c:v>129.91489999999999</c:v>
                </c:pt>
                <c:pt idx="880">
                  <c:v>132.4</c:v>
                </c:pt>
                <c:pt idx="881">
                  <c:v>129.16</c:v>
                </c:pt>
                <c:pt idx="882">
                  <c:v>128.91</c:v>
                </c:pt>
                <c:pt idx="883">
                  <c:v>132.68</c:v>
                </c:pt>
                <c:pt idx="884">
                  <c:v>131.31</c:v>
                </c:pt>
                <c:pt idx="885">
                  <c:v>134.22</c:v>
                </c:pt>
                <c:pt idx="886">
                  <c:v>134.08000000000001</c:v>
                </c:pt>
                <c:pt idx="887">
                  <c:v>139.80000000000001</c:v>
                </c:pt>
                <c:pt idx="888">
                  <c:v>132.38</c:v>
                </c:pt>
                <c:pt idx="889">
                  <c:v>129.15</c:v>
                </c:pt>
                <c:pt idx="890">
                  <c:v>135.75</c:v>
                </c:pt>
                <c:pt idx="891">
                  <c:v>137.24</c:v>
                </c:pt>
                <c:pt idx="892">
                  <c:v>134.75</c:v>
                </c:pt>
                <c:pt idx="893">
                  <c:v>138.75989999999999</c:v>
                </c:pt>
                <c:pt idx="894">
                  <c:v>144.94</c:v>
                </c:pt>
                <c:pt idx="895">
                  <c:v>145.63999999999999</c:v>
                </c:pt>
                <c:pt idx="896">
                  <c:v>140.63</c:v>
                </c:pt>
                <c:pt idx="897">
                  <c:v>146.74</c:v>
                </c:pt>
                <c:pt idx="898">
                  <c:v>145.96</c:v>
                </c:pt>
                <c:pt idx="899">
                  <c:v>138.94</c:v>
                </c:pt>
                <c:pt idx="900">
                  <c:v>138.66</c:v>
                </c:pt>
                <c:pt idx="901">
                  <c:v>134.09989999999999</c:v>
                </c:pt>
                <c:pt idx="902">
                  <c:v>135.22</c:v>
                </c:pt>
                <c:pt idx="903">
                  <c:v>135.36000000000001</c:v>
                </c:pt>
                <c:pt idx="904">
                  <c:v>135.36000000000001</c:v>
                </c:pt>
                <c:pt idx="905">
                  <c:v>135.36000000000001</c:v>
                </c:pt>
                <c:pt idx="906">
                  <c:v>135.88</c:v>
                </c:pt>
                <c:pt idx="907">
                  <c:v>134.46</c:v>
                </c:pt>
                <c:pt idx="908">
                  <c:v>141</c:v>
                </c:pt>
                <c:pt idx="909">
                  <c:v>138.68</c:v>
                </c:pt>
                <c:pt idx="910">
                  <c:v>138.24</c:v>
                </c:pt>
                <c:pt idx="911">
                  <c:v>141.12</c:v>
                </c:pt>
                <c:pt idx="912">
                  <c:v>143.25</c:v>
                </c:pt>
                <c:pt idx="913">
                  <c:v>143.97499999999999</c:v>
                </c:pt>
                <c:pt idx="914">
                  <c:v>143.97499999999999</c:v>
                </c:pt>
                <c:pt idx="915">
                  <c:v>143.1</c:v>
                </c:pt>
                <c:pt idx="916">
                  <c:v>141.5</c:v>
                </c:pt>
                <c:pt idx="917">
                  <c:v>142.5</c:v>
                </c:pt>
                <c:pt idx="918">
                  <c:v>142.47999999999999</c:v>
                </c:pt>
                <c:pt idx="919">
                  <c:v>145.625</c:v>
                </c:pt>
                <c:pt idx="920">
                  <c:v>142.75</c:v>
                </c:pt>
                <c:pt idx="921">
                  <c:v>144.31989999999999</c:v>
                </c:pt>
                <c:pt idx="922">
                  <c:v>146.52000000000001</c:v>
                </c:pt>
                <c:pt idx="923">
                  <c:v>146.625</c:v>
                </c:pt>
                <c:pt idx="924">
                  <c:v>148.215</c:v>
                </c:pt>
                <c:pt idx="925">
                  <c:v>150.10489999999999</c:v>
                </c:pt>
                <c:pt idx="926">
                  <c:v>148.03989999999999</c:v>
                </c:pt>
                <c:pt idx="927">
                  <c:v>148.35</c:v>
                </c:pt>
                <c:pt idx="928">
                  <c:v>140.97</c:v>
                </c:pt>
                <c:pt idx="929">
                  <c:v>143.6</c:v>
                </c:pt>
                <c:pt idx="930">
                  <c:v>139.6901</c:v>
                </c:pt>
                <c:pt idx="931">
                  <c:v>142.01</c:v>
                </c:pt>
                <c:pt idx="932">
                  <c:v>142.01</c:v>
                </c:pt>
                <c:pt idx="933">
                  <c:v>146.19999999999999</c:v>
                </c:pt>
                <c:pt idx="934">
                  <c:v>139.92500000000001</c:v>
                </c:pt>
                <c:pt idx="935">
                  <c:v>138.18</c:v>
                </c:pt>
                <c:pt idx="936">
                  <c:v>138.18</c:v>
                </c:pt>
                <c:pt idx="937">
                  <c:v>139.71</c:v>
                </c:pt>
                <c:pt idx="938">
                  <c:v>143.88</c:v>
                </c:pt>
                <c:pt idx="939">
                  <c:v>140.685</c:v>
                </c:pt>
                <c:pt idx="940">
                  <c:v>142.63</c:v>
                </c:pt>
                <c:pt idx="941">
                  <c:v>140.15</c:v>
                </c:pt>
                <c:pt idx="942">
                  <c:v>141.4</c:v>
                </c:pt>
                <c:pt idx="943">
                  <c:v>141.4</c:v>
                </c:pt>
                <c:pt idx="944">
                  <c:v>140.25989999999999</c:v>
                </c:pt>
                <c:pt idx="945">
                  <c:v>143.15</c:v>
                </c:pt>
                <c:pt idx="946">
                  <c:v>140.4</c:v>
                </c:pt>
                <c:pt idx="947">
                  <c:v>142.02000000000001</c:v>
                </c:pt>
                <c:pt idx="948">
                  <c:v>142.02000000000001</c:v>
                </c:pt>
                <c:pt idx="949">
                  <c:v>142.02000000000001</c:v>
                </c:pt>
                <c:pt idx="950">
                  <c:v>139.69999999999999</c:v>
                </c:pt>
                <c:pt idx="951">
                  <c:v>141.9</c:v>
                </c:pt>
                <c:pt idx="952">
                  <c:v>147.30000000000001</c:v>
                </c:pt>
                <c:pt idx="953">
                  <c:v>146.91999999999999</c:v>
                </c:pt>
                <c:pt idx="954">
                  <c:v>146.91999999999999</c:v>
                </c:pt>
                <c:pt idx="955">
                  <c:v>144.1</c:v>
                </c:pt>
                <c:pt idx="956">
                  <c:v>150.47999999999999</c:v>
                </c:pt>
                <c:pt idx="957">
                  <c:v>155.66999999999999</c:v>
                </c:pt>
                <c:pt idx="958">
                  <c:v>147.38999999999999</c:v>
                </c:pt>
                <c:pt idx="959">
                  <c:v>147.5</c:v>
                </c:pt>
                <c:pt idx="960">
                  <c:v>150.32</c:v>
                </c:pt>
                <c:pt idx="961">
                  <c:v>150.29</c:v>
                </c:pt>
                <c:pt idx="962">
                  <c:v>148.68</c:v>
                </c:pt>
                <c:pt idx="963">
                  <c:v>147.23500000000001</c:v>
                </c:pt>
                <c:pt idx="964">
                  <c:v>141.77199999999999</c:v>
                </c:pt>
                <c:pt idx="965">
                  <c:v>146.12</c:v>
                </c:pt>
                <c:pt idx="966">
                  <c:v>148.28</c:v>
                </c:pt>
                <c:pt idx="967">
                  <c:v>154.30000000000001</c:v>
                </c:pt>
                <c:pt idx="968">
                  <c:v>155.75</c:v>
                </c:pt>
                <c:pt idx="969">
                  <c:v>155.5</c:v>
                </c:pt>
                <c:pt idx="970">
                  <c:v>160.46</c:v>
                </c:pt>
                <c:pt idx="971">
                  <c:v>160.46</c:v>
                </c:pt>
                <c:pt idx="972">
                  <c:v>157.80000000000001</c:v>
                </c:pt>
                <c:pt idx="973">
                  <c:v>157.80000000000001</c:v>
                </c:pt>
                <c:pt idx="974">
                  <c:v>157.09</c:v>
                </c:pt>
                <c:pt idx="975">
                  <c:v>162.97999999999999</c:v>
                </c:pt>
                <c:pt idx="976">
                  <c:v>160.30000000000001</c:v>
                </c:pt>
                <c:pt idx="977">
                  <c:v>160.65</c:v>
                </c:pt>
                <c:pt idx="978">
                  <c:v>158.19990000000001</c:v>
                </c:pt>
                <c:pt idx="979">
                  <c:v>161.13</c:v>
                </c:pt>
                <c:pt idx="980">
                  <c:v>160.66</c:v>
                </c:pt>
                <c:pt idx="981">
                  <c:v>162.25989999999999</c:v>
                </c:pt>
                <c:pt idx="982">
                  <c:v>162</c:v>
                </c:pt>
                <c:pt idx="983">
                  <c:v>164.5</c:v>
                </c:pt>
                <c:pt idx="984">
                  <c:v>164.5</c:v>
                </c:pt>
                <c:pt idx="985">
                  <c:v>160.53989999999999</c:v>
                </c:pt>
                <c:pt idx="986">
                  <c:v>160.13990000000001</c:v>
                </c:pt>
                <c:pt idx="987">
                  <c:v>162</c:v>
                </c:pt>
                <c:pt idx="988">
                  <c:v>159.56</c:v>
                </c:pt>
                <c:pt idx="989">
                  <c:v>154.58000000000001</c:v>
                </c:pt>
                <c:pt idx="990">
                  <c:v>153.00280000000001</c:v>
                </c:pt>
                <c:pt idx="991">
                  <c:v>156.02500000000001</c:v>
                </c:pt>
                <c:pt idx="992">
                  <c:v>153.38499999999999</c:v>
                </c:pt>
                <c:pt idx="993">
                  <c:v>154.38</c:v>
                </c:pt>
                <c:pt idx="994">
                  <c:v>156.82</c:v>
                </c:pt>
                <c:pt idx="995">
                  <c:v>150.74</c:v>
                </c:pt>
                <c:pt idx="996">
                  <c:v>149.03989999999999</c:v>
                </c:pt>
                <c:pt idx="997">
                  <c:v>149.75</c:v>
                </c:pt>
                <c:pt idx="998">
                  <c:v>146.16</c:v>
                </c:pt>
                <c:pt idx="999">
                  <c:v>146.09989999999999</c:v>
                </c:pt>
                <c:pt idx="1000">
                  <c:v>149.5</c:v>
                </c:pt>
                <c:pt idx="1001">
                  <c:v>162.55500000000001</c:v>
                </c:pt>
                <c:pt idx="1002">
                  <c:v>164.67500000000001</c:v>
                </c:pt>
                <c:pt idx="1003">
                  <c:v>170.51</c:v>
                </c:pt>
                <c:pt idx="1004">
                  <c:v>172.3</c:v>
                </c:pt>
                <c:pt idx="1005">
                  <c:v>170</c:v>
                </c:pt>
                <c:pt idx="1006">
                  <c:v>172.1</c:v>
                </c:pt>
                <c:pt idx="1007">
                  <c:v>169.85</c:v>
                </c:pt>
                <c:pt idx="1008">
                  <c:v>169.33529999999999</c:v>
                </c:pt>
                <c:pt idx="1009">
                  <c:v>169.33529999999999</c:v>
                </c:pt>
                <c:pt idx="1010">
                  <c:v>169.1</c:v>
                </c:pt>
                <c:pt idx="1011">
                  <c:v>168.065</c:v>
                </c:pt>
                <c:pt idx="1012">
                  <c:v>169.12</c:v>
                </c:pt>
                <c:pt idx="1013">
                  <c:v>170.88</c:v>
                </c:pt>
                <c:pt idx="1014">
                  <c:v>166.97989999999999</c:v>
                </c:pt>
                <c:pt idx="1015">
                  <c:v>168.28</c:v>
                </c:pt>
                <c:pt idx="1016">
                  <c:v>168.28</c:v>
                </c:pt>
                <c:pt idx="1017">
                  <c:v>168.24</c:v>
                </c:pt>
                <c:pt idx="1018">
                  <c:v>163.75</c:v>
                </c:pt>
                <c:pt idx="1019">
                  <c:v>163.99</c:v>
                </c:pt>
                <c:pt idx="1020">
                  <c:v>165.58</c:v>
                </c:pt>
                <c:pt idx="1021">
                  <c:v>163.67500000000001</c:v>
                </c:pt>
                <c:pt idx="1022">
                  <c:v>163.67500000000001</c:v>
                </c:pt>
                <c:pt idx="1023">
                  <c:v>163.67500000000001</c:v>
                </c:pt>
                <c:pt idx="1024">
                  <c:v>161.9</c:v>
                </c:pt>
                <c:pt idx="1025">
                  <c:v>165.26</c:v>
                </c:pt>
                <c:pt idx="1026">
                  <c:v>165.26</c:v>
                </c:pt>
                <c:pt idx="1027">
                  <c:v>169</c:v>
                </c:pt>
                <c:pt idx="1028">
                  <c:v>166.17</c:v>
                </c:pt>
                <c:pt idx="1029">
                  <c:v>174.9</c:v>
                </c:pt>
                <c:pt idx="1030">
                  <c:v>175.2</c:v>
                </c:pt>
                <c:pt idx="1031">
                  <c:v>175.66</c:v>
                </c:pt>
                <c:pt idx="1032">
                  <c:v>177.5</c:v>
                </c:pt>
                <c:pt idx="1033">
                  <c:v>174.82490000000001</c:v>
                </c:pt>
                <c:pt idx="1034">
                  <c:v>175.245</c:v>
                </c:pt>
                <c:pt idx="1035">
                  <c:v>175.20490000000001</c:v>
                </c:pt>
                <c:pt idx="1036">
                  <c:v>179.82</c:v>
                </c:pt>
                <c:pt idx="1037">
                  <c:v>177.85</c:v>
                </c:pt>
                <c:pt idx="1038">
                  <c:v>182.58</c:v>
                </c:pt>
                <c:pt idx="1039">
                  <c:v>182.7</c:v>
                </c:pt>
                <c:pt idx="1040">
                  <c:v>187.72</c:v>
                </c:pt>
                <c:pt idx="1041">
                  <c:v>188.5</c:v>
                </c:pt>
                <c:pt idx="1042">
                  <c:v>183.74</c:v>
                </c:pt>
                <c:pt idx="1043">
                  <c:v>180.35</c:v>
                </c:pt>
                <c:pt idx="1044">
                  <c:v>179.09989999999999</c:v>
                </c:pt>
                <c:pt idx="1045">
                  <c:v>183.27500000000001</c:v>
                </c:pt>
                <c:pt idx="1046">
                  <c:v>183.27500000000001</c:v>
                </c:pt>
                <c:pt idx="1047">
                  <c:v>179.48750000000001</c:v>
                </c:pt>
                <c:pt idx="1048">
                  <c:v>180.94</c:v>
                </c:pt>
                <c:pt idx="1049">
                  <c:v>179.09989999999999</c:v>
                </c:pt>
                <c:pt idx="1050">
                  <c:v>181.92</c:v>
                </c:pt>
                <c:pt idx="1051">
                  <c:v>181.92</c:v>
                </c:pt>
                <c:pt idx="1052">
                  <c:v>181.92</c:v>
                </c:pt>
                <c:pt idx="1053">
                  <c:v>183.86</c:v>
                </c:pt>
                <c:pt idx="1054">
                  <c:v>183.86</c:v>
                </c:pt>
                <c:pt idx="1055">
                  <c:v>184.75</c:v>
                </c:pt>
                <c:pt idx="1056">
                  <c:v>180.53989999999999</c:v>
                </c:pt>
                <c:pt idx="1057">
                  <c:v>181.23</c:v>
                </c:pt>
                <c:pt idx="1058">
                  <c:v>180.75</c:v>
                </c:pt>
                <c:pt idx="1059">
                  <c:v>183</c:v>
                </c:pt>
                <c:pt idx="1060">
                  <c:v>186.4</c:v>
                </c:pt>
                <c:pt idx="1061">
                  <c:v>181.27500000000001</c:v>
                </c:pt>
                <c:pt idx="1062">
                  <c:v>187.06</c:v>
                </c:pt>
                <c:pt idx="1063">
                  <c:v>180.85</c:v>
                </c:pt>
                <c:pt idx="1064">
                  <c:v>175.5</c:v>
                </c:pt>
                <c:pt idx="1065">
                  <c:v>182.67500000000001</c:v>
                </c:pt>
                <c:pt idx="1066">
                  <c:v>179.05699999999999</c:v>
                </c:pt>
                <c:pt idx="1067">
                  <c:v>190.49</c:v>
                </c:pt>
                <c:pt idx="1068">
                  <c:v>190.77500000000001</c:v>
                </c:pt>
                <c:pt idx="1069">
                  <c:v>188.5</c:v>
                </c:pt>
                <c:pt idx="1070">
                  <c:v>190.98500000000001</c:v>
                </c:pt>
                <c:pt idx="1071">
                  <c:v>185.47989999999999</c:v>
                </c:pt>
                <c:pt idx="1072">
                  <c:v>188.66</c:v>
                </c:pt>
                <c:pt idx="1073">
                  <c:v>190.23</c:v>
                </c:pt>
                <c:pt idx="1074">
                  <c:v>188.83500000000001</c:v>
                </c:pt>
                <c:pt idx="1075">
                  <c:v>191.125</c:v>
                </c:pt>
                <c:pt idx="1076">
                  <c:v>183.2</c:v>
                </c:pt>
                <c:pt idx="1077">
                  <c:v>175</c:v>
                </c:pt>
                <c:pt idx="1078">
                  <c:v>179.5</c:v>
                </c:pt>
                <c:pt idx="1079">
                  <c:v>177.5</c:v>
                </c:pt>
                <c:pt idx="1080">
                  <c:v>179.05</c:v>
                </c:pt>
                <c:pt idx="1081">
                  <c:v>188.065</c:v>
                </c:pt>
                <c:pt idx="1082">
                  <c:v>187.8</c:v>
                </c:pt>
                <c:pt idx="1083">
                  <c:v>183.17</c:v>
                </c:pt>
                <c:pt idx="1084">
                  <c:v>187.1</c:v>
                </c:pt>
                <c:pt idx="1085">
                  <c:v>188.41</c:v>
                </c:pt>
                <c:pt idx="1086">
                  <c:v>184.32</c:v>
                </c:pt>
                <c:pt idx="1087">
                  <c:v>187.45</c:v>
                </c:pt>
                <c:pt idx="1088">
                  <c:v>187.16</c:v>
                </c:pt>
                <c:pt idx="1089">
                  <c:v>193.03</c:v>
                </c:pt>
                <c:pt idx="1090">
                  <c:v>188.01</c:v>
                </c:pt>
                <c:pt idx="1091">
                  <c:v>193.4</c:v>
                </c:pt>
                <c:pt idx="1092">
                  <c:v>204.76</c:v>
                </c:pt>
                <c:pt idx="1093">
                  <c:v>204.52</c:v>
                </c:pt>
                <c:pt idx="1094">
                  <c:v>205.55</c:v>
                </c:pt>
                <c:pt idx="1095">
                  <c:v>209.48</c:v>
                </c:pt>
                <c:pt idx="1096">
                  <c:v>208.67</c:v>
                </c:pt>
                <c:pt idx="1097">
                  <c:v>208.62</c:v>
                </c:pt>
                <c:pt idx="1098">
                  <c:v>204.2</c:v>
                </c:pt>
                <c:pt idx="1099">
                  <c:v>204.94</c:v>
                </c:pt>
                <c:pt idx="1100">
                  <c:v>206.61</c:v>
                </c:pt>
                <c:pt idx="1101">
                  <c:v>205.79</c:v>
                </c:pt>
                <c:pt idx="1102">
                  <c:v>203.98</c:v>
                </c:pt>
                <c:pt idx="1103">
                  <c:v>208.45</c:v>
                </c:pt>
                <c:pt idx="1104">
                  <c:v>203.73</c:v>
                </c:pt>
                <c:pt idx="1105">
                  <c:v>201.76</c:v>
                </c:pt>
                <c:pt idx="1106">
                  <c:v>201.53</c:v>
                </c:pt>
                <c:pt idx="1107">
                  <c:v>197.52</c:v>
                </c:pt>
                <c:pt idx="1108">
                  <c:v>194.22</c:v>
                </c:pt>
                <c:pt idx="1109">
                  <c:v>194.95</c:v>
                </c:pt>
                <c:pt idx="1110">
                  <c:v>194.99</c:v>
                </c:pt>
                <c:pt idx="1111">
                  <c:v>193.31</c:v>
                </c:pt>
                <c:pt idx="1112">
                  <c:v>192.5</c:v>
                </c:pt>
                <c:pt idx="1113">
                  <c:v>189.9</c:v>
                </c:pt>
                <c:pt idx="1114">
                  <c:v>192.01</c:v>
                </c:pt>
                <c:pt idx="1115">
                  <c:v>191.29</c:v>
                </c:pt>
                <c:pt idx="1116">
                  <c:v>188.42</c:v>
                </c:pt>
                <c:pt idx="1117">
                  <c:v>188.93</c:v>
                </c:pt>
                <c:pt idx="1118">
                  <c:v>183.6</c:v>
                </c:pt>
                <c:pt idx="1119">
                  <c:v>184.07</c:v>
                </c:pt>
                <c:pt idx="1120">
                  <c:v>185.78</c:v>
                </c:pt>
                <c:pt idx="1121">
                  <c:v>187.14</c:v>
                </c:pt>
                <c:pt idx="1122">
                  <c:v>183.4</c:v>
                </c:pt>
                <c:pt idx="1123">
                  <c:v>188.42</c:v>
                </c:pt>
                <c:pt idx="1124">
                  <c:v>193.88</c:v>
                </c:pt>
                <c:pt idx="1125">
                  <c:v>197.22</c:v>
                </c:pt>
                <c:pt idx="1126">
                  <c:v>200.73</c:v>
                </c:pt>
                <c:pt idx="1127">
                  <c:v>203.49</c:v>
                </c:pt>
                <c:pt idx="1128">
                  <c:v>202.83</c:v>
                </c:pt>
                <c:pt idx="1129">
                  <c:v>200.81</c:v>
                </c:pt>
                <c:pt idx="1130">
                  <c:v>204.27</c:v>
                </c:pt>
                <c:pt idx="1131">
                  <c:v>204.99</c:v>
                </c:pt>
                <c:pt idx="1132">
                  <c:v>204.03</c:v>
                </c:pt>
                <c:pt idx="1133">
                  <c:v>202.24</c:v>
                </c:pt>
                <c:pt idx="1134">
                  <c:v>204.38</c:v>
                </c:pt>
                <c:pt idx="1135">
                  <c:v>201.21</c:v>
                </c:pt>
                <c:pt idx="1136">
                  <c:v>200.47</c:v>
                </c:pt>
                <c:pt idx="1137">
                  <c:v>204.8</c:v>
                </c:pt>
                <c:pt idx="1138">
                  <c:v>200.69</c:v>
                </c:pt>
                <c:pt idx="1139">
                  <c:v>195.78</c:v>
                </c:pt>
                <c:pt idx="1140">
                  <c:v>194.81</c:v>
                </c:pt>
                <c:pt idx="1141">
                  <c:v>192.3</c:v>
                </c:pt>
                <c:pt idx="1142">
                  <c:v>189.75</c:v>
                </c:pt>
                <c:pt idx="1143">
                  <c:v>187.51</c:v>
                </c:pt>
                <c:pt idx="1144">
                  <c:v>186.68</c:v>
                </c:pt>
                <c:pt idx="1145">
                  <c:v>185.2</c:v>
                </c:pt>
                <c:pt idx="1146">
                  <c:v>187.37</c:v>
                </c:pt>
                <c:pt idx="1147">
                  <c:v>184.74</c:v>
                </c:pt>
                <c:pt idx="1148">
                  <c:v>183.46</c:v>
                </c:pt>
                <c:pt idx="1149">
                  <c:v>181.24</c:v>
                </c:pt>
                <c:pt idx="1150">
                  <c:v>184.92</c:v>
                </c:pt>
                <c:pt idx="1151">
                  <c:v>182.52</c:v>
                </c:pt>
                <c:pt idx="1152">
                  <c:v>182.85</c:v>
                </c:pt>
                <c:pt idx="1153">
                  <c:v>181.86</c:v>
                </c:pt>
                <c:pt idx="1154">
                  <c:v>184.54</c:v>
                </c:pt>
                <c:pt idx="1155">
                  <c:v>187.72</c:v>
                </c:pt>
                <c:pt idx="1156">
                  <c:v>184.96</c:v>
                </c:pt>
                <c:pt idx="1157">
                  <c:v>181.58</c:v>
                </c:pt>
                <c:pt idx="1158">
                  <c:v>183.92</c:v>
                </c:pt>
                <c:pt idx="1159">
                  <c:v>184.64</c:v>
                </c:pt>
                <c:pt idx="1160">
                  <c:v>187.46</c:v>
                </c:pt>
                <c:pt idx="1161">
                  <c:v>189.75</c:v>
                </c:pt>
                <c:pt idx="1162">
                  <c:v>187.03</c:v>
                </c:pt>
                <c:pt idx="1163">
                  <c:v>187.19</c:v>
                </c:pt>
                <c:pt idx="1164">
                  <c:v>185.65</c:v>
                </c:pt>
                <c:pt idx="1165">
                  <c:v>185.33</c:v>
                </c:pt>
                <c:pt idx="1166">
                  <c:v>185.67</c:v>
                </c:pt>
                <c:pt idx="1167">
                  <c:v>179.71</c:v>
                </c:pt>
                <c:pt idx="1168">
                  <c:v>177.45</c:v>
                </c:pt>
                <c:pt idx="1169">
                  <c:v>176.28</c:v>
                </c:pt>
                <c:pt idx="1170">
                  <c:v>181.8</c:v>
                </c:pt>
                <c:pt idx="1171">
                  <c:v>185.95</c:v>
                </c:pt>
                <c:pt idx="1172">
                  <c:v>181.55</c:v>
                </c:pt>
                <c:pt idx="1173">
                  <c:v>183.43</c:v>
                </c:pt>
                <c:pt idx="1174">
                  <c:v>178.96</c:v>
                </c:pt>
                <c:pt idx="1175">
                  <c:v>182.28</c:v>
                </c:pt>
                <c:pt idx="1176">
                  <c:v>178.75</c:v>
                </c:pt>
                <c:pt idx="1177">
                  <c:v>177.27</c:v>
                </c:pt>
                <c:pt idx="1178">
                  <c:v>178.71</c:v>
                </c:pt>
                <c:pt idx="1179">
                  <c:v>177.89</c:v>
                </c:pt>
                <c:pt idx="1180">
                  <c:v>174.93</c:v>
                </c:pt>
                <c:pt idx="1181">
                  <c:v>176.43</c:v>
                </c:pt>
                <c:pt idx="1182">
                  <c:v>181.02</c:v>
                </c:pt>
                <c:pt idx="1183">
                  <c:v>183.02</c:v>
                </c:pt>
                <c:pt idx="1184">
                  <c:v>185.68</c:v>
                </c:pt>
                <c:pt idx="1185">
                  <c:v>188.41</c:v>
                </c:pt>
                <c:pt idx="1186">
                  <c:v>190.95</c:v>
                </c:pt>
                <c:pt idx="1187">
                  <c:v>189.62</c:v>
                </c:pt>
                <c:pt idx="1188">
                  <c:v>183.86</c:v>
                </c:pt>
                <c:pt idx="1189">
                  <c:v>195.15</c:v>
                </c:pt>
                <c:pt idx="1190">
                  <c:v>190.16</c:v>
                </c:pt>
                <c:pt idx="1191">
                  <c:v>193.12</c:v>
                </c:pt>
                <c:pt idx="1192">
                  <c:v>189.28</c:v>
                </c:pt>
                <c:pt idx="1193">
                  <c:v>178.49</c:v>
                </c:pt>
                <c:pt idx="1194">
                  <c:v>171.61</c:v>
                </c:pt>
                <c:pt idx="1195">
                  <c:v>169.47</c:v>
                </c:pt>
                <c:pt idx="1196">
                  <c:v>164.5</c:v>
                </c:pt>
                <c:pt idx="1197">
                  <c:v>168.37</c:v>
                </c:pt>
                <c:pt idx="1198">
                  <c:v>169.29</c:v>
                </c:pt>
                <c:pt idx="1199">
                  <c:v>168.9</c:v>
                </c:pt>
                <c:pt idx="1200">
                  <c:v>164.52</c:v>
                </c:pt>
                <c:pt idx="1201">
                  <c:v>169.34</c:v>
                </c:pt>
                <c:pt idx="1202">
                  <c:v>169.73</c:v>
                </c:pt>
                <c:pt idx="1203">
                  <c:v>168.27</c:v>
                </c:pt>
                <c:pt idx="1204">
                  <c:v>169.26</c:v>
                </c:pt>
                <c:pt idx="1205">
                  <c:v>169.64</c:v>
                </c:pt>
                <c:pt idx="1206">
                  <c:v>172.48</c:v>
                </c:pt>
                <c:pt idx="1207">
                  <c:v>173.3</c:v>
                </c:pt>
                <c:pt idx="1208">
                  <c:v>171.34</c:v>
                </c:pt>
                <c:pt idx="1209">
                  <c:v>169.64</c:v>
                </c:pt>
                <c:pt idx="1210">
                  <c:v>157.97</c:v>
                </c:pt>
                <c:pt idx="1211">
                  <c:v>155.62</c:v>
                </c:pt>
                <c:pt idx="1212">
                  <c:v>161.5</c:v>
                </c:pt>
                <c:pt idx="1213">
                  <c:v>161.07</c:v>
                </c:pt>
                <c:pt idx="1214">
                  <c:v>161.41999999999999</c:v>
                </c:pt>
                <c:pt idx="1215">
                  <c:v>161.91</c:v>
                </c:pt>
                <c:pt idx="1216">
                  <c:v>158.75</c:v>
                </c:pt>
                <c:pt idx="1217">
                  <c:v>158.5</c:v>
                </c:pt>
                <c:pt idx="1218">
                  <c:v>157.24</c:v>
                </c:pt>
                <c:pt idx="1219">
                  <c:v>156.44999999999999</c:v>
                </c:pt>
                <c:pt idx="1220">
                  <c:v>156.88999999999999</c:v>
                </c:pt>
                <c:pt idx="1221">
                  <c:v>160.1</c:v>
                </c:pt>
                <c:pt idx="1222">
                  <c:v>164.95</c:v>
                </c:pt>
                <c:pt idx="1223">
                  <c:v>164.49</c:v>
                </c:pt>
                <c:pt idx="1224">
                  <c:v>165.98</c:v>
                </c:pt>
                <c:pt idx="1225">
                  <c:v>166.71</c:v>
                </c:pt>
                <c:pt idx="1226">
                  <c:v>169.66</c:v>
                </c:pt>
                <c:pt idx="1227">
                  <c:v>166.27</c:v>
                </c:pt>
                <c:pt idx="1228">
                  <c:v>164.52</c:v>
                </c:pt>
                <c:pt idx="1229">
                  <c:v>162.69999999999999</c:v>
                </c:pt>
                <c:pt idx="1230">
                  <c:v>162.13</c:v>
                </c:pt>
                <c:pt idx="1231">
                  <c:v>162.47</c:v>
                </c:pt>
                <c:pt idx="1232">
                  <c:v>161.63</c:v>
                </c:pt>
                <c:pt idx="1233">
                  <c:v>164.77</c:v>
                </c:pt>
                <c:pt idx="1234">
                  <c:v>162.69999999999999</c:v>
                </c:pt>
                <c:pt idx="1235">
                  <c:v>160.04</c:v>
                </c:pt>
                <c:pt idx="1236">
                  <c:v>156.94</c:v>
                </c:pt>
                <c:pt idx="1237">
                  <c:v>159.63999999999999</c:v>
                </c:pt>
                <c:pt idx="1238">
                  <c:v>160.16999999999999</c:v>
                </c:pt>
                <c:pt idx="1239">
                  <c:v>163.78</c:v>
                </c:pt>
                <c:pt idx="1240">
                  <c:v>161.85</c:v>
                </c:pt>
                <c:pt idx="1241">
                  <c:v>162.88999999999999</c:v>
                </c:pt>
                <c:pt idx="1242">
                  <c:v>166.14</c:v>
                </c:pt>
                <c:pt idx="1243">
                  <c:v>166.08</c:v>
                </c:pt>
                <c:pt idx="1244">
                  <c:v>168.1</c:v>
                </c:pt>
                <c:pt idx="1245">
                  <c:v>168.37</c:v>
                </c:pt>
                <c:pt idx="1246">
                  <c:v>163.33000000000001</c:v>
                </c:pt>
                <c:pt idx="1247">
                  <c:v>164.56</c:v>
                </c:pt>
                <c:pt idx="1248">
                  <c:v>166.58</c:v>
                </c:pt>
                <c:pt idx="1249">
                  <c:v>166.15</c:v>
                </c:pt>
                <c:pt idx="1250">
                  <c:v>164.21</c:v>
                </c:pt>
                <c:pt idx="1251">
                  <c:v>161.47</c:v>
                </c:pt>
                <c:pt idx="1252">
                  <c:v>157.69999999999999</c:v>
                </c:pt>
                <c:pt idx="1253">
                  <c:v>156.9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FE-4E77-9AAF-A6248B427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7796991"/>
        <c:axId val="829360271"/>
      </c:lineChart>
      <c:dateAx>
        <c:axId val="897796991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829360271"/>
        <c:crosses val="autoZero"/>
        <c:auto val="0"/>
        <c:lblOffset val="100"/>
        <c:baseTimeUnit val="days"/>
      </c:dateAx>
      <c:valAx>
        <c:axId val="82936027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crossAx val="897796991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18</xdr:col>
      <xdr:colOff>0</xdr:colOff>
      <xdr:row>42</xdr:row>
      <xdr:rowOff>28575</xdr:rowOff>
    </xdr:to>
    <xdr:graphicFrame macro="">
      <xdr:nvGraphicFramePr>
        <xdr:cNvPr id="2" name="AZN Price Chart">
          <a:extLst>
            <a:ext uri="{FF2B5EF4-FFF2-40B4-BE49-F238E27FC236}">
              <a16:creationId xmlns:a16="http://schemas.microsoft.com/office/drawing/2014/main" id="{4A941FC7-46B5-5E32-651D-CA0C0E58C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ACA6-94CC-4565-87D5-4A7DB8ED4DE5}">
  <dimension ref="A1:J1258"/>
  <sheetViews>
    <sheetView tabSelected="1" workbookViewId="0">
      <pane ySplit="4" topLeftCell="A5" activePane="bottomLeft" state="frozenSplit"/>
      <selection pane="bottomLeft" activeCell="I4" sqref="I4"/>
    </sheetView>
  </sheetViews>
  <sheetFormatPr defaultRowHeight="14.25" x14ac:dyDescent="0.2"/>
  <cols>
    <col min="1" max="1" width="12.625" customWidth="1"/>
    <col min="2" max="5" width="11.625" customWidth="1"/>
    <col min="6" max="6" width="16.625" customWidth="1"/>
    <col min="7" max="7" width="3.625" customWidth="1"/>
    <col min="8" max="8" width="20.625" customWidth="1"/>
    <col min="9" max="9" width="13.625" customWidth="1"/>
  </cols>
  <sheetData>
    <row r="1" spans="1:10" ht="15.75" x14ac:dyDescent="0.25">
      <c r="A1" s="1" t="s">
        <v>0</v>
      </c>
    </row>
    <row r="2" spans="1:10" ht="15.75" x14ac:dyDescent="0.25">
      <c r="A2" s="2" t="s">
        <v>1</v>
      </c>
      <c r="H2" s="1" t="s">
        <v>8</v>
      </c>
    </row>
    <row r="4" spans="1:10" ht="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8" t="s">
        <v>9</v>
      </c>
      <c r="I4" s="9">
        <v>44474</v>
      </c>
      <c r="J4" s="7" t="s">
        <v>11</v>
      </c>
    </row>
    <row r="5" spans="1:10" ht="15" x14ac:dyDescent="0.25">
      <c r="A5" s="4">
        <v>44474</v>
      </c>
      <c r="B5" s="5">
        <v>121.87</v>
      </c>
      <c r="C5" s="5">
        <v>121.95</v>
      </c>
      <c r="D5" s="5">
        <v>119.0501</v>
      </c>
      <c r="E5" s="5">
        <v>121</v>
      </c>
      <c r="F5" s="6">
        <v>2005</v>
      </c>
      <c r="H5" s="8" t="s">
        <v>10</v>
      </c>
      <c r="I5" s="9"/>
      <c r="J5" s="7" t="s">
        <v>12</v>
      </c>
    </row>
    <row r="6" spans="1:10" x14ac:dyDescent="0.2">
      <c r="A6" s="4">
        <v>44475</v>
      </c>
      <c r="B6" s="5">
        <v>120.27</v>
      </c>
      <c r="C6" s="5">
        <v>120.27</v>
      </c>
      <c r="D6" s="5">
        <v>120.27</v>
      </c>
      <c r="E6" s="5">
        <v>120.27</v>
      </c>
      <c r="F6" s="6">
        <v>997</v>
      </c>
      <c r="H6" s="10"/>
      <c r="I6" s="10"/>
    </row>
    <row r="7" spans="1:10" ht="15" x14ac:dyDescent="0.25">
      <c r="A7" s="4">
        <v>44476</v>
      </c>
      <c r="B7" s="5">
        <v>119.85</v>
      </c>
      <c r="C7" s="5">
        <v>121.98</v>
      </c>
      <c r="D7" s="5">
        <v>119.85</v>
      </c>
      <c r="E7" s="5">
        <v>121.98</v>
      </c>
      <c r="F7" s="6">
        <v>1617</v>
      </c>
      <c r="H7" s="8" t="s">
        <v>13</v>
      </c>
      <c r="I7" s="10"/>
    </row>
    <row r="8" spans="1:10" x14ac:dyDescent="0.2">
      <c r="A8" s="4">
        <v>44477</v>
      </c>
      <c r="B8" s="5">
        <v>121</v>
      </c>
      <c r="C8" s="5">
        <v>123.83</v>
      </c>
      <c r="D8" s="5">
        <v>120.38</v>
      </c>
      <c r="E8" s="5">
        <v>123.83</v>
      </c>
      <c r="F8" s="6">
        <v>1569</v>
      </c>
      <c r="H8" s="11" t="s">
        <v>14</v>
      </c>
      <c r="I8" s="12">
        <f ca="1">IF(ISBLANK(I5),TODAY(),I5)</f>
        <v>46300</v>
      </c>
    </row>
    <row r="9" spans="1:10" x14ac:dyDescent="0.2">
      <c r="A9" s="4">
        <v>44480</v>
      </c>
      <c r="B9" s="5">
        <v>122</v>
      </c>
      <c r="C9" s="5">
        <v>123.4924</v>
      </c>
      <c r="D9" s="5">
        <v>122</v>
      </c>
      <c r="E9" s="5">
        <v>123.4924</v>
      </c>
      <c r="F9" s="6">
        <v>1651</v>
      </c>
      <c r="H9" s="11" t="s">
        <v>15</v>
      </c>
      <c r="I9" s="13">
        <f>COUNTIF(PxDates,"&lt;"&amp;I4)+1</f>
        <v>1</v>
      </c>
    </row>
    <row r="10" spans="1:10" x14ac:dyDescent="0.2">
      <c r="A10" s="4">
        <v>44481</v>
      </c>
      <c r="B10" s="5">
        <v>120.6317</v>
      </c>
      <c r="C10" s="5">
        <v>122.92</v>
      </c>
      <c r="D10" s="5">
        <v>118.65</v>
      </c>
      <c r="E10" s="5">
        <v>122.92</v>
      </c>
      <c r="F10" s="6">
        <v>8996</v>
      </c>
      <c r="H10" s="11" t="s">
        <v>16</v>
      </c>
      <c r="I10" s="13">
        <f ca="1">COUNTIF(PxDates,"&lt;="&amp;I8)</f>
        <v>1254</v>
      </c>
    </row>
    <row r="11" spans="1:10" x14ac:dyDescent="0.2">
      <c r="A11" s="4">
        <v>44482</v>
      </c>
      <c r="B11" s="5">
        <v>119.09</v>
      </c>
      <c r="C11" s="5">
        <v>119.09</v>
      </c>
      <c r="D11" s="5">
        <v>119.09</v>
      </c>
      <c r="E11" s="5">
        <v>119.09</v>
      </c>
      <c r="F11" s="6">
        <v>983</v>
      </c>
      <c r="H11" s="11" t="s">
        <v>17</v>
      </c>
      <c r="I11" s="13" t="str">
        <f ca="1">IF(NOT(ISNUMBER(I4)),"Enter a start date",IF(I4&gt;I8,"Start date must be on or before end date",IF(I9&gt;I10,"No trading days between these dates","OK")))</f>
        <v>OK</v>
      </c>
    </row>
    <row r="12" spans="1:10" x14ac:dyDescent="0.2">
      <c r="A12" s="4">
        <v>44483</v>
      </c>
      <c r="B12" s="5">
        <v>122.92</v>
      </c>
      <c r="C12" s="5">
        <v>122.92</v>
      </c>
      <c r="D12" s="5">
        <v>119.14</v>
      </c>
      <c r="E12" s="5">
        <v>121</v>
      </c>
      <c r="F12" s="6">
        <v>1834</v>
      </c>
      <c r="H12" s="11" t="s">
        <v>18</v>
      </c>
      <c r="I12" s="12">
        <f ca="1">IF($I$11="OK",INDEX(PxDates,I9),"")</f>
        <v>44474</v>
      </c>
    </row>
    <row r="13" spans="1:10" x14ac:dyDescent="0.2">
      <c r="A13" s="4">
        <v>44484</v>
      </c>
      <c r="B13" s="5">
        <v>121.32</v>
      </c>
      <c r="C13" s="5">
        <v>121.4</v>
      </c>
      <c r="D13" s="5">
        <v>118.58</v>
      </c>
      <c r="E13" s="5">
        <v>118.58</v>
      </c>
      <c r="F13" s="6">
        <v>1816</v>
      </c>
      <c r="H13" s="11" t="s">
        <v>19</v>
      </c>
      <c r="I13" s="12">
        <f ca="1">IF($I$11="OK",INDEX(PxDates,I10),"")</f>
        <v>46297</v>
      </c>
    </row>
    <row r="14" spans="1:10" x14ac:dyDescent="0.2">
      <c r="A14" s="4">
        <v>44487</v>
      </c>
      <c r="B14" s="5">
        <v>117.25</v>
      </c>
      <c r="C14" s="5">
        <v>120.12</v>
      </c>
      <c r="D14" s="5">
        <v>117.25</v>
      </c>
      <c r="E14" s="5">
        <v>120.12</v>
      </c>
      <c r="F14" s="6">
        <v>3833</v>
      </c>
      <c r="H14" s="11" t="s">
        <v>20</v>
      </c>
      <c r="I14" s="14">
        <f ca="1">IF($I$11="OK",INDEX(PxClose,I9),"")</f>
        <v>121</v>
      </c>
    </row>
    <row r="15" spans="1:10" x14ac:dyDescent="0.2">
      <c r="A15" s="4">
        <v>44488</v>
      </c>
      <c r="B15" s="5">
        <v>118</v>
      </c>
      <c r="C15" s="5">
        <v>121.46</v>
      </c>
      <c r="D15" s="5">
        <v>118</v>
      </c>
      <c r="E15" s="5">
        <v>119.37</v>
      </c>
      <c r="F15" s="6">
        <v>1645</v>
      </c>
      <c r="H15" s="11" t="s">
        <v>21</v>
      </c>
      <c r="I15" s="14">
        <f ca="1">IF($I$11="OK",INDEX(PxClose,I10),"")</f>
        <v>156.9</v>
      </c>
    </row>
    <row r="16" spans="1:10" x14ac:dyDescent="0.2">
      <c r="A16" s="4">
        <v>44489</v>
      </c>
      <c r="B16" s="5">
        <v>118.95</v>
      </c>
      <c r="C16" s="5">
        <v>122</v>
      </c>
      <c r="D16" s="5">
        <v>118.95</v>
      </c>
      <c r="E16" s="5">
        <v>122</v>
      </c>
      <c r="F16" s="6">
        <v>1782</v>
      </c>
      <c r="H16" s="15" t="s">
        <v>22</v>
      </c>
      <c r="I16" s="16">
        <f ca="1">IF($I$11="OK",I15/I14-1,"")</f>
        <v>0.2966942148760332</v>
      </c>
    </row>
    <row r="17" spans="1:8" x14ac:dyDescent="0.2">
      <c r="A17" s="4">
        <v>44490</v>
      </c>
      <c r="B17" s="5">
        <v>121.57</v>
      </c>
      <c r="C17" s="5">
        <v>122.4</v>
      </c>
      <c r="D17" s="5">
        <v>121.57</v>
      </c>
      <c r="E17" s="5">
        <v>122.4</v>
      </c>
      <c r="F17" s="6">
        <v>1741</v>
      </c>
    </row>
    <row r="18" spans="1:8" ht="15.75" x14ac:dyDescent="0.25">
      <c r="A18" s="4">
        <v>44491</v>
      </c>
      <c r="B18" s="5">
        <v>123.51</v>
      </c>
      <c r="C18" s="5">
        <v>124</v>
      </c>
      <c r="D18" s="5">
        <v>122.85</v>
      </c>
      <c r="E18" s="5">
        <v>123.77500000000001</v>
      </c>
      <c r="F18" s="6">
        <v>4814</v>
      </c>
      <c r="H18" s="1" t="str">
        <f ca="1">IF($I$11&lt;&gt;"OK",$I$11,"AZN "&amp;IF(I16&gt;=0,"rose ","fell ")&amp;TEXT(ABS(I16),"0.0%")&amp;" from "&amp;TEXT(I14,"$#,##0.00")&amp;" on "&amp;TEXT(I12,"mmm d, yyyy")&amp;" to "&amp;TEXT(I15,"$#,##0.00")&amp;" on "&amp;TEXT(I13,"mmm d, yyyy")&amp;".")</f>
        <v>AZN rose 29.7% from $121.00 on Oct 5, 2021 to $156.90 on Oct 2, 2026.</v>
      </c>
    </row>
    <row r="19" spans="1:8" x14ac:dyDescent="0.2">
      <c r="A19" s="4">
        <v>44494</v>
      </c>
      <c r="B19" s="5">
        <v>125.575</v>
      </c>
      <c r="C19" s="5">
        <v>125.575</v>
      </c>
      <c r="D19" s="5">
        <v>124.82</v>
      </c>
      <c r="E19" s="5">
        <v>124.82</v>
      </c>
      <c r="F19" s="6">
        <v>841</v>
      </c>
    </row>
    <row r="20" spans="1:8" x14ac:dyDescent="0.2">
      <c r="A20" s="4">
        <v>44495</v>
      </c>
      <c r="B20" s="5">
        <v>125.37</v>
      </c>
      <c r="C20" s="5">
        <v>125.37</v>
      </c>
      <c r="D20" s="5">
        <v>123.13</v>
      </c>
      <c r="E20" s="5">
        <v>123.13</v>
      </c>
      <c r="F20" s="6">
        <v>922</v>
      </c>
    </row>
    <row r="21" spans="1:8" x14ac:dyDescent="0.2">
      <c r="A21" s="4">
        <v>44496</v>
      </c>
      <c r="B21" s="5">
        <v>122.3</v>
      </c>
      <c r="C21" s="5">
        <v>124.42</v>
      </c>
      <c r="D21" s="5">
        <v>122.3</v>
      </c>
      <c r="E21" s="5">
        <v>122.81</v>
      </c>
      <c r="F21" s="6">
        <v>1962</v>
      </c>
    </row>
    <row r="22" spans="1:8" x14ac:dyDescent="0.2">
      <c r="A22" s="4">
        <v>44497</v>
      </c>
      <c r="B22" s="5">
        <v>125.45</v>
      </c>
      <c r="C22" s="5">
        <v>127.25</v>
      </c>
      <c r="D22" s="5">
        <v>123.45</v>
      </c>
      <c r="E22" s="5">
        <v>127.25</v>
      </c>
      <c r="F22" s="6">
        <v>3192</v>
      </c>
    </row>
    <row r="23" spans="1:8" x14ac:dyDescent="0.2">
      <c r="A23" s="4">
        <v>44498</v>
      </c>
      <c r="B23" s="5">
        <v>123.48</v>
      </c>
      <c r="C23" s="5">
        <v>125.82</v>
      </c>
      <c r="D23" s="5">
        <v>123.48</v>
      </c>
      <c r="E23" s="5">
        <v>125.27500000000001</v>
      </c>
      <c r="F23" s="6">
        <v>2626</v>
      </c>
    </row>
    <row r="24" spans="1:8" x14ac:dyDescent="0.2">
      <c r="A24" s="4">
        <v>44501</v>
      </c>
      <c r="B24" s="5">
        <v>125.12</v>
      </c>
      <c r="C24" s="5">
        <v>127.25</v>
      </c>
      <c r="D24" s="5">
        <v>125.12</v>
      </c>
      <c r="E24" s="5">
        <v>127.17</v>
      </c>
      <c r="F24" s="6">
        <v>2099</v>
      </c>
    </row>
    <row r="25" spans="1:8" x14ac:dyDescent="0.2">
      <c r="A25" s="4">
        <v>44502</v>
      </c>
      <c r="B25" s="5">
        <v>127.25</v>
      </c>
      <c r="C25" s="5">
        <v>130.4</v>
      </c>
      <c r="D25" s="5">
        <v>126.45</v>
      </c>
      <c r="E25" s="5">
        <v>126.45</v>
      </c>
      <c r="F25" s="6">
        <v>1906</v>
      </c>
    </row>
    <row r="26" spans="1:8" x14ac:dyDescent="0.2">
      <c r="A26" s="4">
        <v>44503</v>
      </c>
      <c r="B26" s="5">
        <v>128.91999999999999</v>
      </c>
      <c r="C26" s="5">
        <v>129</v>
      </c>
      <c r="D26" s="5">
        <v>125.35</v>
      </c>
      <c r="E26" s="5">
        <v>129</v>
      </c>
      <c r="F26" s="6">
        <v>1563</v>
      </c>
    </row>
    <row r="27" spans="1:8" x14ac:dyDescent="0.2">
      <c r="A27" s="4">
        <v>44504</v>
      </c>
      <c r="B27" s="5">
        <v>129.16999999999999</v>
      </c>
      <c r="C27" s="5">
        <v>129.91999999999999</v>
      </c>
      <c r="D27" s="5">
        <v>129.16999999999999</v>
      </c>
      <c r="E27" s="5">
        <v>129.91999999999999</v>
      </c>
      <c r="F27" s="6">
        <v>1571</v>
      </c>
    </row>
    <row r="28" spans="1:8" x14ac:dyDescent="0.2">
      <c r="A28" s="4">
        <v>44505</v>
      </c>
      <c r="B28" s="5">
        <v>124.2</v>
      </c>
      <c r="C28" s="5">
        <v>125.47</v>
      </c>
      <c r="D28" s="5">
        <v>124.2</v>
      </c>
      <c r="E28" s="5">
        <v>125.47</v>
      </c>
      <c r="F28" s="6">
        <v>1754</v>
      </c>
    </row>
    <row r="29" spans="1:8" x14ac:dyDescent="0.2">
      <c r="A29" s="4">
        <v>44508</v>
      </c>
      <c r="B29" s="5">
        <v>126.25</v>
      </c>
      <c r="C29" s="5">
        <v>128.44999999999999</v>
      </c>
      <c r="D29" s="5">
        <v>126.25</v>
      </c>
      <c r="E29" s="5">
        <v>128.37</v>
      </c>
      <c r="F29" s="6">
        <v>1346</v>
      </c>
    </row>
    <row r="30" spans="1:8" x14ac:dyDescent="0.2">
      <c r="A30" s="4">
        <v>44509</v>
      </c>
      <c r="B30" s="5">
        <v>126.42</v>
      </c>
      <c r="C30" s="5">
        <v>126.42</v>
      </c>
      <c r="D30" s="5">
        <v>125.5638</v>
      </c>
      <c r="E30" s="5">
        <v>126.42</v>
      </c>
      <c r="F30" s="6">
        <v>827</v>
      </c>
    </row>
    <row r="31" spans="1:8" x14ac:dyDescent="0.2">
      <c r="A31" s="4">
        <v>44510</v>
      </c>
      <c r="B31" s="5">
        <v>125.33</v>
      </c>
      <c r="C31" s="5">
        <v>126.9</v>
      </c>
      <c r="D31" s="5">
        <v>124.33</v>
      </c>
      <c r="E31" s="5">
        <v>126.77</v>
      </c>
      <c r="F31" s="6">
        <v>2580</v>
      </c>
    </row>
    <row r="32" spans="1:8" x14ac:dyDescent="0.2">
      <c r="A32" s="4">
        <v>44511</v>
      </c>
      <c r="B32" s="5">
        <v>125.625</v>
      </c>
      <c r="C32" s="5">
        <v>126.92</v>
      </c>
      <c r="D32" s="5">
        <v>124.2501</v>
      </c>
      <c r="E32" s="5">
        <v>126.92</v>
      </c>
      <c r="F32" s="6">
        <v>3700</v>
      </c>
    </row>
    <row r="33" spans="1:6" x14ac:dyDescent="0.2">
      <c r="A33" s="4">
        <v>44512</v>
      </c>
      <c r="B33" s="5">
        <v>119.75</v>
      </c>
      <c r="C33" s="5">
        <v>119.86</v>
      </c>
      <c r="D33" s="5">
        <v>117.36</v>
      </c>
      <c r="E33" s="5">
        <v>118.39</v>
      </c>
      <c r="F33" s="6">
        <v>3101</v>
      </c>
    </row>
    <row r="34" spans="1:6" x14ac:dyDescent="0.2">
      <c r="A34" s="4">
        <v>44515</v>
      </c>
      <c r="B34" s="5">
        <v>120.92</v>
      </c>
      <c r="C34" s="5">
        <v>123.13</v>
      </c>
      <c r="D34" s="5">
        <v>120.92</v>
      </c>
      <c r="E34" s="5">
        <v>123.13</v>
      </c>
      <c r="F34" s="6">
        <v>822</v>
      </c>
    </row>
    <row r="35" spans="1:6" x14ac:dyDescent="0.2">
      <c r="A35" s="4">
        <v>44516</v>
      </c>
      <c r="B35" s="5">
        <v>114.8</v>
      </c>
      <c r="C35" s="5">
        <v>116.81</v>
      </c>
      <c r="D35" s="5">
        <v>114.8</v>
      </c>
      <c r="E35" s="5">
        <v>116.81</v>
      </c>
      <c r="F35" s="6">
        <v>1716</v>
      </c>
    </row>
    <row r="36" spans="1:6" x14ac:dyDescent="0.2">
      <c r="A36" s="4">
        <v>44517</v>
      </c>
      <c r="B36" s="5">
        <v>112.59</v>
      </c>
      <c r="C36" s="5">
        <v>117.92</v>
      </c>
      <c r="D36" s="5">
        <v>112.59</v>
      </c>
      <c r="E36" s="5">
        <v>115.94</v>
      </c>
      <c r="F36" s="6">
        <v>928</v>
      </c>
    </row>
    <row r="37" spans="1:6" x14ac:dyDescent="0.2">
      <c r="A37" s="4">
        <v>44518</v>
      </c>
      <c r="B37" s="5">
        <v>111.01</v>
      </c>
      <c r="C37" s="5">
        <v>114.67</v>
      </c>
      <c r="D37" s="5">
        <v>111.01</v>
      </c>
      <c r="E37" s="5">
        <v>112.42</v>
      </c>
      <c r="F37" s="6">
        <v>2426</v>
      </c>
    </row>
    <row r="38" spans="1:6" x14ac:dyDescent="0.2">
      <c r="A38" s="4">
        <v>44519</v>
      </c>
      <c r="B38" s="5">
        <v>115.42</v>
      </c>
      <c r="C38" s="5">
        <v>115.42</v>
      </c>
      <c r="D38" s="5">
        <v>112.33</v>
      </c>
      <c r="E38" s="5">
        <v>112.6</v>
      </c>
      <c r="F38" s="6">
        <v>5275</v>
      </c>
    </row>
    <row r="39" spans="1:6" x14ac:dyDescent="0.2">
      <c r="A39" s="4">
        <v>44522</v>
      </c>
      <c r="B39" s="5">
        <v>114.32</v>
      </c>
      <c r="C39" s="5">
        <v>114.32</v>
      </c>
      <c r="D39" s="5">
        <v>112.63</v>
      </c>
      <c r="E39" s="5">
        <v>114.21</v>
      </c>
      <c r="F39" s="6">
        <v>1793</v>
      </c>
    </row>
    <row r="40" spans="1:6" x14ac:dyDescent="0.2">
      <c r="A40" s="4">
        <v>44523</v>
      </c>
      <c r="B40" s="5">
        <v>112.33</v>
      </c>
      <c r="C40" s="5">
        <v>113.82</v>
      </c>
      <c r="D40" s="5">
        <v>112.25</v>
      </c>
      <c r="E40" s="5">
        <v>112.25</v>
      </c>
      <c r="F40" s="6">
        <v>2327</v>
      </c>
    </row>
    <row r="41" spans="1:6" x14ac:dyDescent="0.2">
      <c r="A41" s="4">
        <v>44524</v>
      </c>
      <c r="B41" s="5">
        <v>112.23</v>
      </c>
      <c r="C41" s="5">
        <v>113.72</v>
      </c>
      <c r="D41" s="5">
        <v>112.08</v>
      </c>
      <c r="E41" s="5">
        <v>113.72</v>
      </c>
      <c r="F41" s="6">
        <v>1203</v>
      </c>
    </row>
    <row r="42" spans="1:6" x14ac:dyDescent="0.2">
      <c r="A42" s="4">
        <v>44526</v>
      </c>
      <c r="B42" s="5">
        <v>115.92</v>
      </c>
      <c r="C42" s="5">
        <v>115.92</v>
      </c>
      <c r="D42" s="5">
        <v>112.355</v>
      </c>
      <c r="E42" s="5">
        <v>112.355</v>
      </c>
      <c r="F42" s="6">
        <v>1231</v>
      </c>
    </row>
    <row r="43" spans="1:6" x14ac:dyDescent="0.2">
      <c r="A43" s="4">
        <v>44529</v>
      </c>
      <c r="B43" s="5">
        <v>112.35</v>
      </c>
      <c r="C43" s="5">
        <v>112.35</v>
      </c>
      <c r="D43" s="5">
        <v>112.35</v>
      </c>
      <c r="E43" s="5">
        <v>112.35</v>
      </c>
      <c r="F43" s="6">
        <v>997</v>
      </c>
    </row>
    <row r="44" spans="1:6" x14ac:dyDescent="0.2">
      <c r="A44" s="4">
        <v>44530</v>
      </c>
      <c r="B44" s="5">
        <v>111.57</v>
      </c>
      <c r="C44" s="5">
        <v>111.65</v>
      </c>
      <c r="D44" s="5">
        <v>107.33</v>
      </c>
      <c r="E44" s="5">
        <v>111.57</v>
      </c>
      <c r="F44" s="6">
        <v>1614</v>
      </c>
    </row>
    <row r="45" spans="1:6" x14ac:dyDescent="0.2">
      <c r="A45" s="4">
        <v>44531</v>
      </c>
      <c r="B45" s="5">
        <v>110.92</v>
      </c>
      <c r="C45" s="5">
        <v>113.17</v>
      </c>
      <c r="D45" s="5">
        <v>109.35</v>
      </c>
      <c r="E45" s="5">
        <v>109.35</v>
      </c>
      <c r="F45" s="6">
        <v>3531</v>
      </c>
    </row>
    <row r="46" spans="1:6" x14ac:dyDescent="0.2">
      <c r="A46" s="4">
        <v>44532</v>
      </c>
      <c r="B46" s="5">
        <v>108.83</v>
      </c>
      <c r="C46" s="5">
        <v>111.67</v>
      </c>
      <c r="D46" s="5">
        <v>108.7</v>
      </c>
      <c r="E46" s="5">
        <v>111.42</v>
      </c>
      <c r="F46" s="6">
        <v>2311</v>
      </c>
    </row>
    <row r="47" spans="1:6" x14ac:dyDescent="0.2">
      <c r="A47" s="4">
        <v>44533</v>
      </c>
      <c r="B47" s="5">
        <v>106.47</v>
      </c>
      <c r="C47" s="5">
        <v>109.66</v>
      </c>
      <c r="D47" s="5">
        <v>106.39</v>
      </c>
      <c r="E47" s="5">
        <v>109.66</v>
      </c>
      <c r="F47" s="6">
        <v>3574</v>
      </c>
    </row>
    <row r="48" spans="1:6" x14ac:dyDescent="0.2">
      <c r="A48" s="4">
        <v>44536</v>
      </c>
      <c r="B48" s="5">
        <v>113.92</v>
      </c>
      <c r="C48" s="5">
        <v>113.92</v>
      </c>
      <c r="D48" s="5">
        <v>109.36</v>
      </c>
      <c r="E48" s="5">
        <v>110.93</v>
      </c>
      <c r="F48" s="6">
        <v>3156</v>
      </c>
    </row>
    <row r="49" spans="1:6" x14ac:dyDescent="0.2">
      <c r="A49" s="4">
        <v>44537</v>
      </c>
      <c r="B49" s="5">
        <v>111.39</v>
      </c>
      <c r="C49" s="5">
        <v>111.39</v>
      </c>
      <c r="D49" s="5">
        <v>106.74</v>
      </c>
      <c r="E49" s="5">
        <v>108.63</v>
      </c>
      <c r="F49" s="6">
        <v>153071</v>
      </c>
    </row>
    <row r="50" spans="1:6" x14ac:dyDescent="0.2">
      <c r="A50" s="4">
        <v>44538</v>
      </c>
      <c r="B50" s="5">
        <v>106.45</v>
      </c>
      <c r="C50" s="5">
        <v>112.47</v>
      </c>
      <c r="D50" s="5">
        <v>106.45</v>
      </c>
      <c r="E50" s="5">
        <v>112.47</v>
      </c>
      <c r="F50" s="6">
        <v>5768</v>
      </c>
    </row>
    <row r="51" spans="1:6" x14ac:dyDescent="0.2">
      <c r="A51" s="4">
        <v>44539</v>
      </c>
      <c r="B51" s="5">
        <v>110.93</v>
      </c>
      <c r="C51" s="5">
        <v>111.97</v>
      </c>
      <c r="D51" s="5">
        <v>108</v>
      </c>
      <c r="E51" s="5">
        <v>109.25</v>
      </c>
      <c r="F51" s="6">
        <v>3148</v>
      </c>
    </row>
    <row r="52" spans="1:6" x14ac:dyDescent="0.2">
      <c r="A52" s="4">
        <v>44540</v>
      </c>
      <c r="B52" s="5">
        <v>106.38</v>
      </c>
      <c r="C52" s="5">
        <v>110.43</v>
      </c>
      <c r="D52" s="5">
        <v>106.3</v>
      </c>
      <c r="E52" s="5">
        <v>110.43</v>
      </c>
      <c r="F52" s="6">
        <v>3677</v>
      </c>
    </row>
    <row r="53" spans="1:6" x14ac:dyDescent="0.2">
      <c r="A53" s="4">
        <v>44543</v>
      </c>
      <c r="B53" s="5">
        <v>105.96</v>
      </c>
      <c r="C53" s="5">
        <v>111.44</v>
      </c>
      <c r="D53" s="5">
        <v>105.26</v>
      </c>
      <c r="E53" s="5">
        <v>107.28</v>
      </c>
      <c r="F53" s="6">
        <v>4436</v>
      </c>
    </row>
    <row r="54" spans="1:6" x14ac:dyDescent="0.2">
      <c r="A54" s="4">
        <v>44544</v>
      </c>
      <c r="B54" s="5">
        <v>105.74</v>
      </c>
      <c r="C54" s="5">
        <v>111.89</v>
      </c>
      <c r="D54" s="5">
        <v>105.74</v>
      </c>
      <c r="E54" s="5">
        <v>107.76</v>
      </c>
      <c r="F54" s="6">
        <v>20506</v>
      </c>
    </row>
    <row r="55" spans="1:6" x14ac:dyDescent="0.2">
      <c r="A55" s="4">
        <v>44545</v>
      </c>
      <c r="B55" s="5">
        <v>106.74</v>
      </c>
      <c r="C55" s="5">
        <v>111.11</v>
      </c>
      <c r="D55" s="5">
        <v>106.66</v>
      </c>
      <c r="E55" s="5">
        <v>110.34</v>
      </c>
      <c r="F55" s="6">
        <v>5078</v>
      </c>
    </row>
    <row r="56" spans="1:6" x14ac:dyDescent="0.2">
      <c r="A56" s="4">
        <v>44546</v>
      </c>
      <c r="B56" s="5">
        <v>112</v>
      </c>
      <c r="C56" s="5">
        <v>113.92</v>
      </c>
      <c r="D56" s="5">
        <v>111.72</v>
      </c>
      <c r="E56" s="5">
        <v>113.92</v>
      </c>
      <c r="F56" s="6">
        <v>4647</v>
      </c>
    </row>
    <row r="57" spans="1:6" x14ac:dyDescent="0.2">
      <c r="A57" s="4">
        <v>44547</v>
      </c>
      <c r="B57" s="5">
        <v>112.13</v>
      </c>
      <c r="C57" s="5">
        <v>112.13</v>
      </c>
      <c r="D57" s="5">
        <v>111.4</v>
      </c>
      <c r="E57" s="5">
        <v>111.4</v>
      </c>
      <c r="F57" s="6">
        <v>1906</v>
      </c>
    </row>
    <row r="58" spans="1:6" x14ac:dyDescent="0.2">
      <c r="A58" s="4">
        <v>44550</v>
      </c>
      <c r="B58" s="5">
        <v>113</v>
      </c>
      <c r="C58" s="5">
        <v>113.16</v>
      </c>
      <c r="D58" s="5">
        <v>109.48</v>
      </c>
      <c r="E58" s="5">
        <v>109.56</v>
      </c>
      <c r="F58" s="6">
        <v>3469</v>
      </c>
    </row>
    <row r="59" spans="1:6" x14ac:dyDescent="0.2">
      <c r="A59" s="4">
        <v>44551</v>
      </c>
      <c r="B59" s="5">
        <v>113.42</v>
      </c>
      <c r="C59" s="5">
        <v>116</v>
      </c>
      <c r="D59" s="5">
        <v>110.74</v>
      </c>
      <c r="E59" s="5">
        <v>116</v>
      </c>
      <c r="F59" s="6">
        <v>3580</v>
      </c>
    </row>
    <row r="60" spans="1:6" x14ac:dyDescent="0.2">
      <c r="A60" s="4">
        <v>44552</v>
      </c>
      <c r="B60" s="5">
        <v>110.45</v>
      </c>
      <c r="C60" s="5">
        <v>115.87</v>
      </c>
      <c r="D60" s="5">
        <v>110.45</v>
      </c>
      <c r="E60" s="5">
        <v>115.87</v>
      </c>
      <c r="F60" s="6">
        <v>5196</v>
      </c>
    </row>
    <row r="61" spans="1:6" x14ac:dyDescent="0.2">
      <c r="A61" s="4">
        <v>44553</v>
      </c>
      <c r="B61" s="5">
        <v>115.92</v>
      </c>
      <c r="C61" s="5">
        <v>115.92</v>
      </c>
      <c r="D61" s="5">
        <v>113.53</v>
      </c>
      <c r="E61" s="5">
        <v>115</v>
      </c>
      <c r="F61" s="6">
        <v>2293</v>
      </c>
    </row>
    <row r="62" spans="1:6" x14ac:dyDescent="0.2">
      <c r="A62" s="4">
        <v>44557</v>
      </c>
      <c r="B62" s="5">
        <v>114.92</v>
      </c>
      <c r="C62" s="5">
        <v>115.92</v>
      </c>
      <c r="D62" s="5">
        <v>114.08</v>
      </c>
      <c r="E62" s="5">
        <v>115</v>
      </c>
      <c r="F62" s="6">
        <v>4886</v>
      </c>
    </row>
    <row r="63" spans="1:6" x14ac:dyDescent="0.2">
      <c r="A63" s="4">
        <v>44558</v>
      </c>
      <c r="B63" s="5">
        <v>115</v>
      </c>
      <c r="C63" s="5">
        <v>117.49</v>
      </c>
      <c r="D63" s="5">
        <v>113.08</v>
      </c>
      <c r="E63" s="5">
        <v>117.15</v>
      </c>
      <c r="F63" s="6">
        <v>1718</v>
      </c>
    </row>
    <row r="64" spans="1:6" x14ac:dyDescent="0.2">
      <c r="A64" s="4">
        <v>44559</v>
      </c>
      <c r="B64" s="5">
        <v>114.93</v>
      </c>
      <c r="C64" s="5">
        <v>119.85</v>
      </c>
      <c r="D64" s="5">
        <v>114.93</v>
      </c>
      <c r="E64" s="5">
        <v>116.13</v>
      </c>
      <c r="F64" s="6">
        <v>1899</v>
      </c>
    </row>
    <row r="65" spans="1:6" x14ac:dyDescent="0.2">
      <c r="A65" s="4">
        <v>44560</v>
      </c>
      <c r="B65" s="5">
        <v>118.1</v>
      </c>
      <c r="C65" s="5">
        <v>118.1</v>
      </c>
      <c r="D65" s="5">
        <v>117.1</v>
      </c>
      <c r="E65" s="5">
        <v>118</v>
      </c>
      <c r="F65" s="6">
        <v>2978</v>
      </c>
    </row>
    <row r="66" spans="1:6" x14ac:dyDescent="0.2">
      <c r="A66" s="4">
        <v>44561</v>
      </c>
      <c r="B66" s="5">
        <v>119.92</v>
      </c>
      <c r="C66" s="5">
        <v>119.92</v>
      </c>
      <c r="D66" s="5">
        <v>115.8501</v>
      </c>
      <c r="E66" s="5">
        <v>115.8501</v>
      </c>
      <c r="F66" s="6">
        <v>755</v>
      </c>
    </row>
    <row r="67" spans="1:6" x14ac:dyDescent="0.2">
      <c r="A67" s="4">
        <v>44564</v>
      </c>
      <c r="B67" s="5">
        <v>118.74</v>
      </c>
      <c r="C67" s="5">
        <v>120</v>
      </c>
      <c r="D67" s="5">
        <v>115.785</v>
      </c>
      <c r="E67" s="5">
        <v>115.785</v>
      </c>
      <c r="F67" s="6">
        <v>4129</v>
      </c>
    </row>
    <row r="68" spans="1:6" x14ac:dyDescent="0.2">
      <c r="A68" s="4">
        <v>44565</v>
      </c>
      <c r="B68" s="5">
        <v>115.92</v>
      </c>
      <c r="C68" s="5">
        <v>115.92</v>
      </c>
      <c r="D68" s="5">
        <v>113.2801</v>
      </c>
      <c r="E68" s="5">
        <v>115.66</v>
      </c>
      <c r="F68" s="6">
        <v>1859</v>
      </c>
    </row>
    <row r="69" spans="1:6" x14ac:dyDescent="0.2">
      <c r="A69" s="4">
        <v>44566</v>
      </c>
      <c r="B69" s="5">
        <v>117.37</v>
      </c>
      <c r="C69" s="5">
        <v>117.37</v>
      </c>
      <c r="D69" s="5">
        <v>113.08</v>
      </c>
      <c r="E69" s="5">
        <v>113.5</v>
      </c>
      <c r="F69" s="6">
        <v>2184</v>
      </c>
    </row>
    <row r="70" spans="1:6" x14ac:dyDescent="0.2">
      <c r="A70" s="4">
        <v>44567</v>
      </c>
      <c r="B70" s="5">
        <v>113</v>
      </c>
      <c r="C70" s="5">
        <v>116.4</v>
      </c>
      <c r="D70" s="5">
        <v>113</v>
      </c>
      <c r="E70" s="5">
        <v>114.7</v>
      </c>
      <c r="F70" s="6">
        <v>3403</v>
      </c>
    </row>
    <row r="71" spans="1:6" x14ac:dyDescent="0.2">
      <c r="A71" s="4">
        <v>44568</v>
      </c>
      <c r="B71" s="5">
        <v>112.4</v>
      </c>
      <c r="C71" s="5">
        <v>115.28</v>
      </c>
      <c r="D71" s="5">
        <v>112.4</v>
      </c>
      <c r="E71" s="5">
        <v>112.73</v>
      </c>
      <c r="F71" s="6">
        <v>1684</v>
      </c>
    </row>
    <row r="72" spans="1:6" x14ac:dyDescent="0.2">
      <c r="A72" s="4">
        <v>44571</v>
      </c>
      <c r="B72" s="5">
        <v>113.16</v>
      </c>
      <c r="C72" s="5">
        <v>115.5</v>
      </c>
      <c r="D72" s="5">
        <v>112.82</v>
      </c>
      <c r="E72" s="5">
        <v>115.02</v>
      </c>
      <c r="F72" s="6">
        <v>179144</v>
      </c>
    </row>
    <row r="73" spans="1:6" x14ac:dyDescent="0.2">
      <c r="A73" s="4">
        <v>44572</v>
      </c>
      <c r="B73" s="5">
        <v>112</v>
      </c>
      <c r="C73" s="5">
        <v>115.51</v>
      </c>
      <c r="D73" s="5">
        <v>112</v>
      </c>
      <c r="E73" s="5">
        <v>115.51</v>
      </c>
      <c r="F73" s="6">
        <v>2274</v>
      </c>
    </row>
    <row r="74" spans="1:6" x14ac:dyDescent="0.2">
      <c r="A74" s="4">
        <v>44573</v>
      </c>
      <c r="B74" s="5">
        <v>115.51</v>
      </c>
      <c r="C74" s="5">
        <v>116.39</v>
      </c>
      <c r="D74" s="5">
        <v>115.32</v>
      </c>
      <c r="E74" s="5">
        <v>115.32</v>
      </c>
      <c r="F74" s="6">
        <v>1711</v>
      </c>
    </row>
    <row r="75" spans="1:6" x14ac:dyDescent="0.2">
      <c r="A75" s="4">
        <v>44574</v>
      </c>
      <c r="B75" s="5">
        <v>117.82</v>
      </c>
      <c r="C75" s="5">
        <v>117.9</v>
      </c>
      <c r="D75" s="5">
        <v>116.77</v>
      </c>
      <c r="E75" s="5">
        <v>117.2</v>
      </c>
      <c r="F75" s="6">
        <v>3319</v>
      </c>
    </row>
    <row r="76" spans="1:6" x14ac:dyDescent="0.2">
      <c r="A76" s="4">
        <v>44575</v>
      </c>
      <c r="B76" s="5">
        <v>116.95</v>
      </c>
      <c r="C76" s="5">
        <v>118.1</v>
      </c>
      <c r="D76" s="5">
        <v>115.22</v>
      </c>
      <c r="E76" s="5">
        <v>118.1</v>
      </c>
      <c r="F76" s="6">
        <v>2397</v>
      </c>
    </row>
    <row r="77" spans="1:6" x14ac:dyDescent="0.2">
      <c r="A77" s="4">
        <v>44579</v>
      </c>
      <c r="B77" s="5">
        <v>117.75</v>
      </c>
      <c r="C77" s="5">
        <v>120.42</v>
      </c>
      <c r="D77" s="5">
        <v>117.48</v>
      </c>
      <c r="E77" s="5">
        <v>119</v>
      </c>
      <c r="F77" s="6">
        <v>8595</v>
      </c>
    </row>
    <row r="78" spans="1:6" x14ac:dyDescent="0.2">
      <c r="A78" s="4">
        <v>44580</v>
      </c>
      <c r="B78" s="5">
        <v>118.685</v>
      </c>
      <c r="C78" s="5">
        <v>119.67</v>
      </c>
      <c r="D78" s="5">
        <v>118.685</v>
      </c>
      <c r="E78" s="5">
        <v>119.67</v>
      </c>
      <c r="F78" s="6">
        <v>1297</v>
      </c>
    </row>
    <row r="79" spans="1:6" x14ac:dyDescent="0.2">
      <c r="A79" s="4">
        <v>44581</v>
      </c>
      <c r="B79" s="5">
        <v>120.4</v>
      </c>
      <c r="C79" s="5">
        <v>121.21</v>
      </c>
      <c r="D79" s="5">
        <v>118.93</v>
      </c>
      <c r="E79" s="5">
        <v>121.21</v>
      </c>
      <c r="F79" s="6">
        <v>6898</v>
      </c>
    </row>
    <row r="80" spans="1:6" x14ac:dyDescent="0.2">
      <c r="A80" s="4">
        <v>44582</v>
      </c>
      <c r="B80" s="5">
        <v>120.82</v>
      </c>
      <c r="C80" s="5">
        <v>120.82</v>
      </c>
      <c r="D80" s="5">
        <v>117.4</v>
      </c>
      <c r="E80" s="5">
        <v>120.82</v>
      </c>
      <c r="F80" s="6">
        <v>1859</v>
      </c>
    </row>
    <row r="81" spans="1:6" x14ac:dyDescent="0.2">
      <c r="A81" s="4">
        <v>44585</v>
      </c>
      <c r="B81" s="5">
        <v>115.125</v>
      </c>
      <c r="C81" s="5">
        <v>116</v>
      </c>
      <c r="D81" s="5">
        <v>110.91</v>
      </c>
      <c r="E81" s="5">
        <v>112.36</v>
      </c>
      <c r="F81" s="6">
        <v>9468</v>
      </c>
    </row>
    <row r="82" spans="1:6" x14ac:dyDescent="0.2">
      <c r="A82" s="4">
        <v>44586</v>
      </c>
      <c r="B82" s="5">
        <v>109.25</v>
      </c>
      <c r="C82" s="5">
        <v>115.92</v>
      </c>
      <c r="D82" s="5">
        <v>109.25</v>
      </c>
      <c r="E82" s="5">
        <v>113.35</v>
      </c>
      <c r="F82" s="6">
        <v>4102</v>
      </c>
    </row>
    <row r="83" spans="1:6" x14ac:dyDescent="0.2">
      <c r="A83" s="4">
        <v>44587</v>
      </c>
      <c r="B83" s="5">
        <v>116.72</v>
      </c>
      <c r="C83" s="5">
        <v>116.8</v>
      </c>
      <c r="D83" s="5">
        <v>114.53149999999999</v>
      </c>
      <c r="E83" s="5">
        <v>116.8</v>
      </c>
      <c r="F83" s="6">
        <v>3741</v>
      </c>
    </row>
    <row r="84" spans="1:6" x14ac:dyDescent="0.2">
      <c r="A84" s="4">
        <v>44588</v>
      </c>
      <c r="B84" s="5">
        <v>118.85</v>
      </c>
      <c r="C84" s="5">
        <v>120.5</v>
      </c>
      <c r="D84" s="5">
        <v>116.55</v>
      </c>
      <c r="E84" s="5">
        <v>120.5</v>
      </c>
      <c r="F84" s="6">
        <v>6652</v>
      </c>
    </row>
    <row r="85" spans="1:6" x14ac:dyDescent="0.2">
      <c r="A85" s="4">
        <v>44589</v>
      </c>
      <c r="B85" s="5">
        <v>120.76</v>
      </c>
      <c r="C85" s="5">
        <v>120.76</v>
      </c>
      <c r="D85" s="5">
        <v>116.25</v>
      </c>
      <c r="E85" s="5">
        <v>116.25</v>
      </c>
      <c r="F85" s="6">
        <v>1838</v>
      </c>
    </row>
    <row r="86" spans="1:6" x14ac:dyDescent="0.2">
      <c r="A86" s="4">
        <v>44592</v>
      </c>
      <c r="B86" s="5">
        <v>117.74</v>
      </c>
      <c r="C86" s="5">
        <v>117.74</v>
      </c>
      <c r="D86" s="5">
        <v>114.63</v>
      </c>
      <c r="E86" s="5">
        <v>117.02</v>
      </c>
      <c r="F86" s="6">
        <v>2502</v>
      </c>
    </row>
    <row r="87" spans="1:6" x14ac:dyDescent="0.2">
      <c r="A87" s="4">
        <v>44593</v>
      </c>
      <c r="B87" s="5">
        <v>115.82</v>
      </c>
      <c r="C87" s="5">
        <v>116.5</v>
      </c>
      <c r="D87" s="5">
        <v>113.53</v>
      </c>
      <c r="E87" s="5">
        <v>116.5</v>
      </c>
      <c r="F87" s="6">
        <v>2498</v>
      </c>
    </row>
    <row r="88" spans="1:6" x14ac:dyDescent="0.2">
      <c r="A88" s="4">
        <v>44594</v>
      </c>
      <c r="B88" s="5">
        <v>116.42</v>
      </c>
      <c r="C88" s="5">
        <v>117.68</v>
      </c>
      <c r="D88" s="5">
        <v>114.03</v>
      </c>
      <c r="E88" s="5">
        <v>117.68</v>
      </c>
      <c r="F88" s="6">
        <v>4065</v>
      </c>
    </row>
    <row r="89" spans="1:6" x14ac:dyDescent="0.2">
      <c r="A89" s="4">
        <v>44595</v>
      </c>
      <c r="B89" s="5">
        <v>113.86</v>
      </c>
      <c r="C89" s="5">
        <v>116.92</v>
      </c>
      <c r="D89" s="5">
        <v>113.86</v>
      </c>
      <c r="E89" s="5">
        <v>116.92</v>
      </c>
      <c r="F89" s="6">
        <v>960</v>
      </c>
    </row>
    <row r="90" spans="1:6" x14ac:dyDescent="0.2">
      <c r="A90" s="4">
        <v>44596</v>
      </c>
      <c r="B90" s="5">
        <v>110.285</v>
      </c>
      <c r="C90" s="5">
        <v>115.23</v>
      </c>
      <c r="D90" s="5">
        <v>108.62</v>
      </c>
      <c r="E90" s="5">
        <v>110.53</v>
      </c>
      <c r="F90" s="6">
        <v>3147</v>
      </c>
    </row>
    <row r="91" spans="1:6" x14ac:dyDescent="0.2">
      <c r="A91" s="4">
        <v>44599</v>
      </c>
      <c r="B91" s="5">
        <v>113.5</v>
      </c>
      <c r="C91" s="5">
        <v>114.07</v>
      </c>
      <c r="D91" s="5">
        <v>111</v>
      </c>
      <c r="E91" s="5">
        <v>111.5</v>
      </c>
      <c r="F91" s="6">
        <v>18499</v>
      </c>
    </row>
    <row r="92" spans="1:6" x14ac:dyDescent="0.2">
      <c r="A92" s="4">
        <v>44600</v>
      </c>
      <c r="B92" s="5">
        <v>111.005</v>
      </c>
      <c r="C92" s="5">
        <v>113.87</v>
      </c>
      <c r="D92" s="5">
        <v>109.2701</v>
      </c>
      <c r="E92" s="5">
        <v>112.87</v>
      </c>
      <c r="F92" s="6">
        <v>3064</v>
      </c>
    </row>
    <row r="93" spans="1:6" x14ac:dyDescent="0.2">
      <c r="A93" s="4">
        <v>44601</v>
      </c>
      <c r="B93" s="5">
        <v>114</v>
      </c>
      <c r="C93" s="5">
        <v>114.52</v>
      </c>
      <c r="D93" s="5">
        <v>111.68</v>
      </c>
      <c r="E93" s="5">
        <v>114.52</v>
      </c>
      <c r="F93" s="6">
        <v>1381</v>
      </c>
    </row>
    <row r="94" spans="1:6" x14ac:dyDescent="0.2">
      <c r="A94" s="4">
        <v>44602</v>
      </c>
      <c r="B94" s="5">
        <v>114.12</v>
      </c>
      <c r="C94" s="5">
        <v>119.42</v>
      </c>
      <c r="D94" s="5">
        <v>114.12</v>
      </c>
      <c r="E94" s="5">
        <v>115.751</v>
      </c>
      <c r="F94" s="6">
        <v>2326</v>
      </c>
    </row>
    <row r="95" spans="1:6" x14ac:dyDescent="0.2">
      <c r="A95" s="4">
        <v>44603</v>
      </c>
      <c r="B95" s="5">
        <v>116.82</v>
      </c>
      <c r="C95" s="5">
        <v>117.42</v>
      </c>
      <c r="D95" s="5">
        <v>113</v>
      </c>
      <c r="E95" s="5">
        <v>114.15</v>
      </c>
      <c r="F95" s="6">
        <v>1592</v>
      </c>
    </row>
    <row r="96" spans="1:6" x14ac:dyDescent="0.2">
      <c r="A96" s="4">
        <v>44606</v>
      </c>
      <c r="B96" s="5">
        <v>114.44</v>
      </c>
      <c r="C96" s="5">
        <v>114.75</v>
      </c>
      <c r="D96" s="5">
        <v>111.355</v>
      </c>
      <c r="E96" s="5">
        <v>111.36</v>
      </c>
      <c r="F96" s="6">
        <v>3542</v>
      </c>
    </row>
    <row r="97" spans="1:6" x14ac:dyDescent="0.2">
      <c r="A97" s="4">
        <v>44607</v>
      </c>
      <c r="B97" s="5">
        <v>116.05</v>
      </c>
      <c r="C97" s="5">
        <v>121.21</v>
      </c>
      <c r="D97" s="5">
        <v>116.05</v>
      </c>
      <c r="E97" s="5">
        <v>117.12</v>
      </c>
      <c r="F97" s="6">
        <v>2514</v>
      </c>
    </row>
    <row r="98" spans="1:6" x14ac:dyDescent="0.2">
      <c r="A98" s="4">
        <v>44608</v>
      </c>
      <c r="B98" s="5">
        <v>121.21</v>
      </c>
      <c r="C98" s="5">
        <v>122.92</v>
      </c>
      <c r="D98" s="5">
        <v>120</v>
      </c>
      <c r="E98" s="5">
        <v>120.87</v>
      </c>
      <c r="F98" s="6">
        <v>3020</v>
      </c>
    </row>
    <row r="99" spans="1:6" x14ac:dyDescent="0.2">
      <c r="A99" s="4">
        <v>44609</v>
      </c>
      <c r="B99" s="5">
        <v>122.22</v>
      </c>
      <c r="C99" s="5">
        <v>122.42</v>
      </c>
      <c r="D99" s="5">
        <v>122.22</v>
      </c>
      <c r="E99" s="5">
        <v>122.4</v>
      </c>
      <c r="F99" s="6">
        <v>2574</v>
      </c>
    </row>
    <row r="100" spans="1:6" x14ac:dyDescent="0.2">
      <c r="A100" s="4">
        <v>44610</v>
      </c>
      <c r="B100" s="5">
        <v>121.62</v>
      </c>
      <c r="C100" s="5">
        <v>121.62</v>
      </c>
      <c r="D100" s="5">
        <v>117.98</v>
      </c>
      <c r="E100" s="5">
        <v>117.98</v>
      </c>
      <c r="F100" s="6">
        <v>1131</v>
      </c>
    </row>
    <row r="101" spans="1:6" x14ac:dyDescent="0.2">
      <c r="A101" s="4">
        <v>44614</v>
      </c>
      <c r="B101" s="5">
        <v>120</v>
      </c>
      <c r="C101" s="5">
        <v>123.12</v>
      </c>
      <c r="D101" s="5">
        <v>120</v>
      </c>
      <c r="E101" s="5">
        <v>120.3</v>
      </c>
      <c r="F101" s="6">
        <v>1540</v>
      </c>
    </row>
    <row r="102" spans="1:6" x14ac:dyDescent="0.2">
      <c r="A102" s="4">
        <v>44615</v>
      </c>
      <c r="B102" s="5">
        <v>122.32</v>
      </c>
      <c r="C102" s="5">
        <v>122.32</v>
      </c>
      <c r="D102" s="5">
        <v>119</v>
      </c>
      <c r="E102" s="5">
        <v>120.97</v>
      </c>
      <c r="F102" s="6">
        <v>1258</v>
      </c>
    </row>
    <row r="103" spans="1:6" x14ac:dyDescent="0.2">
      <c r="A103" s="4">
        <v>44616</v>
      </c>
      <c r="B103" s="5">
        <v>112.25</v>
      </c>
      <c r="C103" s="5">
        <v>117.17</v>
      </c>
      <c r="D103" s="5">
        <v>112.08</v>
      </c>
      <c r="E103" s="5">
        <v>115.95</v>
      </c>
      <c r="F103" s="6">
        <v>2837</v>
      </c>
    </row>
    <row r="104" spans="1:6" x14ac:dyDescent="0.2">
      <c r="A104" s="4">
        <v>44617</v>
      </c>
      <c r="B104" s="5">
        <v>117.25</v>
      </c>
      <c r="C104" s="5">
        <v>122.25</v>
      </c>
      <c r="D104" s="5">
        <v>117.25</v>
      </c>
      <c r="E104" s="5">
        <v>121.27</v>
      </c>
      <c r="F104" s="6">
        <v>3100</v>
      </c>
    </row>
    <row r="105" spans="1:6" x14ac:dyDescent="0.2">
      <c r="A105" s="4">
        <v>44620</v>
      </c>
      <c r="B105" s="5">
        <v>121.92</v>
      </c>
      <c r="C105" s="5">
        <v>122</v>
      </c>
      <c r="D105" s="5">
        <v>117.23</v>
      </c>
      <c r="E105" s="5">
        <v>117.23</v>
      </c>
      <c r="F105" s="6">
        <v>1387</v>
      </c>
    </row>
    <row r="106" spans="1:6" x14ac:dyDescent="0.2">
      <c r="A106" s="4">
        <v>44621</v>
      </c>
      <c r="B106" s="5">
        <v>122.6</v>
      </c>
      <c r="C106" s="5">
        <v>125.2</v>
      </c>
      <c r="D106" s="5">
        <v>121.37</v>
      </c>
      <c r="E106" s="5">
        <v>122</v>
      </c>
      <c r="F106" s="6">
        <v>2203</v>
      </c>
    </row>
    <row r="107" spans="1:6" x14ac:dyDescent="0.2">
      <c r="A107" s="4">
        <v>44622</v>
      </c>
      <c r="B107" s="5">
        <v>122.45</v>
      </c>
      <c r="C107" s="5">
        <v>124.92</v>
      </c>
      <c r="D107" s="5">
        <v>122.45</v>
      </c>
      <c r="E107" s="5">
        <v>124.92</v>
      </c>
      <c r="F107" s="6">
        <v>902</v>
      </c>
    </row>
    <row r="108" spans="1:6" x14ac:dyDescent="0.2">
      <c r="A108" s="4">
        <v>44623</v>
      </c>
      <c r="B108" s="5">
        <v>118.35</v>
      </c>
      <c r="C108" s="5">
        <v>118.35</v>
      </c>
      <c r="D108" s="5">
        <v>118.35</v>
      </c>
      <c r="E108" s="5">
        <v>118.35</v>
      </c>
      <c r="F108" s="6">
        <v>1256</v>
      </c>
    </row>
    <row r="109" spans="1:6" x14ac:dyDescent="0.2">
      <c r="A109" s="4">
        <v>44624</v>
      </c>
      <c r="B109" s="5">
        <v>117.82</v>
      </c>
      <c r="C109" s="5">
        <v>117.82</v>
      </c>
      <c r="D109" s="5">
        <v>113.2401</v>
      </c>
      <c r="E109" s="5">
        <v>113.2401</v>
      </c>
      <c r="F109" s="6">
        <v>2738</v>
      </c>
    </row>
    <row r="110" spans="1:6" x14ac:dyDescent="0.2">
      <c r="A110" s="4">
        <v>44627</v>
      </c>
      <c r="B110" s="5">
        <v>116.37</v>
      </c>
      <c r="C110" s="5">
        <v>116.37</v>
      </c>
      <c r="D110" s="5">
        <v>112.26</v>
      </c>
      <c r="E110" s="5">
        <v>114.27</v>
      </c>
      <c r="F110" s="6">
        <v>2024</v>
      </c>
    </row>
    <row r="111" spans="1:6" x14ac:dyDescent="0.2">
      <c r="A111" s="4">
        <v>44628</v>
      </c>
      <c r="B111" s="5">
        <v>111.88</v>
      </c>
      <c r="C111" s="5">
        <v>117.51</v>
      </c>
      <c r="D111" s="5">
        <v>111.8</v>
      </c>
      <c r="E111" s="5">
        <v>112.83</v>
      </c>
      <c r="F111" s="6">
        <v>6196</v>
      </c>
    </row>
    <row r="112" spans="1:6" x14ac:dyDescent="0.2">
      <c r="A112" s="4">
        <v>44629</v>
      </c>
      <c r="B112" s="5">
        <v>113.19</v>
      </c>
      <c r="C112" s="5">
        <v>121.92</v>
      </c>
      <c r="D112" s="5">
        <v>113.19</v>
      </c>
      <c r="E112" s="5">
        <v>119.3</v>
      </c>
      <c r="F112" s="6">
        <v>4534</v>
      </c>
    </row>
    <row r="113" spans="1:6" x14ac:dyDescent="0.2">
      <c r="A113" s="4">
        <v>44630</v>
      </c>
      <c r="B113" s="5">
        <v>122.42</v>
      </c>
      <c r="C113" s="5">
        <v>122.42</v>
      </c>
      <c r="D113" s="5">
        <v>122.42</v>
      </c>
      <c r="E113" s="5">
        <v>122.42</v>
      </c>
      <c r="F113" s="6">
        <v>1451</v>
      </c>
    </row>
    <row r="114" spans="1:6" x14ac:dyDescent="0.2">
      <c r="A114" s="4">
        <v>44631</v>
      </c>
      <c r="B114" s="5">
        <v>119.58499999999999</v>
      </c>
      <c r="C114" s="5">
        <v>122.34</v>
      </c>
      <c r="D114" s="5">
        <v>119.58499999999999</v>
      </c>
      <c r="E114" s="5">
        <v>119.85</v>
      </c>
      <c r="F114" s="6">
        <v>5844</v>
      </c>
    </row>
    <row r="115" spans="1:6" x14ac:dyDescent="0.2">
      <c r="A115" s="4">
        <v>44634</v>
      </c>
      <c r="B115" s="5">
        <v>122.42</v>
      </c>
      <c r="C115" s="5">
        <v>122.42</v>
      </c>
      <c r="D115" s="5">
        <v>120.73</v>
      </c>
      <c r="E115" s="5">
        <v>120.73</v>
      </c>
      <c r="F115" s="6">
        <v>2012</v>
      </c>
    </row>
    <row r="116" spans="1:6" x14ac:dyDescent="0.2">
      <c r="A116" s="4">
        <v>44635</v>
      </c>
      <c r="B116" s="5">
        <v>123.67</v>
      </c>
      <c r="C116" s="5">
        <v>123.67</v>
      </c>
      <c r="D116" s="5">
        <v>119.53</v>
      </c>
      <c r="E116" s="5">
        <v>121.32</v>
      </c>
      <c r="F116" s="6">
        <v>1854</v>
      </c>
    </row>
    <row r="117" spans="1:6" x14ac:dyDescent="0.2">
      <c r="A117" s="4">
        <v>44636</v>
      </c>
      <c r="B117" s="5">
        <v>121.33</v>
      </c>
      <c r="C117" s="5">
        <v>124.92</v>
      </c>
      <c r="D117" s="5">
        <v>121.33</v>
      </c>
      <c r="E117" s="5">
        <v>121.33</v>
      </c>
      <c r="F117" s="6">
        <v>1109</v>
      </c>
    </row>
    <row r="118" spans="1:6" x14ac:dyDescent="0.2">
      <c r="A118" s="4">
        <v>44637</v>
      </c>
      <c r="B118" s="5">
        <v>124</v>
      </c>
      <c r="C118" s="5">
        <v>127.9</v>
      </c>
      <c r="D118" s="5">
        <v>124</v>
      </c>
      <c r="E118" s="5">
        <v>124.08</v>
      </c>
      <c r="F118" s="6">
        <v>2715</v>
      </c>
    </row>
    <row r="119" spans="1:6" x14ac:dyDescent="0.2">
      <c r="A119" s="4">
        <v>44638</v>
      </c>
      <c r="B119" s="5">
        <v>128.35</v>
      </c>
      <c r="C119" s="5">
        <v>128.35</v>
      </c>
      <c r="D119" s="5">
        <v>122.38</v>
      </c>
      <c r="E119" s="5">
        <v>127.92</v>
      </c>
      <c r="F119" s="6">
        <v>2893</v>
      </c>
    </row>
    <row r="120" spans="1:6" x14ac:dyDescent="0.2">
      <c r="A120" s="4">
        <v>44641</v>
      </c>
      <c r="B120" s="5">
        <v>127.92</v>
      </c>
      <c r="C120" s="5">
        <v>128</v>
      </c>
      <c r="D120" s="5">
        <v>121.79</v>
      </c>
      <c r="E120" s="5">
        <v>121.79</v>
      </c>
      <c r="F120" s="6">
        <v>2612</v>
      </c>
    </row>
    <row r="121" spans="1:6" x14ac:dyDescent="0.2">
      <c r="A121" s="4">
        <v>44642</v>
      </c>
      <c r="B121" s="5">
        <v>125.3</v>
      </c>
      <c r="C121" s="5">
        <v>127.92</v>
      </c>
      <c r="D121" s="5">
        <v>125.3</v>
      </c>
      <c r="E121" s="5">
        <v>127.92</v>
      </c>
      <c r="F121" s="6">
        <v>1663</v>
      </c>
    </row>
    <row r="122" spans="1:6" x14ac:dyDescent="0.2">
      <c r="A122" s="4">
        <v>44643</v>
      </c>
      <c r="B122" s="5">
        <v>122.1</v>
      </c>
      <c r="C122" s="5">
        <v>129.77000000000001</v>
      </c>
      <c r="D122" s="5">
        <v>122.1</v>
      </c>
      <c r="E122" s="5">
        <v>129.77000000000001</v>
      </c>
      <c r="F122" s="6">
        <v>2699</v>
      </c>
    </row>
    <row r="123" spans="1:6" x14ac:dyDescent="0.2">
      <c r="A123" s="4">
        <v>44644</v>
      </c>
      <c r="B123" s="5">
        <v>124.4101</v>
      </c>
      <c r="C123" s="5">
        <v>133.91999999999999</v>
      </c>
      <c r="D123" s="5">
        <v>124.4101</v>
      </c>
      <c r="E123" s="5">
        <v>133.91999999999999</v>
      </c>
      <c r="F123" s="6">
        <v>2505</v>
      </c>
    </row>
    <row r="124" spans="1:6" x14ac:dyDescent="0.2">
      <c r="A124" s="4">
        <v>44645</v>
      </c>
      <c r="B124" s="5">
        <v>125.15</v>
      </c>
      <c r="C124" s="5">
        <v>134.91999999999999</v>
      </c>
      <c r="D124" s="5">
        <v>125.15</v>
      </c>
      <c r="E124" s="5">
        <v>134.61000000000001</v>
      </c>
      <c r="F124" s="6">
        <v>2759</v>
      </c>
    </row>
    <row r="125" spans="1:6" x14ac:dyDescent="0.2">
      <c r="A125" s="4">
        <v>44648</v>
      </c>
      <c r="B125" s="5">
        <v>133.43</v>
      </c>
      <c r="C125" s="5">
        <v>133.43</v>
      </c>
      <c r="D125" s="5">
        <v>133.43</v>
      </c>
      <c r="E125" s="5">
        <v>133.43</v>
      </c>
      <c r="F125" s="6">
        <v>884</v>
      </c>
    </row>
    <row r="126" spans="1:6" x14ac:dyDescent="0.2">
      <c r="A126" s="4">
        <v>44649</v>
      </c>
      <c r="B126" s="5">
        <v>136.11000000000001</v>
      </c>
      <c r="C126" s="5">
        <v>136.11000000000001</v>
      </c>
      <c r="D126" s="5">
        <v>136.11000000000001</v>
      </c>
      <c r="E126" s="5">
        <v>136.11000000000001</v>
      </c>
      <c r="F126" s="6">
        <v>760</v>
      </c>
    </row>
    <row r="127" spans="1:6" x14ac:dyDescent="0.2">
      <c r="A127" s="4">
        <v>44650</v>
      </c>
      <c r="B127" s="5">
        <v>129</v>
      </c>
      <c r="C127" s="5">
        <v>137</v>
      </c>
      <c r="D127" s="5">
        <v>129</v>
      </c>
      <c r="E127" s="5">
        <v>131.46</v>
      </c>
      <c r="F127" s="6">
        <v>4798</v>
      </c>
    </row>
    <row r="128" spans="1:6" x14ac:dyDescent="0.2">
      <c r="A128" s="4">
        <v>44651</v>
      </c>
      <c r="B128" s="5">
        <v>136.9</v>
      </c>
      <c r="C128" s="5">
        <v>136.97999999999999</v>
      </c>
      <c r="D128" s="5">
        <v>134.63</v>
      </c>
      <c r="E128" s="5">
        <v>134.63</v>
      </c>
      <c r="F128" s="6">
        <v>1080</v>
      </c>
    </row>
    <row r="129" spans="1:6" x14ac:dyDescent="0.2">
      <c r="A129" s="4">
        <v>44652</v>
      </c>
      <c r="B129" s="5">
        <v>129.19999999999999</v>
      </c>
      <c r="C129" s="5">
        <v>133.51</v>
      </c>
      <c r="D129" s="5">
        <v>129.12</v>
      </c>
      <c r="E129" s="5">
        <v>133.25</v>
      </c>
      <c r="F129" s="6">
        <v>1490</v>
      </c>
    </row>
    <row r="130" spans="1:6" x14ac:dyDescent="0.2">
      <c r="A130" s="4">
        <v>44655</v>
      </c>
      <c r="B130" s="5">
        <v>136.27000000000001</v>
      </c>
      <c r="C130" s="5">
        <v>136.35</v>
      </c>
      <c r="D130" s="5">
        <v>136.27000000000001</v>
      </c>
      <c r="E130" s="5">
        <v>136.27000000000001</v>
      </c>
      <c r="F130" s="6">
        <v>1098</v>
      </c>
    </row>
    <row r="131" spans="1:6" x14ac:dyDescent="0.2">
      <c r="A131" s="4">
        <v>44656</v>
      </c>
      <c r="B131" s="5">
        <v>134.94999999999999</v>
      </c>
      <c r="C131" s="5">
        <v>134.94999999999999</v>
      </c>
      <c r="D131" s="5">
        <v>133.61000000000001</v>
      </c>
      <c r="E131" s="5">
        <v>133.61000000000001</v>
      </c>
      <c r="F131" s="6">
        <v>1615</v>
      </c>
    </row>
    <row r="132" spans="1:6" x14ac:dyDescent="0.2">
      <c r="A132" s="4">
        <v>44657</v>
      </c>
      <c r="B132" s="5">
        <v>136.85</v>
      </c>
      <c r="C132" s="5">
        <v>137.91999999999999</v>
      </c>
      <c r="D132" s="5">
        <v>136.60570000000001</v>
      </c>
      <c r="E132" s="5">
        <v>137.62</v>
      </c>
      <c r="F132" s="6">
        <v>4927</v>
      </c>
    </row>
    <row r="133" spans="1:6" x14ac:dyDescent="0.2">
      <c r="A133" s="4">
        <v>44658</v>
      </c>
      <c r="B133" s="5">
        <v>139.62</v>
      </c>
      <c r="C133" s="5">
        <v>140.26</v>
      </c>
      <c r="D133" s="5">
        <v>138.12</v>
      </c>
      <c r="E133" s="5">
        <v>139.88999999999999</v>
      </c>
      <c r="F133" s="6">
        <v>2825</v>
      </c>
    </row>
    <row r="134" spans="1:6" x14ac:dyDescent="0.2">
      <c r="A134" s="4">
        <v>44659</v>
      </c>
      <c r="B134" s="5">
        <v>143.82</v>
      </c>
      <c r="C134" s="5">
        <v>143.9</v>
      </c>
      <c r="D134" s="5">
        <v>140.91999999999999</v>
      </c>
      <c r="E134" s="5">
        <v>140.91999999999999</v>
      </c>
      <c r="F134" s="6">
        <v>1360</v>
      </c>
    </row>
    <row r="135" spans="1:6" x14ac:dyDescent="0.2">
      <c r="A135" s="4">
        <v>44662</v>
      </c>
      <c r="B135" s="5">
        <v>137.94999999999999</v>
      </c>
      <c r="C135" s="5">
        <v>137.94999999999999</v>
      </c>
      <c r="D135" s="5">
        <v>137.94999999999999</v>
      </c>
      <c r="E135" s="5">
        <v>137.94999999999999</v>
      </c>
      <c r="F135" s="6">
        <v>1039</v>
      </c>
    </row>
    <row r="136" spans="1:6" x14ac:dyDescent="0.2">
      <c r="A136" s="4">
        <v>44663</v>
      </c>
      <c r="B136" s="5">
        <v>136.76</v>
      </c>
      <c r="C136" s="5">
        <v>138.41999999999999</v>
      </c>
      <c r="D136" s="5">
        <v>135.1</v>
      </c>
      <c r="E136" s="5">
        <v>138.41999999999999</v>
      </c>
      <c r="F136" s="6">
        <v>1496</v>
      </c>
    </row>
    <row r="137" spans="1:6" x14ac:dyDescent="0.2">
      <c r="A137" s="4">
        <v>44664</v>
      </c>
      <c r="B137" s="5">
        <v>134</v>
      </c>
      <c r="C137" s="5">
        <v>138.32</v>
      </c>
      <c r="D137" s="5">
        <v>134</v>
      </c>
      <c r="E137" s="5">
        <v>134.72</v>
      </c>
      <c r="F137" s="6">
        <v>2232</v>
      </c>
    </row>
    <row r="138" spans="1:6" x14ac:dyDescent="0.2">
      <c r="A138" s="4">
        <v>44665</v>
      </c>
      <c r="B138" s="5">
        <v>141.41999999999999</v>
      </c>
      <c r="C138" s="5">
        <v>141.5</v>
      </c>
      <c r="D138" s="5">
        <v>134</v>
      </c>
      <c r="E138" s="5">
        <v>134</v>
      </c>
      <c r="F138" s="6">
        <v>2401</v>
      </c>
    </row>
    <row r="139" spans="1:6" x14ac:dyDescent="0.2">
      <c r="A139" s="4">
        <v>44669</v>
      </c>
      <c r="B139" s="5">
        <v>143.57</v>
      </c>
      <c r="C139" s="5">
        <v>143.57</v>
      </c>
      <c r="D139" s="5">
        <v>135.12</v>
      </c>
      <c r="E139" s="5">
        <v>141.57</v>
      </c>
      <c r="F139" s="6">
        <v>1964</v>
      </c>
    </row>
    <row r="140" spans="1:6" x14ac:dyDescent="0.2">
      <c r="A140" s="4">
        <v>44670</v>
      </c>
      <c r="B140" s="5">
        <v>135.69999999999999</v>
      </c>
      <c r="C140" s="5">
        <v>138.72</v>
      </c>
      <c r="D140" s="5">
        <v>135.08000000000001</v>
      </c>
      <c r="E140" s="5">
        <v>135.08000000000001</v>
      </c>
      <c r="F140" s="6">
        <v>1607</v>
      </c>
    </row>
    <row r="141" spans="1:6" x14ac:dyDescent="0.2">
      <c r="A141" s="4">
        <v>44671</v>
      </c>
      <c r="B141" s="5">
        <v>137.32</v>
      </c>
      <c r="C141" s="5">
        <v>137.91999999999999</v>
      </c>
      <c r="D141" s="5">
        <v>136.62</v>
      </c>
      <c r="E141" s="5">
        <v>136.83000000000001</v>
      </c>
      <c r="F141" s="6">
        <v>2558</v>
      </c>
    </row>
    <row r="142" spans="1:6" x14ac:dyDescent="0.2">
      <c r="A142" s="4">
        <v>44672</v>
      </c>
      <c r="B142" s="5">
        <v>135.46</v>
      </c>
      <c r="C142" s="5">
        <v>135.46</v>
      </c>
      <c r="D142" s="5">
        <v>135.38</v>
      </c>
      <c r="E142" s="5">
        <v>135.38</v>
      </c>
      <c r="F142" s="6">
        <v>2092</v>
      </c>
    </row>
    <row r="143" spans="1:6" x14ac:dyDescent="0.2">
      <c r="A143" s="4">
        <v>44673</v>
      </c>
      <c r="B143" s="5">
        <v>131.6</v>
      </c>
      <c r="C143" s="5">
        <v>134.66999999999999</v>
      </c>
      <c r="D143" s="5">
        <v>131.6</v>
      </c>
      <c r="E143" s="5">
        <v>134.66999999999999</v>
      </c>
      <c r="F143" s="6">
        <v>1170</v>
      </c>
    </row>
    <row r="144" spans="1:6" x14ac:dyDescent="0.2">
      <c r="A144" s="4">
        <v>44676</v>
      </c>
      <c r="B144" s="5">
        <v>132</v>
      </c>
      <c r="C144" s="5">
        <v>132</v>
      </c>
      <c r="D144" s="5">
        <v>128.87</v>
      </c>
      <c r="E144" s="5">
        <v>129.33000000000001</v>
      </c>
      <c r="F144" s="6">
        <v>1218</v>
      </c>
    </row>
    <row r="145" spans="1:6" x14ac:dyDescent="0.2">
      <c r="A145" s="4">
        <v>44677</v>
      </c>
      <c r="B145" s="5">
        <v>133.32</v>
      </c>
      <c r="C145" s="5">
        <v>133.32</v>
      </c>
      <c r="D145" s="5">
        <v>129.46</v>
      </c>
      <c r="E145" s="5">
        <v>129.46</v>
      </c>
      <c r="F145" s="6">
        <v>1779</v>
      </c>
    </row>
    <row r="146" spans="1:6" x14ac:dyDescent="0.2">
      <c r="A146" s="4">
        <v>44678</v>
      </c>
      <c r="B146" s="5">
        <v>133.91999999999999</v>
      </c>
      <c r="C146" s="5">
        <v>133.91999999999999</v>
      </c>
      <c r="D146" s="5">
        <v>129.33000000000001</v>
      </c>
      <c r="E146" s="5">
        <v>129.33000000000001</v>
      </c>
      <c r="F146" s="6">
        <v>1651</v>
      </c>
    </row>
    <row r="147" spans="1:6" x14ac:dyDescent="0.2">
      <c r="A147" s="4">
        <v>44679</v>
      </c>
      <c r="B147" s="5">
        <v>132.31</v>
      </c>
      <c r="C147" s="5">
        <v>132.31</v>
      </c>
      <c r="D147" s="5">
        <v>129.75</v>
      </c>
      <c r="E147" s="5">
        <v>129.83000000000001</v>
      </c>
      <c r="F147" s="6">
        <v>2041</v>
      </c>
    </row>
    <row r="148" spans="1:6" x14ac:dyDescent="0.2">
      <c r="A148" s="4">
        <v>44680</v>
      </c>
      <c r="B148" s="5">
        <v>135.12</v>
      </c>
      <c r="C148" s="5">
        <v>135.16999999999999</v>
      </c>
      <c r="D148" s="5">
        <v>132.33000000000001</v>
      </c>
      <c r="E148" s="5">
        <v>132.33000000000001</v>
      </c>
      <c r="F148" s="6">
        <v>2497</v>
      </c>
    </row>
    <row r="149" spans="1:6" x14ac:dyDescent="0.2">
      <c r="A149" s="4">
        <v>44683</v>
      </c>
      <c r="B149" s="5">
        <v>130.08000000000001</v>
      </c>
      <c r="C149" s="5">
        <v>130.08000000000001</v>
      </c>
      <c r="D149" s="5">
        <v>130</v>
      </c>
      <c r="E149" s="5">
        <v>130</v>
      </c>
      <c r="F149" s="6">
        <v>1582</v>
      </c>
    </row>
    <row r="150" spans="1:6" x14ac:dyDescent="0.2">
      <c r="A150" s="4">
        <v>44684</v>
      </c>
      <c r="B150" s="5">
        <v>134.04</v>
      </c>
      <c r="C150" s="5">
        <v>135.22999999999999</v>
      </c>
      <c r="D150" s="5">
        <v>130.08000000000001</v>
      </c>
      <c r="E150" s="5">
        <v>130.08000000000001</v>
      </c>
      <c r="F150" s="6">
        <v>1784</v>
      </c>
    </row>
    <row r="151" spans="1:6" x14ac:dyDescent="0.2">
      <c r="A151" s="4">
        <v>44685</v>
      </c>
      <c r="B151" s="5">
        <v>134.32</v>
      </c>
      <c r="C151" s="5">
        <v>134.32</v>
      </c>
      <c r="D151" s="5">
        <v>129.25</v>
      </c>
      <c r="E151" s="5">
        <v>129.25</v>
      </c>
      <c r="F151" s="6">
        <v>4181</v>
      </c>
    </row>
    <row r="152" spans="1:6" x14ac:dyDescent="0.2">
      <c r="A152" s="4">
        <v>44686</v>
      </c>
      <c r="B152" s="5">
        <v>128.13999999999999</v>
      </c>
      <c r="C152" s="5">
        <v>130.155</v>
      </c>
      <c r="D152" s="5">
        <v>127.52</v>
      </c>
      <c r="E152" s="5">
        <v>127.6</v>
      </c>
      <c r="F152" s="6">
        <v>1681</v>
      </c>
    </row>
    <row r="153" spans="1:6" x14ac:dyDescent="0.2">
      <c r="A153" s="4">
        <v>44687</v>
      </c>
      <c r="B153" s="5">
        <v>124.08</v>
      </c>
      <c r="C153" s="5">
        <v>129.32</v>
      </c>
      <c r="D153" s="5">
        <v>124.08</v>
      </c>
      <c r="E153" s="5">
        <v>125.58</v>
      </c>
      <c r="F153" s="6">
        <v>2191</v>
      </c>
    </row>
    <row r="154" spans="1:6" x14ac:dyDescent="0.2">
      <c r="A154" s="4">
        <v>44690</v>
      </c>
      <c r="B154" s="5">
        <v>126.62</v>
      </c>
      <c r="C154" s="5">
        <v>127.1</v>
      </c>
      <c r="D154" s="5">
        <v>121.45</v>
      </c>
      <c r="E154" s="5">
        <v>121.53</v>
      </c>
      <c r="F154" s="6">
        <v>2102</v>
      </c>
    </row>
    <row r="155" spans="1:6" x14ac:dyDescent="0.2">
      <c r="A155" s="4">
        <v>44691</v>
      </c>
      <c r="B155" s="5">
        <v>123.08</v>
      </c>
      <c r="C155" s="5">
        <v>128.66999999999999</v>
      </c>
      <c r="D155" s="5">
        <v>123</v>
      </c>
      <c r="E155" s="5">
        <v>123.75</v>
      </c>
      <c r="F155" s="6">
        <v>3329</v>
      </c>
    </row>
    <row r="156" spans="1:6" x14ac:dyDescent="0.2">
      <c r="A156" s="4">
        <v>44692</v>
      </c>
      <c r="B156" s="5">
        <v>122.04</v>
      </c>
      <c r="C156" s="5">
        <v>122.875</v>
      </c>
      <c r="D156" s="5">
        <v>121</v>
      </c>
      <c r="E156" s="5">
        <v>122.7</v>
      </c>
      <c r="F156" s="6">
        <v>4104</v>
      </c>
    </row>
    <row r="157" spans="1:6" x14ac:dyDescent="0.2">
      <c r="A157" s="4">
        <v>44693</v>
      </c>
      <c r="B157" s="5">
        <v>120</v>
      </c>
      <c r="C157" s="5">
        <v>123.92</v>
      </c>
      <c r="D157" s="5">
        <v>120</v>
      </c>
      <c r="E157" s="5">
        <v>120.72</v>
      </c>
      <c r="F157" s="6">
        <v>4015</v>
      </c>
    </row>
    <row r="158" spans="1:6" x14ac:dyDescent="0.2">
      <c r="A158" s="4">
        <v>44694</v>
      </c>
      <c r="B158" s="5">
        <v>124.065</v>
      </c>
      <c r="C158" s="5">
        <v>125.92</v>
      </c>
      <c r="D158" s="5">
        <v>123.25</v>
      </c>
      <c r="E158" s="5">
        <v>125.82</v>
      </c>
      <c r="F158" s="6">
        <v>6231</v>
      </c>
    </row>
    <row r="159" spans="1:6" x14ac:dyDescent="0.2">
      <c r="A159" s="4">
        <v>44697</v>
      </c>
      <c r="B159" s="5">
        <v>128</v>
      </c>
      <c r="C159" s="5">
        <v>129.1</v>
      </c>
      <c r="D159" s="5">
        <v>123.5</v>
      </c>
      <c r="E159" s="5">
        <v>126.58</v>
      </c>
      <c r="F159" s="6">
        <v>10563</v>
      </c>
    </row>
    <row r="160" spans="1:6" x14ac:dyDescent="0.2">
      <c r="A160" s="4">
        <v>44698</v>
      </c>
      <c r="B160" s="5">
        <v>131.91999999999999</v>
      </c>
      <c r="C160" s="5">
        <v>131.91999999999999</v>
      </c>
      <c r="D160" s="5">
        <v>129.22</v>
      </c>
      <c r="E160" s="5">
        <v>129.22</v>
      </c>
      <c r="F160" s="6">
        <v>1631</v>
      </c>
    </row>
    <row r="161" spans="1:6" x14ac:dyDescent="0.2">
      <c r="A161" s="4">
        <v>44699</v>
      </c>
      <c r="B161" s="5">
        <v>128.91999999999999</v>
      </c>
      <c r="C161" s="5">
        <v>128.91999999999999</v>
      </c>
      <c r="D161" s="5">
        <v>125.41</v>
      </c>
      <c r="E161" s="5">
        <v>125.49</v>
      </c>
      <c r="F161" s="6">
        <v>3827</v>
      </c>
    </row>
    <row r="162" spans="1:6" x14ac:dyDescent="0.2">
      <c r="A162" s="4">
        <v>44700</v>
      </c>
      <c r="B162" s="5">
        <v>122.09010000000001</v>
      </c>
      <c r="C162" s="5">
        <v>125.9</v>
      </c>
      <c r="D162" s="5">
        <v>122.09010000000001</v>
      </c>
      <c r="E162" s="5">
        <v>125.9</v>
      </c>
      <c r="F162" s="6">
        <v>2112</v>
      </c>
    </row>
    <row r="163" spans="1:6" x14ac:dyDescent="0.2">
      <c r="A163" s="4">
        <v>44701</v>
      </c>
      <c r="B163" s="5">
        <v>125.93</v>
      </c>
      <c r="C163" s="5">
        <v>128.32</v>
      </c>
      <c r="D163" s="5">
        <v>125.93</v>
      </c>
      <c r="E163" s="5">
        <v>127.06</v>
      </c>
      <c r="F163" s="6">
        <v>2455</v>
      </c>
    </row>
    <row r="164" spans="1:6" x14ac:dyDescent="0.2">
      <c r="A164" s="4">
        <v>44704</v>
      </c>
      <c r="B164" s="5">
        <v>133.5</v>
      </c>
      <c r="C164" s="5">
        <v>133.87</v>
      </c>
      <c r="D164" s="5">
        <v>131.08000000000001</v>
      </c>
      <c r="E164" s="5">
        <v>131.08000000000001</v>
      </c>
      <c r="F164" s="6">
        <v>1637</v>
      </c>
    </row>
    <row r="165" spans="1:6" x14ac:dyDescent="0.2">
      <c r="A165" s="4">
        <v>44705</v>
      </c>
      <c r="B165" s="5">
        <v>130.80000000000001</v>
      </c>
      <c r="C165" s="5">
        <v>134.12</v>
      </c>
      <c r="D165" s="5">
        <v>130.72</v>
      </c>
      <c r="E165" s="5">
        <v>132.46</v>
      </c>
      <c r="F165" s="6">
        <v>18430</v>
      </c>
    </row>
    <row r="166" spans="1:6" x14ac:dyDescent="0.2">
      <c r="A166" s="4">
        <v>44706</v>
      </c>
      <c r="B166" s="5">
        <v>130.58000000000001</v>
      </c>
      <c r="C166" s="5">
        <v>134.13999999999999</v>
      </c>
      <c r="D166" s="5">
        <v>130.5</v>
      </c>
      <c r="E166" s="5">
        <v>134.13999999999999</v>
      </c>
      <c r="F166" s="6">
        <v>1430</v>
      </c>
    </row>
    <row r="167" spans="1:6" x14ac:dyDescent="0.2">
      <c r="A167" s="4">
        <v>44707</v>
      </c>
      <c r="B167" s="5">
        <v>131.03</v>
      </c>
      <c r="C167" s="5">
        <v>135.22999999999999</v>
      </c>
      <c r="D167" s="5">
        <v>130.0001</v>
      </c>
      <c r="E167" s="5">
        <v>134.12</v>
      </c>
      <c r="F167" s="6">
        <v>2720</v>
      </c>
    </row>
    <row r="168" spans="1:6" x14ac:dyDescent="0.2">
      <c r="A168" s="4">
        <v>44708</v>
      </c>
      <c r="B168" s="5">
        <v>131.08000000000001</v>
      </c>
      <c r="C168" s="5">
        <v>134.27000000000001</v>
      </c>
      <c r="D168" s="5">
        <v>130.75</v>
      </c>
      <c r="E168" s="5">
        <v>130.75</v>
      </c>
      <c r="F168" s="6">
        <v>1119</v>
      </c>
    </row>
    <row r="169" spans="1:6" x14ac:dyDescent="0.2">
      <c r="A169" s="4">
        <v>44712</v>
      </c>
      <c r="B169" s="5">
        <v>133.77000000000001</v>
      </c>
      <c r="C169" s="5">
        <v>133.77000000000001</v>
      </c>
      <c r="D169" s="5">
        <v>129.26</v>
      </c>
      <c r="E169" s="5">
        <v>129.26</v>
      </c>
      <c r="F169" s="6">
        <v>4638</v>
      </c>
    </row>
    <row r="170" spans="1:6" x14ac:dyDescent="0.2">
      <c r="A170" s="4">
        <v>44713</v>
      </c>
      <c r="B170" s="5">
        <v>127.53</v>
      </c>
      <c r="C170" s="5">
        <v>132.13999999999999</v>
      </c>
      <c r="D170" s="5">
        <v>127.53</v>
      </c>
      <c r="E170" s="5">
        <v>132.13999999999999</v>
      </c>
      <c r="F170" s="6">
        <v>648</v>
      </c>
    </row>
    <row r="171" spans="1:6" x14ac:dyDescent="0.2">
      <c r="A171" s="4">
        <v>44714</v>
      </c>
      <c r="B171" s="5">
        <v>133.41999999999999</v>
      </c>
      <c r="C171" s="5">
        <v>133.66999999999999</v>
      </c>
      <c r="D171" s="5">
        <v>128.58000000000001</v>
      </c>
      <c r="E171" s="5">
        <v>128.72</v>
      </c>
      <c r="F171" s="6">
        <v>1902</v>
      </c>
    </row>
    <row r="172" spans="1:6" x14ac:dyDescent="0.2">
      <c r="A172" s="4">
        <v>44715</v>
      </c>
      <c r="B172" s="5">
        <v>128.21</v>
      </c>
      <c r="C172" s="5">
        <v>133.4</v>
      </c>
      <c r="D172" s="5">
        <v>126.4</v>
      </c>
      <c r="E172" s="5">
        <v>126.48</v>
      </c>
      <c r="F172" s="6">
        <v>1984</v>
      </c>
    </row>
    <row r="173" spans="1:6" x14ac:dyDescent="0.2">
      <c r="A173" s="4">
        <v>44718</v>
      </c>
      <c r="B173" s="5">
        <v>126.58</v>
      </c>
      <c r="C173" s="5">
        <v>129.91999999999999</v>
      </c>
      <c r="D173" s="5">
        <v>125.6</v>
      </c>
      <c r="E173" s="5">
        <v>125.6</v>
      </c>
      <c r="F173" s="6">
        <v>1246</v>
      </c>
    </row>
    <row r="174" spans="1:6" x14ac:dyDescent="0.2">
      <c r="A174" s="4">
        <v>44719</v>
      </c>
      <c r="B174" s="5">
        <v>131.66999999999999</v>
      </c>
      <c r="C174" s="5">
        <v>131.66999999999999</v>
      </c>
      <c r="D174" s="5">
        <v>125.08</v>
      </c>
      <c r="E174" s="5">
        <v>125.08</v>
      </c>
      <c r="F174" s="6">
        <v>6046</v>
      </c>
    </row>
    <row r="175" spans="1:6" x14ac:dyDescent="0.2">
      <c r="A175" s="4">
        <v>44720</v>
      </c>
      <c r="B175" s="5">
        <v>125.08</v>
      </c>
      <c r="C175" s="5">
        <v>125.08</v>
      </c>
      <c r="D175" s="5">
        <v>125.08</v>
      </c>
      <c r="E175" s="5">
        <v>125.08</v>
      </c>
      <c r="F175" s="6"/>
    </row>
    <row r="176" spans="1:6" x14ac:dyDescent="0.2">
      <c r="A176" s="4">
        <v>44721</v>
      </c>
      <c r="B176" s="5">
        <v>123.28</v>
      </c>
      <c r="C176" s="5">
        <v>123.28</v>
      </c>
      <c r="D176" s="5">
        <v>123.28</v>
      </c>
      <c r="E176" s="5">
        <v>123.28</v>
      </c>
      <c r="F176" s="6">
        <v>1521</v>
      </c>
    </row>
    <row r="177" spans="1:6" x14ac:dyDescent="0.2">
      <c r="A177" s="4">
        <v>44722</v>
      </c>
      <c r="B177" s="5">
        <v>120.13</v>
      </c>
      <c r="C177" s="5">
        <v>122.99</v>
      </c>
      <c r="D177" s="5">
        <v>120.1</v>
      </c>
      <c r="E177" s="5">
        <v>122.99</v>
      </c>
      <c r="F177" s="6">
        <v>1168</v>
      </c>
    </row>
    <row r="178" spans="1:6" x14ac:dyDescent="0.2">
      <c r="A178" s="4">
        <v>44725</v>
      </c>
      <c r="B178" s="5">
        <v>115.53</v>
      </c>
      <c r="C178" s="5">
        <v>115.61</v>
      </c>
      <c r="D178" s="5">
        <v>115.53</v>
      </c>
      <c r="E178" s="5">
        <v>115.61</v>
      </c>
      <c r="F178" s="6">
        <v>1217</v>
      </c>
    </row>
    <row r="179" spans="1:6" x14ac:dyDescent="0.2">
      <c r="A179" s="4">
        <v>44726</v>
      </c>
      <c r="B179" s="5">
        <v>113.33</v>
      </c>
      <c r="C179" s="5">
        <v>118.22</v>
      </c>
      <c r="D179" s="5">
        <v>113.33</v>
      </c>
      <c r="E179" s="5">
        <v>114.42100000000001</v>
      </c>
      <c r="F179" s="6">
        <v>3308</v>
      </c>
    </row>
    <row r="180" spans="1:6" x14ac:dyDescent="0.2">
      <c r="A180" s="4">
        <v>44727</v>
      </c>
      <c r="B180" s="5">
        <v>123.17</v>
      </c>
      <c r="C180" s="5">
        <v>123.17</v>
      </c>
      <c r="D180" s="5">
        <v>114.8</v>
      </c>
      <c r="E180" s="5">
        <v>115.9</v>
      </c>
      <c r="F180" s="6">
        <v>4030</v>
      </c>
    </row>
    <row r="181" spans="1:6" x14ac:dyDescent="0.2">
      <c r="A181" s="4">
        <v>44728</v>
      </c>
      <c r="B181" s="5">
        <v>117.91</v>
      </c>
      <c r="C181" s="5">
        <v>118.75</v>
      </c>
      <c r="D181" s="5">
        <v>117.75</v>
      </c>
      <c r="E181" s="5">
        <v>118.75</v>
      </c>
      <c r="F181" s="6">
        <v>3466</v>
      </c>
    </row>
    <row r="182" spans="1:6" x14ac:dyDescent="0.2">
      <c r="A182" s="4">
        <v>44729</v>
      </c>
      <c r="B182" s="5">
        <v>121</v>
      </c>
      <c r="C182" s="5">
        <v>121</v>
      </c>
      <c r="D182" s="5">
        <v>116.75</v>
      </c>
      <c r="E182" s="5">
        <v>120.22</v>
      </c>
      <c r="F182" s="6">
        <v>2212</v>
      </c>
    </row>
    <row r="183" spans="1:6" x14ac:dyDescent="0.2">
      <c r="A183" s="4">
        <v>44733</v>
      </c>
      <c r="B183" s="5">
        <v>127.84</v>
      </c>
      <c r="C183" s="5">
        <v>127.84</v>
      </c>
      <c r="D183" s="5">
        <v>121.61</v>
      </c>
      <c r="E183" s="5">
        <v>121.9</v>
      </c>
      <c r="F183" s="6">
        <v>2367</v>
      </c>
    </row>
    <row r="184" spans="1:6" x14ac:dyDescent="0.2">
      <c r="A184" s="4">
        <v>44734</v>
      </c>
      <c r="B184" s="5">
        <v>121.16</v>
      </c>
      <c r="C184" s="5">
        <v>125.4</v>
      </c>
      <c r="D184" s="5">
        <v>121.16</v>
      </c>
      <c r="E184" s="5">
        <v>125.4</v>
      </c>
      <c r="F184" s="6">
        <v>1786</v>
      </c>
    </row>
    <row r="185" spans="1:6" x14ac:dyDescent="0.2">
      <c r="A185" s="4">
        <v>44735</v>
      </c>
      <c r="B185" s="5">
        <v>122.27</v>
      </c>
      <c r="C185" s="5">
        <v>129.69</v>
      </c>
      <c r="D185" s="5">
        <v>122.27</v>
      </c>
      <c r="E185" s="5">
        <v>126.7</v>
      </c>
      <c r="F185" s="6">
        <v>1443</v>
      </c>
    </row>
    <row r="186" spans="1:6" x14ac:dyDescent="0.2">
      <c r="A186" s="4">
        <v>44736</v>
      </c>
      <c r="B186" s="5">
        <v>127.51</v>
      </c>
      <c r="C186" s="5">
        <v>132.84</v>
      </c>
      <c r="D186" s="5">
        <v>127.51</v>
      </c>
      <c r="E186" s="5">
        <v>129.21</v>
      </c>
      <c r="F186" s="6">
        <v>1589</v>
      </c>
    </row>
    <row r="187" spans="1:6" x14ac:dyDescent="0.2">
      <c r="A187" s="4">
        <v>44739</v>
      </c>
      <c r="B187" s="5">
        <v>127.21</v>
      </c>
      <c r="C187" s="5">
        <v>132.84</v>
      </c>
      <c r="D187" s="5">
        <v>127.21</v>
      </c>
      <c r="E187" s="5">
        <v>127.2501</v>
      </c>
      <c r="F187" s="6">
        <v>4422</v>
      </c>
    </row>
    <row r="188" spans="1:6" x14ac:dyDescent="0.2">
      <c r="A188" s="4">
        <v>44740</v>
      </c>
      <c r="B188" s="5">
        <v>130.26</v>
      </c>
      <c r="C188" s="5">
        <v>132.69</v>
      </c>
      <c r="D188" s="5">
        <v>130.26</v>
      </c>
      <c r="E188" s="5">
        <v>131.69999999999999</v>
      </c>
      <c r="F188" s="6">
        <v>15257</v>
      </c>
    </row>
    <row r="189" spans="1:6" x14ac:dyDescent="0.2">
      <c r="A189" s="4">
        <v>44741</v>
      </c>
      <c r="B189" s="5">
        <v>133</v>
      </c>
      <c r="C189" s="5">
        <v>133.34</v>
      </c>
      <c r="D189" s="5">
        <v>128.02000000000001</v>
      </c>
      <c r="E189" s="5">
        <v>131</v>
      </c>
      <c r="F189" s="6">
        <v>2742</v>
      </c>
    </row>
    <row r="190" spans="1:6" x14ac:dyDescent="0.2">
      <c r="A190" s="4">
        <v>44742</v>
      </c>
      <c r="B190" s="5">
        <v>131.34</v>
      </c>
      <c r="C190" s="5">
        <v>131.34</v>
      </c>
      <c r="D190" s="5">
        <v>127.58</v>
      </c>
      <c r="E190" s="5">
        <v>128.91</v>
      </c>
      <c r="F190" s="6">
        <v>2329</v>
      </c>
    </row>
    <row r="191" spans="1:6" x14ac:dyDescent="0.2">
      <c r="A191" s="4">
        <v>44743</v>
      </c>
      <c r="B191" s="5">
        <v>123.91</v>
      </c>
      <c r="C191" s="5">
        <v>131.59</v>
      </c>
      <c r="D191" s="5">
        <v>123.91</v>
      </c>
      <c r="E191" s="5">
        <v>130.75</v>
      </c>
      <c r="F191" s="6">
        <v>1791</v>
      </c>
    </row>
    <row r="192" spans="1:6" x14ac:dyDescent="0.2">
      <c r="A192" s="4">
        <v>44747</v>
      </c>
      <c r="B192" s="5">
        <v>123.45</v>
      </c>
      <c r="C192" s="5">
        <v>130.34</v>
      </c>
      <c r="D192" s="5">
        <v>123.45</v>
      </c>
      <c r="E192" s="5">
        <v>124.68</v>
      </c>
      <c r="F192" s="6">
        <v>2203</v>
      </c>
    </row>
    <row r="193" spans="1:6" x14ac:dyDescent="0.2">
      <c r="A193" s="4">
        <v>44748</v>
      </c>
      <c r="B193" s="5">
        <v>136.35</v>
      </c>
      <c r="C193" s="5">
        <v>136.35</v>
      </c>
      <c r="D193" s="5">
        <v>130.16</v>
      </c>
      <c r="E193" s="5">
        <v>130.16</v>
      </c>
      <c r="F193" s="6">
        <v>802</v>
      </c>
    </row>
    <row r="194" spans="1:6" x14ac:dyDescent="0.2">
      <c r="A194" s="4">
        <v>44749</v>
      </c>
      <c r="B194" s="5">
        <v>129.41</v>
      </c>
      <c r="C194" s="5">
        <v>131.67500000000001</v>
      </c>
      <c r="D194" s="5">
        <v>129.41</v>
      </c>
      <c r="E194" s="5">
        <v>131.67500000000001</v>
      </c>
      <c r="F194" s="6">
        <v>965</v>
      </c>
    </row>
    <row r="195" spans="1:6" x14ac:dyDescent="0.2">
      <c r="A195" s="4">
        <v>44750</v>
      </c>
      <c r="B195" s="5">
        <v>133.5</v>
      </c>
      <c r="C195" s="5">
        <v>133.5</v>
      </c>
      <c r="D195" s="5">
        <v>130.5</v>
      </c>
      <c r="E195" s="5">
        <v>130.5</v>
      </c>
      <c r="F195" s="6">
        <v>3072</v>
      </c>
    </row>
    <row r="196" spans="1:6" x14ac:dyDescent="0.2">
      <c r="A196" s="4">
        <v>44753</v>
      </c>
      <c r="B196" s="5">
        <v>129.75</v>
      </c>
      <c r="C196" s="5">
        <v>131.21</v>
      </c>
      <c r="D196" s="5">
        <v>129.75</v>
      </c>
      <c r="E196" s="5">
        <v>131.21</v>
      </c>
      <c r="F196" s="6">
        <v>1382</v>
      </c>
    </row>
    <row r="197" spans="1:6" x14ac:dyDescent="0.2">
      <c r="A197" s="4">
        <v>44754</v>
      </c>
      <c r="B197" s="5">
        <v>133.46100000000001</v>
      </c>
      <c r="C197" s="5">
        <v>133.46100000000001</v>
      </c>
      <c r="D197" s="5">
        <v>130.82</v>
      </c>
      <c r="E197" s="5">
        <v>132</v>
      </c>
      <c r="F197" s="6">
        <v>3240</v>
      </c>
    </row>
    <row r="198" spans="1:6" x14ac:dyDescent="0.2">
      <c r="A198" s="4">
        <v>44755</v>
      </c>
      <c r="B198" s="5">
        <v>131.32900000000001</v>
      </c>
      <c r="C198" s="5">
        <v>131.32900000000001</v>
      </c>
      <c r="D198" s="5">
        <v>129.38</v>
      </c>
      <c r="E198" s="5">
        <v>129.97999999999999</v>
      </c>
      <c r="F198" s="6">
        <v>4319</v>
      </c>
    </row>
    <row r="199" spans="1:6" x14ac:dyDescent="0.2">
      <c r="A199" s="4">
        <v>44756</v>
      </c>
      <c r="B199" s="5">
        <v>127.26</v>
      </c>
      <c r="C199" s="5">
        <v>129.32</v>
      </c>
      <c r="D199" s="5">
        <v>127.26</v>
      </c>
      <c r="E199" s="5">
        <v>129.32</v>
      </c>
      <c r="F199" s="6">
        <v>1062</v>
      </c>
    </row>
    <row r="200" spans="1:6" x14ac:dyDescent="0.2">
      <c r="A200" s="4">
        <v>44757</v>
      </c>
      <c r="B200" s="5">
        <v>127.45</v>
      </c>
      <c r="C200" s="5">
        <v>131.9</v>
      </c>
      <c r="D200" s="5">
        <v>127.45</v>
      </c>
      <c r="E200" s="5">
        <v>131.26</v>
      </c>
      <c r="F200" s="6">
        <v>1815</v>
      </c>
    </row>
    <row r="201" spans="1:6" x14ac:dyDescent="0.2">
      <c r="A201" s="4">
        <v>44760</v>
      </c>
      <c r="B201" s="5">
        <v>129.86000000000001</v>
      </c>
      <c r="C201" s="5">
        <v>139.15</v>
      </c>
      <c r="D201" s="5">
        <v>129.86000000000001</v>
      </c>
      <c r="E201" s="5">
        <v>133.9</v>
      </c>
      <c r="F201" s="6">
        <v>2745</v>
      </c>
    </row>
    <row r="202" spans="1:6" x14ac:dyDescent="0.2">
      <c r="A202" s="4">
        <v>44761</v>
      </c>
      <c r="B202" s="5">
        <v>133</v>
      </c>
      <c r="C202" s="5">
        <v>135.625</v>
      </c>
      <c r="D202" s="5">
        <v>133</v>
      </c>
      <c r="E202" s="5">
        <v>134.55000000000001</v>
      </c>
      <c r="F202" s="6">
        <v>2252</v>
      </c>
    </row>
    <row r="203" spans="1:6" x14ac:dyDescent="0.2">
      <c r="A203" s="4">
        <v>44762</v>
      </c>
      <c r="B203" s="5">
        <v>129.91</v>
      </c>
      <c r="C203" s="5">
        <v>129.91</v>
      </c>
      <c r="D203" s="5">
        <v>129.91</v>
      </c>
      <c r="E203" s="5">
        <v>129.91</v>
      </c>
      <c r="F203" s="6">
        <v>569</v>
      </c>
    </row>
    <row r="204" spans="1:6" x14ac:dyDescent="0.2">
      <c r="A204" s="4">
        <v>44763</v>
      </c>
      <c r="B204" s="5">
        <v>130.1</v>
      </c>
      <c r="C204" s="5">
        <v>130.1</v>
      </c>
      <c r="D204" s="5">
        <v>124.48</v>
      </c>
      <c r="E204" s="5">
        <v>125.55</v>
      </c>
      <c r="F204" s="6">
        <v>815</v>
      </c>
    </row>
    <row r="205" spans="1:6" x14ac:dyDescent="0.2">
      <c r="A205" s="4">
        <v>44764</v>
      </c>
      <c r="B205" s="5">
        <v>129.26</v>
      </c>
      <c r="C205" s="5">
        <v>129.62</v>
      </c>
      <c r="D205" s="5">
        <v>128.64009999999999</v>
      </c>
      <c r="E205" s="5">
        <v>128.64009999999999</v>
      </c>
      <c r="F205" s="6">
        <v>14064</v>
      </c>
    </row>
    <row r="206" spans="1:6" x14ac:dyDescent="0.2">
      <c r="A206" s="4">
        <v>44767</v>
      </c>
      <c r="B206" s="5">
        <v>133.59</v>
      </c>
      <c r="C206" s="5">
        <v>133.59</v>
      </c>
      <c r="D206" s="5">
        <v>129.06</v>
      </c>
      <c r="E206" s="5">
        <v>129.06</v>
      </c>
      <c r="F206" s="6">
        <v>782</v>
      </c>
    </row>
    <row r="207" spans="1:6" x14ac:dyDescent="0.2">
      <c r="A207" s="4">
        <v>44768</v>
      </c>
      <c r="B207" s="5">
        <v>133.44</v>
      </c>
      <c r="C207" s="5">
        <v>134</v>
      </c>
      <c r="D207" s="5">
        <v>131.30000000000001</v>
      </c>
      <c r="E207" s="5">
        <v>131.30000000000001</v>
      </c>
      <c r="F207" s="6">
        <v>1347</v>
      </c>
    </row>
    <row r="208" spans="1:6" x14ac:dyDescent="0.2">
      <c r="A208" s="4">
        <v>44769</v>
      </c>
      <c r="B208" s="5">
        <v>131.06</v>
      </c>
      <c r="C208" s="5">
        <v>134.29</v>
      </c>
      <c r="D208" s="5">
        <v>130.9</v>
      </c>
      <c r="E208" s="5">
        <v>134.29</v>
      </c>
      <c r="F208" s="6">
        <v>1546</v>
      </c>
    </row>
    <row r="209" spans="1:6" x14ac:dyDescent="0.2">
      <c r="A209" s="4">
        <v>44770</v>
      </c>
      <c r="B209" s="5">
        <v>134.13</v>
      </c>
      <c r="C209" s="5">
        <v>134.13</v>
      </c>
      <c r="D209" s="5">
        <v>131.1</v>
      </c>
      <c r="E209" s="5">
        <v>131.1</v>
      </c>
      <c r="F209" s="6">
        <v>1036</v>
      </c>
    </row>
    <row r="210" spans="1:6" x14ac:dyDescent="0.2">
      <c r="A210" s="4">
        <v>44771</v>
      </c>
      <c r="B210" s="5">
        <v>129.16</v>
      </c>
      <c r="C210" s="5">
        <v>132.80000000000001</v>
      </c>
      <c r="D210" s="5">
        <v>129.16</v>
      </c>
      <c r="E210" s="5">
        <v>130.72</v>
      </c>
      <c r="F210" s="6">
        <v>4663</v>
      </c>
    </row>
    <row r="211" spans="1:6" x14ac:dyDescent="0.2">
      <c r="A211" s="4">
        <v>44774</v>
      </c>
      <c r="B211" s="5">
        <v>133.84</v>
      </c>
      <c r="C211" s="5">
        <v>133.84</v>
      </c>
      <c r="D211" s="5">
        <v>131.755</v>
      </c>
      <c r="E211" s="5">
        <v>132.63999999999999</v>
      </c>
      <c r="F211" s="6">
        <v>2435</v>
      </c>
    </row>
    <row r="212" spans="1:6" x14ac:dyDescent="0.2">
      <c r="A212" s="4">
        <v>44775</v>
      </c>
      <c r="B212" s="5">
        <v>133.84</v>
      </c>
      <c r="C212" s="5">
        <v>133.84</v>
      </c>
      <c r="D212" s="5">
        <v>130.30000000000001</v>
      </c>
      <c r="E212" s="5">
        <v>130.30000000000001</v>
      </c>
      <c r="F212" s="6">
        <v>1175</v>
      </c>
    </row>
    <row r="213" spans="1:6" x14ac:dyDescent="0.2">
      <c r="A213" s="4">
        <v>44776</v>
      </c>
      <c r="B213" s="5">
        <v>130.30000000000001</v>
      </c>
      <c r="C213" s="5">
        <v>130.30000000000001</v>
      </c>
      <c r="D213" s="5">
        <v>130.30000000000001</v>
      </c>
      <c r="E213" s="5">
        <v>130.30000000000001</v>
      </c>
      <c r="F213" s="6"/>
    </row>
    <row r="214" spans="1:6" x14ac:dyDescent="0.2">
      <c r="A214" s="4">
        <v>44777</v>
      </c>
      <c r="B214" s="5">
        <v>133.59</v>
      </c>
      <c r="C214" s="5">
        <v>133.59</v>
      </c>
      <c r="D214" s="5">
        <v>129.16</v>
      </c>
      <c r="E214" s="5">
        <v>133.34</v>
      </c>
      <c r="F214" s="6">
        <v>976</v>
      </c>
    </row>
    <row r="215" spans="1:6" x14ac:dyDescent="0.2">
      <c r="A215" s="4">
        <v>44778</v>
      </c>
      <c r="B215" s="5">
        <v>134.13</v>
      </c>
      <c r="C215" s="5">
        <v>134.13</v>
      </c>
      <c r="D215" s="5">
        <v>128.16</v>
      </c>
      <c r="E215" s="5">
        <v>128.16</v>
      </c>
      <c r="F215" s="6">
        <v>1269</v>
      </c>
    </row>
    <row r="216" spans="1:6" x14ac:dyDescent="0.2">
      <c r="A216" s="4">
        <v>44781</v>
      </c>
      <c r="B216" s="5">
        <v>133.34</v>
      </c>
      <c r="C216" s="5">
        <v>133.34</v>
      </c>
      <c r="D216" s="5">
        <v>133.34</v>
      </c>
      <c r="E216" s="5">
        <v>133.34</v>
      </c>
      <c r="F216" s="6">
        <v>747</v>
      </c>
    </row>
    <row r="217" spans="1:6" x14ac:dyDescent="0.2">
      <c r="A217" s="4">
        <v>44782</v>
      </c>
      <c r="B217" s="5">
        <v>128.16</v>
      </c>
      <c r="C217" s="5">
        <v>128.16</v>
      </c>
      <c r="D217" s="5">
        <v>128.16</v>
      </c>
      <c r="E217" s="5">
        <v>128.16</v>
      </c>
      <c r="F217" s="6">
        <v>570</v>
      </c>
    </row>
    <row r="218" spans="1:6" x14ac:dyDescent="0.2">
      <c r="A218" s="4">
        <v>44783</v>
      </c>
      <c r="B218" s="5">
        <v>133.97139999999999</v>
      </c>
      <c r="C218" s="5">
        <v>133.97139999999999</v>
      </c>
      <c r="D218" s="5">
        <v>132.43</v>
      </c>
      <c r="E218" s="5">
        <v>132.43</v>
      </c>
      <c r="F218" s="6">
        <v>2589</v>
      </c>
    </row>
    <row r="219" spans="1:6" x14ac:dyDescent="0.2">
      <c r="A219" s="4">
        <v>44784</v>
      </c>
      <c r="B219" s="5">
        <v>132.34</v>
      </c>
      <c r="C219" s="5">
        <v>132.5</v>
      </c>
      <c r="D219" s="5">
        <v>127.39</v>
      </c>
      <c r="E219" s="5">
        <v>128.51499999999999</v>
      </c>
      <c r="F219" s="6">
        <v>1722</v>
      </c>
    </row>
    <row r="220" spans="1:6" x14ac:dyDescent="0.2">
      <c r="A220" s="4">
        <v>44785</v>
      </c>
      <c r="B220" s="5">
        <v>133.59</v>
      </c>
      <c r="C220" s="5">
        <v>133.59</v>
      </c>
      <c r="D220" s="5">
        <v>127.39</v>
      </c>
      <c r="E220" s="5">
        <v>127.39</v>
      </c>
      <c r="F220" s="6">
        <v>663</v>
      </c>
    </row>
    <row r="221" spans="1:6" x14ac:dyDescent="0.2">
      <c r="A221" s="4">
        <v>44788</v>
      </c>
      <c r="B221" s="5">
        <v>131.66</v>
      </c>
      <c r="C221" s="5">
        <v>131.66</v>
      </c>
      <c r="D221" s="5">
        <v>131.5</v>
      </c>
      <c r="E221" s="5">
        <v>131.54499999999999</v>
      </c>
      <c r="F221" s="6">
        <v>1216</v>
      </c>
    </row>
    <row r="222" spans="1:6" x14ac:dyDescent="0.2">
      <c r="A222" s="4">
        <v>44789</v>
      </c>
      <c r="B222" s="5">
        <v>128.16</v>
      </c>
      <c r="C222" s="5">
        <v>134.13</v>
      </c>
      <c r="D222" s="5">
        <v>128.16</v>
      </c>
      <c r="E222" s="5">
        <v>134.13</v>
      </c>
      <c r="F222" s="6">
        <v>901</v>
      </c>
    </row>
    <row r="223" spans="1:6" x14ac:dyDescent="0.2">
      <c r="A223" s="4">
        <v>44790</v>
      </c>
      <c r="B223" s="5">
        <v>134.13</v>
      </c>
      <c r="C223" s="5">
        <v>134.13</v>
      </c>
      <c r="D223" s="5">
        <v>134.13</v>
      </c>
      <c r="E223" s="5">
        <v>134.13</v>
      </c>
      <c r="F223" s="6">
        <v>725</v>
      </c>
    </row>
    <row r="224" spans="1:6" x14ac:dyDescent="0.2">
      <c r="A224" s="4">
        <v>44791</v>
      </c>
      <c r="B224" s="5">
        <v>129.25</v>
      </c>
      <c r="C224" s="5">
        <v>130.16999999999999</v>
      </c>
      <c r="D224" s="5">
        <v>129.25</v>
      </c>
      <c r="E224" s="5">
        <v>130.16999999999999</v>
      </c>
      <c r="F224" s="6">
        <v>870</v>
      </c>
    </row>
    <row r="225" spans="1:6" x14ac:dyDescent="0.2">
      <c r="A225" s="4">
        <v>44792</v>
      </c>
      <c r="B225" s="5">
        <v>134.13</v>
      </c>
      <c r="C225" s="5">
        <v>134.29</v>
      </c>
      <c r="D225" s="5">
        <v>130.65</v>
      </c>
      <c r="E225" s="5">
        <v>131.15</v>
      </c>
      <c r="F225" s="6">
        <v>1231</v>
      </c>
    </row>
    <row r="226" spans="1:6" x14ac:dyDescent="0.2">
      <c r="A226" s="4">
        <v>44795</v>
      </c>
      <c r="B226" s="5">
        <v>134.29</v>
      </c>
      <c r="C226" s="5">
        <v>135.75</v>
      </c>
      <c r="D226" s="5">
        <v>133.86000000000001</v>
      </c>
      <c r="E226" s="5">
        <v>135.75</v>
      </c>
      <c r="F226" s="6">
        <v>1860</v>
      </c>
    </row>
    <row r="227" spans="1:6" x14ac:dyDescent="0.2">
      <c r="A227" s="4">
        <v>44796</v>
      </c>
      <c r="B227" s="5">
        <v>133</v>
      </c>
      <c r="C227" s="5">
        <v>133</v>
      </c>
      <c r="D227" s="5">
        <v>133</v>
      </c>
      <c r="E227" s="5">
        <v>133</v>
      </c>
      <c r="F227" s="6">
        <v>1364</v>
      </c>
    </row>
    <row r="228" spans="1:6" x14ac:dyDescent="0.2">
      <c r="A228" s="4">
        <v>44797</v>
      </c>
      <c r="B228" s="5">
        <v>133.02500000000001</v>
      </c>
      <c r="C228" s="5">
        <v>133.02500000000001</v>
      </c>
      <c r="D228" s="5">
        <v>128.01</v>
      </c>
      <c r="E228" s="5">
        <v>128.01</v>
      </c>
      <c r="F228" s="6">
        <v>1082</v>
      </c>
    </row>
    <row r="229" spans="1:6" x14ac:dyDescent="0.2">
      <c r="A229" s="4">
        <v>44798</v>
      </c>
      <c r="B229" s="5">
        <v>128.01</v>
      </c>
      <c r="C229" s="5">
        <v>128.01</v>
      </c>
      <c r="D229" s="5">
        <v>128.01</v>
      </c>
      <c r="E229" s="5">
        <v>128.01</v>
      </c>
      <c r="F229" s="6"/>
    </row>
    <row r="230" spans="1:6" x14ac:dyDescent="0.2">
      <c r="A230" s="4">
        <v>44799</v>
      </c>
      <c r="B230" s="5">
        <v>132.19999999999999</v>
      </c>
      <c r="C230" s="5">
        <v>132.19999999999999</v>
      </c>
      <c r="D230" s="5">
        <v>131.44</v>
      </c>
      <c r="E230" s="5">
        <v>131.44</v>
      </c>
      <c r="F230" s="6">
        <v>1043</v>
      </c>
    </row>
    <row r="231" spans="1:6" x14ac:dyDescent="0.2">
      <c r="A231" s="4">
        <v>44802</v>
      </c>
      <c r="B231" s="5">
        <v>126.25</v>
      </c>
      <c r="C231" s="5">
        <v>139.15</v>
      </c>
      <c r="D231" s="5">
        <v>126.25</v>
      </c>
      <c r="E231" s="5">
        <v>128.75</v>
      </c>
      <c r="F231" s="6">
        <v>1976</v>
      </c>
    </row>
    <row r="232" spans="1:6" x14ac:dyDescent="0.2">
      <c r="A232" s="4">
        <v>44803</v>
      </c>
      <c r="B232" s="5">
        <v>130.02269999999999</v>
      </c>
      <c r="C232" s="5">
        <v>130.02269999999999</v>
      </c>
      <c r="D232" s="5">
        <v>125.77</v>
      </c>
      <c r="E232" s="5">
        <v>125.77</v>
      </c>
      <c r="F232" s="6">
        <v>2448</v>
      </c>
    </row>
    <row r="233" spans="1:6" x14ac:dyDescent="0.2">
      <c r="A233" s="4">
        <v>44804</v>
      </c>
      <c r="B233" s="5">
        <v>125</v>
      </c>
      <c r="C233" s="5">
        <v>126.44</v>
      </c>
      <c r="D233" s="5">
        <v>123.78</v>
      </c>
      <c r="E233" s="5">
        <v>124.44</v>
      </c>
      <c r="F233" s="6">
        <v>1717</v>
      </c>
    </row>
    <row r="234" spans="1:6" x14ac:dyDescent="0.2">
      <c r="A234" s="4">
        <v>44805</v>
      </c>
      <c r="B234" s="5">
        <v>118.06</v>
      </c>
      <c r="C234" s="5">
        <v>122</v>
      </c>
      <c r="D234" s="5">
        <v>118.06</v>
      </c>
      <c r="E234" s="5">
        <v>118.06</v>
      </c>
      <c r="F234" s="6">
        <v>1714</v>
      </c>
    </row>
    <row r="235" spans="1:6" x14ac:dyDescent="0.2">
      <c r="A235" s="4">
        <v>44806</v>
      </c>
      <c r="B235" s="5">
        <v>118.16</v>
      </c>
      <c r="C235" s="5">
        <v>126.59</v>
      </c>
      <c r="D235" s="5">
        <v>118.16</v>
      </c>
      <c r="E235" s="5">
        <v>126.59</v>
      </c>
      <c r="F235" s="6">
        <v>1947</v>
      </c>
    </row>
    <row r="236" spans="1:6" x14ac:dyDescent="0.2">
      <c r="A236" s="4">
        <v>44810</v>
      </c>
      <c r="B236" s="5">
        <v>117.01</v>
      </c>
      <c r="C236" s="5">
        <v>117.01</v>
      </c>
      <c r="D236" s="5">
        <v>117.01</v>
      </c>
      <c r="E236" s="5">
        <v>117.01</v>
      </c>
      <c r="F236" s="6">
        <v>462</v>
      </c>
    </row>
    <row r="237" spans="1:6" x14ac:dyDescent="0.2">
      <c r="A237" s="4">
        <v>44811</v>
      </c>
      <c r="B237" s="5">
        <v>113.76</v>
      </c>
      <c r="C237" s="5">
        <v>113.76</v>
      </c>
      <c r="D237" s="5">
        <v>113.6</v>
      </c>
      <c r="E237" s="5">
        <v>113.76</v>
      </c>
      <c r="F237" s="6">
        <v>1046</v>
      </c>
    </row>
    <row r="238" spans="1:6" x14ac:dyDescent="0.2">
      <c r="A238" s="4">
        <v>44812</v>
      </c>
      <c r="B238" s="5">
        <v>120.7</v>
      </c>
      <c r="C238" s="5">
        <v>120.86</v>
      </c>
      <c r="D238" s="5">
        <v>118.96</v>
      </c>
      <c r="E238" s="5">
        <v>118.96</v>
      </c>
      <c r="F238" s="6">
        <v>1235</v>
      </c>
    </row>
    <row r="239" spans="1:6" x14ac:dyDescent="0.2">
      <c r="A239" s="4">
        <v>44813</v>
      </c>
      <c r="B239" s="5">
        <v>125.82</v>
      </c>
      <c r="C239" s="5">
        <v>125.82</v>
      </c>
      <c r="D239" s="5">
        <v>118.21</v>
      </c>
      <c r="E239" s="5">
        <v>122.71</v>
      </c>
      <c r="F239" s="6">
        <v>1702</v>
      </c>
    </row>
    <row r="240" spans="1:6" x14ac:dyDescent="0.2">
      <c r="A240" s="4">
        <v>44816</v>
      </c>
      <c r="B240" s="5">
        <v>122.5</v>
      </c>
      <c r="C240" s="5">
        <v>126.04</v>
      </c>
      <c r="D240" s="5">
        <v>118.91</v>
      </c>
      <c r="E240" s="5">
        <v>118.91</v>
      </c>
      <c r="F240" s="6">
        <v>1484</v>
      </c>
    </row>
    <row r="241" spans="1:6" x14ac:dyDescent="0.2">
      <c r="A241" s="4">
        <v>44817</v>
      </c>
      <c r="B241" s="5">
        <v>117.46</v>
      </c>
      <c r="C241" s="5">
        <v>117.46</v>
      </c>
      <c r="D241" s="5">
        <v>117.46</v>
      </c>
      <c r="E241" s="5">
        <v>117.46</v>
      </c>
      <c r="F241" s="6">
        <v>643</v>
      </c>
    </row>
    <row r="242" spans="1:6" x14ac:dyDescent="0.2">
      <c r="A242" s="4">
        <v>44818</v>
      </c>
      <c r="B242" s="5">
        <v>116.81</v>
      </c>
      <c r="C242" s="5">
        <v>116.81</v>
      </c>
      <c r="D242" s="5">
        <v>116.37</v>
      </c>
      <c r="E242" s="5">
        <v>116.37</v>
      </c>
      <c r="F242" s="6">
        <v>619</v>
      </c>
    </row>
    <row r="243" spans="1:6" x14ac:dyDescent="0.2">
      <c r="A243" s="4">
        <v>44819</v>
      </c>
      <c r="B243" s="5">
        <v>117.5</v>
      </c>
      <c r="C243" s="5">
        <v>117.5</v>
      </c>
      <c r="D243" s="5">
        <v>112.65</v>
      </c>
      <c r="E243" s="5">
        <v>112.81</v>
      </c>
      <c r="F243" s="6">
        <v>2481</v>
      </c>
    </row>
    <row r="244" spans="1:6" x14ac:dyDescent="0.2">
      <c r="A244" s="4">
        <v>44820</v>
      </c>
      <c r="B244" s="5">
        <v>112.45</v>
      </c>
      <c r="C244" s="5">
        <v>121.99</v>
      </c>
      <c r="D244" s="5">
        <v>112.45</v>
      </c>
      <c r="E244" s="5">
        <v>113</v>
      </c>
      <c r="F244" s="6">
        <v>5861</v>
      </c>
    </row>
    <row r="245" spans="1:6" x14ac:dyDescent="0.2">
      <c r="A245" s="4">
        <v>44823</v>
      </c>
      <c r="B245" s="5">
        <v>114.84</v>
      </c>
      <c r="C245" s="5">
        <v>115</v>
      </c>
      <c r="D245" s="5">
        <v>110.96</v>
      </c>
      <c r="E245" s="5">
        <v>110.96</v>
      </c>
      <c r="F245" s="6">
        <v>4938</v>
      </c>
    </row>
    <row r="246" spans="1:6" x14ac:dyDescent="0.2">
      <c r="A246" s="4">
        <v>44824</v>
      </c>
      <c r="B246" s="5">
        <v>110.58</v>
      </c>
      <c r="C246" s="5">
        <v>117.92</v>
      </c>
      <c r="D246" s="5">
        <v>110.42</v>
      </c>
      <c r="E246" s="5">
        <v>110.51</v>
      </c>
      <c r="F246" s="6">
        <v>1709</v>
      </c>
    </row>
    <row r="247" spans="1:6" x14ac:dyDescent="0.2">
      <c r="A247" s="4">
        <v>44825</v>
      </c>
      <c r="B247" s="5">
        <v>111.3</v>
      </c>
      <c r="C247" s="5">
        <v>116.05</v>
      </c>
      <c r="D247" s="5">
        <v>111.3</v>
      </c>
      <c r="E247" s="5">
        <v>114.155</v>
      </c>
      <c r="F247" s="6">
        <v>1811</v>
      </c>
    </row>
    <row r="248" spans="1:6" x14ac:dyDescent="0.2">
      <c r="A248" s="4">
        <v>44826</v>
      </c>
      <c r="B248" s="5">
        <v>111.7</v>
      </c>
      <c r="C248" s="5">
        <v>111.7</v>
      </c>
      <c r="D248" s="5">
        <v>111.6</v>
      </c>
      <c r="E248" s="5">
        <v>111.6</v>
      </c>
      <c r="F248" s="6">
        <v>1613</v>
      </c>
    </row>
    <row r="249" spans="1:6" x14ac:dyDescent="0.2">
      <c r="A249" s="4">
        <v>44827</v>
      </c>
      <c r="B249" s="5">
        <v>109.5</v>
      </c>
      <c r="C249" s="5">
        <v>109.9757</v>
      </c>
      <c r="D249" s="5">
        <v>108.06</v>
      </c>
      <c r="E249" s="5">
        <v>108.35</v>
      </c>
      <c r="F249" s="6">
        <v>8354</v>
      </c>
    </row>
    <row r="250" spans="1:6" x14ac:dyDescent="0.2">
      <c r="A250" s="4">
        <v>44830</v>
      </c>
      <c r="B250" s="5">
        <v>107.1</v>
      </c>
      <c r="C250" s="5">
        <v>107.1</v>
      </c>
      <c r="D250" s="5">
        <v>104.5</v>
      </c>
      <c r="E250" s="5">
        <v>104.5</v>
      </c>
      <c r="F250" s="6">
        <v>6379</v>
      </c>
    </row>
    <row r="251" spans="1:6" x14ac:dyDescent="0.2">
      <c r="A251" s="4">
        <v>44831</v>
      </c>
      <c r="B251" s="5">
        <v>106.25</v>
      </c>
      <c r="C251" s="5">
        <v>106.6</v>
      </c>
      <c r="D251" s="5">
        <v>106.25</v>
      </c>
      <c r="E251" s="5">
        <v>106.5</v>
      </c>
      <c r="F251" s="6">
        <v>4030</v>
      </c>
    </row>
    <row r="252" spans="1:6" x14ac:dyDescent="0.2">
      <c r="A252" s="4">
        <v>44832</v>
      </c>
      <c r="B252" s="5">
        <v>109</v>
      </c>
      <c r="C252" s="5">
        <v>109</v>
      </c>
      <c r="D252" s="5">
        <v>108.2</v>
      </c>
      <c r="E252" s="5">
        <v>108.26</v>
      </c>
      <c r="F252" s="6">
        <v>4244</v>
      </c>
    </row>
    <row r="253" spans="1:6" x14ac:dyDescent="0.2">
      <c r="A253" s="4">
        <v>44833</v>
      </c>
      <c r="B253" s="5">
        <v>106</v>
      </c>
      <c r="C253" s="5">
        <v>109.99</v>
      </c>
      <c r="D253" s="5">
        <v>106</v>
      </c>
      <c r="E253" s="5">
        <v>109</v>
      </c>
      <c r="F253" s="6">
        <v>11219</v>
      </c>
    </row>
    <row r="254" spans="1:6" x14ac:dyDescent="0.2">
      <c r="A254" s="4">
        <v>44834</v>
      </c>
      <c r="B254" s="5">
        <v>109.1</v>
      </c>
      <c r="C254" s="5">
        <v>112.25</v>
      </c>
      <c r="D254" s="5">
        <v>107.1</v>
      </c>
      <c r="E254" s="5">
        <v>107.1</v>
      </c>
      <c r="F254" s="6">
        <v>3022</v>
      </c>
    </row>
    <row r="255" spans="1:6" x14ac:dyDescent="0.2">
      <c r="A255" s="4">
        <v>44837</v>
      </c>
      <c r="B255" s="5">
        <v>109.55</v>
      </c>
      <c r="C255" s="5">
        <v>111.25</v>
      </c>
      <c r="D255" s="5">
        <v>109.55</v>
      </c>
      <c r="E255" s="5">
        <v>111.25</v>
      </c>
      <c r="F255" s="6">
        <v>2966</v>
      </c>
    </row>
    <row r="256" spans="1:6" x14ac:dyDescent="0.2">
      <c r="A256" s="4">
        <v>44838</v>
      </c>
      <c r="B256" s="5">
        <v>111.75</v>
      </c>
      <c r="C256" s="5">
        <v>114</v>
      </c>
      <c r="D256" s="5">
        <v>111.75</v>
      </c>
      <c r="E256" s="5">
        <v>113</v>
      </c>
      <c r="F256" s="6">
        <v>1691</v>
      </c>
    </row>
    <row r="257" spans="1:6" x14ac:dyDescent="0.2">
      <c r="A257" s="4">
        <v>44839</v>
      </c>
      <c r="B257" s="5">
        <v>111.6</v>
      </c>
      <c r="C257" s="5">
        <v>113.62</v>
      </c>
      <c r="D257" s="5">
        <v>111.6</v>
      </c>
      <c r="E257" s="5">
        <v>112.14</v>
      </c>
      <c r="F257" s="6">
        <v>3654</v>
      </c>
    </row>
    <row r="258" spans="1:6" x14ac:dyDescent="0.2">
      <c r="A258" s="4">
        <v>44840</v>
      </c>
      <c r="B258" s="5">
        <v>110</v>
      </c>
      <c r="C258" s="5">
        <v>111.34</v>
      </c>
      <c r="D258" s="5">
        <v>108.96</v>
      </c>
      <c r="E258" s="5">
        <v>109.12</v>
      </c>
      <c r="F258" s="6">
        <v>5091</v>
      </c>
    </row>
    <row r="259" spans="1:6" x14ac:dyDescent="0.2">
      <c r="A259" s="4">
        <v>44841</v>
      </c>
      <c r="B259" s="5">
        <v>109.2</v>
      </c>
      <c r="C259" s="5">
        <v>110.2</v>
      </c>
      <c r="D259" s="5">
        <v>109.2</v>
      </c>
      <c r="E259" s="5">
        <v>109.5</v>
      </c>
      <c r="F259" s="6">
        <v>2539</v>
      </c>
    </row>
    <row r="260" spans="1:6" x14ac:dyDescent="0.2">
      <c r="A260" s="4">
        <v>44844</v>
      </c>
      <c r="B260" s="5">
        <v>108.36</v>
      </c>
      <c r="C260" s="5">
        <v>110.6</v>
      </c>
      <c r="D260" s="5">
        <v>108.36</v>
      </c>
      <c r="E260" s="5">
        <v>110.6</v>
      </c>
      <c r="F260" s="6">
        <v>1074</v>
      </c>
    </row>
    <row r="261" spans="1:6" x14ac:dyDescent="0.2">
      <c r="A261" s="4">
        <v>44845</v>
      </c>
      <c r="B261" s="5">
        <v>105.26</v>
      </c>
      <c r="C261" s="5">
        <v>111.35</v>
      </c>
      <c r="D261" s="5">
        <v>105.26</v>
      </c>
      <c r="E261" s="5">
        <v>109.16</v>
      </c>
      <c r="F261" s="6">
        <v>2542</v>
      </c>
    </row>
    <row r="262" spans="1:6" x14ac:dyDescent="0.2">
      <c r="A262" s="4">
        <v>44846</v>
      </c>
      <c r="B262" s="5">
        <v>109</v>
      </c>
      <c r="C262" s="5">
        <v>109.66</v>
      </c>
      <c r="D262" s="5">
        <v>109</v>
      </c>
      <c r="E262" s="5">
        <v>109.1</v>
      </c>
      <c r="F262" s="6">
        <v>2164</v>
      </c>
    </row>
    <row r="263" spans="1:6" x14ac:dyDescent="0.2">
      <c r="A263" s="4">
        <v>44847</v>
      </c>
      <c r="B263" s="5">
        <v>109.3</v>
      </c>
      <c r="C263" s="5">
        <v>109.78</v>
      </c>
      <c r="D263" s="5">
        <v>107.6</v>
      </c>
      <c r="E263" s="5">
        <v>107.6</v>
      </c>
      <c r="F263" s="6">
        <v>1822</v>
      </c>
    </row>
    <row r="264" spans="1:6" x14ac:dyDescent="0.2">
      <c r="A264" s="4">
        <v>44848</v>
      </c>
      <c r="B264" s="5">
        <v>109.7</v>
      </c>
      <c r="C264" s="5">
        <v>111.35</v>
      </c>
      <c r="D264" s="5">
        <v>109.0599</v>
      </c>
      <c r="E264" s="5">
        <v>111.35</v>
      </c>
      <c r="F264" s="6">
        <v>2380</v>
      </c>
    </row>
    <row r="265" spans="1:6" x14ac:dyDescent="0.2">
      <c r="A265" s="4">
        <v>44851</v>
      </c>
      <c r="B265" s="5">
        <v>111.96</v>
      </c>
      <c r="C265" s="5">
        <v>114.3</v>
      </c>
      <c r="D265" s="5">
        <v>111.96</v>
      </c>
      <c r="E265" s="5">
        <v>114.3</v>
      </c>
      <c r="F265" s="6">
        <v>1553</v>
      </c>
    </row>
    <row r="266" spans="1:6" x14ac:dyDescent="0.2">
      <c r="A266" s="4">
        <v>44852</v>
      </c>
      <c r="B266" s="5">
        <v>113.33750000000001</v>
      </c>
      <c r="C266" s="5">
        <v>113.33750000000001</v>
      </c>
      <c r="D266" s="5">
        <v>109.88</v>
      </c>
      <c r="E266" s="5">
        <v>109.88</v>
      </c>
      <c r="F266" s="6">
        <v>1201</v>
      </c>
    </row>
    <row r="267" spans="1:6" x14ac:dyDescent="0.2">
      <c r="A267" s="4">
        <v>44853</v>
      </c>
      <c r="B267" s="5">
        <v>108.55</v>
      </c>
      <c r="C267" s="5">
        <v>112.5</v>
      </c>
      <c r="D267" s="5">
        <v>108.25</v>
      </c>
      <c r="E267" s="5">
        <v>108.25</v>
      </c>
      <c r="F267" s="6">
        <v>4693</v>
      </c>
    </row>
    <row r="268" spans="1:6" x14ac:dyDescent="0.2">
      <c r="A268" s="4">
        <v>44854</v>
      </c>
      <c r="B268" s="5">
        <v>106.72</v>
      </c>
      <c r="C268" s="5">
        <v>109.88</v>
      </c>
      <c r="D268" s="5">
        <v>106.0625</v>
      </c>
      <c r="E268" s="5">
        <v>109.88</v>
      </c>
      <c r="F268" s="6">
        <v>1670</v>
      </c>
    </row>
    <row r="269" spans="1:6" x14ac:dyDescent="0.2">
      <c r="A269" s="4">
        <v>44855</v>
      </c>
      <c r="B269" s="5">
        <v>107.25</v>
      </c>
      <c r="C269" s="5">
        <v>109.9</v>
      </c>
      <c r="D269" s="5">
        <v>105.5</v>
      </c>
      <c r="E269" s="5">
        <v>109.9</v>
      </c>
      <c r="F269" s="6">
        <v>3904</v>
      </c>
    </row>
    <row r="270" spans="1:6" x14ac:dyDescent="0.2">
      <c r="A270" s="4">
        <v>44858</v>
      </c>
      <c r="B270" s="5">
        <v>110</v>
      </c>
      <c r="C270" s="5">
        <v>112.02</v>
      </c>
      <c r="D270" s="5">
        <v>106.01</v>
      </c>
      <c r="E270" s="5">
        <v>108.96</v>
      </c>
      <c r="F270" s="6">
        <v>6730</v>
      </c>
    </row>
    <row r="271" spans="1:6" x14ac:dyDescent="0.2">
      <c r="A271" s="4">
        <v>44859</v>
      </c>
      <c r="B271" s="5">
        <v>110.75</v>
      </c>
      <c r="C271" s="5">
        <v>112.02</v>
      </c>
      <c r="D271" s="5">
        <v>110.75</v>
      </c>
      <c r="E271" s="5">
        <v>111.1999</v>
      </c>
      <c r="F271" s="6">
        <v>2233</v>
      </c>
    </row>
    <row r="272" spans="1:6" x14ac:dyDescent="0.2">
      <c r="A272" s="4">
        <v>44860</v>
      </c>
      <c r="B272" s="5">
        <v>111.3</v>
      </c>
      <c r="C272" s="5">
        <v>114.47499999999999</v>
      </c>
      <c r="D272" s="5">
        <v>111.3</v>
      </c>
      <c r="E272" s="5">
        <v>114.47499999999999</v>
      </c>
      <c r="F272" s="6">
        <v>2130</v>
      </c>
    </row>
    <row r="273" spans="1:6" x14ac:dyDescent="0.2">
      <c r="A273" s="4">
        <v>44861</v>
      </c>
      <c r="B273" s="5">
        <v>116.16</v>
      </c>
      <c r="C273" s="5">
        <v>116.4</v>
      </c>
      <c r="D273" s="5">
        <v>113.8</v>
      </c>
      <c r="E273" s="5">
        <v>115.35</v>
      </c>
      <c r="F273" s="6">
        <v>5511</v>
      </c>
    </row>
    <row r="274" spans="1:6" x14ac:dyDescent="0.2">
      <c r="A274" s="4">
        <v>44862</v>
      </c>
      <c r="B274" s="5">
        <v>116.85</v>
      </c>
      <c r="C274" s="5">
        <v>118.9</v>
      </c>
      <c r="D274" s="5">
        <v>114.4</v>
      </c>
      <c r="E274" s="5">
        <v>114.4</v>
      </c>
      <c r="F274" s="6">
        <v>5649</v>
      </c>
    </row>
    <row r="275" spans="1:6" x14ac:dyDescent="0.2">
      <c r="A275" s="4">
        <v>44865</v>
      </c>
      <c r="B275" s="5">
        <v>116.35</v>
      </c>
      <c r="C275" s="5">
        <v>119.04</v>
      </c>
      <c r="D275" s="5">
        <v>116.06</v>
      </c>
      <c r="E275" s="5">
        <v>116.44</v>
      </c>
      <c r="F275" s="6">
        <v>5395</v>
      </c>
    </row>
    <row r="276" spans="1:6" x14ac:dyDescent="0.2">
      <c r="A276" s="4">
        <v>44866</v>
      </c>
      <c r="B276" s="5">
        <v>118.6</v>
      </c>
      <c r="C276" s="5">
        <v>120.66</v>
      </c>
      <c r="D276" s="5">
        <v>116.71</v>
      </c>
      <c r="E276" s="5">
        <v>118.1</v>
      </c>
      <c r="F276" s="6">
        <v>1462</v>
      </c>
    </row>
    <row r="277" spans="1:6" x14ac:dyDescent="0.2">
      <c r="A277" s="4">
        <v>44867</v>
      </c>
      <c r="B277" s="5">
        <v>119.04</v>
      </c>
      <c r="C277" s="5">
        <v>120.7705</v>
      </c>
      <c r="D277" s="5">
        <v>119.04</v>
      </c>
      <c r="E277" s="5">
        <v>120</v>
      </c>
      <c r="F277" s="6">
        <v>2061</v>
      </c>
    </row>
    <row r="278" spans="1:6" x14ac:dyDescent="0.2">
      <c r="A278" s="4">
        <v>44868</v>
      </c>
      <c r="B278" s="5">
        <v>117.2</v>
      </c>
      <c r="C278" s="5">
        <v>120.95</v>
      </c>
      <c r="D278" s="5">
        <v>117.2</v>
      </c>
      <c r="E278" s="5">
        <v>120.95</v>
      </c>
      <c r="F278" s="6">
        <v>5713</v>
      </c>
    </row>
    <row r="279" spans="1:6" x14ac:dyDescent="0.2">
      <c r="A279" s="4">
        <v>44869</v>
      </c>
      <c r="B279" s="5">
        <v>119.72</v>
      </c>
      <c r="C279" s="5">
        <v>122.92</v>
      </c>
      <c r="D279" s="5">
        <v>117.66</v>
      </c>
      <c r="E279" s="5">
        <v>119.94</v>
      </c>
      <c r="F279" s="6">
        <v>2171</v>
      </c>
    </row>
    <row r="280" spans="1:6" x14ac:dyDescent="0.2">
      <c r="A280" s="4">
        <v>44872</v>
      </c>
      <c r="B280" s="5">
        <v>123.04</v>
      </c>
      <c r="C280" s="5">
        <v>123.04</v>
      </c>
      <c r="D280" s="5">
        <v>120.22</v>
      </c>
      <c r="E280" s="5">
        <v>120.22</v>
      </c>
      <c r="F280" s="6">
        <v>4576</v>
      </c>
    </row>
    <row r="281" spans="1:6" x14ac:dyDescent="0.2">
      <c r="A281" s="4">
        <v>44873</v>
      </c>
      <c r="B281" s="5">
        <v>123.21</v>
      </c>
      <c r="C281" s="5">
        <v>123.21</v>
      </c>
      <c r="D281" s="5">
        <v>121.24</v>
      </c>
      <c r="E281" s="5">
        <v>121.24</v>
      </c>
      <c r="F281" s="6">
        <v>1001</v>
      </c>
    </row>
    <row r="282" spans="1:6" x14ac:dyDescent="0.2">
      <c r="A282" s="4">
        <v>44874</v>
      </c>
      <c r="B282" s="5">
        <v>121.54</v>
      </c>
      <c r="C282" s="5">
        <v>123.54</v>
      </c>
      <c r="D282" s="5">
        <v>120.5</v>
      </c>
      <c r="E282" s="5">
        <v>120.5</v>
      </c>
      <c r="F282" s="6">
        <v>3073</v>
      </c>
    </row>
    <row r="283" spans="1:6" x14ac:dyDescent="0.2">
      <c r="A283" s="4">
        <v>44875</v>
      </c>
      <c r="B283" s="5">
        <v>128</v>
      </c>
      <c r="C283" s="5">
        <v>132</v>
      </c>
      <c r="D283" s="5">
        <v>127.28</v>
      </c>
      <c r="E283" s="5">
        <v>127.28</v>
      </c>
      <c r="F283" s="6">
        <v>6391</v>
      </c>
    </row>
    <row r="284" spans="1:6" x14ac:dyDescent="0.2">
      <c r="A284" s="4">
        <v>44876</v>
      </c>
      <c r="B284" s="5">
        <v>129.465</v>
      </c>
      <c r="C284" s="5">
        <v>129.465</v>
      </c>
      <c r="D284" s="5">
        <v>123.1</v>
      </c>
      <c r="E284" s="5">
        <v>123.85</v>
      </c>
      <c r="F284" s="6">
        <v>2391</v>
      </c>
    </row>
    <row r="285" spans="1:6" x14ac:dyDescent="0.2">
      <c r="A285" s="4">
        <v>44879</v>
      </c>
      <c r="B285" s="5">
        <v>128.97999999999999</v>
      </c>
      <c r="C285" s="5">
        <v>129.5</v>
      </c>
      <c r="D285" s="5">
        <v>126.38</v>
      </c>
      <c r="E285" s="5">
        <v>126.44</v>
      </c>
      <c r="F285" s="6">
        <v>2016</v>
      </c>
    </row>
    <row r="286" spans="1:6" x14ac:dyDescent="0.2">
      <c r="A286" s="4">
        <v>44880</v>
      </c>
      <c r="B286" s="5">
        <v>128.24</v>
      </c>
      <c r="C286" s="5">
        <v>128.24</v>
      </c>
      <c r="D286" s="5">
        <v>125.94</v>
      </c>
      <c r="E286" s="5">
        <v>125.94</v>
      </c>
      <c r="F286" s="6">
        <v>666</v>
      </c>
    </row>
    <row r="287" spans="1:6" x14ac:dyDescent="0.2">
      <c r="A287" s="4">
        <v>44881</v>
      </c>
      <c r="B287" s="5">
        <v>128.82</v>
      </c>
      <c r="C287" s="5">
        <v>128.82</v>
      </c>
      <c r="D287" s="5">
        <v>125.66</v>
      </c>
      <c r="E287" s="5">
        <v>126.2</v>
      </c>
      <c r="F287" s="6">
        <v>2334</v>
      </c>
    </row>
    <row r="288" spans="1:6" x14ac:dyDescent="0.2">
      <c r="A288" s="4">
        <v>44882</v>
      </c>
      <c r="B288" s="5">
        <v>126</v>
      </c>
      <c r="C288" s="5">
        <v>126.4599</v>
      </c>
      <c r="D288" s="5">
        <v>125.25</v>
      </c>
      <c r="E288" s="5">
        <v>126.4599</v>
      </c>
      <c r="F288" s="6">
        <v>1965</v>
      </c>
    </row>
    <row r="289" spans="1:6" x14ac:dyDescent="0.2">
      <c r="A289" s="4">
        <v>44883</v>
      </c>
      <c r="B289" s="5">
        <v>131.15</v>
      </c>
      <c r="C289" s="5">
        <v>131.15</v>
      </c>
      <c r="D289" s="5">
        <v>127.9</v>
      </c>
      <c r="E289" s="5">
        <v>127.9</v>
      </c>
      <c r="F289" s="6">
        <v>1788</v>
      </c>
    </row>
    <row r="290" spans="1:6" x14ac:dyDescent="0.2">
      <c r="A290" s="4">
        <v>44886</v>
      </c>
      <c r="B290" s="5">
        <v>131.85</v>
      </c>
      <c r="C290" s="5">
        <v>131.85</v>
      </c>
      <c r="D290" s="5">
        <v>129.75989999999999</v>
      </c>
      <c r="E290" s="5">
        <v>129.75989999999999</v>
      </c>
      <c r="F290" s="6">
        <v>2289</v>
      </c>
    </row>
    <row r="291" spans="1:6" x14ac:dyDescent="0.2">
      <c r="A291" s="4">
        <v>44887</v>
      </c>
      <c r="B291" s="5">
        <v>130</v>
      </c>
      <c r="C291" s="5">
        <v>131</v>
      </c>
      <c r="D291" s="5">
        <v>130</v>
      </c>
      <c r="E291" s="5">
        <v>130.125</v>
      </c>
      <c r="F291" s="6">
        <v>3144</v>
      </c>
    </row>
    <row r="292" spans="1:6" x14ac:dyDescent="0.2">
      <c r="A292" s="4">
        <v>44888</v>
      </c>
      <c r="B292" s="5">
        <v>132</v>
      </c>
      <c r="C292" s="5">
        <v>133.32</v>
      </c>
      <c r="D292" s="5">
        <v>130.56</v>
      </c>
      <c r="E292" s="5">
        <v>130.56</v>
      </c>
      <c r="F292" s="6">
        <v>1641</v>
      </c>
    </row>
    <row r="293" spans="1:6" x14ac:dyDescent="0.2">
      <c r="A293" s="4">
        <v>44890</v>
      </c>
      <c r="B293" s="5">
        <v>132.94</v>
      </c>
      <c r="C293" s="5">
        <v>133.25</v>
      </c>
      <c r="D293" s="5">
        <v>132.94</v>
      </c>
      <c r="E293" s="5">
        <v>133.25</v>
      </c>
      <c r="F293" s="6">
        <v>1802</v>
      </c>
    </row>
    <row r="294" spans="1:6" x14ac:dyDescent="0.2">
      <c r="A294" s="4">
        <v>44893</v>
      </c>
      <c r="B294" s="5">
        <v>132.75</v>
      </c>
      <c r="C294" s="5">
        <v>134.19999999999999</v>
      </c>
      <c r="D294" s="5">
        <v>131.46</v>
      </c>
      <c r="E294" s="5">
        <v>133.9</v>
      </c>
      <c r="F294" s="6">
        <v>2069</v>
      </c>
    </row>
    <row r="295" spans="1:6" x14ac:dyDescent="0.2">
      <c r="A295" s="4">
        <v>44894</v>
      </c>
      <c r="B295" s="5">
        <v>131.31</v>
      </c>
      <c r="C295" s="5">
        <v>131.31</v>
      </c>
      <c r="D295" s="5">
        <v>131.31</v>
      </c>
      <c r="E295" s="5">
        <v>131.31</v>
      </c>
      <c r="F295" s="6">
        <v>669</v>
      </c>
    </row>
    <row r="296" spans="1:6" x14ac:dyDescent="0.2">
      <c r="A296" s="4">
        <v>44895</v>
      </c>
      <c r="B296" s="5">
        <v>132.1</v>
      </c>
      <c r="C296" s="5">
        <v>132.1</v>
      </c>
      <c r="D296" s="5">
        <v>132.1</v>
      </c>
      <c r="E296" s="5">
        <v>132.1</v>
      </c>
      <c r="F296" s="6">
        <v>5004</v>
      </c>
    </row>
    <row r="297" spans="1:6" x14ac:dyDescent="0.2">
      <c r="A297" s="4">
        <v>44896</v>
      </c>
      <c r="B297" s="5">
        <v>136.52000000000001</v>
      </c>
      <c r="C297" s="5">
        <v>138.25</v>
      </c>
      <c r="D297" s="5">
        <v>136.52000000000001</v>
      </c>
      <c r="E297" s="5">
        <v>138.25</v>
      </c>
      <c r="F297" s="6">
        <v>1912</v>
      </c>
    </row>
    <row r="298" spans="1:6" x14ac:dyDescent="0.2">
      <c r="A298" s="4">
        <v>44897</v>
      </c>
      <c r="B298" s="5">
        <v>137.4</v>
      </c>
      <c r="C298" s="5">
        <v>137.51</v>
      </c>
      <c r="D298" s="5">
        <v>136.75</v>
      </c>
      <c r="E298" s="5">
        <v>137</v>
      </c>
      <c r="F298" s="6">
        <v>3078</v>
      </c>
    </row>
    <row r="299" spans="1:6" x14ac:dyDescent="0.2">
      <c r="A299" s="4">
        <v>44900</v>
      </c>
      <c r="B299" s="5">
        <v>137.65</v>
      </c>
      <c r="C299" s="5">
        <v>138.19999999999999</v>
      </c>
      <c r="D299" s="5">
        <v>136.55000000000001</v>
      </c>
      <c r="E299" s="5">
        <v>136.75</v>
      </c>
      <c r="F299" s="6">
        <v>5027</v>
      </c>
    </row>
    <row r="300" spans="1:6" x14ac:dyDescent="0.2">
      <c r="A300" s="4">
        <v>44901</v>
      </c>
      <c r="B300" s="5">
        <v>136.75</v>
      </c>
      <c r="C300" s="5">
        <v>136.75</v>
      </c>
      <c r="D300" s="5">
        <v>136.75</v>
      </c>
      <c r="E300" s="5">
        <v>136.75</v>
      </c>
      <c r="F300" s="6"/>
    </row>
    <row r="301" spans="1:6" x14ac:dyDescent="0.2">
      <c r="A301" s="4">
        <v>44902</v>
      </c>
      <c r="B301" s="5">
        <v>135.97989999999999</v>
      </c>
      <c r="C301" s="5">
        <v>136.81</v>
      </c>
      <c r="D301" s="5">
        <v>135.97989999999999</v>
      </c>
      <c r="E301" s="5">
        <v>136</v>
      </c>
      <c r="F301" s="6">
        <v>1311</v>
      </c>
    </row>
    <row r="302" spans="1:6" x14ac:dyDescent="0.2">
      <c r="A302" s="4">
        <v>44903</v>
      </c>
      <c r="B302" s="5">
        <v>139.04</v>
      </c>
      <c r="C302" s="5">
        <v>139.04</v>
      </c>
      <c r="D302" s="5">
        <v>139.04</v>
      </c>
      <c r="E302" s="5">
        <v>139.04</v>
      </c>
      <c r="F302" s="6">
        <v>596</v>
      </c>
    </row>
    <row r="303" spans="1:6" x14ac:dyDescent="0.2">
      <c r="A303" s="4">
        <v>44904</v>
      </c>
      <c r="B303" s="5">
        <v>140.15</v>
      </c>
      <c r="C303" s="5">
        <v>140.4</v>
      </c>
      <c r="D303" s="5">
        <v>138.96</v>
      </c>
      <c r="E303" s="5">
        <v>139.44999999999999</v>
      </c>
      <c r="F303" s="6">
        <v>1485</v>
      </c>
    </row>
    <row r="304" spans="1:6" x14ac:dyDescent="0.2">
      <c r="A304" s="4">
        <v>44907</v>
      </c>
      <c r="B304" s="5">
        <v>139.5</v>
      </c>
      <c r="C304" s="5">
        <v>139.85</v>
      </c>
      <c r="D304" s="5">
        <v>138.55009999999999</v>
      </c>
      <c r="E304" s="5">
        <v>138.55009999999999</v>
      </c>
      <c r="F304" s="6">
        <v>2483</v>
      </c>
    </row>
    <row r="305" spans="1:6" x14ac:dyDescent="0.2">
      <c r="A305" s="4">
        <v>44908</v>
      </c>
      <c r="B305" s="5">
        <v>139.5</v>
      </c>
      <c r="C305" s="5">
        <v>139.5</v>
      </c>
      <c r="D305" s="5">
        <v>139.5</v>
      </c>
      <c r="E305" s="5">
        <v>139.5</v>
      </c>
      <c r="F305" s="6">
        <v>1325</v>
      </c>
    </row>
    <row r="306" spans="1:6" x14ac:dyDescent="0.2">
      <c r="A306" s="4">
        <v>44909</v>
      </c>
      <c r="B306" s="5">
        <v>137.26</v>
      </c>
      <c r="C306" s="5">
        <v>139.75989999999999</v>
      </c>
      <c r="D306" s="5">
        <v>137.26</v>
      </c>
      <c r="E306" s="5">
        <v>139.75989999999999</v>
      </c>
      <c r="F306" s="6">
        <v>3426</v>
      </c>
    </row>
    <row r="307" spans="1:6" x14ac:dyDescent="0.2">
      <c r="A307" s="4">
        <v>44910</v>
      </c>
      <c r="B307" s="5">
        <v>139.96</v>
      </c>
      <c r="C307" s="5">
        <v>140.52000000000001</v>
      </c>
      <c r="D307" s="5">
        <v>137.97989999999999</v>
      </c>
      <c r="E307" s="5">
        <v>137.97989999999999</v>
      </c>
      <c r="F307" s="6">
        <v>2505</v>
      </c>
    </row>
    <row r="308" spans="1:6" x14ac:dyDescent="0.2">
      <c r="A308" s="4">
        <v>44911</v>
      </c>
      <c r="B308" s="5">
        <v>135.4375</v>
      </c>
      <c r="C308" s="5">
        <v>135.5</v>
      </c>
      <c r="D308" s="5">
        <v>135.09989999999999</v>
      </c>
      <c r="E308" s="5">
        <v>135.09989999999999</v>
      </c>
      <c r="F308" s="6">
        <v>1493</v>
      </c>
    </row>
    <row r="309" spans="1:6" x14ac:dyDescent="0.2">
      <c r="A309" s="4">
        <v>44914</v>
      </c>
      <c r="B309" s="5">
        <v>136.44</v>
      </c>
      <c r="C309" s="5">
        <v>136.52000000000001</v>
      </c>
      <c r="D309" s="5">
        <v>134.18</v>
      </c>
      <c r="E309" s="5">
        <v>136.52000000000001</v>
      </c>
      <c r="F309" s="6">
        <v>2482</v>
      </c>
    </row>
    <row r="310" spans="1:6" x14ac:dyDescent="0.2">
      <c r="A310" s="4">
        <v>44915</v>
      </c>
      <c r="B310" s="5">
        <v>136.30000000000001</v>
      </c>
      <c r="C310" s="5">
        <v>136.30000000000001</v>
      </c>
      <c r="D310" s="5">
        <v>133.63990000000001</v>
      </c>
      <c r="E310" s="5">
        <v>133.63990000000001</v>
      </c>
      <c r="F310" s="6">
        <v>711</v>
      </c>
    </row>
    <row r="311" spans="1:6" x14ac:dyDescent="0.2">
      <c r="A311" s="4">
        <v>44916</v>
      </c>
      <c r="B311" s="5">
        <v>137.16</v>
      </c>
      <c r="C311" s="5">
        <v>137.30000000000001</v>
      </c>
      <c r="D311" s="5">
        <v>134.65</v>
      </c>
      <c r="E311" s="5">
        <v>134.65</v>
      </c>
      <c r="F311" s="6">
        <v>1393</v>
      </c>
    </row>
    <row r="312" spans="1:6" x14ac:dyDescent="0.2">
      <c r="A312" s="4">
        <v>44917</v>
      </c>
      <c r="B312" s="5">
        <v>134.41990000000001</v>
      </c>
      <c r="C312" s="5">
        <v>134.41990000000001</v>
      </c>
      <c r="D312" s="5">
        <v>134.41990000000001</v>
      </c>
      <c r="E312" s="5">
        <v>134.41990000000001</v>
      </c>
      <c r="F312" s="6">
        <v>674</v>
      </c>
    </row>
    <row r="313" spans="1:6" x14ac:dyDescent="0.2">
      <c r="A313" s="4">
        <v>44918</v>
      </c>
      <c r="B313" s="5">
        <v>135.46</v>
      </c>
      <c r="C313" s="5">
        <v>136.4</v>
      </c>
      <c r="D313" s="5">
        <v>135.46</v>
      </c>
      <c r="E313" s="5">
        <v>136.4</v>
      </c>
      <c r="F313" s="6">
        <v>2514</v>
      </c>
    </row>
    <row r="314" spans="1:6" x14ac:dyDescent="0.2">
      <c r="A314" s="4">
        <v>44922</v>
      </c>
      <c r="B314" s="5">
        <v>136.66</v>
      </c>
      <c r="C314" s="5">
        <v>136.66</v>
      </c>
      <c r="D314" s="5">
        <v>136.66</v>
      </c>
      <c r="E314" s="5">
        <v>136.66</v>
      </c>
      <c r="F314" s="6">
        <v>748</v>
      </c>
    </row>
    <row r="315" spans="1:6" x14ac:dyDescent="0.2">
      <c r="A315" s="4">
        <v>44923</v>
      </c>
      <c r="B315" s="5">
        <v>135.16</v>
      </c>
      <c r="C315" s="5">
        <v>138</v>
      </c>
      <c r="D315" s="5">
        <v>135.16</v>
      </c>
      <c r="E315" s="5">
        <v>136</v>
      </c>
      <c r="F315" s="6">
        <v>639</v>
      </c>
    </row>
    <row r="316" spans="1:6" x14ac:dyDescent="0.2">
      <c r="A316" s="4">
        <v>44924</v>
      </c>
      <c r="B316" s="5">
        <v>135.75</v>
      </c>
      <c r="C316" s="5">
        <v>135.75</v>
      </c>
      <c r="D316" s="5">
        <v>135.10990000000001</v>
      </c>
      <c r="E316" s="5">
        <v>135.10990000000001</v>
      </c>
      <c r="F316" s="6">
        <v>1983</v>
      </c>
    </row>
    <row r="317" spans="1:6" x14ac:dyDescent="0.2">
      <c r="A317" s="4">
        <v>44925</v>
      </c>
      <c r="B317" s="5">
        <v>136.5625</v>
      </c>
      <c r="C317" s="5">
        <v>136.5625</v>
      </c>
      <c r="D317" s="5">
        <v>136.18</v>
      </c>
      <c r="E317" s="5">
        <v>136.22</v>
      </c>
      <c r="F317" s="6">
        <v>1414</v>
      </c>
    </row>
    <row r="318" spans="1:6" x14ac:dyDescent="0.2">
      <c r="A318" s="4">
        <v>44929</v>
      </c>
      <c r="B318" s="5">
        <v>136.44</v>
      </c>
      <c r="C318" s="5">
        <v>136.44</v>
      </c>
      <c r="D318" s="5">
        <v>136.44</v>
      </c>
      <c r="E318" s="5">
        <v>136.44</v>
      </c>
      <c r="F318" s="6">
        <v>629</v>
      </c>
    </row>
    <row r="319" spans="1:6" x14ac:dyDescent="0.2">
      <c r="A319" s="4">
        <v>44930</v>
      </c>
      <c r="B319" s="5">
        <v>138.75</v>
      </c>
      <c r="C319" s="5">
        <v>141.25</v>
      </c>
      <c r="D319" s="5">
        <v>138.03989999999999</v>
      </c>
      <c r="E319" s="5">
        <v>138.03989999999999</v>
      </c>
      <c r="F319" s="6">
        <v>1442</v>
      </c>
    </row>
    <row r="320" spans="1:6" x14ac:dyDescent="0.2">
      <c r="A320" s="4">
        <v>44931</v>
      </c>
      <c r="B320" s="5">
        <v>136.75</v>
      </c>
      <c r="C320" s="5">
        <v>140.96</v>
      </c>
      <c r="D320" s="5">
        <v>136.75</v>
      </c>
      <c r="E320" s="5">
        <v>140.96</v>
      </c>
      <c r="F320" s="6">
        <v>4184</v>
      </c>
    </row>
    <row r="321" spans="1:6" x14ac:dyDescent="0.2">
      <c r="A321" s="4">
        <v>44932</v>
      </c>
      <c r="B321" s="5">
        <v>140.55000000000001</v>
      </c>
      <c r="C321" s="5">
        <v>140.55000000000001</v>
      </c>
      <c r="D321" s="5">
        <v>140</v>
      </c>
      <c r="E321" s="5">
        <v>140.26</v>
      </c>
      <c r="F321" s="6">
        <v>3351</v>
      </c>
    </row>
    <row r="322" spans="1:6" x14ac:dyDescent="0.2">
      <c r="A322" s="4">
        <v>44935</v>
      </c>
      <c r="B322" s="5">
        <v>140.25</v>
      </c>
      <c r="C322" s="5">
        <v>140.25</v>
      </c>
      <c r="D322" s="5">
        <v>140.25</v>
      </c>
      <c r="E322" s="5">
        <v>140.25</v>
      </c>
      <c r="F322" s="6">
        <v>664</v>
      </c>
    </row>
    <row r="323" spans="1:6" x14ac:dyDescent="0.2">
      <c r="A323" s="4">
        <v>44936</v>
      </c>
      <c r="B323" s="5">
        <v>144.5</v>
      </c>
      <c r="C323" s="5">
        <v>144.5</v>
      </c>
      <c r="D323" s="5">
        <v>143.25</v>
      </c>
      <c r="E323" s="5">
        <v>143.96</v>
      </c>
      <c r="F323" s="6">
        <v>1987</v>
      </c>
    </row>
    <row r="324" spans="1:6" x14ac:dyDescent="0.2">
      <c r="A324" s="4">
        <v>44937</v>
      </c>
      <c r="B324" s="5">
        <v>142.12</v>
      </c>
      <c r="C324" s="5">
        <v>142.12</v>
      </c>
      <c r="D324" s="5">
        <v>140.94990000000001</v>
      </c>
      <c r="E324" s="5">
        <v>140.94990000000001</v>
      </c>
      <c r="F324" s="6">
        <v>1624</v>
      </c>
    </row>
    <row r="325" spans="1:6" x14ac:dyDescent="0.2">
      <c r="A325" s="4">
        <v>44938</v>
      </c>
      <c r="B325" s="5">
        <v>138.66</v>
      </c>
      <c r="C325" s="5">
        <v>138.66</v>
      </c>
      <c r="D325" s="5">
        <v>138.66</v>
      </c>
      <c r="E325" s="5">
        <v>138.66</v>
      </c>
      <c r="F325" s="6">
        <v>587</v>
      </c>
    </row>
    <row r="326" spans="1:6" x14ac:dyDescent="0.2">
      <c r="A326" s="4">
        <v>44939</v>
      </c>
      <c r="B326" s="5">
        <v>142.5</v>
      </c>
      <c r="C326" s="5">
        <v>143.4</v>
      </c>
      <c r="D326" s="5">
        <v>139.05000000000001</v>
      </c>
      <c r="E326" s="5">
        <v>143.4</v>
      </c>
      <c r="F326" s="6">
        <v>2603</v>
      </c>
    </row>
    <row r="327" spans="1:6" x14ac:dyDescent="0.2">
      <c r="A327" s="4">
        <v>44943</v>
      </c>
      <c r="B327" s="5">
        <v>142.05000000000001</v>
      </c>
      <c r="C327" s="5">
        <v>143.625</v>
      </c>
      <c r="D327" s="5">
        <v>142</v>
      </c>
      <c r="E327" s="5">
        <v>143.625</v>
      </c>
      <c r="F327" s="6">
        <v>1099</v>
      </c>
    </row>
    <row r="328" spans="1:6" x14ac:dyDescent="0.2">
      <c r="A328" s="4">
        <v>44944</v>
      </c>
      <c r="B328" s="5">
        <v>141.96</v>
      </c>
      <c r="C328" s="5">
        <v>144.26</v>
      </c>
      <c r="D328" s="5">
        <v>141.19990000000001</v>
      </c>
      <c r="E328" s="5">
        <v>141.19990000000001</v>
      </c>
      <c r="F328" s="6">
        <v>1348</v>
      </c>
    </row>
    <row r="329" spans="1:6" x14ac:dyDescent="0.2">
      <c r="A329" s="4">
        <v>44945</v>
      </c>
      <c r="B329" s="5">
        <v>143.28</v>
      </c>
      <c r="C329" s="5">
        <v>143.32</v>
      </c>
      <c r="D329" s="5">
        <v>140.00989999999999</v>
      </c>
      <c r="E329" s="5">
        <v>140.00989999999999</v>
      </c>
      <c r="F329" s="6">
        <v>1538</v>
      </c>
    </row>
    <row r="330" spans="1:6" x14ac:dyDescent="0.2">
      <c r="A330" s="4">
        <v>44946</v>
      </c>
      <c r="B330" s="5">
        <v>138.25</v>
      </c>
      <c r="C330" s="5">
        <v>139.32</v>
      </c>
      <c r="D330" s="5">
        <v>136.46</v>
      </c>
      <c r="E330" s="5">
        <v>136.46</v>
      </c>
      <c r="F330" s="6">
        <v>1537</v>
      </c>
    </row>
    <row r="331" spans="1:6" x14ac:dyDescent="0.2">
      <c r="A331" s="4">
        <v>44949</v>
      </c>
      <c r="B331" s="5">
        <v>136.69999999999999</v>
      </c>
      <c r="C331" s="5">
        <v>137.86000000000001</v>
      </c>
      <c r="D331" s="5">
        <v>133.68</v>
      </c>
      <c r="E331" s="5">
        <v>133.68</v>
      </c>
      <c r="F331" s="6">
        <v>1415</v>
      </c>
    </row>
    <row r="332" spans="1:6" x14ac:dyDescent="0.2">
      <c r="A332" s="4">
        <v>44950</v>
      </c>
      <c r="B332" s="5">
        <v>129.5</v>
      </c>
      <c r="C332" s="5">
        <v>129.5</v>
      </c>
      <c r="D332" s="5">
        <v>129.5</v>
      </c>
      <c r="E332" s="5">
        <v>129.5</v>
      </c>
      <c r="F332" s="6">
        <v>571</v>
      </c>
    </row>
    <row r="333" spans="1:6" x14ac:dyDescent="0.2">
      <c r="A333" s="4">
        <v>44951</v>
      </c>
      <c r="B333" s="5">
        <v>133.65</v>
      </c>
      <c r="C333" s="5">
        <v>134.5</v>
      </c>
      <c r="D333" s="5">
        <v>131.69990000000001</v>
      </c>
      <c r="E333" s="5">
        <v>131.72</v>
      </c>
      <c r="F333" s="6">
        <v>2234</v>
      </c>
    </row>
    <row r="334" spans="1:6" x14ac:dyDescent="0.2">
      <c r="A334" s="4">
        <v>44952</v>
      </c>
      <c r="B334" s="5">
        <v>133.28</v>
      </c>
      <c r="C334" s="5">
        <v>133.28</v>
      </c>
      <c r="D334" s="5">
        <v>130.65</v>
      </c>
      <c r="E334" s="5">
        <v>130.65</v>
      </c>
      <c r="F334" s="6">
        <v>2080</v>
      </c>
    </row>
    <row r="335" spans="1:6" x14ac:dyDescent="0.2">
      <c r="A335" s="4">
        <v>44953</v>
      </c>
      <c r="B335" s="5">
        <v>130.25</v>
      </c>
      <c r="C335" s="5">
        <v>130.4</v>
      </c>
      <c r="D335" s="5">
        <v>129.81989999999999</v>
      </c>
      <c r="E335" s="5">
        <v>129.81989999999999</v>
      </c>
      <c r="F335" s="6">
        <v>1332</v>
      </c>
    </row>
    <row r="336" spans="1:6" x14ac:dyDescent="0.2">
      <c r="A336" s="4">
        <v>44956</v>
      </c>
      <c r="B336" s="5">
        <v>131.24</v>
      </c>
      <c r="C336" s="5">
        <v>134.1</v>
      </c>
      <c r="D336" s="5">
        <v>129.36000000000001</v>
      </c>
      <c r="E336" s="5">
        <v>129.36000000000001</v>
      </c>
      <c r="F336" s="6">
        <v>2227</v>
      </c>
    </row>
    <row r="337" spans="1:6" x14ac:dyDescent="0.2">
      <c r="A337" s="4">
        <v>44957</v>
      </c>
      <c r="B337" s="5">
        <v>128</v>
      </c>
      <c r="C337" s="5">
        <v>128</v>
      </c>
      <c r="D337" s="5">
        <v>128</v>
      </c>
      <c r="E337" s="5">
        <v>128</v>
      </c>
      <c r="F337" s="6">
        <v>328</v>
      </c>
    </row>
    <row r="338" spans="1:6" x14ac:dyDescent="0.2">
      <c r="A338" s="4">
        <v>44958</v>
      </c>
      <c r="B338" s="5">
        <v>126.84</v>
      </c>
      <c r="C338" s="5">
        <v>127.8</v>
      </c>
      <c r="D338" s="5">
        <v>126.65</v>
      </c>
      <c r="E338" s="5">
        <v>127.8</v>
      </c>
      <c r="F338" s="6">
        <v>2304</v>
      </c>
    </row>
    <row r="339" spans="1:6" x14ac:dyDescent="0.2">
      <c r="A339" s="4">
        <v>44959</v>
      </c>
      <c r="B339" s="5">
        <v>124.86</v>
      </c>
      <c r="C339" s="5">
        <v>127.5</v>
      </c>
      <c r="D339" s="5">
        <v>124.72</v>
      </c>
      <c r="E339" s="5">
        <v>127.08</v>
      </c>
      <c r="F339" s="6">
        <v>3006</v>
      </c>
    </row>
    <row r="340" spans="1:6" x14ac:dyDescent="0.2">
      <c r="A340" s="4">
        <v>44960</v>
      </c>
      <c r="B340" s="5">
        <v>126.28</v>
      </c>
      <c r="C340" s="5">
        <v>129</v>
      </c>
      <c r="D340" s="5">
        <v>126.28</v>
      </c>
      <c r="E340" s="5">
        <v>128.4</v>
      </c>
      <c r="F340" s="6">
        <v>2166</v>
      </c>
    </row>
    <row r="341" spans="1:6" x14ac:dyDescent="0.2">
      <c r="A341" s="4">
        <v>44963</v>
      </c>
      <c r="B341" s="5">
        <v>125.78</v>
      </c>
      <c r="C341" s="5">
        <v>126.36</v>
      </c>
      <c r="D341" s="5">
        <v>125.76</v>
      </c>
      <c r="E341" s="5">
        <v>125.92</v>
      </c>
      <c r="F341" s="6">
        <v>1469</v>
      </c>
    </row>
    <row r="342" spans="1:6" x14ac:dyDescent="0.2">
      <c r="A342" s="4">
        <v>44964</v>
      </c>
      <c r="B342" s="5">
        <v>128.69999999999999</v>
      </c>
      <c r="C342" s="5">
        <v>128.69999999999999</v>
      </c>
      <c r="D342" s="5">
        <v>128.69999999999999</v>
      </c>
      <c r="E342" s="5">
        <v>128.69999999999999</v>
      </c>
      <c r="F342" s="6">
        <v>584</v>
      </c>
    </row>
    <row r="343" spans="1:6" x14ac:dyDescent="0.2">
      <c r="A343" s="4">
        <v>44965</v>
      </c>
      <c r="B343" s="5">
        <v>128.63990000000001</v>
      </c>
      <c r="C343" s="5">
        <v>128.63990000000001</v>
      </c>
      <c r="D343" s="5">
        <v>128.01</v>
      </c>
      <c r="E343" s="5">
        <v>128.01</v>
      </c>
      <c r="F343" s="6">
        <v>2138</v>
      </c>
    </row>
    <row r="344" spans="1:6" x14ac:dyDescent="0.2">
      <c r="A344" s="4">
        <v>44966</v>
      </c>
      <c r="B344" s="5">
        <v>135.78</v>
      </c>
      <c r="C344" s="5">
        <v>138.15</v>
      </c>
      <c r="D344" s="5">
        <v>135.78</v>
      </c>
      <c r="E344" s="5">
        <v>136.25</v>
      </c>
      <c r="F344" s="6">
        <v>1065</v>
      </c>
    </row>
    <row r="345" spans="1:6" x14ac:dyDescent="0.2">
      <c r="A345" s="4">
        <v>44967</v>
      </c>
      <c r="B345" s="5">
        <v>138.52000000000001</v>
      </c>
      <c r="C345" s="5">
        <v>139.28</v>
      </c>
      <c r="D345" s="5">
        <v>138.52000000000001</v>
      </c>
      <c r="E345" s="5">
        <v>139.28</v>
      </c>
      <c r="F345" s="6">
        <v>1969</v>
      </c>
    </row>
    <row r="346" spans="1:6" x14ac:dyDescent="0.2">
      <c r="A346" s="4">
        <v>44970</v>
      </c>
      <c r="B346" s="5">
        <v>139.28</v>
      </c>
      <c r="C346" s="5">
        <v>139.28</v>
      </c>
      <c r="D346" s="5">
        <v>139.28</v>
      </c>
      <c r="E346" s="5">
        <v>139.28</v>
      </c>
      <c r="F346" s="6"/>
    </row>
    <row r="347" spans="1:6" x14ac:dyDescent="0.2">
      <c r="A347" s="4">
        <v>44971</v>
      </c>
      <c r="B347" s="5">
        <v>139.88</v>
      </c>
      <c r="C347" s="5">
        <v>142</v>
      </c>
      <c r="D347" s="5">
        <v>137.25</v>
      </c>
      <c r="E347" s="5">
        <v>137.25</v>
      </c>
      <c r="F347" s="6">
        <v>1459</v>
      </c>
    </row>
    <row r="348" spans="1:6" x14ac:dyDescent="0.2">
      <c r="A348" s="4">
        <v>44972</v>
      </c>
      <c r="B348" s="5">
        <v>138.16</v>
      </c>
      <c r="C348" s="5">
        <v>140.78</v>
      </c>
      <c r="D348" s="5">
        <v>138.16</v>
      </c>
      <c r="E348" s="5">
        <v>140.78</v>
      </c>
      <c r="F348" s="6">
        <v>1035</v>
      </c>
    </row>
    <row r="349" spans="1:6" x14ac:dyDescent="0.2">
      <c r="A349" s="4">
        <v>44973</v>
      </c>
      <c r="B349" s="5">
        <v>136.74</v>
      </c>
      <c r="C349" s="5">
        <v>137.94</v>
      </c>
      <c r="D349" s="5">
        <v>134.58000000000001</v>
      </c>
      <c r="E349" s="5">
        <v>137.94</v>
      </c>
      <c r="F349" s="6">
        <v>1731</v>
      </c>
    </row>
    <row r="350" spans="1:6" x14ac:dyDescent="0.2">
      <c r="A350" s="4">
        <v>44974</v>
      </c>
      <c r="B350" s="5">
        <v>138.75</v>
      </c>
      <c r="C350" s="5">
        <v>139.05000000000001</v>
      </c>
      <c r="D350" s="5">
        <v>136.4</v>
      </c>
      <c r="E350" s="5">
        <v>136.4</v>
      </c>
      <c r="F350" s="6">
        <v>4485</v>
      </c>
    </row>
    <row r="351" spans="1:6" x14ac:dyDescent="0.2">
      <c r="A351" s="4">
        <v>44978</v>
      </c>
      <c r="B351" s="5">
        <v>139.16999999999999</v>
      </c>
      <c r="C351" s="5">
        <v>140.52000000000001</v>
      </c>
      <c r="D351" s="5">
        <v>137.5</v>
      </c>
      <c r="E351" s="5">
        <v>140.52000000000001</v>
      </c>
      <c r="F351" s="6">
        <v>1286</v>
      </c>
    </row>
    <row r="352" spans="1:6" x14ac:dyDescent="0.2">
      <c r="A352" s="4">
        <v>44979</v>
      </c>
      <c r="B352" s="5">
        <v>139.84</v>
      </c>
      <c r="C352" s="5">
        <v>140.04</v>
      </c>
      <c r="D352" s="5">
        <v>137.81989999999999</v>
      </c>
      <c r="E352" s="5">
        <v>140.04</v>
      </c>
      <c r="F352" s="6">
        <v>768</v>
      </c>
    </row>
    <row r="353" spans="1:6" x14ac:dyDescent="0.2">
      <c r="A353" s="4">
        <v>44980</v>
      </c>
      <c r="B353" s="5">
        <v>136.13999999999999</v>
      </c>
      <c r="C353" s="5">
        <v>136.13999999999999</v>
      </c>
      <c r="D353" s="5">
        <v>134.74</v>
      </c>
      <c r="E353" s="5">
        <v>134.74</v>
      </c>
      <c r="F353" s="6">
        <v>776</v>
      </c>
    </row>
    <row r="354" spans="1:6" x14ac:dyDescent="0.2">
      <c r="A354" s="4">
        <v>44981</v>
      </c>
      <c r="B354" s="5">
        <v>133.05000000000001</v>
      </c>
      <c r="C354" s="5">
        <v>133.83000000000001</v>
      </c>
      <c r="D354" s="5">
        <v>133.05000000000001</v>
      </c>
      <c r="E354" s="5">
        <v>133.83000000000001</v>
      </c>
      <c r="F354" s="6">
        <v>1432</v>
      </c>
    </row>
    <row r="355" spans="1:6" x14ac:dyDescent="0.2">
      <c r="A355" s="4">
        <v>44984</v>
      </c>
      <c r="B355" s="5">
        <v>134.63999999999999</v>
      </c>
      <c r="C355" s="5">
        <v>135.32</v>
      </c>
      <c r="D355" s="5">
        <v>132.74</v>
      </c>
      <c r="E355" s="5">
        <v>135.32</v>
      </c>
      <c r="F355" s="6">
        <v>1106</v>
      </c>
    </row>
    <row r="356" spans="1:6" x14ac:dyDescent="0.2">
      <c r="A356" s="4">
        <v>44985</v>
      </c>
      <c r="B356" s="5">
        <v>130.85</v>
      </c>
      <c r="C356" s="5">
        <v>130.85</v>
      </c>
      <c r="D356" s="5">
        <v>129.22</v>
      </c>
      <c r="E356" s="5">
        <v>129.22</v>
      </c>
      <c r="F356" s="6">
        <v>736</v>
      </c>
    </row>
    <row r="357" spans="1:6" x14ac:dyDescent="0.2">
      <c r="A357" s="4">
        <v>44986</v>
      </c>
      <c r="B357" s="5">
        <v>128.26</v>
      </c>
      <c r="C357" s="5">
        <v>131.18</v>
      </c>
      <c r="D357" s="5">
        <v>128.26</v>
      </c>
      <c r="E357" s="5">
        <v>128.6</v>
      </c>
      <c r="F357" s="6">
        <v>3065</v>
      </c>
    </row>
    <row r="358" spans="1:6" x14ac:dyDescent="0.2">
      <c r="A358" s="4">
        <v>44987</v>
      </c>
      <c r="B358" s="5">
        <v>129.69999999999999</v>
      </c>
      <c r="C358" s="5">
        <v>131.56</v>
      </c>
      <c r="D358" s="5">
        <v>129.16</v>
      </c>
      <c r="E358" s="5">
        <v>131.56</v>
      </c>
      <c r="F358" s="6">
        <v>9086</v>
      </c>
    </row>
    <row r="359" spans="1:6" x14ac:dyDescent="0.2">
      <c r="A359" s="4">
        <v>44988</v>
      </c>
      <c r="B359" s="5">
        <v>130.25</v>
      </c>
      <c r="C359" s="5">
        <v>131.19999999999999</v>
      </c>
      <c r="D359" s="5">
        <v>130</v>
      </c>
      <c r="E359" s="5">
        <v>130</v>
      </c>
      <c r="F359" s="6">
        <v>1716</v>
      </c>
    </row>
    <row r="360" spans="1:6" x14ac:dyDescent="0.2">
      <c r="A360" s="4">
        <v>44991</v>
      </c>
      <c r="B360" s="5">
        <v>130.28</v>
      </c>
      <c r="C360" s="5">
        <v>132.15</v>
      </c>
      <c r="D360" s="5">
        <v>126.5</v>
      </c>
      <c r="E360" s="5">
        <v>130.19999999999999</v>
      </c>
      <c r="F360" s="6">
        <v>2469</v>
      </c>
    </row>
    <row r="361" spans="1:6" x14ac:dyDescent="0.2">
      <c r="A361" s="4">
        <v>44992</v>
      </c>
      <c r="B361" s="5">
        <v>126.85</v>
      </c>
      <c r="C361" s="5">
        <v>128.9</v>
      </c>
      <c r="D361" s="5">
        <v>126.85</v>
      </c>
      <c r="E361" s="5">
        <v>128.9</v>
      </c>
      <c r="F361" s="6">
        <v>1397</v>
      </c>
    </row>
    <row r="362" spans="1:6" x14ac:dyDescent="0.2">
      <c r="A362" s="4">
        <v>44993</v>
      </c>
      <c r="B362" s="5">
        <v>128.78</v>
      </c>
      <c r="C362" s="5">
        <v>128.78</v>
      </c>
      <c r="D362" s="5">
        <v>127.63</v>
      </c>
      <c r="E362" s="5">
        <v>127.63</v>
      </c>
      <c r="F362" s="6">
        <v>948</v>
      </c>
    </row>
    <row r="363" spans="1:6" x14ac:dyDescent="0.2">
      <c r="A363" s="4">
        <v>44994</v>
      </c>
      <c r="B363" s="5">
        <v>130.38</v>
      </c>
      <c r="C363" s="5">
        <v>130.38</v>
      </c>
      <c r="D363" s="5">
        <v>127.34990000000001</v>
      </c>
      <c r="E363" s="5">
        <v>127.34990000000001</v>
      </c>
      <c r="F363" s="6">
        <v>1011</v>
      </c>
    </row>
    <row r="364" spans="1:6" x14ac:dyDescent="0.2">
      <c r="A364" s="4">
        <v>44995</v>
      </c>
      <c r="B364" s="5">
        <v>128.4</v>
      </c>
      <c r="C364" s="5">
        <v>129.84</v>
      </c>
      <c r="D364" s="5">
        <v>128.4</v>
      </c>
      <c r="E364" s="5">
        <v>129.84</v>
      </c>
      <c r="F364" s="6">
        <v>780</v>
      </c>
    </row>
    <row r="365" spans="1:6" x14ac:dyDescent="0.2">
      <c r="A365" s="4">
        <v>44998</v>
      </c>
      <c r="B365" s="5">
        <v>129.86000000000001</v>
      </c>
      <c r="C365" s="5">
        <v>130.9</v>
      </c>
      <c r="D365" s="5">
        <v>129.25</v>
      </c>
      <c r="E365" s="5">
        <v>129.25</v>
      </c>
      <c r="F365" s="6">
        <v>1766</v>
      </c>
    </row>
    <row r="366" spans="1:6" x14ac:dyDescent="0.2">
      <c r="A366" s="4">
        <v>44999</v>
      </c>
      <c r="B366" s="5">
        <v>128.56</v>
      </c>
      <c r="C366" s="5">
        <v>131.24</v>
      </c>
      <c r="D366" s="5">
        <v>128</v>
      </c>
      <c r="E366" s="5">
        <v>131.24</v>
      </c>
      <c r="F366" s="6">
        <v>1787</v>
      </c>
    </row>
    <row r="367" spans="1:6" x14ac:dyDescent="0.2">
      <c r="A367" s="4">
        <v>45000</v>
      </c>
      <c r="B367" s="5">
        <v>127.12</v>
      </c>
      <c r="C367" s="5">
        <v>127.84</v>
      </c>
      <c r="D367" s="5">
        <v>127.12</v>
      </c>
      <c r="E367" s="5">
        <v>127.84</v>
      </c>
      <c r="F367" s="6">
        <v>13640</v>
      </c>
    </row>
    <row r="368" spans="1:6" x14ac:dyDescent="0.2">
      <c r="A368" s="4">
        <v>45001</v>
      </c>
      <c r="B368" s="5">
        <v>128.81989999999999</v>
      </c>
      <c r="C368" s="5">
        <v>130.285</v>
      </c>
      <c r="D368" s="5">
        <v>128.81989999999999</v>
      </c>
      <c r="E368" s="5">
        <v>130.06</v>
      </c>
      <c r="F368" s="6">
        <v>1929</v>
      </c>
    </row>
    <row r="369" spans="1:6" x14ac:dyDescent="0.2">
      <c r="A369" s="4">
        <v>45002</v>
      </c>
      <c r="B369" s="5">
        <v>130.55500000000001</v>
      </c>
      <c r="C369" s="5">
        <v>130.55500000000001</v>
      </c>
      <c r="D369" s="5">
        <v>130.55500000000001</v>
      </c>
      <c r="E369" s="5">
        <v>130.55500000000001</v>
      </c>
      <c r="F369" s="6">
        <v>1401</v>
      </c>
    </row>
    <row r="370" spans="1:6" x14ac:dyDescent="0.2">
      <c r="A370" s="4">
        <v>45005</v>
      </c>
      <c r="B370" s="5">
        <v>133.12</v>
      </c>
      <c r="C370" s="5">
        <v>133.12</v>
      </c>
      <c r="D370" s="5">
        <v>133.12</v>
      </c>
      <c r="E370" s="5">
        <v>133.12</v>
      </c>
      <c r="F370" s="6">
        <v>500</v>
      </c>
    </row>
    <row r="371" spans="1:6" x14ac:dyDescent="0.2">
      <c r="A371" s="4">
        <v>45006</v>
      </c>
      <c r="B371" s="5">
        <v>131.96</v>
      </c>
      <c r="C371" s="5">
        <v>134.74</v>
      </c>
      <c r="D371" s="5">
        <v>131.72</v>
      </c>
      <c r="E371" s="5">
        <v>134.74</v>
      </c>
      <c r="F371" s="6">
        <v>1119</v>
      </c>
    </row>
    <row r="372" spans="1:6" x14ac:dyDescent="0.2">
      <c r="A372" s="4">
        <v>45007</v>
      </c>
      <c r="B372" s="5">
        <v>135.44</v>
      </c>
      <c r="C372" s="5">
        <v>135.56</v>
      </c>
      <c r="D372" s="5">
        <v>135.44</v>
      </c>
      <c r="E372" s="5">
        <v>135.56</v>
      </c>
      <c r="F372" s="6">
        <v>796</v>
      </c>
    </row>
    <row r="373" spans="1:6" x14ac:dyDescent="0.2">
      <c r="A373" s="4">
        <v>45008</v>
      </c>
      <c r="B373" s="5">
        <v>133.1</v>
      </c>
      <c r="C373" s="5">
        <v>133.78</v>
      </c>
      <c r="D373" s="5">
        <v>133.1</v>
      </c>
      <c r="E373" s="5">
        <v>133.78</v>
      </c>
      <c r="F373" s="6">
        <v>4724</v>
      </c>
    </row>
    <row r="374" spans="1:6" x14ac:dyDescent="0.2">
      <c r="A374" s="4">
        <v>45009</v>
      </c>
      <c r="B374" s="5">
        <v>137.85</v>
      </c>
      <c r="C374" s="5">
        <v>137.85</v>
      </c>
      <c r="D374" s="5">
        <v>133.44</v>
      </c>
      <c r="E374" s="5">
        <v>136.69999999999999</v>
      </c>
      <c r="F374" s="6">
        <v>5340</v>
      </c>
    </row>
    <row r="375" spans="1:6" x14ac:dyDescent="0.2">
      <c r="A375" s="4">
        <v>45012</v>
      </c>
      <c r="B375" s="5">
        <v>137.44999999999999</v>
      </c>
      <c r="C375" s="5">
        <v>139.46</v>
      </c>
      <c r="D375" s="5">
        <v>137.3425</v>
      </c>
      <c r="E375" s="5">
        <v>137.3425</v>
      </c>
      <c r="F375" s="6">
        <v>1098</v>
      </c>
    </row>
    <row r="376" spans="1:6" x14ac:dyDescent="0.2">
      <c r="A376" s="4">
        <v>45013</v>
      </c>
      <c r="B376" s="5">
        <v>137.65</v>
      </c>
      <c r="C376" s="5">
        <v>138.68</v>
      </c>
      <c r="D376" s="5">
        <v>135.97989999999999</v>
      </c>
      <c r="E376" s="5">
        <v>138.68</v>
      </c>
      <c r="F376" s="6">
        <v>868</v>
      </c>
    </row>
    <row r="377" spans="1:6" x14ac:dyDescent="0.2">
      <c r="A377" s="4">
        <v>45014</v>
      </c>
      <c r="B377" s="5">
        <v>138.19999999999999</v>
      </c>
      <c r="C377" s="5">
        <v>138.19999999999999</v>
      </c>
      <c r="D377" s="5">
        <v>136.19990000000001</v>
      </c>
      <c r="E377" s="5">
        <v>136.30000000000001</v>
      </c>
      <c r="F377" s="6">
        <v>811</v>
      </c>
    </row>
    <row r="378" spans="1:6" x14ac:dyDescent="0.2">
      <c r="A378" s="4">
        <v>45015</v>
      </c>
      <c r="B378" s="5">
        <v>139.30000000000001</v>
      </c>
      <c r="C378" s="5">
        <v>139.30000000000001</v>
      </c>
      <c r="D378" s="5">
        <v>139.30000000000001</v>
      </c>
      <c r="E378" s="5">
        <v>139.30000000000001</v>
      </c>
      <c r="F378" s="6">
        <v>687</v>
      </c>
    </row>
    <row r="379" spans="1:6" x14ac:dyDescent="0.2">
      <c r="A379" s="4">
        <v>45016</v>
      </c>
      <c r="B379" s="5">
        <v>140.16</v>
      </c>
      <c r="C379" s="5">
        <v>140.16</v>
      </c>
      <c r="D379" s="5">
        <v>140.16</v>
      </c>
      <c r="E379" s="5">
        <v>140.16</v>
      </c>
      <c r="F379" s="6">
        <v>702</v>
      </c>
    </row>
    <row r="380" spans="1:6" x14ac:dyDescent="0.2">
      <c r="A380" s="4">
        <v>45019</v>
      </c>
      <c r="B380" s="5">
        <v>140.9</v>
      </c>
      <c r="C380" s="5">
        <v>140.9</v>
      </c>
      <c r="D380" s="5">
        <v>137.5</v>
      </c>
      <c r="E380" s="5">
        <v>137.5</v>
      </c>
      <c r="F380" s="6">
        <v>1384</v>
      </c>
    </row>
    <row r="381" spans="1:6" x14ac:dyDescent="0.2">
      <c r="A381" s="4">
        <v>45020</v>
      </c>
      <c r="B381" s="5">
        <v>141.85</v>
      </c>
      <c r="C381" s="5">
        <v>141.85</v>
      </c>
      <c r="D381" s="5">
        <v>139.38</v>
      </c>
      <c r="E381" s="5">
        <v>141.44999999999999</v>
      </c>
      <c r="F381" s="6">
        <v>5695</v>
      </c>
    </row>
    <row r="382" spans="1:6" x14ac:dyDescent="0.2">
      <c r="A382" s="4">
        <v>45021</v>
      </c>
      <c r="B382" s="5">
        <v>145.1</v>
      </c>
      <c r="C382" s="5">
        <v>145.1</v>
      </c>
      <c r="D382" s="5">
        <v>142.84989999999999</v>
      </c>
      <c r="E382" s="5">
        <v>142.84989999999999</v>
      </c>
      <c r="F382" s="6">
        <v>2393</v>
      </c>
    </row>
    <row r="383" spans="1:6" x14ac:dyDescent="0.2">
      <c r="A383" s="4">
        <v>45022</v>
      </c>
      <c r="B383" s="5">
        <v>142.84989999999999</v>
      </c>
      <c r="C383" s="5">
        <v>142.84989999999999</v>
      </c>
      <c r="D383" s="5">
        <v>142.84989999999999</v>
      </c>
      <c r="E383" s="5">
        <v>142.84989999999999</v>
      </c>
      <c r="F383" s="6"/>
    </row>
    <row r="384" spans="1:6" x14ac:dyDescent="0.2">
      <c r="A384" s="4">
        <v>45026</v>
      </c>
      <c r="B384" s="5">
        <v>143</v>
      </c>
      <c r="C384" s="5">
        <v>144.76</v>
      </c>
      <c r="D384" s="5">
        <v>142.30000000000001</v>
      </c>
      <c r="E384" s="5">
        <v>144.76</v>
      </c>
      <c r="F384" s="6">
        <v>1843</v>
      </c>
    </row>
    <row r="385" spans="1:6" x14ac:dyDescent="0.2">
      <c r="A385" s="4">
        <v>45027</v>
      </c>
      <c r="B385" s="5">
        <v>145.74</v>
      </c>
      <c r="C385" s="5">
        <v>145.74</v>
      </c>
      <c r="D385" s="5">
        <v>142.25</v>
      </c>
      <c r="E385" s="5">
        <v>142.75</v>
      </c>
      <c r="F385" s="6">
        <v>4888</v>
      </c>
    </row>
    <row r="386" spans="1:6" x14ac:dyDescent="0.2">
      <c r="A386" s="4">
        <v>45028</v>
      </c>
      <c r="B386" s="5">
        <v>150.46680000000001</v>
      </c>
      <c r="C386" s="5">
        <v>150.46680000000001</v>
      </c>
      <c r="D386" s="5">
        <v>147.25</v>
      </c>
      <c r="E386" s="5">
        <v>147.25</v>
      </c>
      <c r="F386" s="6">
        <v>7273</v>
      </c>
    </row>
    <row r="387" spans="1:6" x14ac:dyDescent="0.2">
      <c r="A387" s="4">
        <v>45029</v>
      </c>
      <c r="B387" s="5">
        <v>147.25</v>
      </c>
      <c r="C387" s="5">
        <v>149.65</v>
      </c>
      <c r="D387" s="5">
        <v>147.25</v>
      </c>
      <c r="E387" s="5">
        <v>149.65</v>
      </c>
      <c r="F387" s="6">
        <v>4902</v>
      </c>
    </row>
    <row r="388" spans="1:6" x14ac:dyDescent="0.2">
      <c r="A388" s="4">
        <v>45030</v>
      </c>
      <c r="B388" s="5">
        <v>146.08000000000001</v>
      </c>
      <c r="C388" s="5">
        <v>146.08000000000001</v>
      </c>
      <c r="D388" s="5">
        <v>146.08000000000001</v>
      </c>
      <c r="E388" s="5">
        <v>146.08000000000001</v>
      </c>
      <c r="F388" s="6">
        <v>549</v>
      </c>
    </row>
    <row r="389" spans="1:6" x14ac:dyDescent="0.2">
      <c r="A389" s="4">
        <v>45033</v>
      </c>
      <c r="B389" s="5">
        <v>146.77000000000001</v>
      </c>
      <c r="C389" s="5">
        <v>146.81</v>
      </c>
      <c r="D389" s="5">
        <v>144.76949999999999</v>
      </c>
      <c r="E389" s="5">
        <v>146.78</v>
      </c>
      <c r="F389" s="6">
        <v>85745</v>
      </c>
    </row>
    <row r="390" spans="1:6" x14ac:dyDescent="0.2">
      <c r="A390" s="4">
        <v>45034</v>
      </c>
      <c r="B390" s="5">
        <v>150.19999999999999</v>
      </c>
      <c r="C390" s="5">
        <v>151.25</v>
      </c>
      <c r="D390" s="5">
        <v>148.88</v>
      </c>
      <c r="E390" s="5">
        <v>148.88</v>
      </c>
      <c r="F390" s="6">
        <v>6024</v>
      </c>
    </row>
    <row r="391" spans="1:6" x14ac:dyDescent="0.2">
      <c r="A391" s="4">
        <v>45035</v>
      </c>
      <c r="B391" s="5">
        <v>147.69999999999999</v>
      </c>
      <c r="C391" s="5">
        <v>150.74</v>
      </c>
      <c r="D391" s="5">
        <v>145.4</v>
      </c>
      <c r="E391" s="5">
        <v>147.78</v>
      </c>
      <c r="F391" s="6">
        <v>4608</v>
      </c>
    </row>
    <row r="392" spans="1:6" x14ac:dyDescent="0.2">
      <c r="A392" s="4">
        <v>45036</v>
      </c>
      <c r="B392" s="5">
        <v>148.4</v>
      </c>
      <c r="C392" s="5">
        <v>148.4</v>
      </c>
      <c r="D392" s="5">
        <v>146.75</v>
      </c>
      <c r="E392" s="5">
        <v>147.60990000000001</v>
      </c>
      <c r="F392" s="6">
        <v>1742</v>
      </c>
    </row>
    <row r="393" spans="1:6" x14ac:dyDescent="0.2">
      <c r="A393" s="4">
        <v>45037</v>
      </c>
      <c r="B393" s="5">
        <v>151.74</v>
      </c>
      <c r="C393" s="5">
        <v>151.74</v>
      </c>
      <c r="D393" s="5">
        <v>151.74</v>
      </c>
      <c r="E393" s="5">
        <v>151.74</v>
      </c>
      <c r="F393" s="6">
        <v>752</v>
      </c>
    </row>
    <row r="394" spans="1:6" x14ac:dyDescent="0.2">
      <c r="A394" s="4">
        <v>45040</v>
      </c>
      <c r="B394" s="5">
        <v>152.24</v>
      </c>
      <c r="C394" s="5">
        <v>153.1</v>
      </c>
      <c r="D394" s="5">
        <v>152.24</v>
      </c>
      <c r="E394" s="5">
        <v>153.1</v>
      </c>
      <c r="F394" s="6">
        <v>1959</v>
      </c>
    </row>
    <row r="395" spans="1:6" x14ac:dyDescent="0.2">
      <c r="A395" s="4">
        <v>45041</v>
      </c>
      <c r="B395" s="5">
        <v>150</v>
      </c>
      <c r="C395" s="5">
        <v>151</v>
      </c>
      <c r="D395" s="5">
        <v>150</v>
      </c>
      <c r="E395" s="5">
        <v>151</v>
      </c>
      <c r="F395" s="6">
        <v>2730</v>
      </c>
    </row>
    <row r="396" spans="1:6" x14ac:dyDescent="0.2">
      <c r="A396" s="4">
        <v>45042</v>
      </c>
      <c r="B396" s="5">
        <v>148.19999999999999</v>
      </c>
      <c r="C396" s="5">
        <v>148.19999999999999</v>
      </c>
      <c r="D396" s="5">
        <v>147.15</v>
      </c>
      <c r="E396" s="5">
        <v>147.15</v>
      </c>
      <c r="F396" s="6">
        <v>1044</v>
      </c>
    </row>
    <row r="397" spans="1:6" x14ac:dyDescent="0.2">
      <c r="A397" s="4">
        <v>45043</v>
      </c>
      <c r="B397" s="5">
        <v>146</v>
      </c>
      <c r="C397" s="5">
        <v>146</v>
      </c>
      <c r="D397" s="5">
        <v>146</v>
      </c>
      <c r="E397" s="5">
        <v>146</v>
      </c>
      <c r="F397" s="6">
        <v>2107</v>
      </c>
    </row>
    <row r="398" spans="1:6" x14ac:dyDescent="0.2">
      <c r="A398" s="4">
        <v>45044</v>
      </c>
      <c r="B398" s="5">
        <v>145.4</v>
      </c>
      <c r="C398" s="5">
        <v>146.55000000000001</v>
      </c>
      <c r="D398" s="5">
        <v>145.4</v>
      </c>
      <c r="E398" s="5">
        <v>146.55000000000001</v>
      </c>
      <c r="F398" s="6">
        <v>1364</v>
      </c>
    </row>
    <row r="399" spans="1:6" x14ac:dyDescent="0.2">
      <c r="A399" s="4">
        <v>45047</v>
      </c>
      <c r="B399" s="5">
        <v>144.255</v>
      </c>
      <c r="C399" s="5">
        <v>147</v>
      </c>
      <c r="D399" s="5">
        <v>144.255</v>
      </c>
      <c r="E399" s="5">
        <v>146.31</v>
      </c>
      <c r="F399" s="6">
        <v>2771</v>
      </c>
    </row>
    <row r="400" spans="1:6" x14ac:dyDescent="0.2">
      <c r="A400" s="4">
        <v>45048</v>
      </c>
      <c r="B400" s="5">
        <v>146.80000000000001</v>
      </c>
      <c r="C400" s="5">
        <v>146.80000000000001</v>
      </c>
      <c r="D400" s="5">
        <v>145.78989999999999</v>
      </c>
      <c r="E400" s="5">
        <v>146.15</v>
      </c>
      <c r="F400" s="6">
        <v>3137</v>
      </c>
    </row>
    <row r="401" spans="1:6" x14ac:dyDescent="0.2">
      <c r="A401" s="4">
        <v>45049</v>
      </c>
      <c r="B401" s="5">
        <v>151.30000000000001</v>
      </c>
      <c r="C401" s="5">
        <v>151.30000000000001</v>
      </c>
      <c r="D401" s="5">
        <v>151.30000000000001</v>
      </c>
      <c r="E401" s="5">
        <v>151.30000000000001</v>
      </c>
      <c r="F401" s="6">
        <v>1216</v>
      </c>
    </row>
    <row r="402" spans="1:6" x14ac:dyDescent="0.2">
      <c r="A402" s="4">
        <v>45050</v>
      </c>
      <c r="B402" s="5">
        <v>150.06</v>
      </c>
      <c r="C402" s="5">
        <v>150.5</v>
      </c>
      <c r="D402" s="5">
        <v>150.06</v>
      </c>
      <c r="E402" s="5">
        <v>150.5</v>
      </c>
      <c r="F402" s="6">
        <v>1805</v>
      </c>
    </row>
    <row r="403" spans="1:6" x14ac:dyDescent="0.2">
      <c r="A403" s="4">
        <v>45051</v>
      </c>
      <c r="B403" s="5">
        <v>148.25</v>
      </c>
      <c r="C403" s="5">
        <v>152.06</v>
      </c>
      <c r="D403" s="5">
        <v>148.25</v>
      </c>
      <c r="E403" s="5">
        <v>148.5</v>
      </c>
      <c r="F403" s="6">
        <v>2830</v>
      </c>
    </row>
    <row r="404" spans="1:6" x14ac:dyDescent="0.2">
      <c r="A404" s="4">
        <v>45054</v>
      </c>
      <c r="B404" s="5">
        <v>149.62</v>
      </c>
      <c r="C404" s="5">
        <v>149.74</v>
      </c>
      <c r="D404" s="5">
        <v>147.05009999999999</v>
      </c>
      <c r="E404" s="5">
        <v>147.05009999999999</v>
      </c>
      <c r="F404" s="6">
        <v>899</v>
      </c>
    </row>
    <row r="405" spans="1:6" x14ac:dyDescent="0.2">
      <c r="A405" s="4">
        <v>45055</v>
      </c>
      <c r="B405" s="5">
        <v>146.5</v>
      </c>
      <c r="C405" s="5">
        <v>150.94</v>
      </c>
      <c r="D405" s="5">
        <v>146.5</v>
      </c>
      <c r="E405" s="5">
        <v>149.09989999999999</v>
      </c>
      <c r="F405" s="6">
        <v>1136</v>
      </c>
    </row>
    <row r="406" spans="1:6" x14ac:dyDescent="0.2">
      <c r="A406" s="4">
        <v>45056</v>
      </c>
      <c r="B406" s="5">
        <v>150.04</v>
      </c>
      <c r="C406" s="5">
        <v>151</v>
      </c>
      <c r="D406" s="5">
        <v>149.82</v>
      </c>
      <c r="E406" s="5">
        <v>151</v>
      </c>
      <c r="F406" s="6">
        <v>1257</v>
      </c>
    </row>
    <row r="407" spans="1:6" x14ac:dyDescent="0.2">
      <c r="A407" s="4">
        <v>45057</v>
      </c>
      <c r="B407" s="5">
        <v>151</v>
      </c>
      <c r="C407" s="5">
        <v>151</v>
      </c>
      <c r="D407" s="5">
        <v>146.25</v>
      </c>
      <c r="E407" s="5">
        <v>150.63999999999999</v>
      </c>
      <c r="F407" s="6">
        <v>4432</v>
      </c>
    </row>
    <row r="408" spans="1:6" x14ac:dyDescent="0.2">
      <c r="A408" s="4">
        <v>45058</v>
      </c>
      <c r="B408" s="5">
        <v>150.69999999999999</v>
      </c>
      <c r="C408" s="5">
        <v>150.69999999999999</v>
      </c>
      <c r="D408" s="5">
        <v>145.80009999999999</v>
      </c>
      <c r="E408" s="5">
        <v>145.80009999999999</v>
      </c>
      <c r="F408" s="6">
        <v>1665</v>
      </c>
    </row>
    <row r="409" spans="1:6" x14ac:dyDescent="0.2">
      <c r="A409" s="4">
        <v>45061</v>
      </c>
      <c r="B409" s="5">
        <v>150.34</v>
      </c>
      <c r="C409" s="5">
        <v>150.34</v>
      </c>
      <c r="D409" s="5">
        <v>149.44990000000001</v>
      </c>
      <c r="E409" s="5">
        <v>149.44990000000001</v>
      </c>
      <c r="F409" s="6">
        <v>887</v>
      </c>
    </row>
    <row r="410" spans="1:6" x14ac:dyDescent="0.2">
      <c r="A410" s="4">
        <v>45062</v>
      </c>
      <c r="B410" s="5">
        <v>151.19999999999999</v>
      </c>
      <c r="C410" s="5">
        <v>151.19999999999999</v>
      </c>
      <c r="D410" s="5">
        <v>151.19999999999999</v>
      </c>
      <c r="E410" s="5">
        <v>151.19999999999999</v>
      </c>
      <c r="F410" s="6">
        <v>711</v>
      </c>
    </row>
    <row r="411" spans="1:6" x14ac:dyDescent="0.2">
      <c r="A411" s="4">
        <v>45063</v>
      </c>
      <c r="B411" s="5">
        <v>149.19999999999999</v>
      </c>
      <c r="C411" s="5">
        <v>150.57</v>
      </c>
      <c r="D411" s="5">
        <v>147.19999999999999</v>
      </c>
      <c r="E411" s="5">
        <v>147.19999999999999</v>
      </c>
      <c r="F411" s="6">
        <v>1079</v>
      </c>
    </row>
    <row r="412" spans="1:6" x14ac:dyDescent="0.2">
      <c r="A412" s="4">
        <v>45064</v>
      </c>
      <c r="B412" s="5">
        <v>149.88</v>
      </c>
      <c r="C412" s="5">
        <v>149.88</v>
      </c>
      <c r="D412" s="5">
        <v>146.44</v>
      </c>
      <c r="E412" s="5">
        <v>146.44</v>
      </c>
      <c r="F412" s="6">
        <v>1248</v>
      </c>
    </row>
    <row r="413" spans="1:6" x14ac:dyDescent="0.2">
      <c r="A413" s="4">
        <v>45065</v>
      </c>
      <c r="B413" s="5">
        <v>150.1</v>
      </c>
      <c r="C413" s="5">
        <v>150.96</v>
      </c>
      <c r="D413" s="5">
        <v>150.1</v>
      </c>
      <c r="E413" s="5">
        <v>150.96</v>
      </c>
      <c r="F413" s="6">
        <v>1195</v>
      </c>
    </row>
    <row r="414" spans="1:6" x14ac:dyDescent="0.2">
      <c r="A414" s="4">
        <v>45068</v>
      </c>
      <c r="B414" s="5">
        <v>147.9</v>
      </c>
      <c r="C414" s="5">
        <v>147.9</v>
      </c>
      <c r="D414" s="5">
        <v>147.9</v>
      </c>
      <c r="E414" s="5">
        <v>147.9</v>
      </c>
      <c r="F414" s="6">
        <v>1069</v>
      </c>
    </row>
    <row r="415" spans="1:6" x14ac:dyDescent="0.2">
      <c r="A415" s="4">
        <v>45069</v>
      </c>
      <c r="B415" s="5">
        <v>148.94</v>
      </c>
      <c r="C415" s="5">
        <v>150.76</v>
      </c>
      <c r="D415" s="5">
        <v>147.94</v>
      </c>
      <c r="E415" s="5">
        <v>147.94</v>
      </c>
      <c r="F415" s="6">
        <v>71186</v>
      </c>
    </row>
    <row r="416" spans="1:6" x14ac:dyDescent="0.2">
      <c r="A416" s="4">
        <v>45070</v>
      </c>
      <c r="B416" s="5">
        <v>146.16</v>
      </c>
      <c r="C416" s="5">
        <v>146.16</v>
      </c>
      <c r="D416" s="5">
        <v>143.75</v>
      </c>
      <c r="E416" s="5">
        <v>143.75</v>
      </c>
      <c r="F416" s="6">
        <v>15787</v>
      </c>
    </row>
    <row r="417" spans="1:6" x14ac:dyDescent="0.2">
      <c r="A417" s="4">
        <v>45071</v>
      </c>
      <c r="B417" s="5">
        <v>144</v>
      </c>
      <c r="C417" s="5">
        <v>145.26</v>
      </c>
      <c r="D417" s="5">
        <v>141.97499999999999</v>
      </c>
      <c r="E417" s="5">
        <v>145.26</v>
      </c>
      <c r="F417" s="6">
        <v>1265</v>
      </c>
    </row>
    <row r="418" spans="1:6" x14ac:dyDescent="0.2">
      <c r="A418" s="4">
        <v>45072</v>
      </c>
      <c r="B418" s="5">
        <v>144.58000000000001</v>
      </c>
      <c r="C418" s="5">
        <v>144.58000000000001</v>
      </c>
      <c r="D418" s="5">
        <v>144.55000000000001</v>
      </c>
      <c r="E418" s="5">
        <v>144.55000000000001</v>
      </c>
      <c r="F418" s="6">
        <v>649</v>
      </c>
    </row>
    <row r="419" spans="1:6" x14ac:dyDescent="0.2">
      <c r="A419" s="4">
        <v>45076</v>
      </c>
      <c r="B419" s="5">
        <v>144.06</v>
      </c>
      <c r="C419" s="5">
        <v>144.36000000000001</v>
      </c>
      <c r="D419" s="5">
        <v>141.13990000000001</v>
      </c>
      <c r="E419" s="5">
        <v>141.13990000000001</v>
      </c>
      <c r="F419" s="6">
        <v>834</v>
      </c>
    </row>
    <row r="420" spans="1:6" x14ac:dyDescent="0.2">
      <c r="A420" s="4">
        <v>45077</v>
      </c>
      <c r="B420" s="5">
        <v>143.18</v>
      </c>
      <c r="C420" s="5">
        <v>146.08000000000001</v>
      </c>
      <c r="D420" s="5">
        <v>143.18</v>
      </c>
      <c r="E420" s="5">
        <v>146.08000000000001</v>
      </c>
      <c r="F420" s="6">
        <v>681</v>
      </c>
    </row>
    <row r="421" spans="1:6" x14ac:dyDescent="0.2">
      <c r="A421" s="4">
        <v>45078</v>
      </c>
      <c r="B421" s="5">
        <v>145.38</v>
      </c>
      <c r="C421" s="5">
        <v>147.69999999999999</v>
      </c>
      <c r="D421" s="5">
        <v>144.68</v>
      </c>
      <c r="E421" s="5">
        <v>147.69999999999999</v>
      </c>
      <c r="F421" s="6">
        <v>1257</v>
      </c>
    </row>
    <row r="422" spans="1:6" x14ac:dyDescent="0.2">
      <c r="A422" s="4">
        <v>45079</v>
      </c>
      <c r="B422" s="5">
        <v>146.6</v>
      </c>
      <c r="C422" s="5">
        <v>148.65</v>
      </c>
      <c r="D422" s="5">
        <v>146.6</v>
      </c>
      <c r="E422" s="5">
        <v>147.12</v>
      </c>
      <c r="F422" s="6">
        <v>1411</v>
      </c>
    </row>
    <row r="423" spans="1:6" x14ac:dyDescent="0.2">
      <c r="A423" s="4">
        <v>45082</v>
      </c>
      <c r="B423" s="5">
        <v>146.94990000000001</v>
      </c>
      <c r="C423" s="5">
        <v>146.94990000000001</v>
      </c>
      <c r="D423" s="5">
        <v>145.1875</v>
      </c>
      <c r="E423" s="5">
        <v>145.1875</v>
      </c>
      <c r="F423" s="6">
        <v>1034</v>
      </c>
    </row>
    <row r="424" spans="1:6" x14ac:dyDescent="0.2">
      <c r="A424" s="4">
        <v>45083</v>
      </c>
      <c r="B424" s="5">
        <v>146.9</v>
      </c>
      <c r="C424" s="5">
        <v>147.44999999999999</v>
      </c>
      <c r="D424" s="5">
        <v>145.44999999999999</v>
      </c>
      <c r="E424" s="5">
        <v>145.44999999999999</v>
      </c>
      <c r="F424" s="6">
        <v>1348</v>
      </c>
    </row>
    <row r="425" spans="1:6" x14ac:dyDescent="0.2">
      <c r="A425" s="4">
        <v>45084</v>
      </c>
      <c r="B425" s="5">
        <v>147.19999999999999</v>
      </c>
      <c r="C425" s="5">
        <v>147.285</v>
      </c>
      <c r="D425" s="5">
        <v>146.9</v>
      </c>
      <c r="E425" s="5">
        <v>146.9</v>
      </c>
      <c r="F425" s="6">
        <v>1739</v>
      </c>
    </row>
    <row r="426" spans="1:6" x14ac:dyDescent="0.2">
      <c r="A426" s="4">
        <v>45085</v>
      </c>
      <c r="B426" s="5">
        <v>147</v>
      </c>
      <c r="C426" s="5">
        <v>147</v>
      </c>
      <c r="D426" s="5">
        <v>144.5</v>
      </c>
      <c r="E426" s="5">
        <v>144.5</v>
      </c>
      <c r="F426" s="6">
        <v>9733</v>
      </c>
    </row>
    <row r="427" spans="1:6" x14ac:dyDescent="0.2">
      <c r="A427" s="4">
        <v>45086</v>
      </c>
      <c r="B427" s="5">
        <v>149.85</v>
      </c>
      <c r="C427" s="5">
        <v>149.85</v>
      </c>
      <c r="D427" s="5">
        <v>149.30000000000001</v>
      </c>
      <c r="E427" s="5">
        <v>149.30000000000001</v>
      </c>
      <c r="F427" s="6">
        <v>7564</v>
      </c>
    </row>
    <row r="428" spans="1:6" x14ac:dyDescent="0.2">
      <c r="A428" s="4">
        <v>45089</v>
      </c>
      <c r="B428" s="5">
        <v>148.1</v>
      </c>
      <c r="C428" s="5">
        <v>148.86000000000001</v>
      </c>
      <c r="D428" s="5">
        <v>145.80260000000001</v>
      </c>
      <c r="E428" s="5">
        <v>148.86000000000001</v>
      </c>
      <c r="F428" s="6">
        <v>1331</v>
      </c>
    </row>
    <row r="429" spans="1:6" x14ac:dyDescent="0.2">
      <c r="A429" s="4">
        <v>45090</v>
      </c>
      <c r="B429" s="5">
        <v>147.94990000000001</v>
      </c>
      <c r="C429" s="5">
        <v>149.5</v>
      </c>
      <c r="D429" s="5">
        <v>147.94990000000001</v>
      </c>
      <c r="E429" s="5">
        <v>149.5</v>
      </c>
      <c r="F429" s="6">
        <v>1077</v>
      </c>
    </row>
    <row r="430" spans="1:6" x14ac:dyDescent="0.2">
      <c r="A430" s="4">
        <v>45091</v>
      </c>
      <c r="B430" s="5">
        <v>146.875</v>
      </c>
      <c r="C430" s="5">
        <v>146.875</v>
      </c>
      <c r="D430" s="5">
        <v>146.875</v>
      </c>
      <c r="E430" s="5">
        <v>146.875</v>
      </c>
      <c r="F430" s="6">
        <v>346</v>
      </c>
    </row>
    <row r="431" spans="1:6" x14ac:dyDescent="0.2">
      <c r="A431" s="4">
        <v>45092</v>
      </c>
      <c r="B431" s="5">
        <v>148.30000000000001</v>
      </c>
      <c r="C431" s="5">
        <v>149.25</v>
      </c>
      <c r="D431" s="5">
        <v>148.30000000000001</v>
      </c>
      <c r="E431" s="5">
        <v>149.25</v>
      </c>
      <c r="F431" s="6">
        <v>2971</v>
      </c>
    </row>
    <row r="432" spans="1:6" x14ac:dyDescent="0.2">
      <c r="A432" s="4">
        <v>45093</v>
      </c>
      <c r="B432" s="5">
        <v>151.125</v>
      </c>
      <c r="C432" s="5">
        <v>151.125</v>
      </c>
      <c r="D432" s="5">
        <v>149.25989999999999</v>
      </c>
      <c r="E432" s="5">
        <v>149.51</v>
      </c>
      <c r="F432" s="6">
        <v>1022</v>
      </c>
    </row>
    <row r="433" spans="1:6" x14ac:dyDescent="0.2">
      <c r="A433" s="4">
        <v>45097</v>
      </c>
      <c r="B433" s="5">
        <v>149.25</v>
      </c>
      <c r="C433" s="5">
        <v>149.25</v>
      </c>
      <c r="D433" s="5">
        <v>149.25</v>
      </c>
      <c r="E433" s="5">
        <v>149.25</v>
      </c>
      <c r="F433" s="6">
        <v>991</v>
      </c>
    </row>
    <row r="434" spans="1:6" x14ac:dyDescent="0.2">
      <c r="A434" s="4">
        <v>45098</v>
      </c>
      <c r="B434" s="5">
        <v>148.66</v>
      </c>
      <c r="C434" s="5">
        <v>148.66</v>
      </c>
      <c r="D434" s="5">
        <v>148.66</v>
      </c>
      <c r="E434" s="5">
        <v>148.66</v>
      </c>
      <c r="F434" s="6">
        <v>635</v>
      </c>
    </row>
    <row r="435" spans="1:6" x14ac:dyDescent="0.2">
      <c r="A435" s="4">
        <v>45099</v>
      </c>
      <c r="B435" s="5">
        <v>146.18</v>
      </c>
      <c r="C435" s="5">
        <v>149.32</v>
      </c>
      <c r="D435" s="5">
        <v>146.18</v>
      </c>
      <c r="E435" s="5">
        <v>146.68</v>
      </c>
      <c r="F435" s="6">
        <v>700</v>
      </c>
    </row>
    <row r="436" spans="1:6" x14ac:dyDescent="0.2">
      <c r="A436" s="4">
        <v>45100</v>
      </c>
      <c r="B436" s="5">
        <v>146.55000000000001</v>
      </c>
      <c r="C436" s="5">
        <v>146.55000000000001</v>
      </c>
      <c r="D436" s="5">
        <v>146.15</v>
      </c>
      <c r="E436" s="5">
        <v>146.15</v>
      </c>
      <c r="F436" s="6">
        <v>1303</v>
      </c>
    </row>
    <row r="437" spans="1:6" x14ac:dyDescent="0.2">
      <c r="A437" s="4">
        <v>45103</v>
      </c>
      <c r="B437" s="5">
        <v>144.74</v>
      </c>
      <c r="C437" s="5">
        <v>144.74</v>
      </c>
      <c r="D437" s="5">
        <v>142.75</v>
      </c>
      <c r="E437" s="5">
        <v>142.75</v>
      </c>
      <c r="F437" s="6">
        <v>1433</v>
      </c>
    </row>
    <row r="438" spans="1:6" x14ac:dyDescent="0.2">
      <c r="A438" s="4">
        <v>45104</v>
      </c>
      <c r="B438" s="5">
        <v>142.75</v>
      </c>
      <c r="C438" s="5">
        <v>142.75</v>
      </c>
      <c r="D438" s="5">
        <v>142.75</v>
      </c>
      <c r="E438" s="5">
        <v>142.75</v>
      </c>
      <c r="F438" s="6"/>
    </row>
    <row r="439" spans="1:6" x14ac:dyDescent="0.2">
      <c r="A439" s="4">
        <v>45105</v>
      </c>
      <c r="B439" s="5">
        <v>143.80000000000001</v>
      </c>
      <c r="C439" s="5">
        <v>143.80000000000001</v>
      </c>
      <c r="D439" s="5">
        <v>140.4</v>
      </c>
      <c r="E439" s="5">
        <v>140.4</v>
      </c>
      <c r="F439" s="6">
        <v>753</v>
      </c>
    </row>
    <row r="440" spans="1:6" x14ac:dyDescent="0.2">
      <c r="A440" s="4">
        <v>45106</v>
      </c>
      <c r="B440" s="5">
        <v>141.88999999999999</v>
      </c>
      <c r="C440" s="5">
        <v>142.91</v>
      </c>
      <c r="D440" s="5">
        <v>141.88999999999999</v>
      </c>
      <c r="E440" s="5">
        <v>142.91</v>
      </c>
      <c r="F440" s="6">
        <v>2868</v>
      </c>
    </row>
    <row r="441" spans="1:6" x14ac:dyDescent="0.2">
      <c r="A441" s="4">
        <v>45107</v>
      </c>
      <c r="B441" s="5">
        <v>143.9</v>
      </c>
      <c r="C441" s="5">
        <v>143.9</v>
      </c>
      <c r="D441" s="5">
        <v>143.9</v>
      </c>
      <c r="E441" s="5">
        <v>143.9</v>
      </c>
      <c r="F441" s="6">
        <v>483</v>
      </c>
    </row>
    <row r="442" spans="1:6" x14ac:dyDescent="0.2">
      <c r="A442" s="4">
        <v>45110</v>
      </c>
      <c r="B442" s="5">
        <v>129.9</v>
      </c>
      <c r="C442" s="5">
        <v>134</v>
      </c>
      <c r="D442" s="5">
        <v>129.72</v>
      </c>
      <c r="E442" s="5">
        <v>133.23500000000001</v>
      </c>
      <c r="F442" s="6">
        <v>2402</v>
      </c>
    </row>
    <row r="443" spans="1:6" x14ac:dyDescent="0.2">
      <c r="A443" s="4">
        <v>45112</v>
      </c>
      <c r="B443" s="5">
        <v>133.75</v>
      </c>
      <c r="C443" s="5">
        <v>134</v>
      </c>
      <c r="D443" s="5">
        <v>133.75</v>
      </c>
      <c r="E443" s="5">
        <v>134</v>
      </c>
      <c r="F443" s="6">
        <v>847</v>
      </c>
    </row>
    <row r="444" spans="1:6" x14ac:dyDescent="0.2">
      <c r="A444" s="4">
        <v>45113</v>
      </c>
      <c r="B444" s="5">
        <v>132.28</v>
      </c>
      <c r="C444" s="5">
        <v>132.44</v>
      </c>
      <c r="D444" s="5">
        <v>131.15</v>
      </c>
      <c r="E444" s="5">
        <v>132.44</v>
      </c>
      <c r="F444" s="6">
        <v>1152</v>
      </c>
    </row>
    <row r="445" spans="1:6" x14ac:dyDescent="0.2">
      <c r="A445" s="4">
        <v>45114</v>
      </c>
      <c r="B445" s="5">
        <v>129.36000000000001</v>
      </c>
      <c r="C445" s="5">
        <v>131.22</v>
      </c>
      <c r="D445" s="5">
        <v>127.75</v>
      </c>
      <c r="E445" s="5">
        <v>127.75</v>
      </c>
      <c r="F445" s="6">
        <v>1145</v>
      </c>
    </row>
    <row r="446" spans="1:6" x14ac:dyDescent="0.2">
      <c r="A446" s="4">
        <v>45117</v>
      </c>
      <c r="B446" s="5">
        <v>130.96</v>
      </c>
      <c r="C446" s="5">
        <v>131.25</v>
      </c>
      <c r="D446" s="5">
        <v>130</v>
      </c>
      <c r="E446" s="5">
        <v>131.25</v>
      </c>
      <c r="F446" s="6">
        <v>983</v>
      </c>
    </row>
    <row r="447" spans="1:6" x14ac:dyDescent="0.2">
      <c r="A447" s="4">
        <v>45118</v>
      </c>
      <c r="B447" s="5">
        <v>131.25</v>
      </c>
      <c r="C447" s="5">
        <v>131.25</v>
      </c>
      <c r="D447" s="5">
        <v>131.25</v>
      </c>
      <c r="E447" s="5">
        <v>131.25</v>
      </c>
      <c r="F447" s="6"/>
    </row>
    <row r="448" spans="1:6" x14ac:dyDescent="0.2">
      <c r="A448" s="4">
        <v>45119</v>
      </c>
      <c r="B448" s="5">
        <v>129</v>
      </c>
      <c r="C448" s="5">
        <v>134.32</v>
      </c>
      <c r="D448" s="5">
        <v>129</v>
      </c>
      <c r="E448" s="5">
        <v>134.32</v>
      </c>
      <c r="F448" s="6">
        <v>788</v>
      </c>
    </row>
    <row r="449" spans="1:6" x14ac:dyDescent="0.2">
      <c r="A449" s="4">
        <v>45120</v>
      </c>
      <c r="B449" s="5">
        <v>134</v>
      </c>
      <c r="C449" s="5">
        <v>134</v>
      </c>
      <c r="D449" s="5">
        <v>133.59989999999999</v>
      </c>
      <c r="E449" s="5">
        <v>133.59989999999999</v>
      </c>
      <c r="F449" s="6">
        <v>727</v>
      </c>
    </row>
    <row r="450" spans="1:6" x14ac:dyDescent="0.2">
      <c r="A450" s="4">
        <v>45121</v>
      </c>
      <c r="B450" s="5">
        <v>138</v>
      </c>
      <c r="C450" s="5">
        <v>138.62</v>
      </c>
      <c r="D450" s="5">
        <v>138</v>
      </c>
      <c r="E450" s="5">
        <v>138.62</v>
      </c>
      <c r="F450" s="6">
        <v>2824</v>
      </c>
    </row>
    <row r="451" spans="1:6" x14ac:dyDescent="0.2">
      <c r="A451" s="4">
        <v>45124</v>
      </c>
      <c r="B451" s="5">
        <v>135.78</v>
      </c>
      <c r="C451" s="5">
        <v>135.78</v>
      </c>
      <c r="D451" s="5">
        <v>135.78</v>
      </c>
      <c r="E451" s="5">
        <v>135.78</v>
      </c>
      <c r="F451" s="6">
        <v>583</v>
      </c>
    </row>
    <row r="452" spans="1:6" x14ac:dyDescent="0.2">
      <c r="A452" s="4">
        <v>45125</v>
      </c>
      <c r="B452" s="5">
        <v>135.69999999999999</v>
      </c>
      <c r="C452" s="5">
        <v>135.69999999999999</v>
      </c>
      <c r="D452" s="5">
        <v>134.44999999999999</v>
      </c>
      <c r="E452" s="5">
        <v>134.44999999999999</v>
      </c>
      <c r="F452" s="6">
        <v>788</v>
      </c>
    </row>
    <row r="453" spans="1:6" x14ac:dyDescent="0.2">
      <c r="A453" s="4">
        <v>45126</v>
      </c>
      <c r="B453" s="5">
        <v>135.08000000000001</v>
      </c>
      <c r="C453" s="5">
        <v>137.06</v>
      </c>
      <c r="D453" s="5">
        <v>135.08000000000001</v>
      </c>
      <c r="E453" s="5">
        <v>137.06</v>
      </c>
      <c r="F453" s="6">
        <v>600</v>
      </c>
    </row>
    <row r="454" spans="1:6" x14ac:dyDescent="0.2">
      <c r="A454" s="4">
        <v>45127</v>
      </c>
      <c r="B454" s="5">
        <v>138.02000000000001</v>
      </c>
      <c r="C454" s="5">
        <v>138.02000000000001</v>
      </c>
      <c r="D454" s="5">
        <v>138</v>
      </c>
      <c r="E454" s="5">
        <v>138</v>
      </c>
      <c r="F454" s="6">
        <v>993</v>
      </c>
    </row>
    <row r="455" spans="1:6" x14ac:dyDescent="0.2">
      <c r="A455" s="4">
        <v>45128</v>
      </c>
      <c r="B455" s="5">
        <v>138.46</v>
      </c>
      <c r="C455" s="5">
        <v>139.84</v>
      </c>
      <c r="D455" s="5">
        <v>136.72</v>
      </c>
      <c r="E455" s="5">
        <v>136.91990000000001</v>
      </c>
      <c r="F455" s="6">
        <v>1191</v>
      </c>
    </row>
    <row r="456" spans="1:6" x14ac:dyDescent="0.2">
      <c r="A456" s="4">
        <v>45131</v>
      </c>
      <c r="B456" s="5">
        <v>139.28</v>
      </c>
      <c r="C456" s="5">
        <v>139.28</v>
      </c>
      <c r="D456" s="5">
        <v>139.28</v>
      </c>
      <c r="E456" s="5">
        <v>139.28</v>
      </c>
      <c r="F456" s="6">
        <v>560</v>
      </c>
    </row>
    <row r="457" spans="1:6" x14ac:dyDescent="0.2">
      <c r="A457" s="4">
        <v>45132</v>
      </c>
      <c r="B457" s="5">
        <v>136.81989999999999</v>
      </c>
      <c r="C457" s="5">
        <v>138.91999999999999</v>
      </c>
      <c r="D457" s="5">
        <v>136.59989999999999</v>
      </c>
      <c r="E457" s="5">
        <v>137.09989999999999</v>
      </c>
      <c r="F457" s="6">
        <v>2382</v>
      </c>
    </row>
    <row r="458" spans="1:6" x14ac:dyDescent="0.2">
      <c r="A458" s="4">
        <v>45133</v>
      </c>
      <c r="B458" s="5">
        <v>140.5</v>
      </c>
      <c r="C458" s="5">
        <v>140.5</v>
      </c>
      <c r="D458" s="5">
        <v>140.5</v>
      </c>
      <c r="E458" s="5">
        <v>140.5</v>
      </c>
      <c r="F458" s="6">
        <v>1117</v>
      </c>
    </row>
    <row r="459" spans="1:6" x14ac:dyDescent="0.2">
      <c r="A459" s="4">
        <v>45134</v>
      </c>
      <c r="B459" s="5">
        <v>140.44999999999999</v>
      </c>
      <c r="C459" s="5">
        <v>140.44999999999999</v>
      </c>
      <c r="D459" s="5">
        <v>140.44999999999999</v>
      </c>
      <c r="E459" s="5">
        <v>140.44999999999999</v>
      </c>
      <c r="F459" s="6">
        <v>1191</v>
      </c>
    </row>
    <row r="460" spans="1:6" x14ac:dyDescent="0.2">
      <c r="A460" s="4">
        <v>45135</v>
      </c>
      <c r="B460" s="5">
        <v>141.63990000000001</v>
      </c>
      <c r="C460" s="5">
        <v>141.63990000000001</v>
      </c>
      <c r="D460" s="5">
        <v>140.84</v>
      </c>
      <c r="E460" s="5">
        <v>140.84</v>
      </c>
      <c r="F460" s="6">
        <v>928</v>
      </c>
    </row>
    <row r="461" spans="1:6" x14ac:dyDescent="0.2">
      <c r="A461" s="4">
        <v>45138</v>
      </c>
      <c r="B461" s="5">
        <v>139.94999999999999</v>
      </c>
      <c r="C461" s="5">
        <v>144.82</v>
      </c>
      <c r="D461" s="5">
        <v>139.94999999999999</v>
      </c>
      <c r="E461" s="5">
        <v>144.82</v>
      </c>
      <c r="F461" s="6">
        <v>1461</v>
      </c>
    </row>
    <row r="462" spans="1:6" x14ac:dyDescent="0.2">
      <c r="A462" s="4">
        <v>45139</v>
      </c>
      <c r="B462" s="5">
        <v>139</v>
      </c>
      <c r="C462" s="5">
        <v>142.85</v>
      </c>
      <c r="D462" s="5">
        <v>139</v>
      </c>
      <c r="E462" s="5">
        <v>142.85</v>
      </c>
      <c r="F462" s="6">
        <v>5419</v>
      </c>
    </row>
    <row r="463" spans="1:6" x14ac:dyDescent="0.2">
      <c r="A463" s="4">
        <v>45140</v>
      </c>
      <c r="B463" s="5">
        <v>139.125</v>
      </c>
      <c r="C463" s="5">
        <v>139.125</v>
      </c>
      <c r="D463" s="5">
        <v>139.125</v>
      </c>
      <c r="E463" s="5">
        <v>139.125</v>
      </c>
      <c r="F463" s="6">
        <v>477</v>
      </c>
    </row>
    <row r="464" spans="1:6" x14ac:dyDescent="0.2">
      <c r="A464" s="4">
        <v>45141</v>
      </c>
      <c r="B464" s="5">
        <v>139.01</v>
      </c>
      <c r="C464" s="5">
        <v>139.01</v>
      </c>
      <c r="D464" s="5">
        <v>139.01</v>
      </c>
      <c r="E464" s="5">
        <v>139.01</v>
      </c>
      <c r="F464" s="6">
        <v>755</v>
      </c>
    </row>
    <row r="465" spans="1:6" x14ac:dyDescent="0.2">
      <c r="A465" s="4">
        <v>45142</v>
      </c>
      <c r="B465" s="5">
        <v>139.1</v>
      </c>
      <c r="C465" s="5">
        <v>140.24</v>
      </c>
      <c r="D465" s="5">
        <v>137.94</v>
      </c>
      <c r="E465" s="5">
        <v>140.24</v>
      </c>
      <c r="F465" s="6">
        <v>3501</v>
      </c>
    </row>
    <row r="466" spans="1:6" x14ac:dyDescent="0.2">
      <c r="A466" s="4">
        <v>45145</v>
      </c>
      <c r="B466" s="5">
        <v>138.69</v>
      </c>
      <c r="C466" s="5">
        <v>141.28</v>
      </c>
      <c r="D466" s="5">
        <v>138.69</v>
      </c>
      <c r="E466" s="5">
        <v>141.28</v>
      </c>
      <c r="F466" s="6">
        <v>1073</v>
      </c>
    </row>
    <row r="467" spans="1:6" x14ac:dyDescent="0.2">
      <c r="A467" s="4">
        <v>45146</v>
      </c>
      <c r="B467" s="5">
        <v>141.35</v>
      </c>
      <c r="C467" s="5">
        <v>141.35</v>
      </c>
      <c r="D467" s="5">
        <v>141.35</v>
      </c>
      <c r="E467" s="5">
        <v>141.35</v>
      </c>
      <c r="F467" s="6">
        <v>555</v>
      </c>
    </row>
    <row r="468" spans="1:6" x14ac:dyDescent="0.2">
      <c r="A468" s="4">
        <v>45147</v>
      </c>
      <c r="B468" s="5">
        <v>141.35</v>
      </c>
      <c r="C468" s="5">
        <v>141.35</v>
      </c>
      <c r="D468" s="5">
        <v>141.35</v>
      </c>
      <c r="E468" s="5">
        <v>141.35</v>
      </c>
      <c r="F468" s="6"/>
    </row>
    <row r="469" spans="1:6" x14ac:dyDescent="0.2">
      <c r="A469" s="4">
        <v>45148</v>
      </c>
      <c r="B469" s="5">
        <v>143.41999999999999</v>
      </c>
      <c r="C469" s="5">
        <v>143.41999999999999</v>
      </c>
      <c r="D469" s="5">
        <v>137.94999999999999</v>
      </c>
      <c r="E469" s="5">
        <v>137.94999999999999</v>
      </c>
      <c r="F469" s="6">
        <v>3600</v>
      </c>
    </row>
    <row r="470" spans="1:6" x14ac:dyDescent="0.2">
      <c r="A470" s="4">
        <v>45149</v>
      </c>
      <c r="B470" s="5">
        <v>141.52000000000001</v>
      </c>
      <c r="C470" s="5">
        <v>141.52000000000001</v>
      </c>
      <c r="D470" s="5">
        <v>141.52000000000001</v>
      </c>
      <c r="E470" s="5">
        <v>141.52000000000001</v>
      </c>
      <c r="F470" s="6">
        <v>652</v>
      </c>
    </row>
    <row r="471" spans="1:6" x14ac:dyDescent="0.2">
      <c r="A471" s="4">
        <v>45152</v>
      </c>
      <c r="B471" s="5">
        <v>140.79</v>
      </c>
      <c r="C471" s="5">
        <v>143.19999999999999</v>
      </c>
      <c r="D471" s="5">
        <v>140.79</v>
      </c>
      <c r="E471" s="5">
        <v>143.19999999999999</v>
      </c>
      <c r="F471" s="6">
        <v>1828</v>
      </c>
    </row>
    <row r="472" spans="1:6" x14ac:dyDescent="0.2">
      <c r="A472" s="4">
        <v>45153</v>
      </c>
      <c r="B472" s="5">
        <v>140.69999999999999</v>
      </c>
      <c r="C472" s="5">
        <v>140.69999999999999</v>
      </c>
      <c r="D472" s="5">
        <v>135.55000000000001</v>
      </c>
      <c r="E472" s="5">
        <v>137.56</v>
      </c>
      <c r="F472" s="6">
        <v>1502</v>
      </c>
    </row>
    <row r="473" spans="1:6" x14ac:dyDescent="0.2">
      <c r="A473" s="4">
        <v>45154</v>
      </c>
      <c r="B473" s="5">
        <v>137.56</v>
      </c>
      <c r="C473" s="5">
        <v>137.56</v>
      </c>
      <c r="D473" s="5">
        <v>137.56</v>
      </c>
      <c r="E473" s="5">
        <v>137.56</v>
      </c>
      <c r="F473" s="6"/>
    </row>
    <row r="474" spans="1:6" x14ac:dyDescent="0.2">
      <c r="A474" s="4">
        <v>45155</v>
      </c>
      <c r="B474" s="5">
        <v>136.85</v>
      </c>
      <c r="C474" s="5">
        <v>137.47489999999999</v>
      </c>
      <c r="D474" s="5">
        <v>136.85</v>
      </c>
      <c r="E474" s="5">
        <v>137.47489999999999</v>
      </c>
      <c r="F474" s="6">
        <v>1528</v>
      </c>
    </row>
    <row r="475" spans="1:6" x14ac:dyDescent="0.2">
      <c r="A475" s="4">
        <v>45156</v>
      </c>
      <c r="B475" s="5">
        <v>136.19999999999999</v>
      </c>
      <c r="C475" s="5">
        <v>136.19999999999999</v>
      </c>
      <c r="D475" s="5">
        <v>135.01</v>
      </c>
      <c r="E475" s="5">
        <v>136.03</v>
      </c>
      <c r="F475" s="6">
        <v>7114</v>
      </c>
    </row>
    <row r="476" spans="1:6" x14ac:dyDescent="0.2">
      <c r="A476" s="4">
        <v>45159</v>
      </c>
      <c r="B476" s="5">
        <v>136.25</v>
      </c>
      <c r="C476" s="5">
        <v>136.94999999999999</v>
      </c>
      <c r="D476" s="5">
        <v>136.25</v>
      </c>
      <c r="E476" s="5">
        <v>136.94999999999999</v>
      </c>
      <c r="F476" s="6">
        <v>1084</v>
      </c>
    </row>
    <row r="477" spans="1:6" x14ac:dyDescent="0.2">
      <c r="A477" s="4">
        <v>45160</v>
      </c>
      <c r="B477" s="5">
        <v>137.54</v>
      </c>
      <c r="C477" s="5">
        <v>137.54</v>
      </c>
      <c r="D477" s="5">
        <v>133</v>
      </c>
      <c r="E477" s="5">
        <v>135.80000000000001</v>
      </c>
      <c r="F477" s="6">
        <v>1699</v>
      </c>
    </row>
    <row r="478" spans="1:6" x14ac:dyDescent="0.2">
      <c r="A478" s="4">
        <v>45161</v>
      </c>
      <c r="B478" s="5">
        <v>136.49</v>
      </c>
      <c r="C478" s="5">
        <v>139.35</v>
      </c>
      <c r="D478" s="5">
        <v>136.03</v>
      </c>
      <c r="E478" s="5">
        <v>139.35</v>
      </c>
      <c r="F478" s="6">
        <v>3271</v>
      </c>
    </row>
    <row r="479" spans="1:6" x14ac:dyDescent="0.2">
      <c r="A479" s="4">
        <v>45162</v>
      </c>
      <c r="B479" s="5">
        <v>134.96</v>
      </c>
      <c r="C479" s="5">
        <v>136</v>
      </c>
      <c r="D479" s="5">
        <v>134.96</v>
      </c>
      <c r="E479" s="5">
        <v>136</v>
      </c>
      <c r="F479" s="6">
        <v>5786</v>
      </c>
    </row>
    <row r="480" spans="1:6" x14ac:dyDescent="0.2">
      <c r="A480" s="4">
        <v>45163</v>
      </c>
      <c r="B480" s="5">
        <v>131.55000000000001</v>
      </c>
      <c r="C480" s="5">
        <v>136.35</v>
      </c>
      <c r="D480" s="5">
        <v>131.55000000000001</v>
      </c>
      <c r="E480" s="5">
        <v>135.971</v>
      </c>
      <c r="F480" s="6">
        <v>1642</v>
      </c>
    </row>
    <row r="481" spans="1:6" x14ac:dyDescent="0.2">
      <c r="A481" s="4">
        <v>45166</v>
      </c>
      <c r="B481" s="5">
        <v>135</v>
      </c>
      <c r="C481" s="5">
        <v>136.63999999999999</v>
      </c>
      <c r="D481" s="5">
        <v>135</v>
      </c>
      <c r="E481" s="5">
        <v>136.63999999999999</v>
      </c>
      <c r="F481" s="6">
        <v>1095</v>
      </c>
    </row>
    <row r="482" spans="1:6" x14ac:dyDescent="0.2">
      <c r="A482" s="4">
        <v>45167</v>
      </c>
      <c r="B482" s="5">
        <v>135.6</v>
      </c>
      <c r="C482" s="5">
        <v>139.1</v>
      </c>
      <c r="D482" s="5">
        <v>132.5</v>
      </c>
      <c r="E482" s="5">
        <v>139.1</v>
      </c>
      <c r="F482" s="6">
        <v>1151</v>
      </c>
    </row>
    <row r="483" spans="1:6" x14ac:dyDescent="0.2">
      <c r="A483" s="4">
        <v>45168</v>
      </c>
      <c r="B483" s="5">
        <v>139.88</v>
      </c>
      <c r="C483" s="5">
        <v>139.88</v>
      </c>
      <c r="D483" s="5">
        <v>136.72499999999999</v>
      </c>
      <c r="E483" s="5">
        <v>136.72499999999999</v>
      </c>
      <c r="F483" s="6">
        <v>971</v>
      </c>
    </row>
    <row r="484" spans="1:6" x14ac:dyDescent="0.2">
      <c r="A484" s="4">
        <v>45169</v>
      </c>
      <c r="B484" s="5">
        <v>134.03989999999999</v>
      </c>
      <c r="C484" s="5">
        <v>134.03989999999999</v>
      </c>
      <c r="D484" s="5">
        <v>134.03989999999999</v>
      </c>
      <c r="E484" s="5">
        <v>134.03989999999999</v>
      </c>
      <c r="F484" s="6">
        <v>446</v>
      </c>
    </row>
    <row r="485" spans="1:6" x14ac:dyDescent="0.2">
      <c r="A485" s="4">
        <v>45170</v>
      </c>
      <c r="B485" s="5">
        <v>136</v>
      </c>
      <c r="C485" s="5">
        <v>136</v>
      </c>
      <c r="D485" s="5">
        <v>136</v>
      </c>
      <c r="E485" s="5">
        <v>136</v>
      </c>
      <c r="F485" s="6">
        <v>555</v>
      </c>
    </row>
    <row r="486" spans="1:6" x14ac:dyDescent="0.2">
      <c r="A486" s="4">
        <v>45174</v>
      </c>
      <c r="B486" s="5">
        <v>136.13999999999999</v>
      </c>
      <c r="C486" s="5">
        <v>136.19999999999999</v>
      </c>
      <c r="D486" s="5">
        <v>133.9</v>
      </c>
      <c r="E486" s="5">
        <v>133.9</v>
      </c>
      <c r="F486" s="6">
        <v>1171</v>
      </c>
    </row>
    <row r="487" spans="1:6" x14ac:dyDescent="0.2">
      <c r="A487" s="4">
        <v>45175</v>
      </c>
      <c r="B487" s="5">
        <v>133.9</v>
      </c>
      <c r="C487" s="5">
        <v>133.9</v>
      </c>
      <c r="D487" s="5">
        <v>133.9</v>
      </c>
      <c r="E487" s="5">
        <v>133.9</v>
      </c>
      <c r="F487" s="6"/>
    </row>
    <row r="488" spans="1:6" x14ac:dyDescent="0.2">
      <c r="A488" s="4">
        <v>45176</v>
      </c>
      <c r="B488" s="5">
        <v>133</v>
      </c>
      <c r="C488" s="5">
        <v>135.29</v>
      </c>
      <c r="D488" s="5">
        <v>133</v>
      </c>
      <c r="E488" s="5">
        <v>134.68</v>
      </c>
      <c r="F488" s="6">
        <v>3379</v>
      </c>
    </row>
    <row r="489" spans="1:6" x14ac:dyDescent="0.2">
      <c r="A489" s="4">
        <v>45177</v>
      </c>
      <c r="B489" s="5">
        <v>135.84</v>
      </c>
      <c r="C489" s="5">
        <v>135.84</v>
      </c>
      <c r="D489" s="5">
        <v>135.69999999999999</v>
      </c>
      <c r="E489" s="5">
        <v>135.69999999999999</v>
      </c>
      <c r="F489" s="6">
        <v>1614</v>
      </c>
    </row>
    <row r="490" spans="1:6" x14ac:dyDescent="0.2">
      <c r="A490" s="4">
        <v>45180</v>
      </c>
      <c r="B490" s="5">
        <v>135.69999999999999</v>
      </c>
      <c r="C490" s="5">
        <v>135.69999999999999</v>
      </c>
      <c r="D490" s="5">
        <v>135.69999999999999</v>
      </c>
      <c r="E490" s="5">
        <v>135.69999999999999</v>
      </c>
      <c r="F490" s="6"/>
    </row>
    <row r="491" spans="1:6" x14ac:dyDescent="0.2">
      <c r="A491" s="4">
        <v>45181</v>
      </c>
      <c r="B491" s="5">
        <v>133.16999999999999</v>
      </c>
      <c r="C491" s="5">
        <v>133.16999999999999</v>
      </c>
      <c r="D491" s="5">
        <v>132.22499999999999</v>
      </c>
      <c r="E491" s="5">
        <v>132.22499999999999</v>
      </c>
      <c r="F491" s="6">
        <v>560</v>
      </c>
    </row>
    <row r="492" spans="1:6" x14ac:dyDescent="0.2">
      <c r="A492" s="4">
        <v>45182</v>
      </c>
      <c r="B492" s="5">
        <v>133.4</v>
      </c>
      <c r="C492" s="5">
        <v>133.9</v>
      </c>
      <c r="D492" s="5">
        <v>130.08000000000001</v>
      </c>
      <c r="E492" s="5">
        <v>130.08000000000001</v>
      </c>
      <c r="F492" s="6">
        <v>48397</v>
      </c>
    </row>
    <row r="493" spans="1:6" x14ac:dyDescent="0.2">
      <c r="A493" s="4">
        <v>45183</v>
      </c>
      <c r="B493" s="5">
        <v>133</v>
      </c>
      <c r="C493" s="5">
        <v>133</v>
      </c>
      <c r="D493" s="5">
        <v>133</v>
      </c>
      <c r="E493" s="5">
        <v>133</v>
      </c>
      <c r="F493" s="6">
        <v>507</v>
      </c>
    </row>
    <row r="494" spans="1:6" x14ac:dyDescent="0.2">
      <c r="A494" s="4">
        <v>45184</v>
      </c>
      <c r="B494" s="5">
        <v>138.28</v>
      </c>
      <c r="C494" s="5">
        <v>138.28</v>
      </c>
      <c r="D494" s="5">
        <v>138.28</v>
      </c>
      <c r="E494" s="5">
        <v>138.28</v>
      </c>
      <c r="F494" s="6">
        <v>800</v>
      </c>
    </row>
    <row r="495" spans="1:6" x14ac:dyDescent="0.2">
      <c r="A495" s="4">
        <v>45187</v>
      </c>
      <c r="B495" s="5">
        <v>135.5</v>
      </c>
      <c r="C495" s="5">
        <v>137.84</v>
      </c>
      <c r="D495" s="5">
        <v>131.45490000000001</v>
      </c>
      <c r="E495" s="5">
        <v>131.45490000000001</v>
      </c>
      <c r="F495" s="6">
        <v>3626</v>
      </c>
    </row>
    <row r="496" spans="1:6" x14ac:dyDescent="0.2">
      <c r="A496" s="4">
        <v>45188</v>
      </c>
      <c r="B496" s="5">
        <v>133.35</v>
      </c>
      <c r="C496" s="5">
        <v>133.35</v>
      </c>
      <c r="D496" s="5">
        <v>130.67500000000001</v>
      </c>
      <c r="E496" s="5">
        <v>130.67500000000001</v>
      </c>
      <c r="F496" s="6">
        <v>857</v>
      </c>
    </row>
    <row r="497" spans="1:6" x14ac:dyDescent="0.2">
      <c r="A497" s="4">
        <v>45189</v>
      </c>
      <c r="B497" s="5">
        <v>137.6</v>
      </c>
      <c r="C497" s="5">
        <v>137.6</v>
      </c>
      <c r="D497" s="5">
        <v>136.34</v>
      </c>
      <c r="E497" s="5">
        <v>136.34</v>
      </c>
      <c r="F497" s="6">
        <v>642</v>
      </c>
    </row>
    <row r="498" spans="1:6" x14ac:dyDescent="0.2">
      <c r="A498" s="4">
        <v>45190</v>
      </c>
      <c r="B498" s="5">
        <v>134.80000000000001</v>
      </c>
      <c r="C498" s="5">
        <v>134.80000000000001</v>
      </c>
      <c r="D498" s="5">
        <v>133.94999999999999</v>
      </c>
      <c r="E498" s="5">
        <v>133.94999999999999</v>
      </c>
      <c r="F498" s="6">
        <v>960</v>
      </c>
    </row>
    <row r="499" spans="1:6" x14ac:dyDescent="0.2">
      <c r="A499" s="4">
        <v>45191</v>
      </c>
      <c r="B499" s="5">
        <v>137.93</v>
      </c>
      <c r="C499" s="5">
        <v>137.93</v>
      </c>
      <c r="D499" s="5">
        <v>137.93</v>
      </c>
      <c r="E499" s="5">
        <v>137.93</v>
      </c>
      <c r="F499" s="6">
        <v>731</v>
      </c>
    </row>
    <row r="500" spans="1:6" x14ac:dyDescent="0.2">
      <c r="A500" s="4">
        <v>45194</v>
      </c>
      <c r="B500" s="5">
        <v>131.94999999999999</v>
      </c>
      <c r="C500" s="5">
        <v>137.58000000000001</v>
      </c>
      <c r="D500" s="5">
        <v>131.94999999999999</v>
      </c>
      <c r="E500" s="5">
        <v>136.99</v>
      </c>
      <c r="F500" s="6">
        <v>865</v>
      </c>
    </row>
    <row r="501" spans="1:6" x14ac:dyDescent="0.2">
      <c r="A501" s="4">
        <v>45195</v>
      </c>
      <c r="B501" s="5">
        <v>132.85</v>
      </c>
      <c r="C501" s="5">
        <v>137.84</v>
      </c>
      <c r="D501" s="5">
        <v>132.85</v>
      </c>
      <c r="E501" s="5">
        <v>134.94990000000001</v>
      </c>
      <c r="F501" s="6">
        <v>7358</v>
      </c>
    </row>
    <row r="502" spans="1:6" x14ac:dyDescent="0.2">
      <c r="A502" s="4">
        <v>45196</v>
      </c>
      <c r="B502" s="5">
        <v>136</v>
      </c>
      <c r="C502" s="5">
        <v>137.59</v>
      </c>
      <c r="D502" s="5">
        <v>133.16</v>
      </c>
      <c r="E502" s="5">
        <v>133.16</v>
      </c>
      <c r="F502" s="6">
        <v>1900</v>
      </c>
    </row>
    <row r="503" spans="1:6" x14ac:dyDescent="0.2">
      <c r="A503" s="4">
        <v>45197</v>
      </c>
      <c r="B503" s="5">
        <v>135.35</v>
      </c>
      <c r="C503" s="5">
        <v>136.29</v>
      </c>
      <c r="D503" s="5">
        <v>133.63</v>
      </c>
      <c r="E503" s="5">
        <v>136.15</v>
      </c>
      <c r="F503" s="6">
        <v>1456</v>
      </c>
    </row>
    <row r="504" spans="1:6" x14ac:dyDescent="0.2">
      <c r="A504" s="4">
        <v>45198</v>
      </c>
      <c r="B504" s="5">
        <v>137.05000000000001</v>
      </c>
      <c r="C504" s="5">
        <v>137.05000000000001</v>
      </c>
      <c r="D504" s="5">
        <v>135.05000000000001</v>
      </c>
      <c r="E504" s="5">
        <v>135.05000000000001</v>
      </c>
      <c r="F504" s="6">
        <v>2097</v>
      </c>
    </row>
    <row r="505" spans="1:6" x14ac:dyDescent="0.2">
      <c r="A505" s="4">
        <v>45201</v>
      </c>
      <c r="B505" s="5">
        <v>134.36000000000001</v>
      </c>
      <c r="C505" s="5">
        <v>134.36000000000001</v>
      </c>
      <c r="D505" s="5">
        <v>133.1</v>
      </c>
      <c r="E505" s="5">
        <v>133.1</v>
      </c>
      <c r="F505" s="6">
        <v>1837</v>
      </c>
    </row>
    <row r="506" spans="1:6" x14ac:dyDescent="0.2">
      <c r="A506" s="4">
        <v>45202</v>
      </c>
      <c r="B506" s="5">
        <v>133.72</v>
      </c>
      <c r="C506" s="5">
        <v>134.13999999999999</v>
      </c>
      <c r="D506" s="5">
        <v>129.44999999999999</v>
      </c>
      <c r="E506" s="5">
        <v>132.93</v>
      </c>
      <c r="F506" s="6">
        <v>1101</v>
      </c>
    </row>
    <row r="507" spans="1:6" x14ac:dyDescent="0.2">
      <c r="A507" s="4">
        <v>45203</v>
      </c>
      <c r="B507" s="5">
        <v>134.15</v>
      </c>
      <c r="C507" s="5">
        <v>134.15</v>
      </c>
      <c r="D507" s="5">
        <v>134.15</v>
      </c>
      <c r="E507" s="5">
        <v>134.15</v>
      </c>
      <c r="F507" s="6">
        <v>467</v>
      </c>
    </row>
    <row r="508" spans="1:6" x14ac:dyDescent="0.2">
      <c r="A508" s="4">
        <v>45204</v>
      </c>
      <c r="B508" s="5">
        <v>132.72</v>
      </c>
      <c r="C508" s="5">
        <v>134.9</v>
      </c>
      <c r="D508" s="5">
        <v>132.17500000000001</v>
      </c>
      <c r="E508" s="5">
        <v>134.9</v>
      </c>
      <c r="F508" s="6">
        <v>1732</v>
      </c>
    </row>
    <row r="509" spans="1:6" x14ac:dyDescent="0.2">
      <c r="A509" s="4">
        <v>45205</v>
      </c>
      <c r="B509" s="5">
        <v>134.25</v>
      </c>
      <c r="C509" s="5">
        <v>136.44</v>
      </c>
      <c r="D509" s="5">
        <v>133.47989999999999</v>
      </c>
      <c r="E509" s="5">
        <v>133.47989999999999</v>
      </c>
      <c r="F509" s="6">
        <v>1288</v>
      </c>
    </row>
    <row r="510" spans="1:6" x14ac:dyDescent="0.2">
      <c r="A510" s="4">
        <v>45208</v>
      </c>
      <c r="B510" s="5">
        <v>134.6</v>
      </c>
      <c r="C510" s="5">
        <v>134.6</v>
      </c>
      <c r="D510" s="5">
        <v>134.13999999999999</v>
      </c>
      <c r="E510" s="5">
        <v>134.13999999999999</v>
      </c>
      <c r="F510" s="6">
        <v>1195</v>
      </c>
    </row>
    <row r="511" spans="1:6" x14ac:dyDescent="0.2">
      <c r="A511" s="4">
        <v>45209</v>
      </c>
      <c r="B511" s="5">
        <v>134.63499999999999</v>
      </c>
      <c r="C511" s="5">
        <v>134.63499999999999</v>
      </c>
      <c r="D511" s="5">
        <v>134.38</v>
      </c>
      <c r="E511" s="5">
        <v>134.38</v>
      </c>
      <c r="F511" s="6">
        <v>751</v>
      </c>
    </row>
    <row r="512" spans="1:6" x14ac:dyDescent="0.2">
      <c r="A512" s="4">
        <v>45210</v>
      </c>
      <c r="B512" s="5">
        <v>134.47989999999999</v>
      </c>
      <c r="C512" s="5">
        <v>134.47989999999999</v>
      </c>
      <c r="D512" s="5">
        <v>133.97200000000001</v>
      </c>
      <c r="E512" s="5">
        <v>133.97200000000001</v>
      </c>
      <c r="F512" s="6">
        <v>1104</v>
      </c>
    </row>
    <row r="513" spans="1:6" x14ac:dyDescent="0.2">
      <c r="A513" s="4">
        <v>45211</v>
      </c>
      <c r="B513" s="5">
        <v>135.5</v>
      </c>
      <c r="C513" s="5">
        <v>135.5</v>
      </c>
      <c r="D513" s="5">
        <v>135.5</v>
      </c>
      <c r="E513" s="5">
        <v>135.5</v>
      </c>
      <c r="F513" s="6">
        <v>911</v>
      </c>
    </row>
    <row r="514" spans="1:6" x14ac:dyDescent="0.2">
      <c r="A514" s="4">
        <v>45212</v>
      </c>
      <c r="B514" s="5">
        <v>135.5</v>
      </c>
      <c r="C514" s="5">
        <v>135.5</v>
      </c>
      <c r="D514" s="5">
        <v>135.5</v>
      </c>
      <c r="E514" s="5">
        <v>135.5</v>
      </c>
      <c r="F514" s="6"/>
    </row>
    <row r="515" spans="1:6" x14ac:dyDescent="0.2">
      <c r="A515" s="4">
        <v>45215</v>
      </c>
      <c r="B515" s="5">
        <v>129.5</v>
      </c>
      <c r="C515" s="5">
        <v>134.16</v>
      </c>
      <c r="D515" s="5">
        <v>129.5</v>
      </c>
      <c r="E515" s="5">
        <v>134.16</v>
      </c>
      <c r="F515" s="6">
        <v>4890</v>
      </c>
    </row>
    <row r="516" spans="1:6" x14ac:dyDescent="0.2">
      <c r="A516" s="4">
        <v>45216</v>
      </c>
      <c r="B516" s="5">
        <v>139.30000000000001</v>
      </c>
      <c r="C516" s="5">
        <v>140</v>
      </c>
      <c r="D516" s="5">
        <v>129.16</v>
      </c>
      <c r="E516" s="5">
        <v>137.05000000000001</v>
      </c>
      <c r="F516" s="6">
        <v>5538</v>
      </c>
    </row>
    <row r="517" spans="1:6" x14ac:dyDescent="0.2">
      <c r="A517" s="4">
        <v>45217</v>
      </c>
      <c r="B517" s="5">
        <v>129.65</v>
      </c>
      <c r="C517" s="5">
        <v>130.88999999999999</v>
      </c>
      <c r="D517" s="5">
        <v>129.19999999999999</v>
      </c>
      <c r="E517" s="5">
        <v>130.88999999999999</v>
      </c>
      <c r="F517" s="6">
        <v>3444</v>
      </c>
    </row>
    <row r="518" spans="1:6" x14ac:dyDescent="0.2">
      <c r="A518" s="4">
        <v>45218</v>
      </c>
      <c r="B518" s="5">
        <v>127.65</v>
      </c>
      <c r="C518" s="5">
        <v>127.65</v>
      </c>
      <c r="D518" s="5">
        <v>127.58</v>
      </c>
      <c r="E518" s="5">
        <v>127.58</v>
      </c>
      <c r="F518" s="6">
        <v>1270</v>
      </c>
    </row>
    <row r="519" spans="1:6" x14ac:dyDescent="0.2">
      <c r="A519" s="4">
        <v>45219</v>
      </c>
      <c r="B519" s="5">
        <v>129.1</v>
      </c>
      <c r="C519" s="5">
        <v>129.1</v>
      </c>
      <c r="D519" s="5">
        <v>126.38</v>
      </c>
      <c r="E519" s="5">
        <v>127.86</v>
      </c>
      <c r="F519" s="6">
        <v>1761</v>
      </c>
    </row>
    <row r="520" spans="1:6" x14ac:dyDescent="0.2">
      <c r="A520" s="4">
        <v>45222</v>
      </c>
      <c r="B520" s="5">
        <v>123.625</v>
      </c>
      <c r="C520" s="5">
        <v>125.9</v>
      </c>
      <c r="D520" s="5">
        <v>123.625</v>
      </c>
      <c r="E520" s="5">
        <v>123.75</v>
      </c>
      <c r="F520" s="6">
        <v>1350</v>
      </c>
    </row>
    <row r="521" spans="1:6" x14ac:dyDescent="0.2">
      <c r="A521" s="4">
        <v>45223</v>
      </c>
      <c r="B521" s="5">
        <v>125.4499</v>
      </c>
      <c r="C521" s="5">
        <v>127.15</v>
      </c>
      <c r="D521" s="5">
        <v>125.4499</v>
      </c>
      <c r="E521" s="5">
        <v>127.15</v>
      </c>
      <c r="F521" s="6">
        <v>1673</v>
      </c>
    </row>
    <row r="522" spans="1:6" x14ac:dyDescent="0.2">
      <c r="A522" s="4">
        <v>45224</v>
      </c>
      <c r="B522" s="5">
        <v>128.58000000000001</v>
      </c>
      <c r="C522" s="5">
        <v>128.58000000000001</v>
      </c>
      <c r="D522" s="5">
        <v>126.44499999999999</v>
      </c>
      <c r="E522" s="5">
        <v>126.44499999999999</v>
      </c>
      <c r="F522" s="6">
        <v>970</v>
      </c>
    </row>
    <row r="523" spans="1:6" x14ac:dyDescent="0.2">
      <c r="A523" s="4">
        <v>45225</v>
      </c>
      <c r="B523" s="5">
        <v>127.25</v>
      </c>
      <c r="C523" s="5">
        <v>127.25</v>
      </c>
      <c r="D523" s="5">
        <v>125.27500000000001</v>
      </c>
      <c r="E523" s="5">
        <v>125.27500000000001</v>
      </c>
      <c r="F523" s="6">
        <v>1735</v>
      </c>
    </row>
    <row r="524" spans="1:6" x14ac:dyDescent="0.2">
      <c r="A524" s="4">
        <v>45226</v>
      </c>
      <c r="B524" s="5">
        <v>123.9</v>
      </c>
      <c r="C524" s="5">
        <v>124.12</v>
      </c>
      <c r="D524" s="5">
        <v>121.45</v>
      </c>
      <c r="E524" s="5">
        <v>121.45</v>
      </c>
      <c r="F524" s="6">
        <v>1501</v>
      </c>
    </row>
    <row r="525" spans="1:6" x14ac:dyDescent="0.2">
      <c r="A525" s="4">
        <v>45229</v>
      </c>
      <c r="B525" s="5">
        <v>120.6</v>
      </c>
      <c r="C525" s="5">
        <v>123.97499999999999</v>
      </c>
      <c r="D525" s="5">
        <v>120.6</v>
      </c>
      <c r="E525" s="5">
        <v>123.97499999999999</v>
      </c>
      <c r="F525" s="6">
        <v>1515</v>
      </c>
    </row>
    <row r="526" spans="1:6" x14ac:dyDescent="0.2">
      <c r="A526" s="4">
        <v>45230</v>
      </c>
      <c r="B526" s="5">
        <v>124.88</v>
      </c>
      <c r="C526" s="5">
        <v>124.88</v>
      </c>
      <c r="D526" s="5">
        <v>122.7599</v>
      </c>
      <c r="E526" s="5">
        <v>122.7599</v>
      </c>
      <c r="F526" s="6">
        <v>1348</v>
      </c>
    </row>
    <row r="527" spans="1:6" x14ac:dyDescent="0.2">
      <c r="A527" s="4">
        <v>45231</v>
      </c>
      <c r="B527" s="5">
        <v>125.4</v>
      </c>
      <c r="C527" s="5">
        <v>128.58000000000001</v>
      </c>
      <c r="D527" s="5">
        <v>125.4</v>
      </c>
      <c r="E527" s="5">
        <v>128.58000000000001</v>
      </c>
      <c r="F527" s="6">
        <v>7302</v>
      </c>
    </row>
    <row r="528" spans="1:6" x14ac:dyDescent="0.2">
      <c r="A528" s="4">
        <v>45232</v>
      </c>
      <c r="B528" s="5">
        <v>123.81</v>
      </c>
      <c r="C528" s="5">
        <v>129.22</v>
      </c>
      <c r="D528" s="5">
        <v>123.81</v>
      </c>
      <c r="E528" s="5">
        <v>126.8199</v>
      </c>
      <c r="F528" s="6">
        <v>3526</v>
      </c>
    </row>
    <row r="529" spans="1:6" x14ac:dyDescent="0.2">
      <c r="A529" s="4">
        <v>45233</v>
      </c>
      <c r="B529" s="5">
        <v>126.3</v>
      </c>
      <c r="C529" s="5">
        <v>126.3</v>
      </c>
      <c r="D529" s="5">
        <v>126.3</v>
      </c>
      <c r="E529" s="5">
        <v>126.3</v>
      </c>
      <c r="F529" s="6">
        <v>1097</v>
      </c>
    </row>
    <row r="530" spans="1:6" x14ac:dyDescent="0.2">
      <c r="A530" s="4">
        <v>45236</v>
      </c>
      <c r="B530" s="5">
        <v>126.96</v>
      </c>
      <c r="C530" s="5">
        <v>129.91999999999999</v>
      </c>
      <c r="D530" s="5">
        <v>126.8</v>
      </c>
      <c r="E530" s="5">
        <v>126.8199</v>
      </c>
      <c r="F530" s="6">
        <v>1592</v>
      </c>
    </row>
    <row r="531" spans="1:6" x14ac:dyDescent="0.2">
      <c r="A531" s="4">
        <v>45237</v>
      </c>
      <c r="B531" s="5">
        <v>125.25</v>
      </c>
      <c r="C531" s="5">
        <v>127.8</v>
      </c>
      <c r="D531" s="5">
        <v>123.35</v>
      </c>
      <c r="E531" s="5">
        <v>125.25</v>
      </c>
      <c r="F531" s="6">
        <v>1231</v>
      </c>
    </row>
    <row r="532" spans="1:6" x14ac:dyDescent="0.2">
      <c r="A532" s="4">
        <v>45238</v>
      </c>
      <c r="B532" s="5">
        <v>122.76</v>
      </c>
      <c r="C532" s="5">
        <v>125.12</v>
      </c>
      <c r="D532" s="5">
        <v>122.76</v>
      </c>
      <c r="E532" s="5">
        <v>125.08</v>
      </c>
      <c r="F532" s="6">
        <v>3803</v>
      </c>
    </row>
    <row r="533" spans="1:6" x14ac:dyDescent="0.2">
      <c r="A533" s="4">
        <v>45239</v>
      </c>
      <c r="B533" s="5">
        <v>128</v>
      </c>
      <c r="C533" s="5">
        <v>129.06</v>
      </c>
      <c r="D533" s="5">
        <v>126.87</v>
      </c>
      <c r="E533" s="5">
        <v>126.87</v>
      </c>
      <c r="F533" s="6">
        <v>1086</v>
      </c>
    </row>
    <row r="534" spans="1:6" x14ac:dyDescent="0.2">
      <c r="A534" s="4">
        <v>45240</v>
      </c>
      <c r="B534" s="5">
        <v>127</v>
      </c>
      <c r="C534" s="5">
        <v>127</v>
      </c>
      <c r="D534" s="5">
        <v>123.62</v>
      </c>
      <c r="E534" s="5">
        <v>124.285</v>
      </c>
      <c r="F534" s="6">
        <v>2005</v>
      </c>
    </row>
    <row r="535" spans="1:6" x14ac:dyDescent="0.2">
      <c r="A535" s="4">
        <v>45243</v>
      </c>
      <c r="B535" s="5">
        <v>124</v>
      </c>
      <c r="C535" s="5">
        <v>124.75</v>
      </c>
      <c r="D535" s="5">
        <v>121.35</v>
      </c>
      <c r="E535" s="5">
        <v>124.75</v>
      </c>
      <c r="F535" s="6">
        <v>1931</v>
      </c>
    </row>
    <row r="536" spans="1:6" x14ac:dyDescent="0.2">
      <c r="A536" s="4">
        <v>45244</v>
      </c>
      <c r="B536" s="5">
        <v>125.8</v>
      </c>
      <c r="C536" s="5">
        <v>128.15</v>
      </c>
      <c r="D536" s="5">
        <v>123.44799999999999</v>
      </c>
      <c r="E536" s="5">
        <v>125.8</v>
      </c>
      <c r="F536" s="6">
        <v>3073</v>
      </c>
    </row>
    <row r="537" spans="1:6" x14ac:dyDescent="0.2">
      <c r="A537" s="4">
        <v>45245</v>
      </c>
      <c r="B537" s="5">
        <v>125.4</v>
      </c>
      <c r="C537" s="5">
        <v>127.64</v>
      </c>
      <c r="D537" s="5">
        <v>125.16</v>
      </c>
      <c r="E537" s="5">
        <v>125.16</v>
      </c>
      <c r="F537" s="6">
        <v>2002</v>
      </c>
    </row>
    <row r="538" spans="1:6" x14ac:dyDescent="0.2">
      <c r="A538" s="4">
        <v>45246</v>
      </c>
      <c r="B538" s="5">
        <v>122.46</v>
      </c>
      <c r="C538" s="5">
        <v>127.9</v>
      </c>
      <c r="D538" s="5">
        <v>122.46</v>
      </c>
      <c r="E538" s="5">
        <v>125.15</v>
      </c>
      <c r="F538" s="6">
        <v>35113</v>
      </c>
    </row>
    <row r="539" spans="1:6" x14ac:dyDescent="0.2">
      <c r="A539" s="4">
        <v>45247</v>
      </c>
      <c r="B539" s="5">
        <v>128</v>
      </c>
      <c r="C539" s="5">
        <v>128.04</v>
      </c>
      <c r="D539" s="5">
        <v>124.24</v>
      </c>
      <c r="E539" s="5">
        <v>128</v>
      </c>
      <c r="F539" s="6">
        <v>5729</v>
      </c>
    </row>
    <row r="540" spans="1:6" x14ac:dyDescent="0.2">
      <c r="A540" s="4">
        <v>45250</v>
      </c>
      <c r="B540" s="5">
        <v>128.05000000000001</v>
      </c>
      <c r="C540" s="5">
        <v>128.05000000000001</v>
      </c>
      <c r="D540" s="5">
        <v>126.14</v>
      </c>
      <c r="E540" s="5">
        <v>126.14</v>
      </c>
      <c r="F540" s="6">
        <v>1725</v>
      </c>
    </row>
    <row r="541" spans="1:6" x14ac:dyDescent="0.2">
      <c r="A541" s="4">
        <v>45251</v>
      </c>
      <c r="B541" s="5">
        <v>125.875</v>
      </c>
      <c r="C541" s="5">
        <v>128.68</v>
      </c>
      <c r="D541" s="5">
        <v>124.05</v>
      </c>
      <c r="E541" s="5">
        <v>125.642</v>
      </c>
      <c r="F541" s="6">
        <v>1291</v>
      </c>
    </row>
    <row r="542" spans="1:6" x14ac:dyDescent="0.2">
      <c r="A542" s="4">
        <v>45252</v>
      </c>
      <c r="B542" s="5">
        <v>126.59990000000001</v>
      </c>
      <c r="C542" s="5">
        <v>126.59990000000001</v>
      </c>
      <c r="D542" s="5">
        <v>126.54</v>
      </c>
      <c r="E542" s="5">
        <v>126.54</v>
      </c>
      <c r="F542" s="6">
        <v>1315</v>
      </c>
    </row>
    <row r="543" spans="1:6" x14ac:dyDescent="0.2">
      <c r="A543" s="4">
        <v>45254</v>
      </c>
      <c r="B543" s="5">
        <v>128.44</v>
      </c>
      <c r="C543" s="5">
        <v>128.55000000000001</v>
      </c>
      <c r="D543" s="5">
        <v>128.44</v>
      </c>
      <c r="E543" s="5">
        <v>128.55000000000001</v>
      </c>
      <c r="F543" s="6">
        <v>922</v>
      </c>
    </row>
    <row r="544" spans="1:6" x14ac:dyDescent="0.2">
      <c r="A544" s="4">
        <v>45257</v>
      </c>
      <c r="B544" s="5">
        <v>126.8199</v>
      </c>
      <c r="C544" s="5">
        <v>128.76</v>
      </c>
      <c r="D544" s="5">
        <v>126.8199</v>
      </c>
      <c r="E544" s="5">
        <v>128.76</v>
      </c>
      <c r="F544" s="6">
        <v>1423</v>
      </c>
    </row>
    <row r="545" spans="1:6" x14ac:dyDescent="0.2">
      <c r="A545" s="4">
        <v>45258</v>
      </c>
      <c r="B545" s="5">
        <v>125.16</v>
      </c>
      <c r="C545" s="5">
        <v>125.4</v>
      </c>
      <c r="D545" s="5">
        <v>124.9599</v>
      </c>
      <c r="E545" s="5">
        <v>124.9599</v>
      </c>
      <c r="F545" s="6">
        <v>1862</v>
      </c>
    </row>
    <row r="546" spans="1:6" x14ac:dyDescent="0.2">
      <c r="A546" s="4">
        <v>45259</v>
      </c>
      <c r="B546" s="5">
        <v>127.22</v>
      </c>
      <c r="C546" s="5">
        <v>127.22</v>
      </c>
      <c r="D546" s="5">
        <v>124</v>
      </c>
      <c r="E546" s="5">
        <v>126.8199</v>
      </c>
      <c r="F546" s="6">
        <v>11044</v>
      </c>
    </row>
    <row r="547" spans="1:6" x14ac:dyDescent="0.2">
      <c r="A547" s="4">
        <v>45260</v>
      </c>
      <c r="B547" s="5">
        <v>128.19999999999999</v>
      </c>
      <c r="C547" s="5">
        <v>128.5</v>
      </c>
      <c r="D547" s="5">
        <v>126.9199</v>
      </c>
      <c r="E547" s="5">
        <v>128.5</v>
      </c>
      <c r="F547" s="6">
        <v>2418</v>
      </c>
    </row>
    <row r="548" spans="1:6" x14ac:dyDescent="0.2">
      <c r="A548" s="4">
        <v>45261</v>
      </c>
      <c r="B548" s="5">
        <v>131.74</v>
      </c>
      <c r="C548" s="5">
        <v>131.74</v>
      </c>
      <c r="D548" s="5">
        <v>125</v>
      </c>
      <c r="E548" s="5">
        <v>125</v>
      </c>
      <c r="F548" s="6">
        <v>3429</v>
      </c>
    </row>
    <row r="549" spans="1:6" x14ac:dyDescent="0.2">
      <c r="A549" s="4">
        <v>45264</v>
      </c>
      <c r="B549" s="5">
        <v>129.02000000000001</v>
      </c>
      <c r="C549" s="5">
        <v>131.59</v>
      </c>
      <c r="D549" s="5">
        <v>128.13990000000001</v>
      </c>
      <c r="E549" s="5">
        <v>128.52000000000001</v>
      </c>
      <c r="F549" s="6">
        <v>2623</v>
      </c>
    </row>
    <row r="550" spans="1:6" x14ac:dyDescent="0.2">
      <c r="A550" s="4">
        <v>45265</v>
      </c>
      <c r="B550" s="5">
        <v>125.41</v>
      </c>
      <c r="C550" s="5">
        <v>129.88</v>
      </c>
      <c r="D550" s="5">
        <v>125.41</v>
      </c>
      <c r="E550" s="5">
        <v>125.75</v>
      </c>
      <c r="F550" s="6">
        <v>2587</v>
      </c>
    </row>
    <row r="551" spans="1:6" x14ac:dyDescent="0.2">
      <c r="A551" s="4">
        <v>45266</v>
      </c>
      <c r="B551" s="5">
        <v>127.65</v>
      </c>
      <c r="C551" s="5">
        <v>127.81</v>
      </c>
      <c r="D551" s="5">
        <v>125.5</v>
      </c>
      <c r="E551" s="5">
        <v>125.5</v>
      </c>
      <c r="F551" s="6">
        <v>3147</v>
      </c>
    </row>
    <row r="552" spans="1:6" x14ac:dyDescent="0.2">
      <c r="A552" s="4">
        <v>45267</v>
      </c>
      <c r="B552" s="5">
        <v>125.9</v>
      </c>
      <c r="C552" s="5">
        <v>128.18</v>
      </c>
      <c r="D552" s="5">
        <v>124.91</v>
      </c>
      <c r="E552" s="5">
        <v>125.4</v>
      </c>
      <c r="F552" s="6">
        <v>2273</v>
      </c>
    </row>
    <row r="553" spans="1:6" x14ac:dyDescent="0.2">
      <c r="A553" s="4">
        <v>45268</v>
      </c>
      <c r="B553" s="5">
        <v>126.22</v>
      </c>
      <c r="C553" s="5">
        <v>128.06</v>
      </c>
      <c r="D553" s="5">
        <v>124.9599</v>
      </c>
      <c r="E553" s="5">
        <v>125.06</v>
      </c>
      <c r="F553" s="6">
        <v>1815</v>
      </c>
    </row>
    <row r="554" spans="1:6" x14ac:dyDescent="0.2">
      <c r="A554" s="4">
        <v>45271</v>
      </c>
      <c r="B554" s="5">
        <v>125.94</v>
      </c>
      <c r="C554" s="5">
        <v>129.34</v>
      </c>
      <c r="D554" s="5">
        <v>125.2</v>
      </c>
      <c r="E554" s="5">
        <v>125.2</v>
      </c>
      <c r="F554" s="6">
        <v>3482</v>
      </c>
    </row>
    <row r="555" spans="1:6" x14ac:dyDescent="0.2">
      <c r="A555" s="4">
        <v>45272</v>
      </c>
      <c r="B555" s="5">
        <v>131.5</v>
      </c>
      <c r="C555" s="5">
        <v>131.5</v>
      </c>
      <c r="D555" s="5">
        <v>126.42</v>
      </c>
      <c r="E555" s="5">
        <v>126.48</v>
      </c>
      <c r="F555" s="6">
        <v>1360</v>
      </c>
    </row>
    <row r="556" spans="1:6" x14ac:dyDescent="0.2">
      <c r="A556" s="4">
        <v>45273</v>
      </c>
      <c r="B556" s="5">
        <v>129</v>
      </c>
      <c r="C556" s="5">
        <v>131.56</v>
      </c>
      <c r="D556" s="5">
        <v>129</v>
      </c>
      <c r="E556" s="5">
        <v>129.25989999999999</v>
      </c>
      <c r="F556" s="6">
        <v>1451</v>
      </c>
    </row>
    <row r="557" spans="1:6" x14ac:dyDescent="0.2">
      <c r="A557" s="4">
        <v>45274</v>
      </c>
      <c r="B557" s="5">
        <v>130.80000000000001</v>
      </c>
      <c r="C557" s="5">
        <v>134.84</v>
      </c>
      <c r="D557" s="5">
        <v>129.91</v>
      </c>
      <c r="E557" s="5">
        <v>132.495</v>
      </c>
      <c r="F557" s="6">
        <v>3442</v>
      </c>
    </row>
    <row r="558" spans="1:6" x14ac:dyDescent="0.2">
      <c r="A558" s="4">
        <v>45275</v>
      </c>
      <c r="B558" s="5">
        <v>128.52000000000001</v>
      </c>
      <c r="C558" s="5">
        <v>131.28</v>
      </c>
      <c r="D558" s="5">
        <v>126.66</v>
      </c>
      <c r="E558" s="5">
        <v>131.28</v>
      </c>
      <c r="F558" s="6">
        <v>4058</v>
      </c>
    </row>
    <row r="559" spans="1:6" x14ac:dyDescent="0.2">
      <c r="A559" s="4">
        <v>45278</v>
      </c>
      <c r="B559" s="5">
        <v>132.04</v>
      </c>
      <c r="C559" s="5">
        <v>133.34</v>
      </c>
      <c r="D559" s="5">
        <v>128</v>
      </c>
      <c r="E559" s="5">
        <v>128</v>
      </c>
      <c r="F559" s="6">
        <v>4164</v>
      </c>
    </row>
    <row r="560" spans="1:6" x14ac:dyDescent="0.2">
      <c r="A560" s="4">
        <v>45279</v>
      </c>
      <c r="B560" s="5">
        <v>132.88</v>
      </c>
      <c r="C560" s="5">
        <v>132.88</v>
      </c>
      <c r="D560" s="5">
        <v>132.88</v>
      </c>
      <c r="E560" s="5">
        <v>132.88</v>
      </c>
      <c r="F560" s="6">
        <v>915</v>
      </c>
    </row>
    <row r="561" spans="1:6" x14ac:dyDescent="0.2">
      <c r="A561" s="4">
        <v>45280</v>
      </c>
      <c r="B561" s="5">
        <v>131.25</v>
      </c>
      <c r="C561" s="5">
        <v>131.25</v>
      </c>
      <c r="D561" s="5">
        <v>131.125</v>
      </c>
      <c r="E561" s="5">
        <v>131.125</v>
      </c>
      <c r="F561" s="6">
        <v>1018</v>
      </c>
    </row>
    <row r="562" spans="1:6" x14ac:dyDescent="0.2">
      <c r="A562" s="4">
        <v>45281</v>
      </c>
      <c r="B562" s="5">
        <v>131.12</v>
      </c>
      <c r="C562" s="5">
        <v>133.25</v>
      </c>
      <c r="D562" s="5">
        <v>127.78</v>
      </c>
      <c r="E562" s="5">
        <v>130.5</v>
      </c>
      <c r="F562" s="6">
        <v>4065</v>
      </c>
    </row>
    <row r="563" spans="1:6" x14ac:dyDescent="0.2">
      <c r="A563" s="4">
        <v>45282</v>
      </c>
      <c r="B563" s="5">
        <v>134.85</v>
      </c>
      <c r="C563" s="5">
        <v>134.85</v>
      </c>
      <c r="D563" s="5">
        <v>127.3</v>
      </c>
      <c r="E563" s="5">
        <v>130.9</v>
      </c>
      <c r="F563" s="6">
        <v>5816</v>
      </c>
    </row>
    <row r="564" spans="1:6" x14ac:dyDescent="0.2">
      <c r="A564" s="4">
        <v>45286</v>
      </c>
      <c r="B564" s="5">
        <v>134.84</v>
      </c>
      <c r="C564" s="5">
        <v>134.84</v>
      </c>
      <c r="D564" s="5">
        <v>130.11000000000001</v>
      </c>
      <c r="E564" s="5">
        <v>134.4</v>
      </c>
      <c r="F564" s="6">
        <v>2333</v>
      </c>
    </row>
    <row r="565" spans="1:6" x14ac:dyDescent="0.2">
      <c r="A565" s="4">
        <v>45287</v>
      </c>
      <c r="B565" s="5">
        <v>129.44999999999999</v>
      </c>
      <c r="C565" s="5">
        <v>134.85</v>
      </c>
      <c r="D565" s="5">
        <v>129.44999999999999</v>
      </c>
      <c r="E565" s="5">
        <v>133.09989999999999</v>
      </c>
      <c r="F565" s="6">
        <v>1535</v>
      </c>
    </row>
    <row r="566" spans="1:6" x14ac:dyDescent="0.2">
      <c r="A566" s="4">
        <v>45288</v>
      </c>
      <c r="B566" s="5">
        <v>132.55000000000001</v>
      </c>
      <c r="C566" s="5">
        <v>136.32</v>
      </c>
      <c r="D566" s="5">
        <v>132.5</v>
      </c>
      <c r="E566" s="5">
        <v>136.32</v>
      </c>
      <c r="F566" s="6">
        <v>2130</v>
      </c>
    </row>
    <row r="567" spans="1:6" x14ac:dyDescent="0.2">
      <c r="A567" s="4">
        <v>45289</v>
      </c>
      <c r="B567" s="5">
        <v>137.34</v>
      </c>
      <c r="C567" s="5">
        <v>137.34</v>
      </c>
      <c r="D567" s="5">
        <v>134.35</v>
      </c>
      <c r="E567" s="5">
        <v>134.44999999999999</v>
      </c>
      <c r="F567" s="6">
        <v>2728</v>
      </c>
    </row>
    <row r="568" spans="1:6" x14ac:dyDescent="0.2">
      <c r="A568" s="4">
        <v>45293</v>
      </c>
      <c r="B568" s="5">
        <v>136.08000000000001</v>
      </c>
      <c r="C568" s="5">
        <v>136.49</v>
      </c>
      <c r="D568" s="5">
        <v>132.81229999999999</v>
      </c>
      <c r="E568" s="5">
        <v>132.81229999999999</v>
      </c>
      <c r="F568" s="6">
        <v>6747</v>
      </c>
    </row>
    <row r="569" spans="1:6" x14ac:dyDescent="0.2">
      <c r="A569" s="4">
        <v>45294</v>
      </c>
      <c r="B569" s="5">
        <v>138.84</v>
      </c>
      <c r="C569" s="5">
        <v>138.84</v>
      </c>
      <c r="D569" s="5">
        <v>138.25</v>
      </c>
      <c r="E569" s="5">
        <v>138.46</v>
      </c>
      <c r="F569" s="6">
        <v>3155</v>
      </c>
    </row>
    <row r="570" spans="1:6" x14ac:dyDescent="0.2">
      <c r="A570" s="4">
        <v>45295</v>
      </c>
      <c r="B570" s="5">
        <v>139.12</v>
      </c>
      <c r="C570" s="5">
        <v>139.4</v>
      </c>
      <c r="D570" s="5">
        <v>137.05000000000001</v>
      </c>
      <c r="E570" s="5">
        <v>137.05000000000001</v>
      </c>
      <c r="F570" s="6">
        <v>770</v>
      </c>
    </row>
    <row r="571" spans="1:6" x14ac:dyDescent="0.2">
      <c r="A571" s="4">
        <v>45296</v>
      </c>
      <c r="B571" s="5">
        <v>137.26</v>
      </c>
      <c r="C571" s="5">
        <v>139.84</v>
      </c>
      <c r="D571" s="5">
        <v>135.66</v>
      </c>
      <c r="E571" s="5">
        <v>135.66</v>
      </c>
      <c r="F571" s="6">
        <v>2190</v>
      </c>
    </row>
    <row r="572" spans="1:6" x14ac:dyDescent="0.2">
      <c r="A572" s="4">
        <v>45299</v>
      </c>
      <c r="B572" s="5">
        <v>139.34</v>
      </c>
      <c r="C572" s="5">
        <v>139.84</v>
      </c>
      <c r="D572" s="5">
        <v>136.03989999999999</v>
      </c>
      <c r="E572" s="5">
        <v>139.5</v>
      </c>
      <c r="F572" s="6">
        <v>5268</v>
      </c>
    </row>
    <row r="573" spans="1:6" x14ac:dyDescent="0.2">
      <c r="A573" s="4">
        <v>45300</v>
      </c>
      <c r="B573" s="5">
        <v>135.25</v>
      </c>
      <c r="C573" s="5">
        <v>140</v>
      </c>
      <c r="D573" s="5">
        <v>135.25</v>
      </c>
      <c r="E573" s="5">
        <v>139.56</v>
      </c>
      <c r="F573" s="6">
        <v>1162</v>
      </c>
    </row>
    <row r="574" spans="1:6" x14ac:dyDescent="0.2">
      <c r="A574" s="4">
        <v>45301</v>
      </c>
      <c r="B574" s="5">
        <v>139.05000000000001</v>
      </c>
      <c r="C574" s="5">
        <v>139.1</v>
      </c>
      <c r="D574" s="5">
        <v>137.22489999999999</v>
      </c>
      <c r="E574" s="5">
        <v>137.22489999999999</v>
      </c>
      <c r="F574" s="6">
        <v>2178</v>
      </c>
    </row>
    <row r="575" spans="1:6" x14ac:dyDescent="0.2">
      <c r="A575" s="4">
        <v>45302</v>
      </c>
      <c r="B575" s="5">
        <v>139.19999999999999</v>
      </c>
      <c r="C575" s="5">
        <v>139.68</v>
      </c>
      <c r="D575" s="5">
        <v>137.02000000000001</v>
      </c>
      <c r="E575" s="5">
        <v>137.02000000000001</v>
      </c>
      <c r="F575" s="6">
        <v>2026</v>
      </c>
    </row>
    <row r="576" spans="1:6" x14ac:dyDescent="0.2">
      <c r="A576" s="4">
        <v>45303</v>
      </c>
      <c r="B576" s="5">
        <v>139.85</v>
      </c>
      <c r="C576" s="5">
        <v>139.85</v>
      </c>
      <c r="D576" s="5">
        <v>139.76</v>
      </c>
      <c r="E576" s="5">
        <v>139.76</v>
      </c>
      <c r="F576" s="6">
        <v>1081</v>
      </c>
    </row>
    <row r="577" spans="1:6" x14ac:dyDescent="0.2">
      <c r="A577" s="4">
        <v>45307</v>
      </c>
      <c r="B577" s="5">
        <v>134.94999999999999</v>
      </c>
      <c r="C577" s="5">
        <v>136.58000000000001</v>
      </c>
      <c r="D577" s="5">
        <v>132.96</v>
      </c>
      <c r="E577" s="5">
        <v>132.96</v>
      </c>
      <c r="F577" s="6">
        <v>3836</v>
      </c>
    </row>
    <row r="578" spans="1:6" x14ac:dyDescent="0.2">
      <c r="A578" s="4">
        <v>45308</v>
      </c>
      <c r="B578" s="5">
        <v>133</v>
      </c>
      <c r="C578" s="5">
        <v>134</v>
      </c>
      <c r="D578" s="5">
        <v>133</v>
      </c>
      <c r="E578" s="5">
        <v>134</v>
      </c>
      <c r="F578" s="6">
        <v>1351</v>
      </c>
    </row>
    <row r="579" spans="1:6" x14ac:dyDescent="0.2">
      <c r="A579" s="4">
        <v>45309</v>
      </c>
      <c r="B579" s="5">
        <v>135.41999999999999</v>
      </c>
      <c r="C579" s="5">
        <v>135.41999999999999</v>
      </c>
      <c r="D579" s="5">
        <v>131.62</v>
      </c>
      <c r="E579" s="5">
        <v>132.25</v>
      </c>
      <c r="F579" s="6">
        <v>3123</v>
      </c>
    </row>
    <row r="580" spans="1:6" x14ac:dyDescent="0.2">
      <c r="A580" s="4">
        <v>45310</v>
      </c>
      <c r="B580" s="5">
        <v>134.46</v>
      </c>
      <c r="C580" s="5">
        <v>134.46</v>
      </c>
      <c r="D580" s="5">
        <v>131.80000000000001</v>
      </c>
      <c r="E580" s="5">
        <v>131.80000000000001</v>
      </c>
      <c r="F580" s="6">
        <v>1134</v>
      </c>
    </row>
    <row r="581" spans="1:6" x14ac:dyDescent="0.2">
      <c r="A581" s="4">
        <v>45313</v>
      </c>
      <c r="B581" s="5">
        <v>135.26</v>
      </c>
      <c r="C581" s="5">
        <v>136.34</v>
      </c>
      <c r="D581" s="5">
        <v>135.26</v>
      </c>
      <c r="E581" s="5">
        <v>136.28</v>
      </c>
      <c r="F581" s="6">
        <v>2145</v>
      </c>
    </row>
    <row r="582" spans="1:6" x14ac:dyDescent="0.2">
      <c r="A582" s="4">
        <v>45314</v>
      </c>
      <c r="B582" s="5">
        <v>133.34</v>
      </c>
      <c r="C582" s="5">
        <v>134.9</v>
      </c>
      <c r="D582" s="5">
        <v>131.69990000000001</v>
      </c>
      <c r="E582" s="5">
        <v>134.9</v>
      </c>
      <c r="F582" s="6">
        <v>1258</v>
      </c>
    </row>
    <row r="583" spans="1:6" x14ac:dyDescent="0.2">
      <c r="A583" s="4">
        <v>45315</v>
      </c>
      <c r="B583" s="5">
        <v>134.34</v>
      </c>
      <c r="C583" s="5">
        <v>134.34</v>
      </c>
      <c r="D583" s="5">
        <v>131.91990000000001</v>
      </c>
      <c r="E583" s="5">
        <v>131.91990000000001</v>
      </c>
      <c r="F583" s="6">
        <v>976</v>
      </c>
    </row>
    <row r="584" spans="1:6" x14ac:dyDescent="0.2">
      <c r="A584" s="4">
        <v>45316</v>
      </c>
      <c r="B584" s="5">
        <v>130.30000000000001</v>
      </c>
      <c r="C584" s="5">
        <v>132.03989999999999</v>
      </c>
      <c r="D584" s="5">
        <v>130.30000000000001</v>
      </c>
      <c r="E584" s="5">
        <v>132.03989999999999</v>
      </c>
      <c r="F584" s="6">
        <v>797</v>
      </c>
    </row>
    <row r="585" spans="1:6" x14ac:dyDescent="0.2">
      <c r="A585" s="4">
        <v>45317</v>
      </c>
      <c r="B585" s="5">
        <v>135.9</v>
      </c>
      <c r="C585" s="5">
        <v>137.34</v>
      </c>
      <c r="D585" s="5">
        <v>131.30000000000001</v>
      </c>
      <c r="E585" s="5">
        <v>131.75</v>
      </c>
      <c r="F585" s="6">
        <v>4019</v>
      </c>
    </row>
    <row r="586" spans="1:6" x14ac:dyDescent="0.2">
      <c r="A586" s="4">
        <v>45320</v>
      </c>
      <c r="B586" s="5">
        <v>135.34</v>
      </c>
      <c r="C586" s="5">
        <v>135.69999999999999</v>
      </c>
      <c r="D586" s="5">
        <v>132.4</v>
      </c>
      <c r="E586" s="5">
        <v>132.47989999999999</v>
      </c>
      <c r="F586" s="6">
        <v>1349</v>
      </c>
    </row>
    <row r="587" spans="1:6" x14ac:dyDescent="0.2">
      <c r="A587" s="4">
        <v>45321</v>
      </c>
      <c r="B587" s="5">
        <v>136.59</v>
      </c>
      <c r="C587" s="5">
        <v>136.59</v>
      </c>
      <c r="D587" s="5">
        <v>131.25</v>
      </c>
      <c r="E587" s="5">
        <v>131.25</v>
      </c>
      <c r="F587" s="6">
        <v>833</v>
      </c>
    </row>
    <row r="588" spans="1:6" x14ac:dyDescent="0.2">
      <c r="A588" s="4">
        <v>45322</v>
      </c>
      <c r="B588" s="5">
        <v>135.72</v>
      </c>
      <c r="C588" s="5">
        <v>135.72</v>
      </c>
      <c r="D588" s="5">
        <v>132.4</v>
      </c>
      <c r="E588" s="5">
        <v>132.4</v>
      </c>
      <c r="F588" s="6">
        <v>1245</v>
      </c>
    </row>
    <row r="589" spans="1:6" x14ac:dyDescent="0.2">
      <c r="A589" s="4">
        <v>45323</v>
      </c>
      <c r="B589" s="5">
        <v>131.66</v>
      </c>
      <c r="C589" s="5">
        <v>133.36000000000001</v>
      </c>
      <c r="D589" s="5">
        <v>131.66</v>
      </c>
      <c r="E589" s="5">
        <v>132.12</v>
      </c>
      <c r="F589" s="6">
        <v>1130</v>
      </c>
    </row>
    <row r="590" spans="1:6" x14ac:dyDescent="0.2">
      <c r="A590" s="4">
        <v>45324</v>
      </c>
      <c r="B590" s="5">
        <v>131.9</v>
      </c>
      <c r="C590" s="5">
        <v>131.9</v>
      </c>
      <c r="D590" s="5">
        <v>131.9</v>
      </c>
      <c r="E590" s="5">
        <v>131.9</v>
      </c>
      <c r="F590" s="6">
        <v>541</v>
      </c>
    </row>
    <row r="591" spans="1:6" x14ac:dyDescent="0.2">
      <c r="A591" s="4">
        <v>45327</v>
      </c>
      <c r="B591" s="5">
        <v>131.68</v>
      </c>
      <c r="C591" s="5">
        <v>131.80000000000001</v>
      </c>
      <c r="D591" s="5">
        <v>128.04</v>
      </c>
      <c r="E591" s="5">
        <v>128.04</v>
      </c>
      <c r="F591" s="6">
        <v>1177</v>
      </c>
    </row>
    <row r="592" spans="1:6" x14ac:dyDescent="0.2">
      <c r="A592" s="4">
        <v>45328</v>
      </c>
      <c r="B592" s="5">
        <v>132.94</v>
      </c>
      <c r="C592" s="5">
        <v>133.84</v>
      </c>
      <c r="D592" s="5">
        <v>131.625</v>
      </c>
      <c r="E592" s="5">
        <v>133.84</v>
      </c>
      <c r="F592" s="6">
        <v>1153</v>
      </c>
    </row>
    <row r="593" spans="1:6" x14ac:dyDescent="0.2">
      <c r="A593" s="4">
        <v>45329</v>
      </c>
      <c r="B593" s="5">
        <v>133.34</v>
      </c>
      <c r="C593" s="5">
        <v>133.34</v>
      </c>
      <c r="D593" s="5">
        <v>133.34</v>
      </c>
      <c r="E593" s="5">
        <v>133.34</v>
      </c>
      <c r="F593" s="6">
        <v>2865</v>
      </c>
    </row>
    <row r="594" spans="1:6" x14ac:dyDescent="0.2">
      <c r="A594" s="4">
        <v>45330</v>
      </c>
      <c r="B594" s="5">
        <v>122</v>
      </c>
      <c r="C594" s="5">
        <v>125</v>
      </c>
      <c r="D594" s="5">
        <v>122</v>
      </c>
      <c r="E594" s="5">
        <v>125</v>
      </c>
      <c r="F594" s="6">
        <v>2272</v>
      </c>
    </row>
    <row r="595" spans="1:6" x14ac:dyDescent="0.2">
      <c r="A595" s="4">
        <v>45331</v>
      </c>
      <c r="B595" s="5">
        <v>121.75</v>
      </c>
      <c r="C595" s="5">
        <v>124.5</v>
      </c>
      <c r="D595" s="5">
        <v>121.75</v>
      </c>
      <c r="E595" s="5">
        <v>123.5</v>
      </c>
      <c r="F595" s="6">
        <v>1648</v>
      </c>
    </row>
    <row r="596" spans="1:6" x14ac:dyDescent="0.2">
      <c r="A596" s="4">
        <v>45334</v>
      </c>
      <c r="B596" s="5">
        <v>122.8</v>
      </c>
      <c r="C596" s="5">
        <v>122.85</v>
      </c>
      <c r="D596" s="5">
        <v>120.5</v>
      </c>
      <c r="E596" s="5">
        <v>120.6649</v>
      </c>
      <c r="F596" s="6">
        <v>1824</v>
      </c>
    </row>
    <row r="597" spans="1:6" x14ac:dyDescent="0.2">
      <c r="A597" s="4">
        <v>45335</v>
      </c>
      <c r="B597" s="5">
        <v>120.74</v>
      </c>
      <c r="C597" s="5">
        <v>123.56</v>
      </c>
      <c r="D597" s="5">
        <v>118.16</v>
      </c>
      <c r="E597" s="5">
        <v>123.5</v>
      </c>
      <c r="F597" s="6">
        <v>76641</v>
      </c>
    </row>
    <row r="598" spans="1:6" x14ac:dyDescent="0.2">
      <c r="A598" s="4">
        <v>45336</v>
      </c>
      <c r="B598" s="5">
        <v>124.58</v>
      </c>
      <c r="C598" s="5">
        <v>124.84</v>
      </c>
      <c r="D598" s="5">
        <v>119</v>
      </c>
      <c r="E598" s="5">
        <v>121.8</v>
      </c>
      <c r="F598" s="6">
        <v>11648</v>
      </c>
    </row>
    <row r="599" spans="1:6" x14ac:dyDescent="0.2">
      <c r="A599" s="4">
        <v>45337</v>
      </c>
      <c r="B599" s="5">
        <v>126.16</v>
      </c>
      <c r="C599" s="5">
        <v>126.4</v>
      </c>
      <c r="D599" s="5">
        <v>120.91</v>
      </c>
      <c r="E599" s="5">
        <v>124</v>
      </c>
      <c r="F599" s="6">
        <v>2197</v>
      </c>
    </row>
    <row r="600" spans="1:6" x14ac:dyDescent="0.2">
      <c r="A600" s="4">
        <v>45338</v>
      </c>
      <c r="B600" s="5">
        <v>126.42</v>
      </c>
      <c r="C600" s="5">
        <v>127.38</v>
      </c>
      <c r="D600" s="5">
        <v>126.42</v>
      </c>
      <c r="E600" s="5">
        <v>127.38</v>
      </c>
      <c r="F600" s="6">
        <v>1312</v>
      </c>
    </row>
    <row r="601" spans="1:6" x14ac:dyDescent="0.2">
      <c r="A601" s="4">
        <v>45342</v>
      </c>
      <c r="B601" s="5">
        <v>129.78</v>
      </c>
      <c r="C601" s="5">
        <v>129.9</v>
      </c>
      <c r="D601" s="5">
        <v>128.12</v>
      </c>
      <c r="E601" s="5">
        <v>128.5</v>
      </c>
      <c r="F601" s="6">
        <v>1797</v>
      </c>
    </row>
    <row r="602" spans="1:6" x14ac:dyDescent="0.2">
      <c r="A602" s="4">
        <v>45343</v>
      </c>
      <c r="B602" s="5">
        <v>127.375</v>
      </c>
      <c r="C602" s="5">
        <v>129.6</v>
      </c>
      <c r="D602" s="5">
        <v>127</v>
      </c>
      <c r="E602" s="5">
        <v>127</v>
      </c>
      <c r="F602" s="6">
        <v>3171</v>
      </c>
    </row>
    <row r="603" spans="1:6" x14ac:dyDescent="0.2">
      <c r="A603" s="4">
        <v>45344</v>
      </c>
      <c r="B603" s="5">
        <v>125.925</v>
      </c>
      <c r="C603" s="5">
        <v>127.34</v>
      </c>
      <c r="D603" s="5">
        <v>123.91</v>
      </c>
      <c r="E603" s="5">
        <v>126.4684</v>
      </c>
      <c r="F603" s="6">
        <v>2399</v>
      </c>
    </row>
    <row r="604" spans="1:6" x14ac:dyDescent="0.2">
      <c r="A604" s="4">
        <v>45345</v>
      </c>
      <c r="B604" s="5">
        <v>126.5</v>
      </c>
      <c r="C604" s="5">
        <v>129.71</v>
      </c>
      <c r="D604" s="5">
        <v>126.5</v>
      </c>
      <c r="E604" s="5">
        <v>129.15</v>
      </c>
      <c r="F604" s="6">
        <v>4487</v>
      </c>
    </row>
    <row r="605" spans="1:6" x14ac:dyDescent="0.2">
      <c r="A605" s="4">
        <v>45348</v>
      </c>
      <c r="B605" s="5">
        <v>133.1</v>
      </c>
      <c r="C605" s="5">
        <v>133.1</v>
      </c>
      <c r="D605" s="5">
        <v>129.99</v>
      </c>
      <c r="E605" s="5">
        <v>129.99</v>
      </c>
      <c r="F605" s="6">
        <v>1213</v>
      </c>
    </row>
    <row r="606" spans="1:6" x14ac:dyDescent="0.2">
      <c r="A606" s="4">
        <v>45349</v>
      </c>
      <c r="B606" s="5">
        <v>127.75</v>
      </c>
      <c r="C606" s="5">
        <v>131</v>
      </c>
      <c r="D606" s="5">
        <v>127.75</v>
      </c>
      <c r="E606" s="5">
        <v>131</v>
      </c>
      <c r="F606" s="6">
        <v>965</v>
      </c>
    </row>
    <row r="607" spans="1:6" x14ac:dyDescent="0.2">
      <c r="A607" s="4">
        <v>45350</v>
      </c>
      <c r="B607" s="5">
        <v>131</v>
      </c>
      <c r="C607" s="5">
        <v>131</v>
      </c>
      <c r="D607" s="5">
        <v>131</v>
      </c>
      <c r="E607" s="5">
        <v>131</v>
      </c>
      <c r="F607" s="6"/>
    </row>
    <row r="608" spans="1:6" x14ac:dyDescent="0.2">
      <c r="A608" s="4">
        <v>45351</v>
      </c>
      <c r="B608" s="5">
        <v>126.92610000000001</v>
      </c>
      <c r="C608" s="5">
        <v>126.92610000000001</v>
      </c>
      <c r="D608" s="5">
        <v>126.625</v>
      </c>
      <c r="E608" s="5">
        <v>126.625</v>
      </c>
      <c r="F608" s="6">
        <v>7341</v>
      </c>
    </row>
    <row r="609" spans="1:6" x14ac:dyDescent="0.2">
      <c r="A609" s="4">
        <v>45352</v>
      </c>
      <c r="B609" s="5">
        <v>127.375</v>
      </c>
      <c r="C609" s="5">
        <v>130</v>
      </c>
      <c r="D609" s="5">
        <v>126.25</v>
      </c>
      <c r="E609" s="5">
        <v>130</v>
      </c>
      <c r="F609" s="6">
        <v>5153</v>
      </c>
    </row>
    <row r="610" spans="1:6" x14ac:dyDescent="0.2">
      <c r="A610" s="4">
        <v>45355</v>
      </c>
      <c r="B610" s="5">
        <v>128.59</v>
      </c>
      <c r="C610" s="5">
        <v>129.65</v>
      </c>
      <c r="D610" s="5">
        <v>127</v>
      </c>
      <c r="E610" s="5">
        <v>129.65</v>
      </c>
      <c r="F610" s="6">
        <v>1484</v>
      </c>
    </row>
    <row r="611" spans="1:6" x14ac:dyDescent="0.2">
      <c r="A611" s="4">
        <v>45356</v>
      </c>
      <c r="B611" s="5">
        <v>128</v>
      </c>
      <c r="C611" s="5">
        <v>128</v>
      </c>
      <c r="D611" s="5">
        <v>126</v>
      </c>
      <c r="E611" s="5">
        <v>126</v>
      </c>
      <c r="F611" s="6">
        <v>1721</v>
      </c>
    </row>
    <row r="612" spans="1:6" x14ac:dyDescent="0.2">
      <c r="A612" s="4">
        <v>45357</v>
      </c>
      <c r="B612" s="5">
        <v>130.35</v>
      </c>
      <c r="C612" s="5">
        <v>130.35</v>
      </c>
      <c r="D612" s="5">
        <v>128.9</v>
      </c>
      <c r="E612" s="5">
        <v>128.9</v>
      </c>
      <c r="F612" s="6">
        <v>890</v>
      </c>
    </row>
    <row r="613" spans="1:6" x14ac:dyDescent="0.2">
      <c r="A613" s="4">
        <v>45358</v>
      </c>
      <c r="B613" s="5">
        <v>133.44999999999999</v>
      </c>
      <c r="C613" s="5">
        <v>133.44999999999999</v>
      </c>
      <c r="D613" s="5">
        <v>128.7825</v>
      </c>
      <c r="E613" s="5">
        <v>129.25</v>
      </c>
      <c r="F613" s="6">
        <v>1011</v>
      </c>
    </row>
    <row r="614" spans="1:6" x14ac:dyDescent="0.2">
      <c r="A614" s="4">
        <v>45359</v>
      </c>
      <c r="B614" s="5">
        <v>133.4</v>
      </c>
      <c r="C614" s="5">
        <v>133.4</v>
      </c>
      <c r="D614" s="5">
        <v>131.125</v>
      </c>
      <c r="E614" s="5">
        <v>131.125</v>
      </c>
      <c r="F614" s="6">
        <v>1409</v>
      </c>
    </row>
    <row r="615" spans="1:6" x14ac:dyDescent="0.2">
      <c r="A615" s="4">
        <v>45362</v>
      </c>
      <c r="B615" s="5">
        <v>133.16</v>
      </c>
      <c r="C615" s="5">
        <v>134.25</v>
      </c>
      <c r="D615" s="5">
        <v>132.5</v>
      </c>
      <c r="E615" s="5">
        <v>133.375</v>
      </c>
      <c r="F615" s="6">
        <v>1757</v>
      </c>
    </row>
    <row r="616" spans="1:6" x14ac:dyDescent="0.2">
      <c r="A616" s="4">
        <v>45363</v>
      </c>
      <c r="B616" s="5">
        <v>136.06</v>
      </c>
      <c r="C616" s="5">
        <v>136.06</v>
      </c>
      <c r="D616" s="5">
        <v>133.31989999999999</v>
      </c>
      <c r="E616" s="5">
        <v>133.31989999999999</v>
      </c>
      <c r="F616" s="6">
        <v>2194</v>
      </c>
    </row>
    <row r="617" spans="1:6" x14ac:dyDescent="0.2">
      <c r="A617" s="4">
        <v>45364</v>
      </c>
      <c r="B617" s="5">
        <v>133.53</v>
      </c>
      <c r="C617" s="5">
        <v>136.4</v>
      </c>
      <c r="D617" s="5">
        <v>133.53</v>
      </c>
      <c r="E617" s="5">
        <v>136.4</v>
      </c>
      <c r="F617" s="6">
        <v>480</v>
      </c>
    </row>
    <row r="618" spans="1:6" x14ac:dyDescent="0.2">
      <c r="A618" s="4">
        <v>45365</v>
      </c>
      <c r="B618" s="5">
        <v>135.9</v>
      </c>
      <c r="C618" s="5">
        <v>135.9</v>
      </c>
      <c r="D618" s="5">
        <v>131.875</v>
      </c>
      <c r="E618" s="5">
        <v>134.125</v>
      </c>
      <c r="F618" s="6">
        <v>1144</v>
      </c>
    </row>
    <row r="619" spans="1:6" x14ac:dyDescent="0.2">
      <c r="A619" s="4">
        <v>45366</v>
      </c>
      <c r="B619" s="5">
        <v>134.85</v>
      </c>
      <c r="C619" s="5">
        <v>134.85</v>
      </c>
      <c r="D619" s="5">
        <v>131.41990000000001</v>
      </c>
      <c r="E619" s="5">
        <v>131.41990000000001</v>
      </c>
      <c r="F619" s="6">
        <v>1045</v>
      </c>
    </row>
    <row r="620" spans="1:6" x14ac:dyDescent="0.2">
      <c r="A620" s="4">
        <v>45369</v>
      </c>
      <c r="B620" s="5">
        <v>133.08000000000001</v>
      </c>
      <c r="C620" s="5">
        <v>133.08000000000001</v>
      </c>
      <c r="D620" s="5">
        <v>130.91</v>
      </c>
      <c r="E620" s="5">
        <v>130.91</v>
      </c>
      <c r="F620" s="6">
        <v>823</v>
      </c>
    </row>
    <row r="621" spans="1:6" x14ac:dyDescent="0.2">
      <c r="A621" s="4">
        <v>45370</v>
      </c>
      <c r="B621" s="5">
        <v>127.3</v>
      </c>
      <c r="C621" s="5">
        <v>129.94</v>
      </c>
      <c r="D621" s="5">
        <v>127.3</v>
      </c>
      <c r="E621" s="5">
        <v>129.94</v>
      </c>
      <c r="F621" s="6">
        <v>790</v>
      </c>
    </row>
    <row r="622" spans="1:6" x14ac:dyDescent="0.2">
      <c r="A622" s="4">
        <v>45371</v>
      </c>
      <c r="B622" s="5">
        <v>129.5</v>
      </c>
      <c r="C622" s="5">
        <v>130.99</v>
      </c>
      <c r="D622" s="5">
        <v>129.5</v>
      </c>
      <c r="E622" s="5">
        <v>130.99</v>
      </c>
      <c r="F622" s="6">
        <v>1800</v>
      </c>
    </row>
    <row r="623" spans="1:6" x14ac:dyDescent="0.2">
      <c r="A623" s="4">
        <v>45372</v>
      </c>
      <c r="B623" s="5">
        <v>131</v>
      </c>
      <c r="C623" s="5">
        <v>131</v>
      </c>
      <c r="D623" s="5">
        <v>131</v>
      </c>
      <c r="E623" s="5">
        <v>131</v>
      </c>
      <c r="F623" s="6">
        <v>701</v>
      </c>
    </row>
    <row r="624" spans="1:6" x14ac:dyDescent="0.2">
      <c r="A624" s="4">
        <v>45373</v>
      </c>
      <c r="B624" s="5">
        <v>134.5</v>
      </c>
      <c r="C624" s="5">
        <v>134.5</v>
      </c>
      <c r="D624" s="5">
        <v>132.37</v>
      </c>
      <c r="E624" s="5">
        <v>132.37</v>
      </c>
      <c r="F624" s="6">
        <v>1334</v>
      </c>
    </row>
    <row r="625" spans="1:6" x14ac:dyDescent="0.2">
      <c r="A625" s="4">
        <v>45376</v>
      </c>
      <c r="B625" s="5">
        <v>133.36000000000001</v>
      </c>
      <c r="C625" s="5">
        <v>133.41999999999999</v>
      </c>
      <c r="D625" s="5">
        <v>133.22</v>
      </c>
      <c r="E625" s="5">
        <v>133.22</v>
      </c>
      <c r="F625" s="6">
        <v>1361</v>
      </c>
    </row>
    <row r="626" spans="1:6" x14ac:dyDescent="0.2">
      <c r="A626" s="4">
        <v>45377</v>
      </c>
      <c r="B626" s="5">
        <v>130.25</v>
      </c>
      <c r="C626" s="5">
        <v>130.55000000000001</v>
      </c>
      <c r="D626" s="5">
        <v>129.5</v>
      </c>
      <c r="E626" s="5">
        <v>130.55000000000001</v>
      </c>
      <c r="F626" s="6">
        <v>2378</v>
      </c>
    </row>
    <row r="627" spans="1:6" x14ac:dyDescent="0.2">
      <c r="A627" s="4">
        <v>45378</v>
      </c>
      <c r="B627" s="5">
        <v>133</v>
      </c>
      <c r="C627" s="5">
        <v>135.08000000000001</v>
      </c>
      <c r="D627" s="5">
        <v>133</v>
      </c>
      <c r="E627" s="5">
        <v>134.70490000000001</v>
      </c>
      <c r="F627" s="6">
        <v>2917</v>
      </c>
    </row>
    <row r="628" spans="1:6" x14ac:dyDescent="0.2">
      <c r="A628" s="4">
        <v>45379</v>
      </c>
      <c r="B628" s="5">
        <v>135.9</v>
      </c>
      <c r="C628" s="5">
        <v>136.96</v>
      </c>
      <c r="D628" s="5">
        <v>133.97989999999999</v>
      </c>
      <c r="E628" s="5">
        <v>136.96</v>
      </c>
      <c r="F628" s="6">
        <v>2850</v>
      </c>
    </row>
    <row r="629" spans="1:6" x14ac:dyDescent="0.2">
      <c r="A629" s="4">
        <v>45383</v>
      </c>
      <c r="B629" s="5">
        <v>129.54</v>
      </c>
      <c r="C629" s="5">
        <v>135.84</v>
      </c>
      <c r="D629" s="5">
        <v>129.54</v>
      </c>
      <c r="E629" s="5">
        <v>135.80000000000001</v>
      </c>
      <c r="F629" s="6">
        <v>1496</v>
      </c>
    </row>
    <row r="630" spans="1:6" x14ac:dyDescent="0.2">
      <c r="A630" s="4">
        <v>45384</v>
      </c>
      <c r="B630" s="5">
        <v>131.66</v>
      </c>
      <c r="C630" s="5">
        <v>131.66</v>
      </c>
      <c r="D630" s="5">
        <v>131.66</v>
      </c>
      <c r="E630" s="5">
        <v>131.66</v>
      </c>
      <c r="F630" s="6">
        <v>572</v>
      </c>
    </row>
    <row r="631" spans="1:6" x14ac:dyDescent="0.2">
      <c r="A631" s="4">
        <v>45385</v>
      </c>
      <c r="B631" s="5">
        <v>134.63999999999999</v>
      </c>
      <c r="C631" s="5">
        <v>134.63999999999999</v>
      </c>
      <c r="D631" s="5">
        <v>129.71</v>
      </c>
      <c r="E631" s="5">
        <v>131.76490000000001</v>
      </c>
      <c r="F631" s="6">
        <v>1469</v>
      </c>
    </row>
    <row r="632" spans="1:6" x14ac:dyDescent="0.2">
      <c r="A632" s="4">
        <v>45386</v>
      </c>
      <c r="B632" s="5">
        <v>136</v>
      </c>
      <c r="C632" s="5">
        <v>137.35</v>
      </c>
      <c r="D632" s="5">
        <v>136</v>
      </c>
      <c r="E632" s="5">
        <v>137.35</v>
      </c>
      <c r="F632" s="6">
        <v>680</v>
      </c>
    </row>
    <row r="633" spans="1:6" x14ac:dyDescent="0.2">
      <c r="A633" s="4">
        <v>45387</v>
      </c>
      <c r="B633" s="5">
        <v>133.4</v>
      </c>
      <c r="C633" s="5">
        <v>133.4</v>
      </c>
      <c r="D633" s="5">
        <v>133.22</v>
      </c>
      <c r="E633" s="5">
        <v>133.22</v>
      </c>
      <c r="F633" s="6">
        <v>1097</v>
      </c>
    </row>
    <row r="634" spans="1:6" x14ac:dyDescent="0.2">
      <c r="A634" s="4">
        <v>45390</v>
      </c>
      <c r="B634" s="5">
        <v>128.65</v>
      </c>
      <c r="C634" s="5">
        <v>136.63999999999999</v>
      </c>
      <c r="D634" s="5">
        <v>128.65</v>
      </c>
      <c r="E634" s="5">
        <v>136.63999999999999</v>
      </c>
      <c r="F634" s="6">
        <v>1461</v>
      </c>
    </row>
    <row r="635" spans="1:6" x14ac:dyDescent="0.2">
      <c r="A635" s="4">
        <v>45391</v>
      </c>
      <c r="B635" s="5">
        <v>133.91</v>
      </c>
      <c r="C635" s="5">
        <v>137.1</v>
      </c>
      <c r="D635" s="5">
        <v>133.91</v>
      </c>
      <c r="E635" s="5">
        <v>134.75989999999999</v>
      </c>
      <c r="F635" s="6">
        <v>1281</v>
      </c>
    </row>
    <row r="636" spans="1:6" x14ac:dyDescent="0.2">
      <c r="A636" s="4">
        <v>45392</v>
      </c>
      <c r="B636" s="5">
        <v>134.19999999999999</v>
      </c>
      <c r="C636" s="5">
        <v>136.25</v>
      </c>
      <c r="D636" s="5">
        <v>134.19999999999999</v>
      </c>
      <c r="E636" s="5">
        <v>136.25</v>
      </c>
      <c r="F636" s="6">
        <v>701</v>
      </c>
    </row>
    <row r="637" spans="1:6" x14ac:dyDescent="0.2">
      <c r="A637" s="4">
        <v>45393</v>
      </c>
      <c r="B637" s="5">
        <v>138.25</v>
      </c>
      <c r="C637" s="5">
        <v>139.85</v>
      </c>
      <c r="D637" s="5">
        <v>136.5</v>
      </c>
      <c r="E637" s="5">
        <v>136.5</v>
      </c>
      <c r="F637" s="6">
        <v>1669</v>
      </c>
    </row>
    <row r="638" spans="1:6" x14ac:dyDescent="0.2">
      <c r="A638" s="4">
        <v>45394</v>
      </c>
      <c r="B638" s="5">
        <v>136.75</v>
      </c>
      <c r="C638" s="5">
        <v>138.88</v>
      </c>
      <c r="D638" s="5">
        <v>136.31989999999999</v>
      </c>
      <c r="E638" s="5">
        <v>138.88</v>
      </c>
      <c r="F638" s="6">
        <v>962</v>
      </c>
    </row>
    <row r="639" spans="1:6" x14ac:dyDescent="0.2">
      <c r="A639" s="4">
        <v>45397</v>
      </c>
      <c r="B639" s="5">
        <v>137.19999999999999</v>
      </c>
      <c r="C639" s="5">
        <v>137.19999999999999</v>
      </c>
      <c r="D639" s="5">
        <v>135.94</v>
      </c>
      <c r="E639" s="5">
        <v>135.94</v>
      </c>
      <c r="F639" s="6">
        <v>765</v>
      </c>
    </row>
    <row r="640" spans="1:6" x14ac:dyDescent="0.2">
      <c r="A640" s="4">
        <v>45398</v>
      </c>
      <c r="B640" s="5">
        <v>138.80000000000001</v>
      </c>
      <c r="C640" s="5">
        <v>138.80000000000001</v>
      </c>
      <c r="D640" s="5">
        <v>135.30000000000001</v>
      </c>
      <c r="E640" s="5">
        <v>135.30500000000001</v>
      </c>
      <c r="F640" s="6">
        <v>1139</v>
      </c>
    </row>
    <row r="641" spans="1:6" x14ac:dyDescent="0.2">
      <c r="A641" s="4">
        <v>45399</v>
      </c>
      <c r="B641" s="5">
        <v>140.15</v>
      </c>
      <c r="C641" s="5">
        <v>140.15</v>
      </c>
      <c r="D641" s="5">
        <v>140.15</v>
      </c>
      <c r="E641" s="5">
        <v>140.15</v>
      </c>
      <c r="F641" s="6">
        <v>559</v>
      </c>
    </row>
    <row r="642" spans="1:6" x14ac:dyDescent="0.2">
      <c r="A642" s="4">
        <v>45400</v>
      </c>
      <c r="B642" s="5">
        <v>138.06</v>
      </c>
      <c r="C642" s="5">
        <v>138.24</v>
      </c>
      <c r="D642" s="5">
        <v>133.19999999999999</v>
      </c>
      <c r="E642" s="5">
        <v>138.24</v>
      </c>
      <c r="F642" s="6">
        <v>797</v>
      </c>
    </row>
    <row r="643" spans="1:6" x14ac:dyDescent="0.2">
      <c r="A643" s="4">
        <v>45401</v>
      </c>
      <c r="B643" s="5">
        <v>135.625</v>
      </c>
      <c r="C643" s="5">
        <v>136.19999999999999</v>
      </c>
      <c r="D643" s="5">
        <v>133.19999999999999</v>
      </c>
      <c r="E643" s="5">
        <v>136.19999999999999</v>
      </c>
      <c r="F643" s="6">
        <v>1730</v>
      </c>
    </row>
    <row r="644" spans="1:6" x14ac:dyDescent="0.2">
      <c r="A644" s="4">
        <v>45404</v>
      </c>
      <c r="B644" s="5">
        <v>138.25</v>
      </c>
      <c r="C644" s="5">
        <v>140.47</v>
      </c>
      <c r="D644" s="5">
        <v>136.35</v>
      </c>
      <c r="E644" s="5">
        <v>138.72999999999999</v>
      </c>
      <c r="F644" s="6">
        <v>3657</v>
      </c>
    </row>
    <row r="645" spans="1:6" x14ac:dyDescent="0.2">
      <c r="A645" s="4">
        <v>45405</v>
      </c>
      <c r="B645" s="5">
        <v>140.06</v>
      </c>
      <c r="C645" s="5">
        <v>143.4</v>
      </c>
      <c r="D645" s="5">
        <v>139.505</v>
      </c>
      <c r="E645" s="5">
        <v>140.30000000000001</v>
      </c>
      <c r="F645" s="6">
        <v>1510</v>
      </c>
    </row>
    <row r="646" spans="1:6" x14ac:dyDescent="0.2">
      <c r="A646" s="4">
        <v>45406</v>
      </c>
      <c r="B646" s="5">
        <v>135.35</v>
      </c>
      <c r="C646" s="5">
        <v>135.35</v>
      </c>
      <c r="D646" s="5">
        <v>135.35</v>
      </c>
      <c r="E646" s="5">
        <v>135.35</v>
      </c>
      <c r="F646" s="6">
        <v>401</v>
      </c>
    </row>
    <row r="647" spans="1:6" x14ac:dyDescent="0.2">
      <c r="A647" s="4">
        <v>45407</v>
      </c>
      <c r="B647" s="5">
        <v>150.852</v>
      </c>
      <c r="C647" s="5">
        <v>150.852</v>
      </c>
      <c r="D647" s="5">
        <v>146.0549</v>
      </c>
      <c r="E647" s="5">
        <v>146.0549</v>
      </c>
      <c r="F647" s="6">
        <v>9266</v>
      </c>
    </row>
    <row r="648" spans="1:6" x14ac:dyDescent="0.2">
      <c r="A648" s="4">
        <v>45408</v>
      </c>
      <c r="B648" s="5">
        <v>148.32490000000001</v>
      </c>
      <c r="C648" s="5">
        <v>150.78</v>
      </c>
      <c r="D648" s="5">
        <v>142.65</v>
      </c>
      <c r="E648" s="5">
        <v>145.1</v>
      </c>
      <c r="F648" s="6">
        <v>55915</v>
      </c>
    </row>
    <row r="649" spans="1:6" x14ac:dyDescent="0.2">
      <c r="A649" s="4">
        <v>45411</v>
      </c>
      <c r="B649" s="5">
        <v>146.25</v>
      </c>
      <c r="C649" s="5">
        <v>152.66</v>
      </c>
      <c r="D649" s="5">
        <v>146.25</v>
      </c>
      <c r="E649" s="5">
        <v>146.25</v>
      </c>
      <c r="F649" s="6">
        <v>16580</v>
      </c>
    </row>
    <row r="650" spans="1:6" x14ac:dyDescent="0.2">
      <c r="A650" s="4">
        <v>45412</v>
      </c>
      <c r="B650" s="5">
        <v>150.155</v>
      </c>
      <c r="C650" s="5">
        <v>151</v>
      </c>
      <c r="D650" s="5">
        <v>150.155</v>
      </c>
      <c r="E650" s="5">
        <v>151</v>
      </c>
      <c r="F650" s="6">
        <v>2125</v>
      </c>
    </row>
    <row r="651" spans="1:6" x14ac:dyDescent="0.2">
      <c r="A651" s="4">
        <v>45413</v>
      </c>
      <c r="B651" s="5">
        <v>149</v>
      </c>
      <c r="C651" s="5">
        <v>151.024</v>
      </c>
      <c r="D651" s="5">
        <v>149</v>
      </c>
      <c r="E651" s="5">
        <v>151.024</v>
      </c>
      <c r="F651" s="6">
        <v>986</v>
      </c>
    </row>
    <row r="652" spans="1:6" x14ac:dyDescent="0.2">
      <c r="A652" s="4">
        <v>45414</v>
      </c>
      <c r="B652" s="5">
        <v>153.88</v>
      </c>
      <c r="C652" s="5">
        <v>153.88</v>
      </c>
      <c r="D652" s="5">
        <v>153.47999999999999</v>
      </c>
      <c r="E652" s="5">
        <v>153.47999999999999</v>
      </c>
      <c r="F652" s="6">
        <v>579</v>
      </c>
    </row>
    <row r="653" spans="1:6" x14ac:dyDescent="0.2">
      <c r="A653" s="4">
        <v>45415</v>
      </c>
      <c r="B653" s="5">
        <v>150.16</v>
      </c>
      <c r="C653" s="5">
        <v>151</v>
      </c>
      <c r="D653" s="5">
        <v>149.245</v>
      </c>
      <c r="E653" s="5">
        <v>149.245</v>
      </c>
      <c r="F653" s="6">
        <v>1712</v>
      </c>
    </row>
    <row r="654" spans="1:6" x14ac:dyDescent="0.2">
      <c r="A654" s="4">
        <v>45418</v>
      </c>
      <c r="B654" s="5">
        <v>159.12</v>
      </c>
      <c r="C654" s="5">
        <v>159.12</v>
      </c>
      <c r="D654" s="5">
        <v>148.22999999999999</v>
      </c>
      <c r="E654" s="5">
        <v>148.22999999999999</v>
      </c>
      <c r="F654" s="6">
        <v>1851</v>
      </c>
    </row>
    <row r="655" spans="1:6" x14ac:dyDescent="0.2">
      <c r="A655" s="4">
        <v>45419</v>
      </c>
      <c r="B655" s="5">
        <v>157.63999999999999</v>
      </c>
      <c r="C655" s="5">
        <v>157.63999999999999</v>
      </c>
      <c r="D655" s="5">
        <v>146.65</v>
      </c>
      <c r="E655" s="5">
        <v>146.65</v>
      </c>
      <c r="F655" s="6">
        <v>10261</v>
      </c>
    </row>
    <row r="656" spans="1:6" x14ac:dyDescent="0.2">
      <c r="A656" s="4">
        <v>45420</v>
      </c>
      <c r="B656" s="5">
        <v>155.12</v>
      </c>
      <c r="C656" s="5">
        <v>155.12</v>
      </c>
      <c r="D656" s="5">
        <v>150.76</v>
      </c>
      <c r="E656" s="5">
        <v>152.4</v>
      </c>
      <c r="F656" s="6">
        <v>15196</v>
      </c>
    </row>
    <row r="657" spans="1:6" x14ac:dyDescent="0.2">
      <c r="A657" s="4">
        <v>45421</v>
      </c>
      <c r="B657" s="5">
        <v>147.65</v>
      </c>
      <c r="C657" s="5">
        <v>152.33000000000001</v>
      </c>
      <c r="D657" s="5">
        <v>147.65</v>
      </c>
      <c r="E657" s="5">
        <v>152.33000000000001</v>
      </c>
      <c r="F657" s="6">
        <v>775</v>
      </c>
    </row>
    <row r="658" spans="1:6" x14ac:dyDescent="0.2">
      <c r="A658" s="4">
        <v>45422</v>
      </c>
      <c r="B658" s="5">
        <v>156.62</v>
      </c>
      <c r="C658" s="5">
        <v>156.62</v>
      </c>
      <c r="D658" s="5">
        <v>156.00729999999999</v>
      </c>
      <c r="E658" s="5">
        <v>156.00729999999999</v>
      </c>
      <c r="F658" s="6">
        <v>19656</v>
      </c>
    </row>
    <row r="659" spans="1:6" x14ac:dyDescent="0.2">
      <c r="A659" s="4">
        <v>45425</v>
      </c>
      <c r="B659" s="5">
        <v>155.76</v>
      </c>
      <c r="C659" s="5">
        <v>155.84</v>
      </c>
      <c r="D659" s="5">
        <v>155.76</v>
      </c>
      <c r="E659" s="5">
        <v>155.84</v>
      </c>
      <c r="F659" s="6">
        <v>550</v>
      </c>
    </row>
    <row r="660" spans="1:6" x14ac:dyDescent="0.2">
      <c r="A660" s="4">
        <v>45426</v>
      </c>
      <c r="B660" s="5">
        <v>149.65</v>
      </c>
      <c r="C660" s="5">
        <v>156.06</v>
      </c>
      <c r="D660" s="5">
        <v>149.65</v>
      </c>
      <c r="E660" s="5">
        <v>152.87989999999999</v>
      </c>
      <c r="F660" s="6">
        <v>1169</v>
      </c>
    </row>
    <row r="661" spans="1:6" x14ac:dyDescent="0.2">
      <c r="A661" s="4">
        <v>45427</v>
      </c>
      <c r="B661" s="5">
        <v>153</v>
      </c>
      <c r="C661" s="5">
        <v>153</v>
      </c>
      <c r="D661" s="5">
        <v>153</v>
      </c>
      <c r="E661" s="5">
        <v>153</v>
      </c>
      <c r="F661" s="6">
        <v>765</v>
      </c>
    </row>
    <row r="662" spans="1:6" x14ac:dyDescent="0.2">
      <c r="A662" s="4">
        <v>45428</v>
      </c>
      <c r="B662" s="5">
        <v>154.56</v>
      </c>
      <c r="C662" s="5">
        <v>155.72</v>
      </c>
      <c r="D662" s="5">
        <v>154.56</v>
      </c>
      <c r="E662" s="5">
        <v>155.72</v>
      </c>
      <c r="F662" s="6">
        <v>1291</v>
      </c>
    </row>
    <row r="663" spans="1:6" x14ac:dyDescent="0.2">
      <c r="A663" s="4">
        <v>45429</v>
      </c>
      <c r="B663" s="5">
        <v>157.05000000000001</v>
      </c>
      <c r="C663" s="5">
        <v>157.05000000000001</v>
      </c>
      <c r="D663" s="5">
        <v>152.28</v>
      </c>
      <c r="E663" s="5">
        <v>155.26</v>
      </c>
      <c r="F663" s="6">
        <v>921</v>
      </c>
    </row>
    <row r="664" spans="1:6" x14ac:dyDescent="0.2">
      <c r="A664" s="4">
        <v>45432</v>
      </c>
      <c r="B664" s="5">
        <v>153.02000000000001</v>
      </c>
      <c r="C664" s="5">
        <v>154.61000000000001</v>
      </c>
      <c r="D664" s="5">
        <v>153.02000000000001</v>
      </c>
      <c r="E664" s="5">
        <v>154.61000000000001</v>
      </c>
      <c r="F664" s="6">
        <v>633</v>
      </c>
    </row>
    <row r="665" spans="1:6" x14ac:dyDescent="0.2">
      <c r="A665" s="4">
        <v>45433</v>
      </c>
      <c r="B665" s="5">
        <v>159.06</v>
      </c>
      <c r="C665" s="5">
        <v>159.06</v>
      </c>
      <c r="D665" s="5">
        <v>159.06</v>
      </c>
      <c r="E665" s="5">
        <v>159.06</v>
      </c>
      <c r="F665" s="6">
        <v>579</v>
      </c>
    </row>
    <row r="666" spans="1:6" x14ac:dyDescent="0.2">
      <c r="A666" s="4">
        <v>45434</v>
      </c>
      <c r="B666" s="5">
        <v>155.97989999999999</v>
      </c>
      <c r="C666" s="5">
        <v>158.74</v>
      </c>
      <c r="D666" s="5">
        <v>155.97989999999999</v>
      </c>
      <c r="E666" s="5">
        <v>158.74</v>
      </c>
      <c r="F666" s="6">
        <v>506</v>
      </c>
    </row>
    <row r="667" spans="1:6" x14ac:dyDescent="0.2">
      <c r="A667" s="4">
        <v>45435</v>
      </c>
      <c r="B667" s="5">
        <v>155.35</v>
      </c>
      <c r="C667" s="5">
        <v>159.36000000000001</v>
      </c>
      <c r="D667" s="5">
        <v>155.35</v>
      </c>
      <c r="E667" s="5">
        <v>159.36000000000001</v>
      </c>
      <c r="F667" s="6">
        <v>778</v>
      </c>
    </row>
    <row r="668" spans="1:6" x14ac:dyDescent="0.2">
      <c r="A668" s="4">
        <v>45436</v>
      </c>
      <c r="B668" s="5">
        <v>153.61000000000001</v>
      </c>
      <c r="C668" s="5">
        <v>159.12</v>
      </c>
      <c r="D668" s="5">
        <v>153.61000000000001</v>
      </c>
      <c r="E668" s="5">
        <v>159.12</v>
      </c>
      <c r="F668" s="6">
        <v>2751</v>
      </c>
    </row>
    <row r="669" spans="1:6" x14ac:dyDescent="0.2">
      <c r="A669" s="4">
        <v>45440</v>
      </c>
      <c r="B669" s="5">
        <v>153.01</v>
      </c>
      <c r="C669" s="5">
        <v>159.84</v>
      </c>
      <c r="D669" s="5">
        <v>151.97989999999999</v>
      </c>
      <c r="E669" s="5">
        <v>158.5</v>
      </c>
      <c r="F669" s="6">
        <v>3737</v>
      </c>
    </row>
    <row r="670" spans="1:6" x14ac:dyDescent="0.2">
      <c r="A670" s="4">
        <v>45441</v>
      </c>
      <c r="B670" s="5">
        <v>153.9</v>
      </c>
      <c r="C670" s="5">
        <v>154.19999999999999</v>
      </c>
      <c r="D670" s="5">
        <v>146.19999999999999</v>
      </c>
      <c r="E670" s="5">
        <v>146.19999999999999</v>
      </c>
      <c r="F670" s="6">
        <v>1217</v>
      </c>
    </row>
    <row r="671" spans="1:6" x14ac:dyDescent="0.2">
      <c r="A671" s="4">
        <v>45442</v>
      </c>
      <c r="B671" s="5">
        <v>146.19999999999999</v>
      </c>
      <c r="C671" s="5">
        <v>146.19999999999999</v>
      </c>
      <c r="D671" s="5">
        <v>146.19999999999999</v>
      </c>
      <c r="E671" s="5">
        <v>146.19999999999999</v>
      </c>
      <c r="F671" s="6"/>
    </row>
    <row r="672" spans="1:6" x14ac:dyDescent="0.2">
      <c r="A672" s="4">
        <v>45443</v>
      </c>
      <c r="B672" s="5">
        <v>153.78</v>
      </c>
      <c r="C672" s="5">
        <v>153.78</v>
      </c>
      <c r="D672" s="5">
        <v>153.78</v>
      </c>
      <c r="E672" s="5">
        <v>153.78</v>
      </c>
      <c r="F672" s="6">
        <v>411</v>
      </c>
    </row>
    <row r="673" spans="1:6" x14ac:dyDescent="0.2">
      <c r="A673" s="4">
        <v>45446</v>
      </c>
      <c r="B673" s="5">
        <v>158</v>
      </c>
      <c r="C673" s="5">
        <v>158.43</v>
      </c>
      <c r="D673" s="5">
        <v>157.88999999999999</v>
      </c>
      <c r="E673" s="5">
        <v>158.43</v>
      </c>
      <c r="F673" s="6">
        <v>1854</v>
      </c>
    </row>
    <row r="674" spans="1:6" x14ac:dyDescent="0.2">
      <c r="A674" s="4">
        <v>45447</v>
      </c>
      <c r="B674" s="5">
        <v>158</v>
      </c>
      <c r="C674" s="5">
        <v>159.9</v>
      </c>
      <c r="D674" s="5">
        <v>152.69999999999999</v>
      </c>
      <c r="E674" s="5">
        <v>156.35</v>
      </c>
      <c r="F674" s="6">
        <v>1874</v>
      </c>
    </row>
    <row r="675" spans="1:6" x14ac:dyDescent="0.2">
      <c r="A675" s="4">
        <v>45448</v>
      </c>
      <c r="B675" s="5">
        <v>160</v>
      </c>
      <c r="C675" s="5">
        <v>160.1</v>
      </c>
      <c r="D675" s="5">
        <v>159.535</v>
      </c>
      <c r="E675" s="5">
        <v>160.1</v>
      </c>
      <c r="F675" s="6">
        <v>3225</v>
      </c>
    </row>
    <row r="676" spans="1:6" x14ac:dyDescent="0.2">
      <c r="A676" s="4">
        <v>45449</v>
      </c>
      <c r="B676" s="5">
        <v>157.94999999999999</v>
      </c>
      <c r="C676" s="5">
        <v>159.96</v>
      </c>
      <c r="D676" s="5">
        <v>157.94999999999999</v>
      </c>
      <c r="E676" s="5">
        <v>159.96</v>
      </c>
      <c r="F676" s="6">
        <v>665</v>
      </c>
    </row>
    <row r="677" spans="1:6" x14ac:dyDescent="0.2">
      <c r="A677" s="4">
        <v>45450</v>
      </c>
      <c r="B677" s="5">
        <v>159.96</v>
      </c>
      <c r="C677" s="5">
        <v>159.96</v>
      </c>
      <c r="D677" s="5">
        <v>159.96</v>
      </c>
      <c r="E677" s="5">
        <v>159.96</v>
      </c>
      <c r="F677" s="6"/>
    </row>
    <row r="678" spans="1:6" x14ac:dyDescent="0.2">
      <c r="A678" s="4">
        <v>45453</v>
      </c>
      <c r="B678" s="5">
        <v>161.86000000000001</v>
      </c>
      <c r="C678" s="5">
        <v>162</v>
      </c>
      <c r="D678" s="5">
        <v>159.37989999999999</v>
      </c>
      <c r="E678" s="5">
        <v>159.37989999999999</v>
      </c>
      <c r="F678" s="6">
        <v>1852</v>
      </c>
    </row>
    <row r="679" spans="1:6" x14ac:dyDescent="0.2">
      <c r="A679" s="4">
        <v>45454</v>
      </c>
      <c r="B679" s="5">
        <v>160.55000000000001</v>
      </c>
      <c r="C679" s="5">
        <v>161</v>
      </c>
      <c r="D679" s="5">
        <v>157.55000000000001</v>
      </c>
      <c r="E679" s="5">
        <v>161</v>
      </c>
      <c r="F679" s="6">
        <v>6927</v>
      </c>
    </row>
    <row r="680" spans="1:6" x14ac:dyDescent="0.2">
      <c r="A680" s="4">
        <v>45455</v>
      </c>
      <c r="B680" s="5">
        <v>158.75</v>
      </c>
      <c r="C680" s="5">
        <v>160.44999999999999</v>
      </c>
      <c r="D680" s="5">
        <v>158.155</v>
      </c>
      <c r="E680" s="5">
        <v>160.44999999999999</v>
      </c>
      <c r="F680" s="6">
        <v>2066</v>
      </c>
    </row>
    <row r="681" spans="1:6" x14ac:dyDescent="0.2">
      <c r="A681" s="4">
        <v>45456</v>
      </c>
      <c r="B681" s="5">
        <v>160.44999999999999</v>
      </c>
      <c r="C681" s="5">
        <v>160.44999999999999</v>
      </c>
      <c r="D681" s="5">
        <v>160.44999999999999</v>
      </c>
      <c r="E681" s="5">
        <v>160.44999999999999</v>
      </c>
      <c r="F681" s="6"/>
    </row>
    <row r="682" spans="1:6" x14ac:dyDescent="0.2">
      <c r="A682" s="4">
        <v>45457</v>
      </c>
      <c r="B682" s="5">
        <v>159.84</v>
      </c>
      <c r="C682" s="5">
        <v>160.41999999999999</v>
      </c>
      <c r="D682" s="5">
        <v>153</v>
      </c>
      <c r="E682" s="5">
        <v>160.41999999999999</v>
      </c>
      <c r="F682" s="6">
        <v>2107</v>
      </c>
    </row>
    <row r="683" spans="1:6" x14ac:dyDescent="0.2">
      <c r="A683" s="4">
        <v>45460</v>
      </c>
      <c r="B683" s="5">
        <v>160.41999999999999</v>
      </c>
      <c r="C683" s="5">
        <v>160.41999999999999</v>
      </c>
      <c r="D683" s="5">
        <v>160.41999999999999</v>
      </c>
      <c r="E683" s="5">
        <v>160.41999999999999</v>
      </c>
      <c r="F683" s="6"/>
    </row>
    <row r="684" spans="1:6" x14ac:dyDescent="0.2">
      <c r="A684" s="4">
        <v>45461</v>
      </c>
      <c r="B684" s="5">
        <v>154.75</v>
      </c>
      <c r="C684" s="5">
        <v>158.80000000000001</v>
      </c>
      <c r="D684" s="5">
        <v>154.75</v>
      </c>
      <c r="E684" s="5">
        <v>158.80000000000001</v>
      </c>
      <c r="F684" s="6">
        <v>893</v>
      </c>
    </row>
    <row r="685" spans="1:6" x14ac:dyDescent="0.2">
      <c r="A685" s="4">
        <v>45463</v>
      </c>
      <c r="B685" s="5">
        <v>156.6</v>
      </c>
      <c r="C685" s="5">
        <v>156.6</v>
      </c>
      <c r="D685" s="5">
        <v>152</v>
      </c>
      <c r="E685" s="5">
        <v>152</v>
      </c>
      <c r="F685" s="6">
        <v>1878</v>
      </c>
    </row>
    <row r="686" spans="1:6" x14ac:dyDescent="0.2">
      <c r="A686" s="4">
        <v>45464</v>
      </c>
      <c r="B686" s="5">
        <v>152</v>
      </c>
      <c r="C686" s="5">
        <v>152</v>
      </c>
      <c r="D686" s="5">
        <v>152</v>
      </c>
      <c r="E686" s="5">
        <v>152</v>
      </c>
      <c r="F686" s="6"/>
    </row>
    <row r="687" spans="1:6" x14ac:dyDescent="0.2">
      <c r="A687" s="4">
        <v>45467</v>
      </c>
      <c r="B687" s="5">
        <v>161.99</v>
      </c>
      <c r="C687" s="5">
        <v>161.99</v>
      </c>
      <c r="D687" s="5">
        <v>152.11000000000001</v>
      </c>
      <c r="E687" s="5">
        <v>152.11000000000001</v>
      </c>
      <c r="F687" s="6">
        <v>837</v>
      </c>
    </row>
    <row r="688" spans="1:6" x14ac:dyDescent="0.2">
      <c r="A688" s="4">
        <v>45468</v>
      </c>
      <c r="B688" s="5">
        <v>153.23150000000001</v>
      </c>
      <c r="C688" s="5">
        <v>161</v>
      </c>
      <c r="D688" s="5">
        <v>153.23150000000001</v>
      </c>
      <c r="E688" s="5">
        <v>157.87989999999999</v>
      </c>
      <c r="F688" s="6">
        <v>947</v>
      </c>
    </row>
    <row r="689" spans="1:6" x14ac:dyDescent="0.2">
      <c r="A689" s="4">
        <v>45469</v>
      </c>
      <c r="B689" s="5">
        <v>157.87989999999999</v>
      </c>
      <c r="C689" s="5">
        <v>157.87989999999999</v>
      </c>
      <c r="D689" s="5">
        <v>157.87989999999999</v>
      </c>
      <c r="E689" s="5">
        <v>157.87989999999999</v>
      </c>
      <c r="F689" s="6"/>
    </row>
    <row r="690" spans="1:6" x14ac:dyDescent="0.2">
      <c r="A690" s="4">
        <v>45470</v>
      </c>
      <c r="B690" s="5">
        <v>159.30000000000001</v>
      </c>
      <c r="C690" s="5">
        <v>159.30000000000001</v>
      </c>
      <c r="D690" s="5">
        <v>157.5</v>
      </c>
      <c r="E690" s="5">
        <v>158.63999999999999</v>
      </c>
      <c r="F690" s="6">
        <v>1243</v>
      </c>
    </row>
    <row r="691" spans="1:6" x14ac:dyDescent="0.2">
      <c r="A691" s="4">
        <v>45471</v>
      </c>
      <c r="B691" s="5">
        <v>153.94999999999999</v>
      </c>
      <c r="C691" s="5">
        <v>158.9</v>
      </c>
      <c r="D691" s="5">
        <v>153.94999999999999</v>
      </c>
      <c r="E691" s="5">
        <v>156.26750000000001</v>
      </c>
      <c r="F691" s="6">
        <v>1001</v>
      </c>
    </row>
    <row r="692" spans="1:6" x14ac:dyDescent="0.2">
      <c r="A692" s="4">
        <v>45474</v>
      </c>
      <c r="B692" s="5">
        <v>157.5</v>
      </c>
      <c r="C692" s="5">
        <v>157.5</v>
      </c>
      <c r="D692" s="5">
        <v>157.5</v>
      </c>
      <c r="E692" s="5">
        <v>157.5</v>
      </c>
      <c r="F692" s="6">
        <v>1031</v>
      </c>
    </row>
    <row r="693" spans="1:6" x14ac:dyDescent="0.2">
      <c r="A693" s="4">
        <v>45475</v>
      </c>
      <c r="B693" s="5">
        <v>148.80000000000001</v>
      </c>
      <c r="C693" s="5">
        <v>154.72</v>
      </c>
      <c r="D693" s="5">
        <v>148.80000000000001</v>
      </c>
      <c r="E693" s="5">
        <v>154.72</v>
      </c>
      <c r="F693" s="6">
        <v>998</v>
      </c>
    </row>
    <row r="694" spans="1:6" x14ac:dyDescent="0.2">
      <c r="A694" s="4">
        <v>45476</v>
      </c>
      <c r="B694" s="5">
        <v>154.66</v>
      </c>
      <c r="C694" s="5">
        <v>154.66</v>
      </c>
      <c r="D694" s="5">
        <v>147.15</v>
      </c>
      <c r="E694" s="5">
        <v>147.15</v>
      </c>
      <c r="F694" s="6">
        <v>1378</v>
      </c>
    </row>
    <row r="695" spans="1:6" x14ac:dyDescent="0.2">
      <c r="A695" s="4">
        <v>45478</v>
      </c>
      <c r="B695" s="5">
        <v>148.69999999999999</v>
      </c>
      <c r="C695" s="5">
        <v>148.69999999999999</v>
      </c>
      <c r="D695" s="5">
        <v>148.69999999999999</v>
      </c>
      <c r="E695" s="5">
        <v>148.69999999999999</v>
      </c>
      <c r="F695" s="6">
        <v>1695</v>
      </c>
    </row>
    <row r="696" spans="1:6" x14ac:dyDescent="0.2">
      <c r="A696" s="4">
        <v>45481</v>
      </c>
      <c r="B696" s="5">
        <v>157.84</v>
      </c>
      <c r="C696" s="5">
        <v>157.84</v>
      </c>
      <c r="D696" s="5">
        <v>157</v>
      </c>
      <c r="E696" s="5">
        <v>157</v>
      </c>
      <c r="F696" s="6">
        <v>1320</v>
      </c>
    </row>
    <row r="697" spans="1:6" x14ac:dyDescent="0.2">
      <c r="A697" s="4">
        <v>45482</v>
      </c>
      <c r="B697" s="5">
        <v>154.125</v>
      </c>
      <c r="C697" s="5">
        <v>154.35</v>
      </c>
      <c r="D697" s="5">
        <v>150</v>
      </c>
      <c r="E697" s="5">
        <v>154.35</v>
      </c>
      <c r="F697" s="6">
        <v>1293</v>
      </c>
    </row>
    <row r="698" spans="1:6" x14ac:dyDescent="0.2">
      <c r="A698" s="4">
        <v>45483</v>
      </c>
      <c r="B698" s="5">
        <v>151.02500000000001</v>
      </c>
      <c r="C698" s="5">
        <v>153.86000000000001</v>
      </c>
      <c r="D698" s="5">
        <v>151.02500000000001</v>
      </c>
      <c r="E698" s="5">
        <v>153.86000000000001</v>
      </c>
      <c r="F698" s="6">
        <v>905</v>
      </c>
    </row>
    <row r="699" spans="1:6" x14ac:dyDescent="0.2">
      <c r="A699" s="4">
        <v>45484</v>
      </c>
      <c r="B699" s="5">
        <v>154.5</v>
      </c>
      <c r="C699" s="5">
        <v>154.5</v>
      </c>
      <c r="D699" s="5">
        <v>153.41</v>
      </c>
      <c r="E699" s="5">
        <v>153.41</v>
      </c>
      <c r="F699" s="6">
        <v>606</v>
      </c>
    </row>
    <row r="700" spans="1:6" x14ac:dyDescent="0.2">
      <c r="A700" s="4">
        <v>45485</v>
      </c>
      <c r="B700" s="5">
        <v>153.41</v>
      </c>
      <c r="C700" s="5">
        <v>153.41</v>
      </c>
      <c r="D700" s="5">
        <v>153.41</v>
      </c>
      <c r="E700" s="5">
        <v>153.41</v>
      </c>
      <c r="F700" s="6"/>
    </row>
    <row r="701" spans="1:6" x14ac:dyDescent="0.2">
      <c r="A701" s="4">
        <v>45488</v>
      </c>
      <c r="B701" s="5">
        <v>156.13990000000001</v>
      </c>
      <c r="C701" s="5">
        <v>156.13990000000001</v>
      </c>
      <c r="D701" s="5">
        <v>156.13990000000001</v>
      </c>
      <c r="E701" s="5">
        <v>156.13990000000001</v>
      </c>
      <c r="F701" s="6">
        <v>705</v>
      </c>
    </row>
    <row r="702" spans="1:6" x14ac:dyDescent="0.2">
      <c r="A702" s="4">
        <v>45489</v>
      </c>
      <c r="B702" s="5">
        <v>155.37989999999999</v>
      </c>
      <c r="C702" s="5">
        <v>156.18</v>
      </c>
      <c r="D702" s="5">
        <v>155.37989999999999</v>
      </c>
      <c r="E702" s="5">
        <v>156.18</v>
      </c>
      <c r="F702" s="6">
        <v>624</v>
      </c>
    </row>
    <row r="703" spans="1:6" x14ac:dyDescent="0.2">
      <c r="A703" s="4">
        <v>45490</v>
      </c>
      <c r="B703" s="5">
        <v>156.18</v>
      </c>
      <c r="C703" s="5">
        <v>156.18</v>
      </c>
      <c r="D703" s="5">
        <v>156.18</v>
      </c>
      <c r="E703" s="5">
        <v>156.18</v>
      </c>
      <c r="F703" s="6"/>
    </row>
    <row r="704" spans="1:6" x14ac:dyDescent="0.2">
      <c r="A704" s="4">
        <v>45491</v>
      </c>
      <c r="B704" s="5">
        <v>160</v>
      </c>
      <c r="C704" s="5">
        <v>160</v>
      </c>
      <c r="D704" s="5">
        <v>154.33029999999999</v>
      </c>
      <c r="E704" s="5">
        <v>154.33029999999999</v>
      </c>
      <c r="F704" s="6">
        <v>1859</v>
      </c>
    </row>
    <row r="705" spans="1:6" x14ac:dyDescent="0.2">
      <c r="A705" s="4">
        <v>45492</v>
      </c>
      <c r="B705" s="5">
        <v>154.30000000000001</v>
      </c>
      <c r="C705" s="5">
        <v>154.30000000000001</v>
      </c>
      <c r="D705" s="5">
        <v>154.30000000000001</v>
      </c>
      <c r="E705" s="5">
        <v>154.30000000000001</v>
      </c>
      <c r="F705" s="6">
        <v>1261</v>
      </c>
    </row>
    <row r="706" spans="1:6" x14ac:dyDescent="0.2">
      <c r="A706" s="4">
        <v>45495</v>
      </c>
      <c r="B706" s="5">
        <v>158.62</v>
      </c>
      <c r="C706" s="5">
        <v>158.62</v>
      </c>
      <c r="D706" s="5">
        <v>155.59</v>
      </c>
      <c r="E706" s="5">
        <v>157.85</v>
      </c>
      <c r="F706" s="6">
        <v>1602</v>
      </c>
    </row>
    <row r="707" spans="1:6" x14ac:dyDescent="0.2">
      <c r="A707" s="4">
        <v>45496</v>
      </c>
      <c r="B707" s="5">
        <v>159.85</v>
      </c>
      <c r="C707" s="5">
        <v>159.85</v>
      </c>
      <c r="D707" s="5">
        <v>159.85</v>
      </c>
      <c r="E707" s="5">
        <v>159.85</v>
      </c>
      <c r="F707" s="6">
        <v>2118</v>
      </c>
    </row>
    <row r="708" spans="1:6" x14ac:dyDescent="0.2">
      <c r="A708" s="4">
        <v>45497</v>
      </c>
      <c r="B708" s="5">
        <v>158.82499999999999</v>
      </c>
      <c r="C708" s="5">
        <v>158.82499999999999</v>
      </c>
      <c r="D708" s="5">
        <v>157.25</v>
      </c>
      <c r="E708" s="5">
        <v>157.25</v>
      </c>
      <c r="F708" s="6">
        <v>854</v>
      </c>
    </row>
    <row r="709" spans="1:6" x14ac:dyDescent="0.2">
      <c r="A709" s="4">
        <v>45498</v>
      </c>
      <c r="B709" s="5">
        <v>155.47999999999999</v>
      </c>
      <c r="C709" s="5">
        <v>155.47999999999999</v>
      </c>
      <c r="D709" s="5">
        <v>155.47999999999999</v>
      </c>
      <c r="E709" s="5">
        <v>155.47999999999999</v>
      </c>
      <c r="F709" s="6">
        <v>661</v>
      </c>
    </row>
    <row r="710" spans="1:6" x14ac:dyDescent="0.2">
      <c r="A710" s="4">
        <v>45499</v>
      </c>
      <c r="B710" s="5">
        <v>157.49</v>
      </c>
      <c r="C710" s="5">
        <v>160.785</v>
      </c>
      <c r="D710" s="5">
        <v>157.49</v>
      </c>
      <c r="E710" s="5">
        <v>159.465</v>
      </c>
      <c r="F710" s="6">
        <v>1420</v>
      </c>
    </row>
    <row r="711" spans="1:6" x14ac:dyDescent="0.2">
      <c r="A711" s="4">
        <v>45502</v>
      </c>
      <c r="B711" s="5">
        <v>156.28</v>
      </c>
      <c r="C711" s="5">
        <v>156.28</v>
      </c>
      <c r="D711" s="5">
        <v>156.28</v>
      </c>
      <c r="E711" s="5">
        <v>156.28</v>
      </c>
      <c r="F711" s="6">
        <v>568</v>
      </c>
    </row>
    <row r="712" spans="1:6" x14ac:dyDescent="0.2">
      <c r="A712" s="4">
        <v>45503</v>
      </c>
      <c r="B712" s="5">
        <v>156.28</v>
      </c>
      <c r="C712" s="5">
        <v>156.28</v>
      </c>
      <c r="D712" s="5">
        <v>156.28</v>
      </c>
      <c r="E712" s="5">
        <v>156.28</v>
      </c>
      <c r="F712" s="6"/>
    </row>
    <row r="713" spans="1:6" x14ac:dyDescent="0.2">
      <c r="A713" s="4">
        <v>45504</v>
      </c>
      <c r="B713" s="5">
        <v>159.5</v>
      </c>
      <c r="C713" s="5">
        <v>159.5</v>
      </c>
      <c r="D713" s="5">
        <v>156.35</v>
      </c>
      <c r="E713" s="5">
        <v>156.35</v>
      </c>
      <c r="F713" s="6">
        <v>13053</v>
      </c>
    </row>
    <row r="714" spans="1:6" x14ac:dyDescent="0.2">
      <c r="A714" s="4">
        <v>45505</v>
      </c>
      <c r="B714" s="5">
        <v>160</v>
      </c>
      <c r="C714" s="5">
        <v>160.63999999999999</v>
      </c>
      <c r="D714" s="5">
        <v>159.4145</v>
      </c>
      <c r="E714" s="5">
        <v>160.6</v>
      </c>
      <c r="F714" s="6">
        <v>3512</v>
      </c>
    </row>
    <row r="715" spans="1:6" x14ac:dyDescent="0.2">
      <c r="A715" s="4">
        <v>45506</v>
      </c>
      <c r="B715" s="5">
        <v>163.92</v>
      </c>
      <c r="C715" s="5">
        <v>164.02</v>
      </c>
      <c r="D715" s="5">
        <v>163.92</v>
      </c>
      <c r="E715" s="5">
        <v>164.02</v>
      </c>
      <c r="F715" s="6">
        <v>1109</v>
      </c>
    </row>
    <row r="716" spans="1:6" x14ac:dyDescent="0.2">
      <c r="A716" s="4">
        <v>45509</v>
      </c>
      <c r="B716" s="5">
        <v>156.88</v>
      </c>
      <c r="C716" s="5">
        <v>156.88</v>
      </c>
      <c r="D716" s="5">
        <v>156.88</v>
      </c>
      <c r="E716" s="5">
        <v>156.88</v>
      </c>
      <c r="F716" s="6">
        <v>470</v>
      </c>
    </row>
    <row r="717" spans="1:6" x14ac:dyDescent="0.2">
      <c r="A717" s="4">
        <v>45510</v>
      </c>
      <c r="B717" s="5">
        <v>157.66</v>
      </c>
      <c r="C717" s="5">
        <v>157.66</v>
      </c>
      <c r="D717" s="5">
        <v>152.94999999999999</v>
      </c>
      <c r="E717" s="5">
        <v>152.94999999999999</v>
      </c>
      <c r="F717" s="6">
        <v>1228</v>
      </c>
    </row>
    <row r="718" spans="1:6" x14ac:dyDescent="0.2">
      <c r="A718" s="4">
        <v>45511</v>
      </c>
      <c r="B718" s="5">
        <v>158.01</v>
      </c>
      <c r="C718" s="5">
        <v>162.6</v>
      </c>
      <c r="D718" s="5">
        <v>158.01</v>
      </c>
      <c r="E718" s="5">
        <v>159.75989999999999</v>
      </c>
      <c r="F718" s="6">
        <v>1401</v>
      </c>
    </row>
    <row r="719" spans="1:6" x14ac:dyDescent="0.2">
      <c r="A719" s="4">
        <v>45512</v>
      </c>
      <c r="B719" s="5">
        <v>165.6</v>
      </c>
      <c r="C719" s="5">
        <v>165.6</v>
      </c>
      <c r="D719" s="5">
        <v>165.6</v>
      </c>
      <c r="E719" s="5">
        <v>165.6</v>
      </c>
      <c r="F719" s="6">
        <v>465</v>
      </c>
    </row>
    <row r="720" spans="1:6" x14ac:dyDescent="0.2">
      <c r="A720" s="4">
        <v>45513</v>
      </c>
      <c r="B720" s="5">
        <v>165.6</v>
      </c>
      <c r="C720" s="5">
        <v>165.6</v>
      </c>
      <c r="D720" s="5">
        <v>165.6</v>
      </c>
      <c r="E720" s="5">
        <v>165.6</v>
      </c>
      <c r="F720" s="6"/>
    </row>
    <row r="721" spans="1:6" x14ac:dyDescent="0.2">
      <c r="A721" s="4">
        <v>45516</v>
      </c>
      <c r="B721" s="5">
        <v>160.7099</v>
      </c>
      <c r="C721" s="5">
        <v>160.7099</v>
      </c>
      <c r="D721" s="5">
        <v>160.7099</v>
      </c>
      <c r="E721" s="5">
        <v>160.7099</v>
      </c>
      <c r="F721" s="6">
        <v>698</v>
      </c>
    </row>
    <row r="722" spans="1:6" x14ac:dyDescent="0.2">
      <c r="A722" s="4">
        <v>45517</v>
      </c>
      <c r="B722" s="5">
        <v>165</v>
      </c>
      <c r="C722" s="5">
        <v>165</v>
      </c>
      <c r="D722" s="5">
        <v>161.0325</v>
      </c>
      <c r="E722" s="5">
        <v>163.56</v>
      </c>
      <c r="F722" s="6">
        <v>529</v>
      </c>
    </row>
    <row r="723" spans="1:6" x14ac:dyDescent="0.2">
      <c r="A723" s="4">
        <v>45518</v>
      </c>
      <c r="B723" s="5">
        <v>162.66</v>
      </c>
      <c r="C723" s="5">
        <v>166.6</v>
      </c>
      <c r="D723" s="5">
        <v>162.66</v>
      </c>
      <c r="E723" s="5">
        <v>166</v>
      </c>
      <c r="F723" s="6">
        <v>633</v>
      </c>
    </row>
    <row r="724" spans="1:6" x14ac:dyDescent="0.2">
      <c r="A724" s="4">
        <v>45519</v>
      </c>
      <c r="B724" s="5">
        <v>167.1</v>
      </c>
      <c r="C724" s="5">
        <v>169.72499999999999</v>
      </c>
      <c r="D724" s="5">
        <v>167</v>
      </c>
      <c r="E724" s="5">
        <v>167</v>
      </c>
      <c r="F724" s="6">
        <v>1436</v>
      </c>
    </row>
    <row r="725" spans="1:6" x14ac:dyDescent="0.2">
      <c r="A725" s="4">
        <v>45520</v>
      </c>
      <c r="B725" s="5">
        <v>169.9</v>
      </c>
      <c r="C725" s="5">
        <v>169.9</v>
      </c>
      <c r="D725" s="5">
        <v>169.9</v>
      </c>
      <c r="E725" s="5">
        <v>169.9</v>
      </c>
      <c r="F725" s="6">
        <v>562</v>
      </c>
    </row>
    <row r="726" spans="1:6" x14ac:dyDescent="0.2">
      <c r="A726" s="4">
        <v>45523</v>
      </c>
      <c r="B726" s="5">
        <v>171.98</v>
      </c>
      <c r="C726" s="5">
        <v>171.98</v>
      </c>
      <c r="D726" s="5">
        <v>164.41300000000001</v>
      </c>
      <c r="E726" s="5">
        <v>164.41300000000001</v>
      </c>
      <c r="F726" s="6">
        <v>15495</v>
      </c>
    </row>
    <row r="727" spans="1:6" x14ac:dyDescent="0.2">
      <c r="A727" s="4">
        <v>45524</v>
      </c>
      <c r="B727" s="5">
        <v>169.25</v>
      </c>
      <c r="C727" s="5">
        <v>169.25</v>
      </c>
      <c r="D727" s="5">
        <v>169.25</v>
      </c>
      <c r="E727" s="5">
        <v>169.25</v>
      </c>
      <c r="F727" s="6">
        <v>2051</v>
      </c>
    </row>
    <row r="728" spans="1:6" x14ac:dyDescent="0.2">
      <c r="A728" s="4">
        <v>45525</v>
      </c>
      <c r="B728" s="5">
        <v>169.25</v>
      </c>
      <c r="C728" s="5">
        <v>169.25</v>
      </c>
      <c r="D728" s="5">
        <v>169.25</v>
      </c>
      <c r="E728" s="5">
        <v>169.25</v>
      </c>
      <c r="F728" s="6"/>
    </row>
    <row r="729" spans="1:6" x14ac:dyDescent="0.2">
      <c r="A729" s="4">
        <v>45526</v>
      </c>
      <c r="B729" s="5">
        <v>170</v>
      </c>
      <c r="C729" s="5">
        <v>170</v>
      </c>
      <c r="D729" s="5">
        <v>169.5</v>
      </c>
      <c r="E729" s="5">
        <v>169.5</v>
      </c>
      <c r="F729" s="6">
        <v>2612</v>
      </c>
    </row>
    <row r="730" spans="1:6" x14ac:dyDescent="0.2">
      <c r="A730" s="4">
        <v>45527</v>
      </c>
      <c r="B730" s="5">
        <v>169.55</v>
      </c>
      <c r="C730" s="5">
        <v>169.55</v>
      </c>
      <c r="D730" s="5">
        <v>169.55</v>
      </c>
      <c r="E730" s="5">
        <v>169.55</v>
      </c>
      <c r="F730" s="6">
        <v>1477</v>
      </c>
    </row>
    <row r="731" spans="1:6" x14ac:dyDescent="0.2">
      <c r="A731" s="4">
        <v>45530</v>
      </c>
      <c r="B731" s="5">
        <v>174.9</v>
      </c>
      <c r="C731" s="5">
        <v>174.9</v>
      </c>
      <c r="D731" s="5">
        <v>174.9</v>
      </c>
      <c r="E731" s="5">
        <v>174.9</v>
      </c>
      <c r="F731" s="6">
        <v>542</v>
      </c>
    </row>
    <row r="732" spans="1:6" x14ac:dyDescent="0.2">
      <c r="A732" s="4">
        <v>45531</v>
      </c>
      <c r="B732" s="5">
        <v>174.97300000000001</v>
      </c>
      <c r="C732" s="5">
        <v>174.97300000000001</v>
      </c>
      <c r="D732" s="5">
        <v>171</v>
      </c>
      <c r="E732" s="5">
        <v>171</v>
      </c>
      <c r="F732" s="6">
        <v>1663</v>
      </c>
    </row>
    <row r="733" spans="1:6" x14ac:dyDescent="0.2">
      <c r="A733" s="4">
        <v>45532</v>
      </c>
      <c r="B733" s="5">
        <v>173.625</v>
      </c>
      <c r="C733" s="5">
        <v>173.625</v>
      </c>
      <c r="D733" s="5">
        <v>173.625</v>
      </c>
      <c r="E733" s="5">
        <v>173.625</v>
      </c>
      <c r="F733" s="6">
        <v>508</v>
      </c>
    </row>
    <row r="734" spans="1:6" x14ac:dyDescent="0.2">
      <c r="A734" s="4">
        <v>45533</v>
      </c>
      <c r="B734" s="5">
        <v>172.01990000000001</v>
      </c>
      <c r="C734" s="5">
        <v>172.01990000000001</v>
      </c>
      <c r="D734" s="5">
        <v>172.01990000000001</v>
      </c>
      <c r="E734" s="5">
        <v>172.01990000000001</v>
      </c>
      <c r="F734" s="6">
        <v>521</v>
      </c>
    </row>
    <row r="735" spans="1:6" x14ac:dyDescent="0.2">
      <c r="A735" s="4">
        <v>45534</v>
      </c>
      <c r="B735" s="5">
        <v>175</v>
      </c>
      <c r="C735" s="5">
        <v>175</v>
      </c>
      <c r="D735" s="5">
        <v>175</v>
      </c>
      <c r="E735" s="5">
        <v>175</v>
      </c>
      <c r="F735" s="6">
        <v>273</v>
      </c>
    </row>
    <row r="736" spans="1:6" x14ac:dyDescent="0.2">
      <c r="A736" s="4">
        <v>45538</v>
      </c>
      <c r="B736" s="5">
        <v>174.52</v>
      </c>
      <c r="C736" s="5">
        <v>174.52</v>
      </c>
      <c r="D736" s="5">
        <v>172.8</v>
      </c>
      <c r="E736" s="5">
        <v>172.8</v>
      </c>
      <c r="F736" s="6">
        <v>1187</v>
      </c>
    </row>
    <row r="737" spans="1:6" x14ac:dyDescent="0.2">
      <c r="A737" s="4">
        <v>45539</v>
      </c>
      <c r="B737" s="5">
        <v>170.3</v>
      </c>
      <c r="C737" s="5">
        <v>172.78</v>
      </c>
      <c r="D737" s="5">
        <v>169.78</v>
      </c>
      <c r="E737" s="5">
        <v>169.78</v>
      </c>
      <c r="F737" s="6">
        <v>914</v>
      </c>
    </row>
    <row r="738" spans="1:6" x14ac:dyDescent="0.2">
      <c r="A738" s="4">
        <v>45540</v>
      </c>
      <c r="B738" s="5">
        <v>169</v>
      </c>
      <c r="C738" s="5">
        <v>169</v>
      </c>
      <c r="D738" s="5">
        <v>164.76</v>
      </c>
      <c r="E738" s="5">
        <v>164.76</v>
      </c>
      <c r="F738" s="6">
        <v>1077</v>
      </c>
    </row>
    <row r="739" spans="1:6" x14ac:dyDescent="0.2">
      <c r="A739" s="4">
        <v>45541</v>
      </c>
      <c r="B739" s="5">
        <v>168.97499999999999</v>
      </c>
      <c r="C739" s="5">
        <v>168.97499999999999</v>
      </c>
      <c r="D739" s="5">
        <v>168.97499999999999</v>
      </c>
      <c r="E739" s="5">
        <v>168.97499999999999</v>
      </c>
      <c r="F739" s="6">
        <v>526</v>
      </c>
    </row>
    <row r="740" spans="1:6" x14ac:dyDescent="0.2">
      <c r="A740" s="4">
        <v>45544</v>
      </c>
      <c r="B740" s="5">
        <v>160.08000000000001</v>
      </c>
      <c r="C740" s="5">
        <v>160.08000000000001</v>
      </c>
      <c r="D740" s="5">
        <v>160.08000000000001</v>
      </c>
      <c r="E740" s="5">
        <v>160.08000000000001</v>
      </c>
      <c r="F740" s="6">
        <v>927</v>
      </c>
    </row>
    <row r="741" spans="1:6" x14ac:dyDescent="0.2">
      <c r="A741" s="4">
        <v>45545</v>
      </c>
      <c r="B741" s="5">
        <v>160.24</v>
      </c>
      <c r="C741" s="5">
        <v>160.24</v>
      </c>
      <c r="D741" s="5">
        <v>160.24</v>
      </c>
      <c r="E741" s="5">
        <v>160.24</v>
      </c>
      <c r="F741" s="6">
        <v>685</v>
      </c>
    </row>
    <row r="742" spans="1:6" x14ac:dyDescent="0.2">
      <c r="A742" s="4">
        <v>45546</v>
      </c>
      <c r="B742" s="5">
        <v>160.24</v>
      </c>
      <c r="C742" s="5">
        <v>160.24</v>
      </c>
      <c r="D742" s="5">
        <v>160.24</v>
      </c>
      <c r="E742" s="5">
        <v>160.24</v>
      </c>
      <c r="F742" s="6"/>
    </row>
    <row r="743" spans="1:6" x14ac:dyDescent="0.2">
      <c r="A743" s="4">
        <v>45547</v>
      </c>
      <c r="B743" s="5">
        <v>159.92500000000001</v>
      </c>
      <c r="C743" s="5">
        <v>159.92500000000001</v>
      </c>
      <c r="D743" s="5">
        <v>156.34</v>
      </c>
      <c r="E743" s="5">
        <v>156.37989999999999</v>
      </c>
      <c r="F743" s="6">
        <v>1368</v>
      </c>
    </row>
    <row r="744" spans="1:6" x14ac:dyDescent="0.2">
      <c r="A744" s="4">
        <v>45548</v>
      </c>
      <c r="B744" s="5">
        <v>157.69999999999999</v>
      </c>
      <c r="C744" s="5">
        <v>158.13999999999999</v>
      </c>
      <c r="D744" s="5">
        <v>152</v>
      </c>
      <c r="E744" s="5">
        <v>158.13999999999999</v>
      </c>
      <c r="F744" s="6">
        <v>5267</v>
      </c>
    </row>
    <row r="745" spans="1:6" x14ac:dyDescent="0.2">
      <c r="A745" s="4">
        <v>45551</v>
      </c>
      <c r="B745" s="5">
        <v>159.4</v>
      </c>
      <c r="C745" s="5">
        <v>159.4</v>
      </c>
      <c r="D745" s="5">
        <v>157</v>
      </c>
      <c r="E745" s="5">
        <v>157</v>
      </c>
      <c r="F745" s="6">
        <v>948</v>
      </c>
    </row>
    <row r="746" spans="1:6" x14ac:dyDescent="0.2">
      <c r="A746" s="4">
        <v>45552</v>
      </c>
      <c r="B746" s="5">
        <v>157.80160000000001</v>
      </c>
      <c r="C746" s="5">
        <v>157.80160000000001</v>
      </c>
      <c r="D746" s="5">
        <v>157.80160000000001</v>
      </c>
      <c r="E746" s="5">
        <v>157.80160000000001</v>
      </c>
      <c r="F746" s="6">
        <v>679</v>
      </c>
    </row>
    <row r="747" spans="1:6" x14ac:dyDescent="0.2">
      <c r="A747" s="4">
        <v>45553</v>
      </c>
      <c r="B747" s="5">
        <v>163.97</v>
      </c>
      <c r="C747" s="5">
        <v>163.97</v>
      </c>
      <c r="D747" s="5">
        <v>163.97</v>
      </c>
      <c r="E747" s="5">
        <v>163.97</v>
      </c>
      <c r="F747" s="6">
        <v>615</v>
      </c>
    </row>
    <row r="748" spans="1:6" x14ac:dyDescent="0.2">
      <c r="A748" s="4">
        <v>45554</v>
      </c>
      <c r="B748" s="5">
        <v>157.73269999999999</v>
      </c>
      <c r="C748" s="5">
        <v>157.73269999999999</v>
      </c>
      <c r="D748" s="5">
        <v>157.73269999999999</v>
      </c>
      <c r="E748" s="5">
        <v>157.73269999999999</v>
      </c>
      <c r="F748" s="6">
        <v>583</v>
      </c>
    </row>
    <row r="749" spans="1:6" x14ac:dyDescent="0.2">
      <c r="A749" s="4">
        <v>45555</v>
      </c>
      <c r="B749" s="5">
        <v>155.13990000000001</v>
      </c>
      <c r="C749" s="5">
        <v>155.13990000000001</v>
      </c>
      <c r="D749" s="5">
        <v>155.13990000000001</v>
      </c>
      <c r="E749" s="5">
        <v>155.13990000000001</v>
      </c>
      <c r="F749" s="6">
        <v>849</v>
      </c>
    </row>
    <row r="750" spans="1:6" x14ac:dyDescent="0.2">
      <c r="A750" s="4">
        <v>45558</v>
      </c>
      <c r="B750" s="5">
        <v>155.13990000000001</v>
      </c>
      <c r="C750" s="5">
        <v>155.13990000000001</v>
      </c>
      <c r="D750" s="5">
        <v>155.13990000000001</v>
      </c>
      <c r="E750" s="5">
        <v>155.13990000000001</v>
      </c>
      <c r="F750" s="6"/>
    </row>
    <row r="751" spans="1:6" x14ac:dyDescent="0.2">
      <c r="A751" s="4">
        <v>45559</v>
      </c>
      <c r="B751" s="5">
        <v>153.52000000000001</v>
      </c>
      <c r="C751" s="5">
        <v>153.52000000000001</v>
      </c>
      <c r="D751" s="5">
        <v>149.34</v>
      </c>
      <c r="E751" s="5">
        <v>149.34</v>
      </c>
      <c r="F751" s="6">
        <v>6361</v>
      </c>
    </row>
    <row r="752" spans="1:6" x14ac:dyDescent="0.2">
      <c r="A752" s="4">
        <v>45560</v>
      </c>
      <c r="B752" s="5">
        <v>153.30000000000001</v>
      </c>
      <c r="C752" s="5">
        <v>153.30000000000001</v>
      </c>
      <c r="D752" s="5">
        <v>153.30000000000001</v>
      </c>
      <c r="E752" s="5">
        <v>153.30000000000001</v>
      </c>
      <c r="F752" s="6">
        <v>490</v>
      </c>
    </row>
    <row r="753" spans="1:6" x14ac:dyDescent="0.2">
      <c r="A753" s="4">
        <v>45561</v>
      </c>
      <c r="B753" s="5">
        <v>153.30000000000001</v>
      </c>
      <c r="C753" s="5">
        <v>153.30000000000001</v>
      </c>
      <c r="D753" s="5">
        <v>153.30000000000001</v>
      </c>
      <c r="E753" s="5">
        <v>153.30000000000001</v>
      </c>
      <c r="F753" s="6"/>
    </row>
    <row r="754" spans="1:6" x14ac:dyDescent="0.2">
      <c r="A754" s="4">
        <v>45562</v>
      </c>
      <c r="B754" s="5">
        <v>161.15</v>
      </c>
      <c r="C754" s="5">
        <v>161.15</v>
      </c>
      <c r="D754" s="5">
        <v>154.46</v>
      </c>
      <c r="E754" s="5">
        <v>154.46</v>
      </c>
      <c r="F754" s="6">
        <v>598</v>
      </c>
    </row>
    <row r="755" spans="1:6" x14ac:dyDescent="0.2">
      <c r="A755" s="4">
        <v>45565</v>
      </c>
      <c r="B755" s="5">
        <v>154.46</v>
      </c>
      <c r="C755" s="5">
        <v>154.46</v>
      </c>
      <c r="D755" s="5">
        <v>154.46</v>
      </c>
      <c r="E755" s="5">
        <v>154.46</v>
      </c>
      <c r="F755" s="6"/>
    </row>
    <row r="756" spans="1:6" x14ac:dyDescent="0.2">
      <c r="A756" s="4">
        <v>45566</v>
      </c>
      <c r="B756" s="5">
        <v>156.6</v>
      </c>
      <c r="C756" s="5">
        <v>156.6</v>
      </c>
      <c r="D756" s="5">
        <v>153.25</v>
      </c>
      <c r="E756" s="5">
        <v>155.52000000000001</v>
      </c>
      <c r="F756" s="6">
        <v>1621</v>
      </c>
    </row>
    <row r="757" spans="1:6" x14ac:dyDescent="0.2">
      <c r="A757" s="4">
        <v>45567</v>
      </c>
      <c r="B757" s="5">
        <v>162.4</v>
      </c>
      <c r="C757" s="5">
        <v>162.4</v>
      </c>
      <c r="D757" s="5">
        <v>156.22499999999999</v>
      </c>
      <c r="E757" s="5">
        <v>158.94</v>
      </c>
      <c r="F757" s="6">
        <v>4390</v>
      </c>
    </row>
    <row r="758" spans="1:6" x14ac:dyDescent="0.2">
      <c r="A758" s="4">
        <v>45568</v>
      </c>
      <c r="B758" s="5">
        <v>152.80000000000001</v>
      </c>
      <c r="C758" s="5">
        <v>152.80000000000001</v>
      </c>
      <c r="D758" s="5">
        <v>152.80000000000001</v>
      </c>
      <c r="E758" s="5">
        <v>152.80000000000001</v>
      </c>
      <c r="F758" s="6">
        <v>1449</v>
      </c>
    </row>
    <row r="759" spans="1:6" x14ac:dyDescent="0.2">
      <c r="A759" s="4">
        <v>45569</v>
      </c>
      <c r="B759" s="5">
        <v>155.18</v>
      </c>
      <c r="C759" s="5">
        <v>155.18</v>
      </c>
      <c r="D759" s="5">
        <v>152.66</v>
      </c>
      <c r="E759" s="5">
        <v>152.66</v>
      </c>
      <c r="F759" s="6">
        <v>667</v>
      </c>
    </row>
    <row r="760" spans="1:6" x14ac:dyDescent="0.2">
      <c r="A760" s="4">
        <v>45572</v>
      </c>
      <c r="B760" s="5">
        <v>155.72</v>
      </c>
      <c r="C760" s="5">
        <v>155.72</v>
      </c>
      <c r="D760" s="5">
        <v>155.72</v>
      </c>
      <c r="E760" s="5">
        <v>155.72</v>
      </c>
      <c r="F760" s="6">
        <v>749</v>
      </c>
    </row>
    <row r="761" spans="1:6" x14ac:dyDescent="0.2">
      <c r="A761" s="4">
        <v>45573</v>
      </c>
      <c r="B761" s="5">
        <v>148.65</v>
      </c>
      <c r="C761" s="5">
        <v>148.65</v>
      </c>
      <c r="D761" s="5">
        <v>148.65</v>
      </c>
      <c r="E761" s="5">
        <v>148.65</v>
      </c>
      <c r="F761" s="6">
        <v>954</v>
      </c>
    </row>
    <row r="762" spans="1:6" x14ac:dyDescent="0.2">
      <c r="A762" s="4">
        <v>45574</v>
      </c>
      <c r="B762" s="5">
        <v>148.65</v>
      </c>
      <c r="C762" s="5">
        <v>148.65</v>
      </c>
      <c r="D762" s="5">
        <v>148.65</v>
      </c>
      <c r="E762" s="5">
        <v>148.65</v>
      </c>
      <c r="F762" s="6"/>
    </row>
    <row r="763" spans="1:6" x14ac:dyDescent="0.2">
      <c r="A763" s="4">
        <v>45575</v>
      </c>
      <c r="B763" s="5">
        <v>147.37</v>
      </c>
      <c r="C763" s="5">
        <v>147.37</v>
      </c>
      <c r="D763" s="5">
        <v>147.37</v>
      </c>
      <c r="E763" s="5">
        <v>147.37</v>
      </c>
      <c r="F763" s="6">
        <v>481</v>
      </c>
    </row>
    <row r="764" spans="1:6" x14ac:dyDescent="0.2">
      <c r="A764" s="4">
        <v>45576</v>
      </c>
      <c r="B764" s="5">
        <v>147.37</v>
      </c>
      <c r="C764" s="5">
        <v>147.37</v>
      </c>
      <c r="D764" s="5">
        <v>147.37</v>
      </c>
      <c r="E764" s="5">
        <v>147.37</v>
      </c>
      <c r="F764" s="6"/>
    </row>
    <row r="765" spans="1:6" x14ac:dyDescent="0.2">
      <c r="A765" s="4">
        <v>45579</v>
      </c>
      <c r="B765" s="5">
        <v>147.37</v>
      </c>
      <c r="C765" s="5">
        <v>147.37</v>
      </c>
      <c r="D765" s="5">
        <v>147.37</v>
      </c>
      <c r="E765" s="5">
        <v>147.37</v>
      </c>
      <c r="F765" s="6"/>
    </row>
    <row r="766" spans="1:6" x14ac:dyDescent="0.2">
      <c r="A766" s="4">
        <v>45580</v>
      </c>
      <c r="B766" s="5">
        <v>153.69990000000001</v>
      </c>
      <c r="C766" s="5">
        <v>153.69990000000001</v>
      </c>
      <c r="D766" s="5">
        <v>153.69990000000001</v>
      </c>
      <c r="E766" s="5">
        <v>153.69990000000001</v>
      </c>
      <c r="F766" s="6">
        <v>484</v>
      </c>
    </row>
    <row r="767" spans="1:6" x14ac:dyDescent="0.2">
      <c r="A767" s="4">
        <v>45581</v>
      </c>
      <c r="B767" s="5">
        <v>153.69990000000001</v>
      </c>
      <c r="C767" s="5">
        <v>153.69990000000001</v>
      </c>
      <c r="D767" s="5">
        <v>153.69990000000001</v>
      </c>
      <c r="E767" s="5">
        <v>153.69990000000001</v>
      </c>
      <c r="F767" s="6"/>
    </row>
    <row r="768" spans="1:6" x14ac:dyDescent="0.2">
      <c r="A768" s="4">
        <v>45582</v>
      </c>
      <c r="B768" s="5">
        <v>154.6</v>
      </c>
      <c r="C768" s="5">
        <v>154.6</v>
      </c>
      <c r="D768" s="5">
        <v>154.52000000000001</v>
      </c>
      <c r="E768" s="5">
        <v>154.52000000000001</v>
      </c>
      <c r="F768" s="6">
        <v>1222</v>
      </c>
    </row>
    <row r="769" spans="1:6" x14ac:dyDescent="0.2">
      <c r="A769" s="4">
        <v>45583</v>
      </c>
      <c r="B769" s="5">
        <v>155.38399999999999</v>
      </c>
      <c r="C769" s="5">
        <v>157.88</v>
      </c>
      <c r="D769" s="5">
        <v>155.38399999999999</v>
      </c>
      <c r="E769" s="5">
        <v>157.88</v>
      </c>
      <c r="F769" s="6">
        <v>622</v>
      </c>
    </row>
    <row r="770" spans="1:6" x14ac:dyDescent="0.2">
      <c r="A770" s="4">
        <v>45586</v>
      </c>
      <c r="B770" s="5">
        <v>153.62</v>
      </c>
      <c r="C770" s="5">
        <v>154.636</v>
      </c>
      <c r="D770" s="5">
        <v>153.62</v>
      </c>
      <c r="E770" s="5">
        <v>154.636</v>
      </c>
      <c r="F770" s="6">
        <v>847</v>
      </c>
    </row>
    <row r="771" spans="1:6" x14ac:dyDescent="0.2">
      <c r="A771" s="4">
        <v>45587</v>
      </c>
      <c r="B771" s="5">
        <v>152.52000000000001</v>
      </c>
      <c r="C771" s="5">
        <v>156.4</v>
      </c>
      <c r="D771" s="5">
        <v>152.52000000000001</v>
      </c>
      <c r="E771" s="5">
        <v>156.4</v>
      </c>
      <c r="F771" s="6">
        <v>1310</v>
      </c>
    </row>
    <row r="772" spans="1:6" x14ac:dyDescent="0.2">
      <c r="A772" s="4">
        <v>45588</v>
      </c>
      <c r="B772" s="5">
        <v>157.15</v>
      </c>
      <c r="C772" s="5">
        <v>157.15</v>
      </c>
      <c r="D772" s="5">
        <v>152.33500000000001</v>
      </c>
      <c r="E772" s="5">
        <v>152.33500000000001</v>
      </c>
      <c r="F772" s="6">
        <v>1553</v>
      </c>
    </row>
    <row r="773" spans="1:6" x14ac:dyDescent="0.2">
      <c r="A773" s="4">
        <v>45589</v>
      </c>
      <c r="B773" s="5">
        <v>152.5</v>
      </c>
      <c r="C773" s="5">
        <v>152.5</v>
      </c>
      <c r="D773" s="5">
        <v>151.69999999999999</v>
      </c>
      <c r="E773" s="5">
        <v>151.69999999999999</v>
      </c>
      <c r="F773" s="6">
        <v>930</v>
      </c>
    </row>
    <row r="774" spans="1:6" x14ac:dyDescent="0.2">
      <c r="A774" s="4">
        <v>45590</v>
      </c>
      <c r="B774" s="5">
        <v>148.6</v>
      </c>
      <c r="C774" s="5">
        <v>148.6</v>
      </c>
      <c r="D774" s="5">
        <v>148.6</v>
      </c>
      <c r="E774" s="5">
        <v>148.6</v>
      </c>
      <c r="F774" s="6">
        <v>1193</v>
      </c>
    </row>
    <row r="775" spans="1:6" x14ac:dyDescent="0.2">
      <c r="A775" s="4">
        <v>45593</v>
      </c>
      <c r="B775" s="5">
        <v>148.6</v>
      </c>
      <c r="C775" s="5">
        <v>148.6</v>
      </c>
      <c r="D775" s="5">
        <v>148.6</v>
      </c>
      <c r="E775" s="5">
        <v>148.6</v>
      </c>
      <c r="F775" s="6"/>
    </row>
    <row r="776" spans="1:6" x14ac:dyDescent="0.2">
      <c r="A776" s="4">
        <v>45594</v>
      </c>
      <c r="B776" s="5">
        <v>149.65</v>
      </c>
      <c r="C776" s="5">
        <v>149.65</v>
      </c>
      <c r="D776" s="5">
        <v>149.65</v>
      </c>
      <c r="E776" s="5">
        <v>149.65</v>
      </c>
      <c r="F776" s="6">
        <v>500</v>
      </c>
    </row>
    <row r="777" spans="1:6" x14ac:dyDescent="0.2">
      <c r="A777" s="4">
        <v>45595</v>
      </c>
      <c r="B777" s="5">
        <v>143.80000000000001</v>
      </c>
      <c r="C777" s="5">
        <v>149.5</v>
      </c>
      <c r="D777" s="5">
        <v>143</v>
      </c>
      <c r="E777" s="5">
        <v>149.5</v>
      </c>
      <c r="F777" s="6">
        <v>5048</v>
      </c>
    </row>
    <row r="778" spans="1:6" x14ac:dyDescent="0.2">
      <c r="A778" s="4">
        <v>45596</v>
      </c>
      <c r="B778" s="5">
        <v>142.9</v>
      </c>
      <c r="C778" s="5">
        <v>144.05000000000001</v>
      </c>
      <c r="D778" s="5">
        <v>141.9</v>
      </c>
      <c r="E778" s="5">
        <v>141.9</v>
      </c>
      <c r="F778" s="6">
        <v>1307</v>
      </c>
    </row>
    <row r="779" spans="1:6" x14ac:dyDescent="0.2">
      <c r="A779" s="4">
        <v>45597</v>
      </c>
      <c r="B779" s="5">
        <v>142.19990000000001</v>
      </c>
      <c r="C779" s="5">
        <v>142.85</v>
      </c>
      <c r="D779" s="5">
        <v>142.19990000000001</v>
      </c>
      <c r="E779" s="5">
        <v>142.85</v>
      </c>
      <c r="F779" s="6">
        <v>775</v>
      </c>
    </row>
    <row r="780" spans="1:6" x14ac:dyDescent="0.2">
      <c r="A780" s="4">
        <v>45600</v>
      </c>
      <c r="B780" s="5">
        <v>142.19990000000001</v>
      </c>
      <c r="C780" s="5">
        <v>143.11000000000001</v>
      </c>
      <c r="D780" s="5">
        <v>141.41990000000001</v>
      </c>
      <c r="E780" s="5">
        <v>142.43270000000001</v>
      </c>
      <c r="F780" s="6">
        <v>1212</v>
      </c>
    </row>
    <row r="781" spans="1:6" x14ac:dyDescent="0.2">
      <c r="A781" s="4">
        <v>45601</v>
      </c>
      <c r="B781" s="5">
        <v>137.1</v>
      </c>
      <c r="C781" s="5">
        <v>137.1</v>
      </c>
      <c r="D781" s="5">
        <v>130.33000000000001</v>
      </c>
      <c r="E781" s="5">
        <v>131.03989999999999</v>
      </c>
      <c r="F781" s="6">
        <v>2271</v>
      </c>
    </row>
    <row r="782" spans="1:6" x14ac:dyDescent="0.2">
      <c r="A782" s="4">
        <v>45602</v>
      </c>
      <c r="B782" s="5">
        <v>128</v>
      </c>
      <c r="C782" s="5">
        <v>128</v>
      </c>
      <c r="D782" s="5">
        <v>125.9</v>
      </c>
      <c r="E782" s="5">
        <v>126.5399</v>
      </c>
      <c r="F782" s="6">
        <v>1704</v>
      </c>
    </row>
    <row r="783" spans="1:6" x14ac:dyDescent="0.2">
      <c r="A783" s="4">
        <v>45603</v>
      </c>
      <c r="B783" s="5">
        <v>126.3199</v>
      </c>
      <c r="C783" s="5">
        <v>126.55500000000001</v>
      </c>
      <c r="D783" s="5">
        <v>121.31</v>
      </c>
      <c r="E783" s="5">
        <v>126.55500000000001</v>
      </c>
      <c r="F783" s="6">
        <v>2119</v>
      </c>
    </row>
    <row r="784" spans="1:6" x14ac:dyDescent="0.2">
      <c r="A784" s="4">
        <v>45604</v>
      </c>
      <c r="B784" s="5">
        <v>128.52000000000001</v>
      </c>
      <c r="C784" s="5">
        <v>130.06</v>
      </c>
      <c r="D784" s="5">
        <v>123.85</v>
      </c>
      <c r="E784" s="5">
        <v>127.74</v>
      </c>
      <c r="F784" s="6">
        <v>2595</v>
      </c>
    </row>
    <row r="785" spans="1:6" x14ac:dyDescent="0.2">
      <c r="A785" s="4">
        <v>45607</v>
      </c>
      <c r="B785" s="5">
        <v>124.67749999999999</v>
      </c>
      <c r="C785" s="5">
        <v>126.8</v>
      </c>
      <c r="D785" s="5">
        <v>124.67749999999999</v>
      </c>
      <c r="E785" s="5">
        <v>126.8</v>
      </c>
      <c r="F785" s="6">
        <v>2372</v>
      </c>
    </row>
    <row r="786" spans="1:6" x14ac:dyDescent="0.2">
      <c r="A786" s="4">
        <v>45608</v>
      </c>
      <c r="B786" s="5">
        <v>126.09</v>
      </c>
      <c r="C786" s="5">
        <v>129.91999999999999</v>
      </c>
      <c r="D786" s="5">
        <v>126.09</v>
      </c>
      <c r="E786" s="5">
        <v>128.41489999999999</v>
      </c>
      <c r="F786" s="6">
        <v>1186</v>
      </c>
    </row>
    <row r="787" spans="1:6" x14ac:dyDescent="0.2">
      <c r="A787" s="4">
        <v>45609</v>
      </c>
      <c r="B787" s="5">
        <v>129.19990000000001</v>
      </c>
      <c r="C787" s="5">
        <v>129.19990000000001</v>
      </c>
      <c r="D787" s="5">
        <v>129.19990000000001</v>
      </c>
      <c r="E787" s="5">
        <v>129.19990000000001</v>
      </c>
      <c r="F787" s="6">
        <v>2353</v>
      </c>
    </row>
    <row r="788" spans="1:6" x14ac:dyDescent="0.2">
      <c r="A788" s="4">
        <v>45610</v>
      </c>
      <c r="B788" s="5">
        <v>129.78</v>
      </c>
      <c r="C788" s="5">
        <v>132.78</v>
      </c>
      <c r="D788" s="5">
        <v>129.69990000000001</v>
      </c>
      <c r="E788" s="5">
        <v>130.24</v>
      </c>
      <c r="F788" s="6">
        <v>1697</v>
      </c>
    </row>
    <row r="789" spans="1:6" x14ac:dyDescent="0.2">
      <c r="A789" s="4">
        <v>45611</v>
      </c>
      <c r="B789" s="5">
        <v>126.18</v>
      </c>
      <c r="C789" s="5">
        <v>128.69999999999999</v>
      </c>
      <c r="D789" s="5">
        <v>124.55</v>
      </c>
      <c r="E789" s="5">
        <v>127.96</v>
      </c>
      <c r="F789" s="6">
        <v>2494</v>
      </c>
    </row>
    <row r="790" spans="1:6" x14ac:dyDescent="0.2">
      <c r="A790" s="4">
        <v>45614</v>
      </c>
      <c r="B790" s="5">
        <v>125</v>
      </c>
      <c r="C790" s="5">
        <v>128.6</v>
      </c>
      <c r="D790" s="5">
        <v>120.6375</v>
      </c>
      <c r="E790" s="5">
        <v>125.46</v>
      </c>
      <c r="F790" s="6">
        <v>2356</v>
      </c>
    </row>
    <row r="791" spans="1:6" x14ac:dyDescent="0.2">
      <c r="A791" s="4">
        <v>45615</v>
      </c>
      <c r="B791" s="5">
        <v>130.25</v>
      </c>
      <c r="C791" s="5">
        <v>130.25</v>
      </c>
      <c r="D791" s="5">
        <v>125.72</v>
      </c>
      <c r="E791" s="5">
        <v>126.02</v>
      </c>
      <c r="F791" s="6">
        <v>1299</v>
      </c>
    </row>
    <row r="792" spans="1:6" x14ac:dyDescent="0.2">
      <c r="A792" s="4">
        <v>45616</v>
      </c>
      <c r="B792" s="5">
        <v>126.58</v>
      </c>
      <c r="C792" s="5">
        <v>126.75</v>
      </c>
      <c r="D792" s="5">
        <v>124.4</v>
      </c>
      <c r="E792" s="5">
        <v>124.7</v>
      </c>
      <c r="F792" s="6">
        <v>2088</v>
      </c>
    </row>
    <row r="793" spans="1:6" x14ac:dyDescent="0.2">
      <c r="A793" s="4">
        <v>45617</v>
      </c>
      <c r="B793" s="5">
        <v>126.52</v>
      </c>
      <c r="C793" s="5">
        <v>127.22</v>
      </c>
      <c r="D793" s="5">
        <v>125.5</v>
      </c>
      <c r="E793" s="5">
        <v>126.06</v>
      </c>
      <c r="F793" s="6">
        <v>2434</v>
      </c>
    </row>
    <row r="794" spans="1:6" x14ac:dyDescent="0.2">
      <c r="A794" s="4">
        <v>45618</v>
      </c>
      <c r="B794" s="5">
        <v>129.55000000000001</v>
      </c>
      <c r="C794" s="5">
        <v>133.93</v>
      </c>
      <c r="D794" s="5">
        <v>129.55000000000001</v>
      </c>
      <c r="E794" s="5">
        <v>133.93</v>
      </c>
      <c r="F794" s="6">
        <v>4976</v>
      </c>
    </row>
    <row r="795" spans="1:6" x14ac:dyDescent="0.2">
      <c r="A795" s="4">
        <v>45621</v>
      </c>
      <c r="B795" s="5">
        <v>133.9</v>
      </c>
      <c r="C795" s="5">
        <v>136.25</v>
      </c>
      <c r="D795" s="5">
        <v>131.18</v>
      </c>
      <c r="E795" s="5">
        <v>131.47489999999999</v>
      </c>
      <c r="F795" s="6">
        <v>1991</v>
      </c>
    </row>
    <row r="796" spans="1:6" x14ac:dyDescent="0.2">
      <c r="A796" s="4">
        <v>45622</v>
      </c>
      <c r="B796" s="5">
        <v>131.38</v>
      </c>
      <c r="C796" s="5">
        <v>133.4</v>
      </c>
      <c r="D796" s="5">
        <v>130.75</v>
      </c>
      <c r="E796" s="5">
        <v>131.36000000000001</v>
      </c>
      <c r="F796" s="6">
        <v>4487</v>
      </c>
    </row>
    <row r="797" spans="1:6" x14ac:dyDescent="0.2">
      <c r="A797" s="4">
        <v>45623</v>
      </c>
      <c r="B797" s="5">
        <v>134.69999999999999</v>
      </c>
      <c r="C797" s="5">
        <v>134.69999999999999</v>
      </c>
      <c r="D797" s="5">
        <v>134.69999999999999</v>
      </c>
      <c r="E797" s="5">
        <v>134.69999999999999</v>
      </c>
      <c r="F797" s="6">
        <v>791</v>
      </c>
    </row>
    <row r="798" spans="1:6" x14ac:dyDescent="0.2">
      <c r="A798" s="4">
        <v>45625</v>
      </c>
      <c r="B798" s="5">
        <v>136.6</v>
      </c>
      <c r="C798" s="5">
        <v>136.6</v>
      </c>
      <c r="D798" s="5">
        <v>130.25</v>
      </c>
      <c r="E798" s="5">
        <v>136.5</v>
      </c>
      <c r="F798" s="6">
        <v>1398</v>
      </c>
    </row>
    <row r="799" spans="1:6" x14ac:dyDescent="0.2">
      <c r="A799" s="4">
        <v>45628</v>
      </c>
      <c r="B799" s="5">
        <v>135.24</v>
      </c>
      <c r="C799" s="5">
        <v>135.62</v>
      </c>
      <c r="D799" s="5">
        <v>131.6</v>
      </c>
      <c r="E799" s="5">
        <v>135.62</v>
      </c>
      <c r="F799" s="6">
        <v>2708</v>
      </c>
    </row>
    <row r="800" spans="1:6" x14ac:dyDescent="0.2">
      <c r="A800" s="4">
        <v>45629</v>
      </c>
      <c r="B800" s="5">
        <v>136.79</v>
      </c>
      <c r="C800" s="5">
        <v>137.62</v>
      </c>
      <c r="D800" s="5">
        <v>132.5</v>
      </c>
      <c r="E800" s="5">
        <v>134.59989999999999</v>
      </c>
      <c r="F800" s="6">
        <v>2061</v>
      </c>
    </row>
    <row r="801" spans="1:6" x14ac:dyDescent="0.2">
      <c r="A801" s="4">
        <v>45630</v>
      </c>
      <c r="B801" s="5">
        <v>130.35</v>
      </c>
      <c r="C801" s="5">
        <v>130.35</v>
      </c>
      <c r="D801" s="5">
        <v>130.35</v>
      </c>
      <c r="E801" s="5">
        <v>130.35</v>
      </c>
      <c r="F801" s="6">
        <v>1223</v>
      </c>
    </row>
    <row r="802" spans="1:6" x14ac:dyDescent="0.2">
      <c r="A802" s="4">
        <v>45631</v>
      </c>
      <c r="B802" s="5">
        <v>136.08000000000001</v>
      </c>
      <c r="C802" s="5">
        <v>139.04300000000001</v>
      </c>
      <c r="D802" s="5">
        <v>133.52000000000001</v>
      </c>
      <c r="E802" s="5">
        <v>133.52000000000001</v>
      </c>
      <c r="F802" s="6">
        <v>2043</v>
      </c>
    </row>
    <row r="803" spans="1:6" x14ac:dyDescent="0.2">
      <c r="A803" s="4">
        <v>45632</v>
      </c>
      <c r="B803" s="5">
        <v>135.88</v>
      </c>
      <c r="C803" s="5">
        <v>137.26</v>
      </c>
      <c r="D803" s="5">
        <v>134.84</v>
      </c>
      <c r="E803" s="5">
        <v>134.86000000000001</v>
      </c>
      <c r="F803" s="6">
        <v>3437</v>
      </c>
    </row>
    <row r="804" spans="1:6" x14ac:dyDescent="0.2">
      <c r="A804" s="4">
        <v>45635</v>
      </c>
      <c r="B804" s="5">
        <v>137.38</v>
      </c>
      <c r="C804" s="5">
        <v>139.41999999999999</v>
      </c>
      <c r="D804" s="5">
        <v>135.66</v>
      </c>
      <c r="E804" s="5">
        <v>136.25989999999999</v>
      </c>
      <c r="F804" s="6">
        <v>3232</v>
      </c>
    </row>
    <row r="805" spans="1:6" x14ac:dyDescent="0.2">
      <c r="A805" s="4">
        <v>45636</v>
      </c>
      <c r="B805" s="5">
        <v>134.38</v>
      </c>
      <c r="C805" s="5">
        <v>136.75</v>
      </c>
      <c r="D805" s="5">
        <v>134</v>
      </c>
      <c r="E805" s="5">
        <v>134.09989999999999</v>
      </c>
      <c r="F805" s="6">
        <v>5547</v>
      </c>
    </row>
    <row r="806" spans="1:6" x14ac:dyDescent="0.2">
      <c r="A806" s="4">
        <v>45637</v>
      </c>
      <c r="B806" s="5">
        <v>132.55000000000001</v>
      </c>
      <c r="C806" s="5">
        <v>138.1</v>
      </c>
      <c r="D806" s="5">
        <v>132.55000000000001</v>
      </c>
      <c r="E806" s="5">
        <v>138.1</v>
      </c>
      <c r="F806" s="6">
        <v>4764</v>
      </c>
    </row>
    <row r="807" spans="1:6" x14ac:dyDescent="0.2">
      <c r="A807" s="4">
        <v>45638</v>
      </c>
      <c r="B807" s="5">
        <v>131.30000000000001</v>
      </c>
      <c r="C807" s="5">
        <v>136.1</v>
      </c>
      <c r="D807" s="5">
        <v>131.30000000000001</v>
      </c>
      <c r="E807" s="5">
        <v>132.41990000000001</v>
      </c>
      <c r="F807" s="6">
        <v>3261</v>
      </c>
    </row>
    <row r="808" spans="1:6" x14ac:dyDescent="0.2">
      <c r="A808" s="4">
        <v>45639</v>
      </c>
      <c r="B808" s="5">
        <v>134.1</v>
      </c>
      <c r="C808" s="5">
        <v>134.63999999999999</v>
      </c>
      <c r="D808" s="5">
        <v>131.74</v>
      </c>
      <c r="E808" s="5">
        <v>131.74</v>
      </c>
      <c r="F808" s="6">
        <v>3095</v>
      </c>
    </row>
    <row r="809" spans="1:6" x14ac:dyDescent="0.2">
      <c r="A809" s="4">
        <v>45642</v>
      </c>
      <c r="B809" s="5">
        <v>133.02000000000001</v>
      </c>
      <c r="C809" s="5">
        <v>135.85</v>
      </c>
      <c r="D809" s="5">
        <v>131.69990000000001</v>
      </c>
      <c r="E809" s="5">
        <v>131.69990000000001</v>
      </c>
      <c r="F809" s="6">
        <v>4882</v>
      </c>
    </row>
    <row r="810" spans="1:6" x14ac:dyDescent="0.2">
      <c r="A810" s="4">
        <v>45643</v>
      </c>
      <c r="B810" s="5">
        <v>130.6</v>
      </c>
      <c r="C810" s="5">
        <v>136.16</v>
      </c>
      <c r="D810" s="5">
        <v>130.6</v>
      </c>
      <c r="E810" s="5">
        <v>133.4</v>
      </c>
      <c r="F810" s="6">
        <v>5738</v>
      </c>
    </row>
    <row r="811" spans="1:6" x14ac:dyDescent="0.2">
      <c r="A811" s="4">
        <v>45644</v>
      </c>
      <c r="B811" s="5">
        <v>131.44</v>
      </c>
      <c r="C811" s="5">
        <v>133.13999999999999</v>
      </c>
      <c r="D811" s="5">
        <v>128.59989999999999</v>
      </c>
      <c r="E811" s="5">
        <v>129.5752</v>
      </c>
      <c r="F811" s="6">
        <v>2864</v>
      </c>
    </row>
    <row r="812" spans="1:6" x14ac:dyDescent="0.2">
      <c r="A812" s="4">
        <v>45645</v>
      </c>
      <c r="B812" s="5">
        <v>127.66</v>
      </c>
      <c r="C812" s="5">
        <v>130.88</v>
      </c>
      <c r="D812" s="5">
        <v>127.5</v>
      </c>
      <c r="E812" s="5">
        <v>127.96</v>
      </c>
      <c r="F812" s="6">
        <v>4686</v>
      </c>
    </row>
    <row r="813" spans="1:6" x14ac:dyDescent="0.2">
      <c r="A813" s="4">
        <v>45646</v>
      </c>
      <c r="B813" s="5">
        <v>126.15</v>
      </c>
      <c r="C813" s="5">
        <v>132.75</v>
      </c>
      <c r="D813" s="5">
        <v>125</v>
      </c>
      <c r="E813" s="5">
        <v>132.65</v>
      </c>
      <c r="F813" s="6">
        <v>5961</v>
      </c>
    </row>
    <row r="814" spans="1:6" x14ac:dyDescent="0.2">
      <c r="A814" s="4">
        <v>45649</v>
      </c>
      <c r="B814" s="5">
        <v>128.5</v>
      </c>
      <c r="C814" s="5">
        <v>132.5</v>
      </c>
      <c r="D814" s="5">
        <v>128.5</v>
      </c>
      <c r="E814" s="5">
        <v>130.91999999999999</v>
      </c>
      <c r="F814" s="6">
        <v>3418</v>
      </c>
    </row>
    <row r="815" spans="1:6" x14ac:dyDescent="0.2">
      <c r="A815" s="4">
        <v>45650</v>
      </c>
      <c r="B815" s="5">
        <v>126.4</v>
      </c>
      <c r="C815" s="5">
        <v>132.77000000000001</v>
      </c>
      <c r="D815" s="5">
        <v>126.4</v>
      </c>
      <c r="E815" s="5">
        <v>131.12</v>
      </c>
      <c r="F815" s="6">
        <v>3766</v>
      </c>
    </row>
    <row r="816" spans="1:6" x14ac:dyDescent="0.2">
      <c r="A816" s="4">
        <v>45652</v>
      </c>
      <c r="B816" s="5">
        <v>133.66</v>
      </c>
      <c r="C816" s="5">
        <v>134.66</v>
      </c>
      <c r="D816" s="5">
        <v>126.43</v>
      </c>
      <c r="E816" s="5">
        <v>134.66</v>
      </c>
      <c r="F816" s="6">
        <v>4124</v>
      </c>
    </row>
    <row r="817" spans="1:6" x14ac:dyDescent="0.2">
      <c r="A817" s="4">
        <v>45653</v>
      </c>
      <c r="B817" s="5">
        <v>132.97999999999999</v>
      </c>
      <c r="C817" s="5">
        <v>132.97999999999999</v>
      </c>
      <c r="D817" s="5">
        <v>128.94999999999999</v>
      </c>
      <c r="E817" s="5">
        <v>132</v>
      </c>
      <c r="F817" s="6">
        <v>2751</v>
      </c>
    </row>
    <row r="818" spans="1:6" x14ac:dyDescent="0.2">
      <c r="A818" s="4">
        <v>45656</v>
      </c>
      <c r="B818" s="5">
        <v>132.13999999999999</v>
      </c>
      <c r="C818" s="5">
        <v>135.25</v>
      </c>
      <c r="D818" s="5">
        <v>126.37</v>
      </c>
      <c r="E818" s="5">
        <v>130.19</v>
      </c>
      <c r="F818" s="6">
        <v>5927</v>
      </c>
    </row>
    <row r="819" spans="1:6" x14ac:dyDescent="0.2">
      <c r="A819" s="4">
        <v>45657</v>
      </c>
      <c r="B819" s="5">
        <v>130.94</v>
      </c>
      <c r="C819" s="5">
        <v>132.16</v>
      </c>
      <c r="D819" s="5">
        <v>128.34</v>
      </c>
      <c r="E819" s="5">
        <v>130</v>
      </c>
      <c r="F819" s="6">
        <v>2555</v>
      </c>
    </row>
    <row r="820" spans="1:6" x14ac:dyDescent="0.2">
      <c r="A820" s="4">
        <v>45659</v>
      </c>
      <c r="B820" s="5">
        <v>133.56</v>
      </c>
      <c r="C820" s="5">
        <v>133.91999999999999</v>
      </c>
      <c r="D820" s="5">
        <v>133.56</v>
      </c>
      <c r="E820" s="5">
        <v>133.91999999999999</v>
      </c>
      <c r="F820" s="6">
        <v>1275</v>
      </c>
    </row>
    <row r="821" spans="1:6" x14ac:dyDescent="0.2">
      <c r="A821" s="4">
        <v>45660</v>
      </c>
      <c r="B821" s="5">
        <v>133.62</v>
      </c>
      <c r="C821" s="5">
        <v>133.62</v>
      </c>
      <c r="D821" s="5">
        <v>131</v>
      </c>
      <c r="E821" s="5">
        <v>131.25</v>
      </c>
      <c r="F821" s="6">
        <v>1703</v>
      </c>
    </row>
    <row r="822" spans="1:6" x14ac:dyDescent="0.2">
      <c r="A822" s="4">
        <v>45663</v>
      </c>
      <c r="B822" s="5">
        <v>134.16</v>
      </c>
      <c r="C822" s="5">
        <v>134.16999999999999</v>
      </c>
      <c r="D822" s="5">
        <v>128.75</v>
      </c>
      <c r="E822" s="5">
        <v>130.38</v>
      </c>
      <c r="F822" s="6">
        <v>3586</v>
      </c>
    </row>
    <row r="823" spans="1:6" x14ac:dyDescent="0.2">
      <c r="A823" s="4">
        <v>45664</v>
      </c>
      <c r="B823" s="5">
        <v>132.75</v>
      </c>
      <c r="C823" s="5">
        <v>134.28</v>
      </c>
      <c r="D823" s="5">
        <v>131.88</v>
      </c>
      <c r="E823" s="5">
        <v>131.88</v>
      </c>
      <c r="F823" s="6">
        <v>1926</v>
      </c>
    </row>
    <row r="824" spans="1:6" x14ac:dyDescent="0.2">
      <c r="A824" s="4">
        <v>45665</v>
      </c>
      <c r="B824" s="5">
        <v>130.018</v>
      </c>
      <c r="C824" s="5">
        <v>132.66</v>
      </c>
      <c r="D824" s="5">
        <v>128.25</v>
      </c>
      <c r="E824" s="5">
        <v>132.66</v>
      </c>
      <c r="F824" s="6">
        <v>3137</v>
      </c>
    </row>
    <row r="825" spans="1:6" x14ac:dyDescent="0.2">
      <c r="A825" s="4">
        <v>45667</v>
      </c>
      <c r="B825" s="5">
        <v>133.41999999999999</v>
      </c>
      <c r="C825" s="5">
        <v>135.9</v>
      </c>
      <c r="D825" s="5">
        <v>129.858</v>
      </c>
      <c r="E825" s="5">
        <v>135.5</v>
      </c>
      <c r="F825" s="6">
        <v>4199</v>
      </c>
    </row>
    <row r="826" spans="1:6" x14ac:dyDescent="0.2">
      <c r="A826" s="4">
        <v>45670</v>
      </c>
      <c r="B826" s="5">
        <v>133.26</v>
      </c>
      <c r="C826" s="5">
        <v>134.07</v>
      </c>
      <c r="D826" s="5">
        <v>131.27430000000001</v>
      </c>
      <c r="E826" s="5">
        <v>131.27430000000001</v>
      </c>
      <c r="F826" s="6">
        <v>8752</v>
      </c>
    </row>
    <row r="827" spans="1:6" x14ac:dyDescent="0.2">
      <c r="A827" s="4">
        <v>45671</v>
      </c>
      <c r="B827" s="5">
        <v>129.22</v>
      </c>
      <c r="C827" s="5">
        <v>132.52000000000001</v>
      </c>
      <c r="D827" s="5">
        <v>129.08000000000001</v>
      </c>
      <c r="E827" s="5">
        <v>132.52000000000001</v>
      </c>
      <c r="F827" s="6">
        <v>958</v>
      </c>
    </row>
    <row r="828" spans="1:6" x14ac:dyDescent="0.2">
      <c r="A828" s="4">
        <v>45672</v>
      </c>
      <c r="B828" s="5">
        <v>129.22</v>
      </c>
      <c r="C828" s="5">
        <v>129.75989999999999</v>
      </c>
      <c r="D828" s="5">
        <v>129.22</v>
      </c>
      <c r="E828" s="5">
        <v>129.75989999999999</v>
      </c>
      <c r="F828" s="6">
        <v>842</v>
      </c>
    </row>
    <row r="829" spans="1:6" x14ac:dyDescent="0.2">
      <c r="A829" s="4">
        <v>45673</v>
      </c>
      <c r="B829" s="5">
        <v>132.13</v>
      </c>
      <c r="C829" s="5">
        <v>132.13</v>
      </c>
      <c r="D829" s="5">
        <v>132.13</v>
      </c>
      <c r="E829" s="5">
        <v>132.13</v>
      </c>
      <c r="F829" s="6">
        <v>1869</v>
      </c>
    </row>
    <row r="830" spans="1:6" x14ac:dyDescent="0.2">
      <c r="A830" s="4">
        <v>45674</v>
      </c>
      <c r="B830" s="5">
        <v>133.58000000000001</v>
      </c>
      <c r="C830" s="5">
        <v>135.97999999999999</v>
      </c>
      <c r="D830" s="5">
        <v>131.53</v>
      </c>
      <c r="E830" s="5">
        <v>134.97999999999999</v>
      </c>
      <c r="F830" s="6">
        <v>1586</v>
      </c>
    </row>
    <row r="831" spans="1:6" x14ac:dyDescent="0.2">
      <c r="A831" s="4">
        <v>45678</v>
      </c>
      <c r="B831" s="5">
        <v>136.69999999999999</v>
      </c>
      <c r="C831" s="5">
        <v>137.65</v>
      </c>
      <c r="D831" s="5">
        <v>135.79</v>
      </c>
      <c r="E831" s="5">
        <v>135.79</v>
      </c>
      <c r="F831" s="6">
        <v>8417</v>
      </c>
    </row>
    <row r="832" spans="1:6" x14ac:dyDescent="0.2">
      <c r="A832" s="4">
        <v>45679</v>
      </c>
      <c r="B832" s="5">
        <v>135.024</v>
      </c>
      <c r="C832" s="5">
        <v>138.06</v>
      </c>
      <c r="D832" s="5">
        <v>134.86000000000001</v>
      </c>
      <c r="E832" s="5">
        <v>138.06</v>
      </c>
      <c r="F832" s="6">
        <v>983</v>
      </c>
    </row>
    <row r="833" spans="1:6" x14ac:dyDescent="0.2">
      <c r="A833" s="4">
        <v>45680</v>
      </c>
      <c r="B833" s="5">
        <v>138.12</v>
      </c>
      <c r="C833" s="5">
        <v>138.85</v>
      </c>
      <c r="D833" s="5">
        <v>135.53989999999999</v>
      </c>
      <c r="E833" s="5">
        <v>135.53989999999999</v>
      </c>
      <c r="F833" s="6">
        <v>2300</v>
      </c>
    </row>
    <row r="834" spans="1:6" x14ac:dyDescent="0.2">
      <c r="A834" s="4">
        <v>45681</v>
      </c>
      <c r="B834" s="5">
        <v>139.02000000000001</v>
      </c>
      <c r="C834" s="5">
        <v>139.03</v>
      </c>
      <c r="D834" s="5">
        <v>137.31</v>
      </c>
      <c r="E834" s="5">
        <v>137.946</v>
      </c>
      <c r="F834" s="6">
        <v>2291</v>
      </c>
    </row>
    <row r="835" spans="1:6" x14ac:dyDescent="0.2">
      <c r="A835" s="4">
        <v>45684</v>
      </c>
      <c r="B835" s="5">
        <v>137</v>
      </c>
      <c r="C835" s="5">
        <v>140.35</v>
      </c>
      <c r="D835" s="5">
        <v>137</v>
      </c>
      <c r="E835" s="5">
        <v>138.91999999999999</v>
      </c>
      <c r="F835" s="6">
        <v>5776</v>
      </c>
    </row>
    <row r="836" spans="1:6" x14ac:dyDescent="0.2">
      <c r="A836" s="4">
        <v>45685</v>
      </c>
      <c r="B836" s="5">
        <v>137.75989999999999</v>
      </c>
      <c r="C836" s="5">
        <v>137.75989999999999</v>
      </c>
      <c r="D836" s="5">
        <v>137.21</v>
      </c>
      <c r="E836" s="5">
        <v>137.21</v>
      </c>
      <c r="F836" s="6">
        <v>3744</v>
      </c>
    </row>
    <row r="837" spans="1:6" x14ac:dyDescent="0.2">
      <c r="A837" s="4">
        <v>45686</v>
      </c>
      <c r="B837" s="5">
        <v>141.46</v>
      </c>
      <c r="C837" s="5">
        <v>141.46</v>
      </c>
      <c r="D837" s="5">
        <v>139.31989999999999</v>
      </c>
      <c r="E837" s="5">
        <v>139.31989999999999</v>
      </c>
      <c r="F837" s="6">
        <v>2041</v>
      </c>
    </row>
    <row r="838" spans="1:6" x14ac:dyDescent="0.2">
      <c r="A838" s="4">
        <v>45687</v>
      </c>
      <c r="B838" s="5">
        <v>142.26</v>
      </c>
      <c r="C838" s="5">
        <v>142.26</v>
      </c>
      <c r="D838" s="5">
        <v>140.19990000000001</v>
      </c>
      <c r="E838" s="5">
        <v>141.03989999999999</v>
      </c>
      <c r="F838" s="6">
        <v>939</v>
      </c>
    </row>
    <row r="839" spans="1:6" x14ac:dyDescent="0.2">
      <c r="A839" s="4">
        <v>45688</v>
      </c>
      <c r="B839" s="5">
        <v>140.18</v>
      </c>
      <c r="C839" s="5">
        <v>144</v>
      </c>
      <c r="D839" s="5">
        <v>140.18</v>
      </c>
      <c r="E839" s="5">
        <v>140.72</v>
      </c>
      <c r="F839" s="6">
        <v>2497</v>
      </c>
    </row>
    <row r="840" spans="1:6" x14ac:dyDescent="0.2">
      <c r="A840" s="4">
        <v>45691</v>
      </c>
      <c r="B840" s="5">
        <v>141.44</v>
      </c>
      <c r="C840" s="5">
        <v>141.9</v>
      </c>
      <c r="D840" s="5">
        <v>141.44</v>
      </c>
      <c r="E840" s="5">
        <v>141.9</v>
      </c>
      <c r="F840" s="6">
        <v>2306</v>
      </c>
    </row>
    <row r="841" spans="1:6" x14ac:dyDescent="0.2">
      <c r="A841" s="4">
        <v>45692</v>
      </c>
      <c r="B841" s="5">
        <v>139.54</v>
      </c>
      <c r="C841" s="5">
        <v>139.54</v>
      </c>
      <c r="D841" s="5">
        <v>139.54</v>
      </c>
      <c r="E841" s="5">
        <v>139.54</v>
      </c>
      <c r="F841" s="6">
        <v>784</v>
      </c>
    </row>
    <row r="842" spans="1:6" x14ac:dyDescent="0.2">
      <c r="A842" s="4">
        <v>45693</v>
      </c>
      <c r="B842" s="5">
        <v>134.55000000000001</v>
      </c>
      <c r="C842" s="5">
        <v>139.245</v>
      </c>
      <c r="D842" s="5">
        <v>134.55000000000001</v>
      </c>
      <c r="E842" s="5">
        <v>134.66999999999999</v>
      </c>
      <c r="F842" s="6">
        <v>3284</v>
      </c>
    </row>
    <row r="843" spans="1:6" x14ac:dyDescent="0.2">
      <c r="A843" s="4">
        <v>45694</v>
      </c>
      <c r="B843" s="5">
        <v>146.18</v>
      </c>
      <c r="C843" s="5">
        <v>151.5</v>
      </c>
      <c r="D843" s="5">
        <v>146.18</v>
      </c>
      <c r="E843" s="5">
        <v>151.5</v>
      </c>
      <c r="F843" s="6">
        <v>922</v>
      </c>
    </row>
    <row r="844" spans="1:6" x14ac:dyDescent="0.2">
      <c r="A844" s="4">
        <v>45695</v>
      </c>
      <c r="B844" s="5">
        <v>143.45590000000001</v>
      </c>
      <c r="C844" s="5">
        <v>146.255</v>
      </c>
      <c r="D844" s="5">
        <v>142.84989999999999</v>
      </c>
      <c r="E844" s="5">
        <v>142.84989999999999</v>
      </c>
      <c r="F844" s="6">
        <v>1415</v>
      </c>
    </row>
    <row r="845" spans="1:6" x14ac:dyDescent="0.2">
      <c r="A845" s="4">
        <v>45698</v>
      </c>
      <c r="B845" s="5">
        <v>147.18</v>
      </c>
      <c r="C845" s="5">
        <v>149.16</v>
      </c>
      <c r="D845" s="5">
        <v>140.5</v>
      </c>
      <c r="E845" s="5">
        <v>149.16</v>
      </c>
      <c r="F845" s="6">
        <v>3595</v>
      </c>
    </row>
    <row r="846" spans="1:6" x14ac:dyDescent="0.2">
      <c r="A846" s="4">
        <v>45699</v>
      </c>
      <c r="B846" s="5">
        <v>146.84</v>
      </c>
      <c r="C846" s="5">
        <v>146.84</v>
      </c>
      <c r="D846" s="5">
        <v>142.077</v>
      </c>
      <c r="E846" s="5">
        <v>142.077</v>
      </c>
      <c r="F846" s="6">
        <v>614</v>
      </c>
    </row>
    <row r="847" spans="1:6" x14ac:dyDescent="0.2">
      <c r="A847" s="4">
        <v>45700</v>
      </c>
      <c r="B847" s="5">
        <v>145.39490000000001</v>
      </c>
      <c r="C847" s="5">
        <v>146.43</v>
      </c>
      <c r="D847" s="5">
        <v>145.39490000000001</v>
      </c>
      <c r="E847" s="5">
        <v>146.43</v>
      </c>
      <c r="F847" s="6">
        <v>808</v>
      </c>
    </row>
    <row r="848" spans="1:6" x14ac:dyDescent="0.2">
      <c r="A848" s="4">
        <v>45701</v>
      </c>
      <c r="B848" s="5">
        <v>146.5</v>
      </c>
      <c r="C848" s="5">
        <v>148.935</v>
      </c>
      <c r="D848" s="5">
        <v>146.5</v>
      </c>
      <c r="E848" s="5">
        <v>148.935</v>
      </c>
      <c r="F848" s="6">
        <v>1030</v>
      </c>
    </row>
    <row r="849" spans="1:6" x14ac:dyDescent="0.2">
      <c r="A849" s="4">
        <v>45702</v>
      </c>
      <c r="B849" s="5">
        <v>148.71</v>
      </c>
      <c r="C849" s="5">
        <v>148.71</v>
      </c>
      <c r="D849" s="5">
        <v>148.71</v>
      </c>
      <c r="E849" s="5">
        <v>148.71</v>
      </c>
      <c r="F849" s="6">
        <v>1063</v>
      </c>
    </row>
    <row r="850" spans="1:6" x14ac:dyDescent="0.2">
      <c r="A850" s="4">
        <v>45706</v>
      </c>
      <c r="B850" s="5">
        <v>150.38</v>
      </c>
      <c r="C850" s="5">
        <v>150.38</v>
      </c>
      <c r="D850" s="5">
        <v>147.68</v>
      </c>
      <c r="E850" s="5">
        <v>147.94489999999999</v>
      </c>
      <c r="F850" s="6">
        <v>1844</v>
      </c>
    </row>
    <row r="851" spans="1:6" x14ac:dyDescent="0.2">
      <c r="A851" s="4">
        <v>45707</v>
      </c>
      <c r="B851" s="5">
        <v>143.83600000000001</v>
      </c>
      <c r="C851" s="5">
        <v>145.38</v>
      </c>
      <c r="D851" s="5">
        <v>143.83600000000001</v>
      </c>
      <c r="E851" s="5">
        <v>144.82990000000001</v>
      </c>
      <c r="F851" s="6">
        <v>2322</v>
      </c>
    </row>
    <row r="852" spans="1:6" x14ac:dyDescent="0.2">
      <c r="A852" s="4">
        <v>45708</v>
      </c>
      <c r="B852" s="5">
        <v>144</v>
      </c>
      <c r="C852" s="5">
        <v>148.5805</v>
      </c>
      <c r="D852" s="5">
        <v>142.88</v>
      </c>
      <c r="E852" s="5">
        <v>145.47499999999999</v>
      </c>
      <c r="F852" s="6">
        <v>2189</v>
      </c>
    </row>
    <row r="853" spans="1:6" x14ac:dyDescent="0.2">
      <c r="A853" s="4">
        <v>45709</v>
      </c>
      <c r="B853" s="5">
        <v>144</v>
      </c>
      <c r="C853" s="5">
        <v>149.34</v>
      </c>
      <c r="D853" s="5">
        <v>142.4</v>
      </c>
      <c r="E853" s="5">
        <v>142.4</v>
      </c>
      <c r="F853" s="6">
        <v>3835</v>
      </c>
    </row>
    <row r="854" spans="1:6" x14ac:dyDescent="0.2">
      <c r="A854" s="4">
        <v>45712</v>
      </c>
      <c r="B854" s="5">
        <v>149.96</v>
      </c>
      <c r="C854" s="5">
        <v>149.96</v>
      </c>
      <c r="D854" s="5">
        <v>148.01</v>
      </c>
      <c r="E854" s="5">
        <v>148.01</v>
      </c>
      <c r="F854" s="6">
        <v>3643</v>
      </c>
    </row>
    <row r="855" spans="1:6" x14ac:dyDescent="0.2">
      <c r="A855" s="4">
        <v>45713</v>
      </c>
      <c r="B855" s="5">
        <v>151.36000000000001</v>
      </c>
      <c r="C855" s="5">
        <v>151.36000000000001</v>
      </c>
      <c r="D855" s="5">
        <v>150.25</v>
      </c>
      <c r="E855" s="5">
        <v>151.21</v>
      </c>
      <c r="F855" s="6">
        <v>1737</v>
      </c>
    </row>
    <row r="856" spans="1:6" x14ac:dyDescent="0.2">
      <c r="A856" s="4">
        <v>45714</v>
      </c>
      <c r="B856" s="5">
        <v>153.15</v>
      </c>
      <c r="C856" s="5">
        <v>155.65</v>
      </c>
      <c r="D856" s="5">
        <v>149.35</v>
      </c>
      <c r="E856" s="5">
        <v>155.65</v>
      </c>
      <c r="F856" s="6">
        <v>1005</v>
      </c>
    </row>
    <row r="857" spans="1:6" x14ac:dyDescent="0.2">
      <c r="A857" s="4">
        <v>45715</v>
      </c>
      <c r="B857" s="5">
        <v>150.59989999999999</v>
      </c>
      <c r="C857" s="5">
        <v>150.59989999999999</v>
      </c>
      <c r="D857" s="5">
        <v>150.46</v>
      </c>
      <c r="E857" s="5">
        <v>150.46</v>
      </c>
      <c r="F857" s="6">
        <v>1627</v>
      </c>
    </row>
    <row r="858" spans="1:6" x14ac:dyDescent="0.2">
      <c r="A858" s="4">
        <v>45716</v>
      </c>
      <c r="B858" s="5">
        <v>150.46</v>
      </c>
      <c r="C858" s="5">
        <v>150.46</v>
      </c>
      <c r="D858" s="5">
        <v>150.46</v>
      </c>
      <c r="E858" s="5">
        <v>150.46</v>
      </c>
      <c r="F858" s="6"/>
    </row>
    <row r="859" spans="1:6" x14ac:dyDescent="0.2">
      <c r="A859" s="4">
        <v>45719</v>
      </c>
      <c r="B859" s="5">
        <v>153.54</v>
      </c>
      <c r="C859" s="5">
        <v>158.49</v>
      </c>
      <c r="D859" s="5">
        <v>151.16</v>
      </c>
      <c r="E859" s="5">
        <v>151.16</v>
      </c>
      <c r="F859" s="6">
        <v>1123</v>
      </c>
    </row>
    <row r="860" spans="1:6" x14ac:dyDescent="0.2">
      <c r="A860" s="4">
        <v>45720</v>
      </c>
      <c r="B860" s="5">
        <v>147.94999999999999</v>
      </c>
      <c r="C860" s="5">
        <v>153.16</v>
      </c>
      <c r="D860" s="5">
        <v>147.94999999999999</v>
      </c>
      <c r="E860" s="5">
        <v>153.16</v>
      </c>
      <c r="F860" s="6">
        <v>1436</v>
      </c>
    </row>
    <row r="861" spans="1:6" x14ac:dyDescent="0.2">
      <c r="A861" s="4">
        <v>45721</v>
      </c>
      <c r="B861" s="5">
        <v>149.1</v>
      </c>
      <c r="C861" s="5">
        <v>157.58000000000001</v>
      </c>
      <c r="D861" s="5">
        <v>149.1</v>
      </c>
      <c r="E861" s="5">
        <v>157.58000000000001</v>
      </c>
      <c r="F861" s="6">
        <v>1588</v>
      </c>
    </row>
    <row r="862" spans="1:6" x14ac:dyDescent="0.2">
      <c r="A862" s="4">
        <v>45722</v>
      </c>
      <c r="B862" s="5">
        <v>156.36000000000001</v>
      </c>
      <c r="C862" s="5">
        <v>156.36000000000001</v>
      </c>
      <c r="D862" s="5">
        <v>149.25</v>
      </c>
      <c r="E862" s="5">
        <v>149.25</v>
      </c>
      <c r="F862" s="6">
        <v>1551</v>
      </c>
    </row>
    <row r="863" spans="1:6" x14ac:dyDescent="0.2">
      <c r="A863" s="4">
        <v>45723</v>
      </c>
      <c r="B863" s="5">
        <v>149.25</v>
      </c>
      <c r="C863" s="5">
        <v>149.25</v>
      </c>
      <c r="D863" s="5">
        <v>149.25</v>
      </c>
      <c r="E863" s="5">
        <v>149.25</v>
      </c>
      <c r="F863" s="6"/>
    </row>
    <row r="864" spans="1:6" x14ac:dyDescent="0.2">
      <c r="A864" s="4">
        <v>45726</v>
      </c>
      <c r="B864" s="5">
        <v>152.32</v>
      </c>
      <c r="C864" s="5">
        <v>154.22</v>
      </c>
      <c r="D864" s="5">
        <v>148.19999999999999</v>
      </c>
      <c r="E864" s="5">
        <v>154.22</v>
      </c>
      <c r="F864" s="6">
        <v>1052</v>
      </c>
    </row>
    <row r="865" spans="1:6" x14ac:dyDescent="0.2">
      <c r="A865" s="4">
        <v>45727</v>
      </c>
      <c r="B865" s="5">
        <v>154.22</v>
      </c>
      <c r="C865" s="5">
        <v>154.22</v>
      </c>
      <c r="D865" s="5">
        <v>154.22</v>
      </c>
      <c r="E865" s="5">
        <v>154.22</v>
      </c>
      <c r="F865" s="6"/>
    </row>
    <row r="866" spans="1:6" x14ac:dyDescent="0.2">
      <c r="A866" s="4">
        <v>45728</v>
      </c>
      <c r="B866" s="5">
        <v>149.18</v>
      </c>
      <c r="C866" s="5">
        <v>151.02500000000001</v>
      </c>
      <c r="D866" s="5">
        <v>146.19999999999999</v>
      </c>
      <c r="E866" s="5">
        <v>149.4</v>
      </c>
      <c r="F866" s="6">
        <v>5477</v>
      </c>
    </row>
    <row r="867" spans="1:6" x14ac:dyDescent="0.2">
      <c r="A867" s="4">
        <v>45729</v>
      </c>
      <c r="B867" s="5">
        <v>155</v>
      </c>
      <c r="C867" s="5">
        <v>155</v>
      </c>
      <c r="D867" s="5">
        <v>151.41990000000001</v>
      </c>
      <c r="E867" s="5">
        <v>154.46</v>
      </c>
      <c r="F867" s="6">
        <v>866</v>
      </c>
    </row>
    <row r="868" spans="1:6" x14ac:dyDescent="0.2">
      <c r="A868" s="4">
        <v>45730</v>
      </c>
      <c r="B868" s="5">
        <v>154.72</v>
      </c>
      <c r="C868" s="5">
        <v>156.36000000000001</v>
      </c>
      <c r="D868" s="5">
        <v>152.06</v>
      </c>
      <c r="E868" s="5">
        <v>153.56</v>
      </c>
      <c r="F868" s="6">
        <v>1992</v>
      </c>
    </row>
    <row r="869" spans="1:6" x14ac:dyDescent="0.2">
      <c r="A869" s="4">
        <v>45733</v>
      </c>
      <c r="B869" s="5">
        <v>155</v>
      </c>
      <c r="C869" s="5">
        <v>155</v>
      </c>
      <c r="D869" s="5">
        <v>154.97999999999999</v>
      </c>
      <c r="E869" s="5">
        <v>154.97999999999999</v>
      </c>
      <c r="F869" s="6">
        <v>653</v>
      </c>
    </row>
    <row r="870" spans="1:6" x14ac:dyDescent="0.2">
      <c r="A870" s="4">
        <v>45734</v>
      </c>
      <c r="B870" s="5">
        <v>156.19999999999999</v>
      </c>
      <c r="C870" s="5">
        <v>156.19999999999999</v>
      </c>
      <c r="D870" s="5">
        <v>153.05000000000001</v>
      </c>
      <c r="E870" s="5">
        <v>153.21</v>
      </c>
      <c r="F870" s="6">
        <v>2123</v>
      </c>
    </row>
    <row r="871" spans="1:6" x14ac:dyDescent="0.2">
      <c r="A871" s="4">
        <v>45735</v>
      </c>
      <c r="B871" s="5">
        <v>151.38</v>
      </c>
      <c r="C871" s="5">
        <v>154.19999999999999</v>
      </c>
      <c r="D871" s="5">
        <v>151.38</v>
      </c>
      <c r="E871" s="5">
        <v>154.19999999999999</v>
      </c>
      <c r="F871" s="6">
        <v>1134</v>
      </c>
    </row>
    <row r="872" spans="1:6" x14ac:dyDescent="0.2">
      <c r="A872" s="4">
        <v>45736</v>
      </c>
      <c r="B872" s="5">
        <v>154.63999999999999</v>
      </c>
      <c r="C872" s="5">
        <v>154.63999999999999</v>
      </c>
      <c r="D872" s="5">
        <v>154.63999999999999</v>
      </c>
      <c r="E872" s="5">
        <v>154.63999999999999</v>
      </c>
      <c r="F872" s="6">
        <v>647</v>
      </c>
    </row>
    <row r="873" spans="1:6" x14ac:dyDescent="0.2">
      <c r="A873" s="4">
        <v>45737</v>
      </c>
      <c r="B873" s="5">
        <v>153.41999999999999</v>
      </c>
      <c r="C873" s="5">
        <v>153.41999999999999</v>
      </c>
      <c r="D873" s="5">
        <v>153.41999999999999</v>
      </c>
      <c r="E873" s="5">
        <v>153.41999999999999</v>
      </c>
      <c r="F873" s="6">
        <v>1314</v>
      </c>
    </row>
    <row r="874" spans="1:6" x14ac:dyDescent="0.2">
      <c r="A874" s="4">
        <v>45740</v>
      </c>
      <c r="B874" s="5">
        <v>149.46</v>
      </c>
      <c r="C874" s="5">
        <v>149.46</v>
      </c>
      <c r="D874" s="5">
        <v>143.4135</v>
      </c>
      <c r="E874" s="5">
        <v>143.4135</v>
      </c>
      <c r="F874" s="6">
        <v>744</v>
      </c>
    </row>
    <row r="875" spans="1:6" x14ac:dyDescent="0.2">
      <c r="A875" s="4">
        <v>45741</v>
      </c>
      <c r="B875" s="5">
        <v>147.55000000000001</v>
      </c>
      <c r="C875" s="5">
        <v>147.55000000000001</v>
      </c>
      <c r="D875" s="5">
        <v>147.55000000000001</v>
      </c>
      <c r="E875" s="5">
        <v>147.55000000000001</v>
      </c>
      <c r="F875" s="6">
        <v>716</v>
      </c>
    </row>
    <row r="876" spans="1:6" x14ac:dyDescent="0.2">
      <c r="A876" s="4">
        <v>45742</v>
      </c>
      <c r="B876" s="5">
        <v>146.65</v>
      </c>
      <c r="C876" s="5">
        <v>146.65</v>
      </c>
      <c r="D876" s="5">
        <v>143.4</v>
      </c>
      <c r="E876" s="5">
        <v>143.4</v>
      </c>
      <c r="F876" s="6">
        <v>1005</v>
      </c>
    </row>
    <row r="877" spans="1:6" x14ac:dyDescent="0.2">
      <c r="A877" s="4">
        <v>45743</v>
      </c>
      <c r="B877" s="5">
        <v>140.1</v>
      </c>
      <c r="C877" s="5">
        <v>140.1</v>
      </c>
      <c r="D877" s="5">
        <v>140.1</v>
      </c>
      <c r="E877" s="5">
        <v>140.1</v>
      </c>
      <c r="F877" s="6">
        <v>558</v>
      </c>
    </row>
    <row r="878" spans="1:6" x14ac:dyDescent="0.2">
      <c r="A878" s="4">
        <v>45744</v>
      </c>
      <c r="B878" s="5">
        <v>146.75</v>
      </c>
      <c r="C878" s="5">
        <v>148.91999999999999</v>
      </c>
      <c r="D878" s="5">
        <v>145.36799999999999</v>
      </c>
      <c r="E878" s="5">
        <v>147.47</v>
      </c>
      <c r="F878" s="6">
        <v>2572</v>
      </c>
    </row>
    <row r="879" spans="1:6" x14ac:dyDescent="0.2">
      <c r="A879" s="4">
        <v>45747</v>
      </c>
      <c r="B879" s="5">
        <v>143.78</v>
      </c>
      <c r="C879" s="5">
        <v>147.36000000000001</v>
      </c>
      <c r="D879" s="5">
        <v>143.78</v>
      </c>
      <c r="E879" s="5">
        <v>147.36000000000001</v>
      </c>
      <c r="F879" s="6">
        <v>566</v>
      </c>
    </row>
    <row r="880" spans="1:6" x14ac:dyDescent="0.2">
      <c r="A880" s="4">
        <v>45748</v>
      </c>
      <c r="B880" s="5">
        <v>148.12</v>
      </c>
      <c r="C880" s="5">
        <v>148.12</v>
      </c>
      <c r="D880" s="5">
        <v>148.12</v>
      </c>
      <c r="E880" s="5">
        <v>148.12</v>
      </c>
      <c r="F880" s="6">
        <v>427</v>
      </c>
    </row>
    <row r="881" spans="1:6" x14ac:dyDescent="0.2">
      <c r="A881" s="4">
        <v>45749</v>
      </c>
      <c r="B881" s="5">
        <v>146.13999999999999</v>
      </c>
      <c r="C881" s="5">
        <v>147.375</v>
      </c>
      <c r="D881" s="5">
        <v>146.13999999999999</v>
      </c>
      <c r="E881" s="5">
        <v>147.375</v>
      </c>
      <c r="F881" s="6">
        <v>737</v>
      </c>
    </row>
    <row r="882" spans="1:6" x14ac:dyDescent="0.2">
      <c r="A882" s="4">
        <v>45750</v>
      </c>
      <c r="B882" s="5">
        <v>149.59989999999999</v>
      </c>
      <c r="C882" s="5">
        <v>150.96</v>
      </c>
      <c r="D882" s="5">
        <v>149.59989999999999</v>
      </c>
      <c r="E882" s="5">
        <v>150.84</v>
      </c>
      <c r="F882" s="6">
        <v>2172</v>
      </c>
    </row>
    <row r="883" spans="1:6" x14ac:dyDescent="0.2">
      <c r="A883" s="4">
        <v>45751</v>
      </c>
      <c r="B883" s="5">
        <v>138.05000000000001</v>
      </c>
      <c r="C883" s="5">
        <v>145.5</v>
      </c>
      <c r="D883" s="5">
        <v>136.63990000000001</v>
      </c>
      <c r="E883" s="5">
        <v>136.63990000000001</v>
      </c>
      <c r="F883" s="6">
        <v>1923</v>
      </c>
    </row>
    <row r="884" spans="1:6" x14ac:dyDescent="0.2">
      <c r="A884" s="4">
        <v>45754</v>
      </c>
      <c r="B884" s="5">
        <v>127.7</v>
      </c>
      <c r="C884" s="5">
        <v>133.80000000000001</v>
      </c>
      <c r="D884" s="5">
        <v>127.4</v>
      </c>
      <c r="E884" s="5">
        <v>129.91489999999999</v>
      </c>
      <c r="F884" s="6">
        <v>2449</v>
      </c>
    </row>
    <row r="885" spans="1:6" x14ac:dyDescent="0.2">
      <c r="A885" s="4">
        <v>45755</v>
      </c>
      <c r="B885" s="5">
        <v>132.46</v>
      </c>
      <c r="C885" s="5">
        <v>133</v>
      </c>
      <c r="D885" s="5">
        <v>130.09989999999999</v>
      </c>
      <c r="E885" s="5">
        <v>132.4</v>
      </c>
      <c r="F885" s="6">
        <v>3338</v>
      </c>
    </row>
    <row r="886" spans="1:6" x14ac:dyDescent="0.2">
      <c r="A886" s="4">
        <v>45756</v>
      </c>
      <c r="B886" s="5">
        <v>122.26</v>
      </c>
      <c r="C886" s="5">
        <v>131.19</v>
      </c>
      <c r="D886" s="5">
        <v>122.26</v>
      </c>
      <c r="E886" s="5">
        <v>129.16</v>
      </c>
      <c r="F886" s="6">
        <v>2229</v>
      </c>
    </row>
    <row r="887" spans="1:6" x14ac:dyDescent="0.2">
      <c r="A887" s="4">
        <v>45757</v>
      </c>
      <c r="B887" s="5">
        <v>129.4</v>
      </c>
      <c r="C887" s="5">
        <v>133</v>
      </c>
      <c r="D887" s="5">
        <v>128.91</v>
      </c>
      <c r="E887" s="5">
        <v>128.91</v>
      </c>
      <c r="F887" s="6">
        <v>1859</v>
      </c>
    </row>
    <row r="888" spans="1:6" x14ac:dyDescent="0.2">
      <c r="A888" s="4">
        <v>45758</v>
      </c>
      <c r="B888" s="5">
        <v>125.55</v>
      </c>
      <c r="C888" s="5">
        <v>132.68</v>
      </c>
      <c r="D888" s="5">
        <v>125.55</v>
      </c>
      <c r="E888" s="5">
        <v>132.68</v>
      </c>
      <c r="F888" s="6">
        <v>3362</v>
      </c>
    </row>
    <row r="889" spans="1:6" x14ac:dyDescent="0.2">
      <c r="A889" s="4">
        <v>45761</v>
      </c>
      <c r="B889" s="5">
        <v>133</v>
      </c>
      <c r="C889" s="5">
        <v>133.09989999999999</v>
      </c>
      <c r="D889" s="5">
        <v>131.31</v>
      </c>
      <c r="E889" s="5">
        <v>131.31</v>
      </c>
      <c r="F889" s="6">
        <v>1448</v>
      </c>
    </row>
    <row r="890" spans="1:6" x14ac:dyDescent="0.2">
      <c r="A890" s="4">
        <v>45762</v>
      </c>
      <c r="B890" s="5">
        <v>135.30000000000001</v>
      </c>
      <c r="C890" s="5">
        <v>137.6</v>
      </c>
      <c r="D890" s="5">
        <v>134.22</v>
      </c>
      <c r="E890" s="5">
        <v>134.22</v>
      </c>
      <c r="F890" s="6">
        <v>5902</v>
      </c>
    </row>
    <row r="891" spans="1:6" x14ac:dyDescent="0.2">
      <c r="A891" s="4">
        <v>45763</v>
      </c>
      <c r="B891" s="5">
        <v>134.38</v>
      </c>
      <c r="C891" s="5">
        <v>136.82</v>
      </c>
      <c r="D891" s="5">
        <v>134.08000000000001</v>
      </c>
      <c r="E891" s="5">
        <v>134.08000000000001</v>
      </c>
      <c r="F891" s="6">
        <v>1306</v>
      </c>
    </row>
    <row r="892" spans="1:6" x14ac:dyDescent="0.2">
      <c r="A892" s="4">
        <v>45764</v>
      </c>
      <c r="B892" s="5">
        <v>137.80000000000001</v>
      </c>
      <c r="C892" s="5">
        <v>139.80000000000001</v>
      </c>
      <c r="D892" s="5">
        <v>137.80000000000001</v>
      </c>
      <c r="E892" s="5">
        <v>139.80000000000001</v>
      </c>
      <c r="F892" s="6">
        <v>985</v>
      </c>
    </row>
    <row r="893" spans="1:6" x14ac:dyDescent="0.2">
      <c r="A893" s="4">
        <v>45768</v>
      </c>
      <c r="B893" s="5">
        <v>133.68</v>
      </c>
      <c r="C893" s="5">
        <v>134.43279999999999</v>
      </c>
      <c r="D893" s="5">
        <v>132.38</v>
      </c>
      <c r="E893" s="5">
        <v>132.38</v>
      </c>
      <c r="F893" s="6">
        <v>1677</v>
      </c>
    </row>
    <row r="894" spans="1:6" x14ac:dyDescent="0.2">
      <c r="A894" s="4">
        <v>45769</v>
      </c>
      <c r="B894" s="5">
        <v>129.15</v>
      </c>
      <c r="C894" s="5">
        <v>129.15</v>
      </c>
      <c r="D894" s="5">
        <v>129.15</v>
      </c>
      <c r="E894" s="5">
        <v>129.15</v>
      </c>
      <c r="F894" s="6">
        <v>852</v>
      </c>
    </row>
    <row r="895" spans="1:6" x14ac:dyDescent="0.2">
      <c r="A895" s="4">
        <v>45770</v>
      </c>
      <c r="B895" s="5">
        <v>136.4</v>
      </c>
      <c r="C895" s="5">
        <v>139.02000000000001</v>
      </c>
      <c r="D895" s="5">
        <v>135.75</v>
      </c>
      <c r="E895" s="5">
        <v>135.75</v>
      </c>
      <c r="F895" s="6">
        <v>1039</v>
      </c>
    </row>
    <row r="896" spans="1:6" x14ac:dyDescent="0.2">
      <c r="A896" s="4">
        <v>45771</v>
      </c>
      <c r="B896" s="5">
        <v>136.31989999999999</v>
      </c>
      <c r="C896" s="5">
        <v>137.24</v>
      </c>
      <c r="D896" s="5">
        <v>136.31989999999999</v>
      </c>
      <c r="E896" s="5">
        <v>137.24</v>
      </c>
      <c r="F896" s="6">
        <v>9911</v>
      </c>
    </row>
    <row r="897" spans="1:6" x14ac:dyDescent="0.2">
      <c r="A897" s="4">
        <v>45772</v>
      </c>
      <c r="B897" s="5">
        <v>134.75</v>
      </c>
      <c r="C897" s="5">
        <v>134.75</v>
      </c>
      <c r="D897" s="5">
        <v>134.75</v>
      </c>
      <c r="E897" s="5">
        <v>134.75</v>
      </c>
      <c r="F897" s="6">
        <v>1084</v>
      </c>
    </row>
    <row r="898" spans="1:6" x14ac:dyDescent="0.2">
      <c r="A898" s="4">
        <v>45775</v>
      </c>
      <c r="B898" s="5">
        <v>142.15</v>
      </c>
      <c r="C898" s="5">
        <v>142.15</v>
      </c>
      <c r="D898" s="5">
        <v>138.75989999999999</v>
      </c>
      <c r="E898" s="5">
        <v>138.75989999999999</v>
      </c>
      <c r="F898" s="6">
        <v>695</v>
      </c>
    </row>
    <row r="899" spans="1:6" x14ac:dyDescent="0.2">
      <c r="A899" s="4">
        <v>45776</v>
      </c>
      <c r="B899" s="5">
        <v>143.02000000000001</v>
      </c>
      <c r="C899" s="5">
        <v>144.94</v>
      </c>
      <c r="D899" s="5">
        <v>142.30000000000001</v>
      </c>
      <c r="E899" s="5">
        <v>144.94</v>
      </c>
      <c r="F899" s="6">
        <v>1223</v>
      </c>
    </row>
    <row r="900" spans="1:6" x14ac:dyDescent="0.2">
      <c r="A900" s="4">
        <v>45777</v>
      </c>
      <c r="B900" s="5">
        <v>146.5</v>
      </c>
      <c r="C900" s="5">
        <v>146.5</v>
      </c>
      <c r="D900" s="5">
        <v>142.34</v>
      </c>
      <c r="E900" s="5">
        <v>145.63999999999999</v>
      </c>
      <c r="F900" s="6">
        <v>1210</v>
      </c>
    </row>
    <row r="901" spans="1:6" x14ac:dyDescent="0.2">
      <c r="A901" s="4">
        <v>45778</v>
      </c>
      <c r="B901" s="5">
        <v>138.86000000000001</v>
      </c>
      <c r="C901" s="5">
        <v>141.44</v>
      </c>
      <c r="D901" s="5">
        <v>138.86000000000001</v>
      </c>
      <c r="E901" s="5">
        <v>140.63</v>
      </c>
      <c r="F901" s="6">
        <v>1257</v>
      </c>
    </row>
    <row r="902" spans="1:6" x14ac:dyDescent="0.2">
      <c r="A902" s="4">
        <v>45779</v>
      </c>
      <c r="B902" s="5">
        <v>142.77500000000001</v>
      </c>
      <c r="C902" s="5">
        <v>146.76</v>
      </c>
      <c r="D902" s="5">
        <v>141.72</v>
      </c>
      <c r="E902" s="5">
        <v>146.74</v>
      </c>
      <c r="F902" s="6">
        <v>1672</v>
      </c>
    </row>
    <row r="903" spans="1:6" x14ac:dyDescent="0.2">
      <c r="A903" s="4">
        <v>45782</v>
      </c>
      <c r="B903" s="5">
        <v>145.18</v>
      </c>
      <c r="C903" s="5">
        <v>145.96</v>
      </c>
      <c r="D903" s="5">
        <v>142.80000000000001</v>
      </c>
      <c r="E903" s="5">
        <v>145.96</v>
      </c>
      <c r="F903" s="6">
        <v>1529</v>
      </c>
    </row>
    <row r="904" spans="1:6" x14ac:dyDescent="0.2">
      <c r="A904" s="4">
        <v>45783</v>
      </c>
      <c r="B904" s="5">
        <v>139.9</v>
      </c>
      <c r="C904" s="5">
        <v>139.9</v>
      </c>
      <c r="D904" s="5">
        <v>138.94</v>
      </c>
      <c r="E904" s="5">
        <v>138.94</v>
      </c>
      <c r="F904" s="6">
        <v>855</v>
      </c>
    </row>
    <row r="905" spans="1:6" x14ac:dyDescent="0.2">
      <c r="A905" s="4">
        <v>45784</v>
      </c>
      <c r="B905" s="5">
        <v>138.96</v>
      </c>
      <c r="C905" s="5">
        <v>138.96</v>
      </c>
      <c r="D905" s="5">
        <v>138.66</v>
      </c>
      <c r="E905" s="5">
        <v>138.66</v>
      </c>
      <c r="F905" s="6">
        <v>1133</v>
      </c>
    </row>
    <row r="906" spans="1:6" x14ac:dyDescent="0.2">
      <c r="A906" s="4">
        <v>45785</v>
      </c>
      <c r="B906" s="5">
        <v>140</v>
      </c>
      <c r="C906" s="5">
        <v>140</v>
      </c>
      <c r="D906" s="5">
        <v>134.09989999999999</v>
      </c>
      <c r="E906" s="5">
        <v>134.09989999999999</v>
      </c>
      <c r="F906" s="6">
        <v>3006</v>
      </c>
    </row>
    <row r="907" spans="1:6" x14ac:dyDescent="0.2">
      <c r="A907" s="4">
        <v>45786</v>
      </c>
      <c r="B907" s="5">
        <v>137.88</v>
      </c>
      <c r="C907" s="5">
        <v>137.88</v>
      </c>
      <c r="D907" s="5">
        <v>135.22</v>
      </c>
      <c r="E907" s="5">
        <v>135.22</v>
      </c>
      <c r="F907" s="6">
        <v>1394</v>
      </c>
    </row>
    <row r="908" spans="1:6" x14ac:dyDescent="0.2">
      <c r="A908" s="4">
        <v>45789</v>
      </c>
      <c r="B908" s="5">
        <v>135.69999999999999</v>
      </c>
      <c r="C908" s="5">
        <v>136.46</v>
      </c>
      <c r="D908" s="5">
        <v>134.96</v>
      </c>
      <c r="E908" s="5">
        <v>135.36000000000001</v>
      </c>
      <c r="F908" s="6">
        <v>2855</v>
      </c>
    </row>
    <row r="909" spans="1:6" x14ac:dyDescent="0.2">
      <c r="A909" s="4">
        <v>45790</v>
      </c>
      <c r="B909" s="5">
        <v>135.36000000000001</v>
      </c>
      <c r="C909" s="5">
        <v>135.36000000000001</v>
      </c>
      <c r="D909" s="5">
        <v>135.36000000000001</v>
      </c>
      <c r="E909" s="5">
        <v>135.36000000000001</v>
      </c>
      <c r="F909" s="6"/>
    </row>
    <row r="910" spans="1:6" x14ac:dyDescent="0.2">
      <c r="A910" s="4">
        <v>45791</v>
      </c>
      <c r="B910" s="5">
        <v>135.36000000000001</v>
      </c>
      <c r="C910" s="5">
        <v>135.36000000000001</v>
      </c>
      <c r="D910" s="5">
        <v>135.36000000000001</v>
      </c>
      <c r="E910" s="5">
        <v>135.36000000000001</v>
      </c>
      <c r="F910" s="6"/>
    </row>
    <row r="911" spans="1:6" x14ac:dyDescent="0.2">
      <c r="A911" s="4">
        <v>45792</v>
      </c>
      <c r="B911" s="5">
        <v>131.03</v>
      </c>
      <c r="C911" s="5">
        <v>138.56</v>
      </c>
      <c r="D911" s="5">
        <v>131.03</v>
      </c>
      <c r="E911" s="5">
        <v>135.88</v>
      </c>
      <c r="F911" s="6">
        <v>3557</v>
      </c>
    </row>
    <row r="912" spans="1:6" x14ac:dyDescent="0.2">
      <c r="A912" s="4">
        <v>45793</v>
      </c>
      <c r="B912" s="5">
        <v>137.84</v>
      </c>
      <c r="C912" s="5">
        <v>138.62</v>
      </c>
      <c r="D912" s="5">
        <v>134.46</v>
      </c>
      <c r="E912" s="5">
        <v>134.46</v>
      </c>
      <c r="F912" s="6">
        <v>3285</v>
      </c>
    </row>
    <row r="913" spans="1:6" x14ac:dyDescent="0.2">
      <c r="A913" s="4">
        <v>45796</v>
      </c>
      <c r="B913" s="5">
        <v>138.86000000000001</v>
      </c>
      <c r="C913" s="5">
        <v>141</v>
      </c>
      <c r="D913" s="5">
        <v>138.375</v>
      </c>
      <c r="E913" s="5">
        <v>141</v>
      </c>
      <c r="F913" s="6">
        <v>968</v>
      </c>
    </row>
    <row r="914" spans="1:6" x14ac:dyDescent="0.2">
      <c r="A914" s="4">
        <v>45797</v>
      </c>
      <c r="B914" s="5">
        <v>138.68</v>
      </c>
      <c r="C914" s="5">
        <v>138.68</v>
      </c>
      <c r="D914" s="5">
        <v>138.68</v>
      </c>
      <c r="E914" s="5">
        <v>138.68</v>
      </c>
      <c r="F914" s="6">
        <v>827</v>
      </c>
    </row>
    <row r="915" spans="1:6" x14ac:dyDescent="0.2">
      <c r="A915" s="4">
        <v>45798</v>
      </c>
      <c r="B915" s="5">
        <v>138.24</v>
      </c>
      <c r="C915" s="5">
        <v>138.24</v>
      </c>
      <c r="D915" s="5">
        <v>138.24</v>
      </c>
      <c r="E915" s="5">
        <v>138.24</v>
      </c>
      <c r="F915" s="6">
        <v>389</v>
      </c>
    </row>
    <row r="916" spans="1:6" x14ac:dyDescent="0.2">
      <c r="A916" s="4">
        <v>45799</v>
      </c>
      <c r="B916" s="5">
        <v>136.6</v>
      </c>
      <c r="C916" s="5">
        <v>141.12</v>
      </c>
      <c r="D916" s="5">
        <v>136.6</v>
      </c>
      <c r="E916" s="5">
        <v>141.12</v>
      </c>
      <c r="F916" s="6">
        <v>1471</v>
      </c>
    </row>
    <row r="917" spans="1:6" x14ac:dyDescent="0.2">
      <c r="A917" s="4">
        <v>45800</v>
      </c>
      <c r="B917" s="5">
        <v>139.53989999999999</v>
      </c>
      <c r="C917" s="5">
        <v>143.25</v>
      </c>
      <c r="D917" s="5">
        <v>139.53989999999999</v>
      </c>
      <c r="E917" s="5">
        <v>143.25</v>
      </c>
      <c r="F917" s="6">
        <v>2471</v>
      </c>
    </row>
    <row r="918" spans="1:6" x14ac:dyDescent="0.2">
      <c r="A918" s="4">
        <v>45804</v>
      </c>
      <c r="B918" s="5">
        <v>143.97499999999999</v>
      </c>
      <c r="C918" s="5">
        <v>143.97499999999999</v>
      </c>
      <c r="D918" s="5">
        <v>141.53989999999999</v>
      </c>
      <c r="E918" s="5">
        <v>143.97499999999999</v>
      </c>
      <c r="F918" s="6">
        <v>1631</v>
      </c>
    </row>
    <row r="919" spans="1:6" x14ac:dyDescent="0.2">
      <c r="A919" s="4">
        <v>45805</v>
      </c>
      <c r="B919" s="5">
        <v>143.97499999999999</v>
      </c>
      <c r="C919" s="5">
        <v>143.97499999999999</v>
      </c>
      <c r="D919" s="5">
        <v>143.97499999999999</v>
      </c>
      <c r="E919" s="5">
        <v>143.97499999999999</v>
      </c>
      <c r="F919" s="6"/>
    </row>
    <row r="920" spans="1:6" x14ac:dyDescent="0.2">
      <c r="A920" s="4">
        <v>45806</v>
      </c>
      <c r="B920" s="5">
        <v>136.15</v>
      </c>
      <c r="C920" s="5">
        <v>143.1</v>
      </c>
      <c r="D920" s="5">
        <v>136.15</v>
      </c>
      <c r="E920" s="5">
        <v>143.1</v>
      </c>
      <c r="F920" s="6">
        <v>2268</v>
      </c>
    </row>
    <row r="921" spans="1:6" x14ac:dyDescent="0.2">
      <c r="A921" s="4">
        <v>45807</v>
      </c>
      <c r="B921" s="5">
        <v>143.19999999999999</v>
      </c>
      <c r="C921" s="5">
        <v>144</v>
      </c>
      <c r="D921" s="5">
        <v>141.5</v>
      </c>
      <c r="E921" s="5">
        <v>141.5</v>
      </c>
      <c r="F921" s="6">
        <v>3155</v>
      </c>
    </row>
    <row r="922" spans="1:6" x14ac:dyDescent="0.2">
      <c r="A922" s="4">
        <v>45810</v>
      </c>
      <c r="B922" s="5">
        <v>142</v>
      </c>
      <c r="C922" s="5">
        <v>142.5</v>
      </c>
      <c r="D922" s="5">
        <v>142</v>
      </c>
      <c r="E922" s="5">
        <v>142.5</v>
      </c>
      <c r="F922" s="6">
        <v>613</v>
      </c>
    </row>
    <row r="923" spans="1:6" x14ac:dyDescent="0.2">
      <c r="A923" s="4">
        <v>45811</v>
      </c>
      <c r="B923" s="5">
        <v>143.04</v>
      </c>
      <c r="C923" s="5">
        <v>144.77500000000001</v>
      </c>
      <c r="D923" s="5">
        <v>142.47999999999999</v>
      </c>
      <c r="E923" s="5">
        <v>142.47999999999999</v>
      </c>
      <c r="F923" s="6">
        <v>2104</v>
      </c>
    </row>
    <row r="924" spans="1:6" x14ac:dyDescent="0.2">
      <c r="A924" s="4">
        <v>45812</v>
      </c>
      <c r="B924" s="5">
        <v>145.02000000000001</v>
      </c>
      <c r="C924" s="5">
        <v>147.08000000000001</v>
      </c>
      <c r="D924" s="5">
        <v>145.02000000000001</v>
      </c>
      <c r="E924" s="5">
        <v>145.625</v>
      </c>
      <c r="F924" s="6">
        <v>1915</v>
      </c>
    </row>
    <row r="925" spans="1:6" x14ac:dyDescent="0.2">
      <c r="A925" s="4">
        <v>45813</v>
      </c>
      <c r="B925" s="5">
        <v>142.75</v>
      </c>
      <c r="C925" s="5">
        <v>142.75</v>
      </c>
      <c r="D925" s="5">
        <v>142.75</v>
      </c>
      <c r="E925" s="5">
        <v>142.75</v>
      </c>
      <c r="F925" s="6">
        <v>1452</v>
      </c>
    </row>
    <row r="926" spans="1:6" x14ac:dyDescent="0.2">
      <c r="A926" s="4">
        <v>45814</v>
      </c>
      <c r="B926" s="5">
        <v>144.31989999999999</v>
      </c>
      <c r="C926" s="5">
        <v>144.31989999999999</v>
      </c>
      <c r="D926" s="5">
        <v>144.31989999999999</v>
      </c>
      <c r="E926" s="5">
        <v>144.31989999999999</v>
      </c>
      <c r="F926" s="6">
        <v>25585</v>
      </c>
    </row>
    <row r="927" spans="1:6" x14ac:dyDescent="0.2">
      <c r="A927" s="4">
        <v>45817</v>
      </c>
      <c r="B927" s="5">
        <v>146.52000000000001</v>
      </c>
      <c r="C927" s="5">
        <v>146.52000000000001</v>
      </c>
      <c r="D927" s="5">
        <v>146.52000000000001</v>
      </c>
      <c r="E927" s="5">
        <v>146.52000000000001</v>
      </c>
      <c r="F927" s="6">
        <v>686</v>
      </c>
    </row>
    <row r="928" spans="1:6" x14ac:dyDescent="0.2">
      <c r="A928" s="4">
        <v>45818</v>
      </c>
      <c r="B928" s="5">
        <v>146.30000000000001</v>
      </c>
      <c r="C928" s="5">
        <v>147.91390000000001</v>
      </c>
      <c r="D928" s="5">
        <v>146.30000000000001</v>
      </c>
      <c r="E928" s="5">
        <v>146.625</v>
      </c>
      <c r="F928" s="6">
        <v>1491</v>
      </c>
    </row>
    <row r="929" spans="1:6" x14ac:dyDescent="0.2">
      <c r="A929" s="4">
        <v>45819</v>
      </c>
      <c r="B929" s="5">
        <v>146.80000000000001</v>
      </c>
      <c r="C929" s="5">
        <v>148.215</v>
      </c>
      <c r="D929" s="5">
        <v>146.80000000000001</v>
      </c>
      <c r="E929" s="5">
        <v>148.215</v>
      </c>
      <c r="F929" s="6">
        <v>8793</v>
      </c>
    </row>
    <row r="930" spans="1:6" x14ac:dyDescent="0.2">
      <c r="A930" s="4">
        <v>45820</v>
      </c>
      <c r="B930" s="5">
        <v>152.19999999999999</v>
      </c>
      <c r="C930" s="5">
        <v>152.19999999999999</v>
      </c>
      <c r="D930" s="5">
        <v>148.75</v>
      </c>
      <c r="E930" s="5">
        <v>150.10489999999999</v>
      </c>
      <c r="F930" s="6">
        <v>1877</v>
      </c>
    </row>
    <row r="931" spans="1:6" x14ac:dyDescent="0.2">
      <c r="A931" s="4">
        <v>45821</v>
      </c>
      <c r="B931" s="5">
        <v>143.5</v>
      </c>
      <c r="C931" s="5">
        <v>148.25</v>
      </c>
      <c r="D931" s="5">
        <v>143.5</v>
      </c>
      <c r="E931" s="5">
        <v>148.03989999999999</v>
      </c>
      <c r="F931" s="6">
        <v>9038</v>
      </c>
    </row>
    <row r="932" spans="1:6" x14ac:dyDescent="0.2">
      <c r="A932" s="4">
        <v>45824</v>
      </c>
      <c r="B932" s="5">
        <v>151</v>
      </c>
      <c r="C932" s="5">
        <v>151</v>
      </c>
      <c r="D932" s="5">
        <v>146.12</v>
      </c>
      <c r="E932" s="5">
        <v>148.35</v>
      </c>
      <c r="F932" s="6">
        <v>2319</v>
      </c>
    </row>
    <row r="933" spans="1:6" x14ac:dyDescent="0.2">
      <c r="A933" s="4">
        <v>45825</v>
      </c>
      <c r="B933" s="5">
        <v>145.035</v>
      </c>
      <c r="C933" s="5">
        <v>145.035</v>
      </c>
      <c r="D933" s="5">
        <v>140.97</v>
      </c>
      <c r="E933" s="5">
        <v>140.97</v>
      </c>
      <c r="F933" s="6">
        <v>2525</v>
      </c>
    </row>
    <row r="934" spans="1:6" x14ac:dyDescent="0.2">
      <c r="A934" s="4">
        <v>45826</v>
      </c>
      <c r="B934" s="5">
        <v>143.13999999999999</v>
      </c>
      <c r="C934" s="5">
        <v>144.5</v>
      </c>
      <c r="D934" s="5">
        <v>143.13999999999999</v>
      </c>
      <c r="E934" s="5">
        <v>143.6</v>
      </c>
      <c r="F934" s="6">
        <v>1144</v>
      </c>
    </row>
    <row r="935" spans="1:6" x14ac:dyDescent="0.2">
      <c r="A935" s="4">
        <v>45828</v>
      </c>
      <c r="B935" s="5">
        <v>141.75</v>
      </c>
      <c r="C935" s="5">
        <v>141.75</v>
      </c>
      <c r="D935" s="5">
        <v>139.6901</v>
      </c>
      <c r="E935" s="5">
        <v>139.6901</v>
      </c>
      <c r="F935" s="6">
        <v>821</v>
      </c>
    </row>
    <row r="936" spans="1:6" x14ac:dyDescent="0.2">
      <c r="A936" s="4">
        <v>45831</v>
      </c>
      <c r="B936" s="5">
        <v>141.97999999999999</v>
      </c>
      <c r="C936" s="5">
        <v>142.01</v>
      </c>
      <c r="D936" s="5">
        <v>140.72</v>
      </c>
      <c r="E936" s="5">
        <v>142.01</v>
      </c>
      <c r="F936" s="6">
        <v>3146</v>
      </c>
    </row>
    <row r="937" spans="1:6" x14ac:dyDescent="0.2">
      <c r="A937" s="4">
        <v>45832</v>
      </c>
      <c r="B937" s="5">
        <v>142.01</v>
      </c>
      <c r="C937" s="5">
        <v>142.01</v>
      </c>
      <c r="D937" s="5">
        <v>142.01</v>
      </c>
      <c r="E937" s="5">
        <v>142.01</v>
      </c>
      <c r="F937" s="6"/>
    </row>
    <row r="938" spans="1:6" x14ac:dyDescent="0.2">
      <c r="A938" s="4">
        <v>45833</v>
      </c>
      <c r="B938" s="5">
        <v>146.19999999999999</v>
      </c>
      <c r="C938" s="5">
        <v>146.19999999999999</v>
      </c>
      <c r="D938" s="5">
        <v>146.19999999999999</v>
      </c>
      <c r="E938" s="5">
        <v>146.19999999999999</v>
      </c>
      <c r="F938" s="6">
        <v>738</v>
      </c>
    </row>
    <row r="939" spans="1:6" x14ac:dyDescent="0.2">
      <c r="A939" s="4">
        <v>45834</v>
      </c>
      <c r="B939" s="5">
        <v>139.92500000000001</v>
      </c>
      <c r="C939" s="5">
        <v>139.92500000000001</v>
      </c>
      <c r="D939" s="5">
        <v>139.92500000000001</v>
      </c>
      <c r="E939" s="5">
        <v>139.92500000000001</v>
      </c>
      <c r="F939" s="6">
        <v>536</v>
      </c>
    </row>
    <row r="940" spans="1:6" x14ac:dyDescent="0.2">
      <c r="A940" s="4">
        <v>45835</v>
      </c>
      <c r="B940" s="5">
        <v>141.66</v>
      </c>
      <c r="C940" s="5">
        <v>141.66</v>
      </c>
      <c r="D940" s="5">
        <v>138.08000000000001</v>
      </c>
      <c r="E940" s="5">
        <v>138.18</v>
      </c>
      <c r="F940" s="6">
        <v>1201</v>
      </c>
    </row>
    <row r="941" spans="1:6" x14ac:dyDescent="0.2">
      <c r="A941" s="4">
        <v>45838</v>
      </c>
      <c r="B941" s="5">
        <v>138.18</v>
      </c>
      <c r="C941" s="5">
        <v>138.18</v>
      </c>
      <c r="D941" s="5">
        <v>138.18</v>
      </c>
      <c r="E941" s="5">
        <v>138.18</v>
      </c>
      <c r="F941" s="6"/>
    </row>
    <row r="942" spans="1:6" x14ac:dyDescent="0.2">
      <c r="A942" s="4">
        <v>45839</v>
      </c>
      <c r="B942" s="5">
        <v>141.19990000000001</v>
      </c>
      <c r="C942" s="5">
        <v>141.19990000000001</v>
      </c>
      <c r="D942" s="5">
        <v>139.71</v>
      </c>
      <c r="E942" s="5">
        <v>139.71</v>
      </c>
      <c r="F942" s="6">
        <v>1683</v>
      </c>
    </row>
    <row r="943" spans="1:6" x14ac:dyDescent="0.2">
      <c r="A943" s="4">
        <v>45840</v>
      </c>
      <c r="B943" s="5">
        <v>143.54</v>
      </c>
      <c r="C943" s="5">
        <v>143.88</v>
      </c>
      <c r="D943" s="5">
        <v>143.54</v>
      </c>
      <c r="E943" s="5">
        <v>143.88</v>
      </c>
      <c r="F943" s="6">
        <v>660</v>
      </c>
    </row>
    <row r="944" spans="1:6" x14ac:dyDescent="0.2">
      <c r="A944" s="4">
        <v>45841</v>
      </c>
      <c r="B944" s="5">
        <v>139</v>
      </c>
      <c r="C944" s="5">
        <v>141.375</v>
      </c>
      <c r="D944" s="5">
        <v>138.57</v>
      </c>
      <c r="E944" s="5">
        <v>140.685</v>
      </c>
      <c r="F944" s="6">
        <v>1403</v>
      </c>
    </row>
    <row r="945" spans="1:6" x14ac:dyDescent="0.2">
      <c r="A945" s="4">
        <v>45845</v>
      </c>
      <c r="B945" s="5">
        <v>141.30000000000001</v>
      </c>
      <c r="C945" s="5">
        <v>142.63249999999999</v>
      </c>
      <c r="D945" s="5">
        <v>134.9</v>
      </c>
      <c r="E945" s="5">
        <v>142.63</v>
      </c>
      <c r="F945" s="6">
        <v>1939</v>
      </c>
    </row>
    <row r="946" spans="1:6" x14ac:dyDescent="0.2">
      <c r="A946" s="4">
        <v>45846</v>
      </c>
      <c r="B946" s="5">
        <v>138.59989999999999</v>
      </c>
      <c r="C946" s="5">
        <v>140.15</v>
      </c>
      <c r="D946" s="5">
        <v>138.59989999999999</v>
      </c>
      <c r="E946" s="5">
        <v>140.15</v>
      </c>
      <c r="F946" s="6">
        <v>1045</v>
      </c>
    </row>
    <row r="947" spans="1:6" x14ac:dyDescent="0.2">
      <c r="A947" s="4">
        <v>45847</v>
      </c>
      <c r="B947" s="5">
        <v>141.4</v>
      </c>
      <c r="C947" s="5">
        <v>141.4</v>
      </c>
      <c r="D947" s="5">
        <v>141.4</v>
      </c>
      <c r="E947" s="5">
        <v>141.4</v>
      </c>
      <c r="F947" s="6">
        <v>674</v>
      </c>
    </row>
    <row r="948" spans="1:6" x14ac:dyDescent="0.2">
      <c r="A948" s="4">
        <v>45848</v>
      </c>
      <c r="B948" s="5">
        <v>141.4</v>
      </c>
      <c r="C948" s="5">
        <v>141.4</v>
      </c>
      <c r="D948" s="5">
        <v>141.4</v>
      </c>
      <c r="E948" s="5">
        <v>141.4</v>
      </c>
      <c r="F948" s="6"/>
    </row>
    <row r="949" spans="1:6" x14ac:dyDescent="0.2">
      <c r="A949" s="4">
        <v>45849</v>
      </c>
      <c r="B949" s="5">
        <v>140.25989999999999</v>
      </c>
      <c r="C949" s="5">
        <v>140.25989999999999</v>
      </c>
      <c r="D949" s="5">
        <v>140.25989999999999</v>
      </c>
      <c r="E949" s="5">
        <v>140.25989999999999</v>
      </c>
      <c r="F949" s="6">
        <v>649</v>
      </c>
    </row>
    <row r="950" spans="1:6" x14ac:dyDescent="0.2">
      <c r="A950" s="4">
        <v>45852</v>
      </c>
      <c r="B950" s="5">
        <v>142.6627</v>
      </c>
      <c r="C950" s="5">
        <v>145.88</v>
      </c>
      <c r="D950" s="5">
        <v>142.13990000000001</v>
      </c>
      <c r="E950" s="5">
        <v>143.15</v>
      </c>
      <c r="F950" s="6">
        <v>1180</v>
      </c>
    </row>
    <row r="951" spans="1:6" x14ac:dyDescent="0.2">
      <c r="A951" s="4">
        <v>45853</v>
      </c>
      <c r="B951" s="5">
        <v>140.4</v>
      </c>
      <c r="C951" s="5">
        <v>140.4</v>
      </c>
      <c r="D951" s="5">
        <v>140.4</v>
      </c>
      <c r="E951" s="5">
        <v>140.4</v>
      </c>
      <c r="F951" s="6">
        <v>387</v>
      </c>
    </row>
    <row r="952" spans="1:6" x14ac:dyDescent="0.2">
      <c r="A952" s="4">
        <v>45854</v>
      </c>
      <c r="B952" s="5">
        <v>139.12</v>
      </c>
      <c r="C952" s="5">
        <v>142.02000000000001</v>
      </c>
      <c r="D952" s="5">
        <v>139.12</v>
      </c>
      <c r="E952" s="5">
        <v>142.02000000000001</v>
      </c>
      <c r="F952" s="6">
        <v>673</v>
      </c>
    </row>
    <row r="953" spans="1:6" x14ac:dyDescent="0.2">
      <c r="A953" s="4">
        <v>45855</v>
      </c>
      <c r="B953" s="5">
        <v>142.02000000000001</v>
      </c>
      <c r="C953" s="5">
        <v>142.02000000000001</v>
      </c>
      <c r="D953" s="5">
        <v>142.02000000000001</v>
      </c>
      <c r="E953" s="5">
        <v>142.02000000000001</v>
      </c>
      <c r="F953" s="6"/>
    </row>
    <row r="954" spans="1:6" x14ac:dyDescent="0.2">
      <c r="A954" s="4">
        <v>45856</v>
      </c>
      <c r="B954" s="5">
        <v>142.02000000000001</v>
      </c>
      <c r="C954" s="5">
        <v>142.02000000000001</v>
      </c>
      <c r="D954" s="5">
        <v>142.02000000000001</v>
      </c>
      <c r="E954" s="5">
        <v>142.02000000000001</v>
      </c>
      <c r="F954" s="6"/>
    </row>
    <row r="955" spans="1:6" x14ac:dyDescent="0.2">
      <c r="A955" s="4">
        <v>45859</v>
      </c>
      <c r="B955" s="5">
        <v>139.91999999999999</v>
      </c>
      <c r="C955" s="5">
        <v>139.91999999999999</v>
      </c>
      <c r="D955" s="5">
        <v>139.69999999999999</v>
      </c>
      <c r="E955" s="5">
        <v>139.69999999999999</v>
      </c>
      <c r="F955" s="6">
        <v>986</v>
      </c>
    </row>
    <row r="956" spans="1:6" x14ac:dyDescent="0.2">
      <c r="A956" s="4">
        <v>45860</v>
      </c>
      <c r="B956" s="5">
        <v>138</v>
      </c>
      <c r="C956" s="5">
        <v>141.9</v>
      </c>
      <c r="D956" s="5">
        <v>138</v>
      </c>
      <c r="E956" s="5">
        <v>141.9</v>
      </c>
      <c r="F956" s="6">
        <v>610</v>
      </c>
    </row>
    <row r="957" spans="1:6" x14ac:dyDescent="0.2">
      <c r="A957" s="4">
        <v>45861</v>
      </c>
      <c r="B957" s="5">
        <v>142</v>
      </c>
      <c r="C957" s="5">
        <v>147.30000000000001</v>
      </c>
      <c r="D957" s="5">
        <v>142</v>
      </c>
      <c r="E957" s="5">
        <v>147.30000000000001</v>
      </c>
      <c r="F957" s="6">
        <v>1820</v>
      </c>
    </row>
    <row r="958" spans="1:6" x14ac:dyDescent="0.2">
      <c r="A958" s="4">
        <v>45862</v>
      </c>
      <c r="B958" s="5">
        <v>150</v>
      </c>
      <c r="C958" s="5">
        <v>150</v>
      </c>
      <c r="D958" s="5">
        <v>146.91999999999999</v>
      </c>
      <c r="E958" s="5">
        <v>146.91999999999999</v>
      </c>
      <c r="F958" s="6">
        <v>936</v>
      </c>
    </row>
    <row r="959" spans="1:6" x14ac:dyDescent="0.2">
      <c r="A959" s="4">
        <v>45863</v>
      </c>
      <c r="B959" s="5">
        <v>146.91999999999999</v>
      </c>
      <c r="C959" s="5">
        <v>146.91999999999999</v>
      </c>
      <c r="D959" s="5">
        <v>146.91999999999999</v>
      </c>
      <c r="E959" s="5">
        <v>146.91999999999999</v>
      </c>
      <c r="F959" s="6"/>
    </row>
    <row r="960" spans="1:6" x14ac:dyDescent="0.2">
      <c r="A960" s="4">
        <v>45866</v>
      </c>
      <c r="B960" s="5">
        <v>144.1</v>
      </c>
      <c r="C960" s="5">
        <v>144.1</v>
      </c>
      <c r="D960" s="5">
        <v>144.1</v>
      </c>
      <c r="E960" s="5">
        <v>144.1</v>
      </c>
      <c r="F960" s="6">
        <v>1187</v>
      </c>
    </row>
    <row r="961" spans="1:6" x14ac:dyDescent="0.2">
      <c r="A961" s="4">
        <v>45867</v>
      </c>
      <c r="B961" s="5">
        <v>149.05000000000001</v>
      </c>
      <c r="C961" s="5">
        <v>150.47999999999999</v>
      </c>
      <c r="D961" s="5">
        <v>149.05000000000001</v>
      </c>
      <c r="E961" s="5">
        <v>150.47999999999999</v>
      </c>
      <c r="F961" s="6">
        <v>512</v>
      </c>
    </row>
    <row r="962" spans="1:6" x14ac:dyDescent="0.2">
      <c r="A962" s="4">
        <v>45868</v>
      </c>
      <c r="B962" s="5">
        <v>151</v>
      </c>
      <c r="C962" s="5">
        <v>155.66999999999999</v>
      </c>
      <c r="D962" s="5">
        <v>151</v>
      </c>
      <c r="E962" s="5">
        <v>155.66999999999999</v>
      </c>
      <c r="F962" s="6">
        <v>1130</v>
      </c>
    </row>
    <row r="963" spans="1:6" x14ac:dyDescent="0.2">
      <c r="A963" s="4">
        <v>45869</v>
      </c>
      <c r="B963" s="5">
        <v>150.74</v>
      </c>
      <c r="C963" s="5">
        <v>150.74</v>
      </c>
      <c r="D963" s="5">
        <v>147.38999999999999</v>
      </c>
      <c r="E963" s="5">
        <v>147.38999999999999</v>
      </c>
      <c r="F963" s="6">
        <v>624</v>
      </c>
    </row>
    <row r="964" spans="1:6" x14ac:dyDescent="0.2">
      <c r="A964" s="4">
        <v>45870</v>
      </c>
      <c r="B964" s="5">
        <v>148.54</v>
      </c>
      <c r="C964" s="5">
        <v>151.36750000000001</v>
      </c>
      <c r="D964" s="5">
        <v>147.5</v>
      </c>
      <c r="E964" s="5">
        <v>147.5</v>
      </c>
      <c r="F964" s="6">
        <v>34722</v>
      </c>
    </row>
    <row r="965" spans="1:6" x14ac:dyDescent="0.2">
      <c r="A965" s="4">
        <v>45873</v>
      </c>
      <c r="B965" s="5">
        <v>141.80000000000001</v>
      </c>
      <c r="C965" s="5">
        <v>150.32</v>
      </c>
      <c r="D965" s="5">
        <v>141.80000000000001</v>
      </c>
      <c r="E965" s="5">
        <v>150.32</v>
      </c>
      <c r="F965" s="6">
        <v>945</v>
      </c>
    </row>
    <row r="966" spans="1:6" x14ac:dyDescent="0.2">
      <c r="A966" s="4">
        <v>45874</v>
      </c>
      <c r="B966" s="5">
        <v>150.68</v>
      </c>
      <c r="C966" s="5">
        <v>150.68</v>
      </c>
      <c r="D966" s="5">
        <v>145.01</v>
      </c>
      <c r="E966" s="5">
        <v>150.29</v>
      </c>
      <c r="F966" s="6">
        <v>13543</v>
      </c>
    </row>
    <row r="967" spans="1:6" x14ac:dyDescent="0.2">
      <c r="A967" s="4">
        <v>45875</v>
      </c>
      <c r="B967" s="5">
        <v>149</v>
      </c>
      <c r="C967" s="5">
        <v>149.52000000000001</v>
      </c>
      <c r="D967" s="5">
        <v>148.68</v>
      </c>
      <c r="E967" s="5">
        <v>148.68</v>
      </c>
      <c r="F967" s="6">
        <v>1044</v>
      </c>
    </row>
    <row r="968" spans="1:6" x14ac:dyDescent="0.2">
      <c r="A968" s="4">
        <v>45876</v>
      </c>
      <c r="B968" s="5">
        <v>143.2225</v>
      </c>
      <c r="C968" s="5">
        <v>149.66499999999999</v>
      </c>
      <c r="D968" s="5">
        <v>143.2225</v>
      </c>
      <c r="E968" s="5">
        <v>147.23500000000001</v>
      </c>
      <c r="F968" s="6">
        <v>1125</v>
      </c>
    </row>
    <row r="969" spans="1:6" x14ac:dyDescent="0.2">
      <c r="A969" s="4">
        <v>45877</v>
      </c>
      <c r="B969" s="5">
        <v>141.77199999999999</v>
      </c>
      <c r="C969" s="5">
        <v>141.77199999999999</v>
      </c>
      <c r="D969" s="5">
        <v>141.77199999999999</v>
      </c>
      <c r="E969" s="5">
        <v>141.77199999999999</v>
      </c>
      <c r="F969" s="6">
        <v>1387</v>
      </c>
    </row>
    <row r="970" spans="1:6" x14ac:dyDescent="0.2">
      <c r="A970" s="4">
        <v>45880</v>
      </c>
      <c r="B970" s="5">
        <v>146.75989999999999</v>
      </c>
      <c r="C970" s="5">
        <v>147.10749999999999</v>
      </c>
      <c r="D970" s="5">
        <v>146.12</v>
      </c>
      <c r="E970" s="5">
        <v>146.12</v>
      </c>
      <c r="F970" s="6">
        <v>1474</v>
      </c>
    </row>
    <row r="971" spans="1:6" x14ac:dyDescent="0.2">
      <c r="A971" s="4">
        <v>45881</v>
      </c>
      <c r="B971" s="5">
        <v>146.75</v>
      </c>
      <c r="C971" s="5">
        <v>150.78</v>
      </c>
      <c r="D971" s="5">
        <v>146.75</v>
      </c>
      <c r="E971" s="5">
        <v>148.28</v>
      </c>
      <c r="F971" s="6">
        <v>798</v>
      </c>
    </row>
    <row r="972" spans="1:6" x14ac:dyDescent="0.2">
      <c r="A972" s="4">
        <v>45882</v>
      </c>
      <c r="B972" s="5">
        <v>152.25</v>
      </c>
      <c r="C972" s="5">
        <v>156.78</v>
      </c>
      <c r="D972" s="5">
        <v>152.25</v>
      </c>
      <c r="E972" s="5">
        <v>154.30000000000001</v>
      </c>
      <c r="F972" s="6">
        <v>1592</v>
      </c>
    </row>
    <row r="973" spans="1:6" x14ac:dyDescent="0.2">
      <c r="A973" s="4">
        <v>45883</v>
      </c>
      <c r="B973" s="5">
        <v>155.75</v>
      </c>
      <c r="C973" s="5">
        <v>155.75</v>
      </c>
      <c r="D973" s="5">
        <v>155.75</v>
      </c>
      <c r="E973" s="5">
        <v>155.75</v>
      </c>
      <c r="F973" s="6">
        <v>10478</v>
      </c>
    </row>
    <row r="974" spans="1:6" x14ac:dyDescent="0.2">
      <c r="A974" s="4">
        <v>45884</v>
      </c>
      <c r="B974" s="5">
        <v>155.5</v>
      </c>
      <c r="C974" s="5">
        <v>155.5</v>
      </c>
      <c r="D974" s="5">
        <v>155.5</v>
      </c>
      <c r="E974" s="5">
        <v>155.5</v>
      </c>
      <c r="F974" s="6">
        <v>19429</v>
      </c>
    </row>
    <row r="975" spans="1:6" x14ac:dyDescent="0.2">
      <c r="A975" s="4">
        <v>45887</v>
      </c>
      <c r="B975" s="5">
        <v>156.69999999999999</v>
      </c>
      <c r="C975" s="5">
        <v>160.46</v>
      </c>
      <c r="D975" s="5">
        <v>156.69999999999999</v>
      </c>
      <c r="E975" s="5">
        <v>160.46</v>
      </c>
      <c r="F975" s="6">
        <v>1179</v>
      </c>
    </row>
    <row r="976" spans="1:6" x14ac:dyDescent="0.2">
      <c r="A976" s="4">
        <v>45888</v>
      </c>
      <c r="B976" s="5">
        <v>160.46</v>
      </c>
      <c r="C976" s="5">
        <v>160.46</v>
      </c>
      <c r="D976" s="5">
        <v>160.46</v>
      </c>
      <c r="E976" s="5">
        <v>160.46</v>
      </c>
      <c r="F976" s="6"/>
    </row>
    <row r="977" spans="1:6" x14ac:dyDescent="0.2">
      <c r="A977" s="4">
        <v>45889</v>
      </c>
      <c r="B977" s="5">
        <v>157.80000000000001</v>
      </c>
      <c r="C977" s="5">
        <v>157.80000000000001</v>
      </c>
      <c r="D977" s="5">
        <v>157.80000000000001</v>
      </c>
      <c r="E977" s="5">
        <v>157.80000000000001</v>
      </c>
      <c r="F977" s="6">
        <v>585</v>
      </c>
    </row>
    <row r="978" spans="1:6" x14ac:dyDescent="0.2">
      <c r="A978" s="4">
        <v>45890</v>
      </c>
      <c r="B978" s="5">
        <v>157.80000000000001</v>
      </c>
      <c r="C978" s="5">
        <v>157.80000000000001</v>
      </c>
      <c r="D978" s="5">
        <v>157.80000000000001</v>
      </c>
      <c r="E978" s="5">
        <v>157.80000000000001</v>
      </c>
      <c r="F978" s="6"/>
    </row>
    <row r="979" spans="1:6" x14ac:dyDescent="0.2">
      <c r="A979" s="4">
        <v>45891</v>
      </c>
      <c r="B979" s="5">
        <v>161.74</v>
      </c>
      <c r="C979" s="5">
        <v>161.74</v>
      </c>
      <c r="D979" s="5">
        <v>157.09</v>
      </c>
      <c r="E979" s="5">
        <v>157.09</v>
      </c>
      <c r="F979" s="6">
        <v>7386</v>
      </c>
    </row>
    <row r="980" spans="1:6" x14ac:dyDescent="0.2">
      <c r="A980" s="4">
        <v>45894</v>
      </c>
      <c r="B980" s="5">
        <v>162.97999999999999</v>
      </c>
      <c r="C980" s="5">
        <v>162.97999999999999</v>
      </c>
      <c r="D980" s="5">
        <v>162.97999999999999</v>
      </c>
      <c r="E980" s="5">
        <v>162.97999999999999</v>
      </c>
      <c r="F980" s="6">
        <v>986</v>
      </c>
    </row>
    <row r="981" spans="1:6" x14ac:dyDescent="0.2">
      <c r="A981" s="4">
        <v>45895</v>
      </c>
      <c r="B981" s="5">
        <v>156.34</v>
      </c>
      <c r="C981" s="5">
        <v>161.86000000000001</v>
      </c>
      <c r="D981" s="5">
        <v>156.34</v>
      </c>
      <c r="E981" s="5">
        <v>160.30000000000001</v>
      </c>
      <c r="F981" s="6">
        <v>48787</v>
      </c>
    </row>
    <row r="982" spans="1:6" x14ac:dyDescent="0.2">
      <c r="A982" s="4">
        <v>45896</v>
      </c>
      <c r="B982" s="5">
        <v>161.30000000000001</v>
      </c>
      <c r="C982" s="5">
        <v>161.30000000000001</v>
      </c>
      <c r="D982" s="5">
        <v>160.65</v>
      </c>
      <c r="E982" s="5">
        <v>160.65</v>
      </c>
      <c r="F982" s="6">
        <v>594</v>
      </c>
    </row>
    <row r="983" spans="1:6" x14ac:dyDescent="0.2">
      <c r="A983" s="4">
        <v>45897</v>
      </c>
      <c r="B983" s="5">
        <v>161.755</v>
      </c>
      <c r="C983" s="5">
        <v>161.755</v>
      </c>
      <c r="D983" s="5">
        <v>158.19990000000001</v>
      </c>
      <c r="E983" s="5">
        <v>158.19990000000001</v>
      </c>
      <c r="F983" s="6">
        <v>602</v>
      </c>
    </row>
    <row r="984" spans="1:6" x14ac:dyDescent="0.2">
      <c r="A984" s="4">
        <v>45898</v>
      </c>
      <c r="B984" s="5">
        <v>161.13</v>
      </c>
      <c r="C984" s="5">
        <v>161.13</v>
      </c>
      <c r="D984" s="5">
        <v>161.13</v>
      </c>
      <c r="E984" s="5">
        <v>161.13</v>
      </c>
      <c r="F984" s="6">
        <v>431</v>
      </c>
    </row>
    <row r="985" spans="1:6" x14ac:dyDescent="0.2">
      <c r="A985" s="4">
        <v>45902</v>
      </c>
      <c r="B985" s="5">
        <v>162.04</v>
      </c>
      <c r="C985" s="5">
        <v>162.04</v>
      </c>
      <c r="D985" s="5">
        <v>157.72</v>
      </c>
      <c r="E985" s="5">
        <v>160.66</v>
      </c>
      <c r="F985" s="6">
        <v>2956</v>
      </c>
    </row>
    <row r="986" spans="1:6" x14ac:dyDescent="0.2">
      <c r="A986" s="4">
        <v>45903</v>
      </c>
      <c r="B986" s="5">
        <v>162.25989999999999</v>
      </c>
      <c r="C986" s="5">
        <v>162.25989999999999</v>
      </c>
      <c r="D986" s="5">
        <v>162.25989999999999</v>
      </c>
      <c r="E986" s="5">
        <v>162.25989999999999</v>
      </c>
      <c r="F986" s="6">
        <v>2631</v>
      </c>
    </row>
    <row r="987" spans="1:6" x14ac:dyDescent="0.2">
      <c r="A987" s="4">
        <v>45904</v>
      </c>
      <c r="B987" s="5">
        <v>162</v>
      </c>
      <c r="C987" s="5">
        <v>162</v>
      </c>
      <c r="D987" s="5">
        <v>162</v>
      </c>
      <c r="E987" s="5">
        <v>162</v>
      </c>
      <c r="F987" s="6">
        <v>814</v>
      </c>
    </row>
    <row r="988" spans="1:6" x14ac:dyDescent="0.2">
      <c r="A988" s="4">
        <v>45905</v>
      </c>
      <c r="B988" s="5">
        <v>164.5</v>
      </c>
      <c r="C988" s="5">
        <v>164.5</v>
      </c>
      <c r="D988" s="5">
        <v>164.5</v>
      </c>
      <c r="E988" s="5">
        <v>164.5</v>
      </c>
      <c r="F988" s="6">
        <v>569</v>
      </c>
    </row>
    <row r="989" spans="1:6" x14ac:dyDescent="0.2">
      <c r="A989" s="4">
        <v>45908</v>
      </c>
      <c r="B989" s="5">
        <v>164.5</v>
      </c>
      <c r="C989" s="5">
        <v>164.5</v>
      </c>
      <c r="D989" s="5">
        <v>164.5</v>
      </c>
      <c r="E989" s="5">
        <v>164.5</v>
      </c>
      <c r="F989" s="6"/>
    </row>
    <row r="990" spans="1:6" x14ac:dyDescent="0.2">
      <c r="A990" s="4">
        <v>45909</v>
      </c>
      <c r="B990" s="5">
        <v>160</v>
      </c>
      <c r="C990" s="5">
        <v>160.53989999999999</v>
      </c>
      <c r="D990" s="5">
        <v>160</v>
      </c>
      <c r="E990" s="5">
        <v>160.53989999999999</v>
      </c>
      <c r="F990" s="6">
        <v>707</v>
      </c>
    </row>
    <row r="991" spans="1:6" x14ac:dyDescent="0.2">
      <c r="A991" s="4">
        <v>45910</v>
      </c>
      <c r="B991" s="5">
        <v>163.72499999999999</v>
      </c>
      <c r="C991" s="5">
        <v>163.72499999999999</v>
      </c>
      <c r="D991" s="5">
        <v>160.13990000000001</v>
      </c>
      <c r="E991" s="5">
        <v>160.13990000000001</v>
      </c>
      <c r="F991" s="6">
        <v>1100</v>
      </c>
    </row>
    <row r="992" spans="1:6" x14ac:dyDescent="0.2">
      <c r="A992" s="4">
        <v>45911</v>
      </c>
      <c r="B992" s="5">
        <v>160.25989999999999</v>
      </c>
      <c r="C992" s="5">
        <v>162</v>
      </c>
      <c r="D992" s="5">
        <v>160.01</v>
      </c>
      <c r="E992" s="5">
        <v>162</v>
      </c>
      <c r="F992" s="6">
        <v>4910</v>
      </c>
    </row>
    <row r="993" spans="1:6" x14ac:dyDescent="0.2">
      <c r="A993" s="4">
        <v>45912</v>
      </c>
      <c r="B993" s="5">
        <v>164.8175</v>
      </c>
      <c r="C993" s="5">
        <v>164.8175</v>
      </c>
      <c r="D993" s="5">
        <v>159.56</v>
      </c>
      <c r="E993" s="5">
        <v>159.56</v>
      </c>
      <c r="F993" s="6">
        <v>1837</v>
      </c>
    </row>
    <row r="994" spans="1:6" x14ac:dyDescent="0.2">
      <c r="A994" s="4">
        <v>45915</v>
      </c>
      <c r="B994" s="5">
        <v>159.9</v>
      </c>
      <c r="C994" s="5">
        <v>159.9</v>
      </c>
      <c r="D994" s="5">
        <v>151.54</v>
      </c>
      <c r="E994" s="5">
        <v>154.58000000000001</v>
      </c>
      <c r="F994" s="6">
        <v>1496</v>
      </c>
    </row>
    <row r="995" spans="1:6" x14ac:dyDescent="0.2">
      <c r="A995" s="4">
        <v>45916</v>
      </c>
      <c r="B995" s="5">
        <v>157.72499999999999</v>
      </c>
      <c r="C995" s="5">
        <v>157.72499999999999</v>
      </c>
      <c r="D995" s="5">
        <v>153.00280000000001</v>
      </c>
      <c r="E995" s="5">
        <v>153.00280000000001</v>
      </c>
      <c r="F995" s="6">
        <v>1446</v>
      </c>
    </row>
    <row r="996" spans="1:6" x14ac:dyDescent="0.2">
      <c r="A996" s="4">
        <v>45917</v>
      </c>
      <c r="B996" s="5">
        <v>156.96</v>
      </c>
      <c r="C996" s="5">
        <v>156.96</v>
      </c>
      <c r="D996" s="5">
        <v>156.02500000000001</v>
      </c>
      <c r="E996" s="5">
        <v>156.02500000000001</v>
      </c>
      <c r="F996" s="6">
        <v>841</v>
      </c>
    </row>
    <row r="997" spans="1:6" x14ac:dyDescent="0.2">
      <c r="A997" s="4">
        <v>45918</v>
      </c>
      <c r="B997" s="5">
        <v>152.9</v>
      </c>
      <c r="C997" s="5">
        <v>153.38499999999999</v>
      </c>
      <c r="D997" s="5">
        <v>152.38</v>
      </c>
      <c r="E997" s="5">
        <v>153.38499999999999</v>
      </c>
      <c r="F997" s="6">
        <v>1805</v>
      </c>
    </row>
    <row r="998" spans="1:6" x14ac:dyDescent="0.2">
      <c r="A998" s="4">
        <v>45919</v>
      </c>
      <c r="B998" s="5">
        <v>150.61750000000001</v>
      </c>
      <c r="C998" s="5">
        <v>154.38</v>
      </c>
      <c r="D998" s="5">
        <v>150.61750000000001</v>
      </c>
      <c r="E998" s="5">
        <v>154.38</v>
      </c>
      <c r="F998" s="6">
        <v>27792</v>
      </c>
    </row>
    <row r="999" spans="1:6" x14ac:dyDescent="0.2">
      <c r="A999" s="4">
        <v>45922</v>
      </c>
      <c r="B999" s="5">
        <v>156.82</v>
      </c>
      <c r="C999" s="5">
        <v>156.82</v>
      </c>
      <c r="D999" s="5">
        <v>156.82</v>
      </c>
      <c r="E999" s="5">
        <v>156.82</v>
      </c>
      <c r="F999" s="6">
        <v>706</v>
      </c>
    </row>
    <row r="1000" spans="1:6" x14ac:dyDescent="0.2">
      <c r="A1000" s="4">
        <v>45923</v>
      </c>
      <c r="B1000" s="5">
        <v>150.74</v>
      </c>
      <c r="C1000" s="5">
        <v>150.74</v>
      </c>
      <c r="D1000" s="5">
        <v>150.74</v>
      </c>
      <c r="E1000" s="5">
        <v>150.74</v>
      </c>
      <c r="F1000" s="6">
        <v>505</v>
      </c>
    </row>
    <row r="1001" spans="1:6" x14ac:dyDescent="0.2">
      <c r="A1001" s="4">
        <v>45924</v>
      </c>
      <c r="B1001" s="5">
        <v>150.01</v>
      </c>
      <c r="C1001" s="5">
        <v>150.01</v>
      </c>
      <c r="D1001" s="5">
        <v>149.03989999999999</v>
      </c>
      <c r="E1001" s="5">
        <v>149.03989999999999</v>
      </c>
      <c r="F1001" s="6">
        <v>871</v>
      </c>
    </row>
    <row r="1002" spans="1:6" x14ac:dyDescent="0.2">
      <c r="A1002" s="4">
        <v>45925</v>
      </c>
      <c r="B1002" s="5">
        <v>149.75</v>
      </c>
      <c r="C1002" s="5">
        <v>149.75</v>
      </c>
      <c r="D1002" s="5">
        <v>149.75</v>
      </c>
      <c r="E1002" s="5">
        <v>149.75</v>
      </c>
      <c r="F1002" s="6">
        <v>1882</v>
      </c>
    </row>
    <row r="1003" spans="1:6" x14ac:dyDescent="0.2">
      <c r="A1003" s="4">
        <v>45926</v>
      </c>
      <c r="B1003" s="5">
        <v>146.16</v>
      </c>
      <c r="C1003" s="5">
        <v>146.16</v>
      </c>
      <c r="D1003" s="5">
        <v>146.16</v>
      </c>
      <c r="E1003" s="5">
        <v>146.16</v>
      </c>
      <c r="F1003" s="6">
        <v>944</v>
      </c>
    </row>
    <row r="1004" spans="1:6" x14ac:dyDescent="0.2">
      <c r="A1004" s="4">
        <v>45929</v>
      </c>
      <c r="B1004" s="5">
        <v>146.09989999999999</v>
      </c>
      <c r="C1004" s="5">
        <v>146.09989999999999</v>
      </c>
      <c r="D1004" s="5">
        <v>146.09989999999999</v>
      </c>
      <c r="E1004" s="5">
        <v>146.09989999999999</v>
      </c>
      <c r="F1004" s="6">
        <v>734</v>
      </c>
    </row>
    <row r="1005" spans="1:6" x14ac:dyDescent="0.2">
      <c r="A1005" s="4">
        <v>45930</v>
      </c>
      <c r="B1005" s="5">
        <v>149.935</v>
      </c>
      <c r="C1005" s="5">
        <v>149.935</v>
      </c>
      <c r="D1005" s="5">
        <v>149.5</v>
      </c>
      <c r="E1005" s="5">
        <v>149.5</v>
      </c>
      <c r="F1005" s="6">
        <v>6661</v>
      </c>
    </row>
    <row r="1006" spans="1:6" x14ac:dyDescent="0.2">
      <c r="A1006" s="4">
        <v>45931</v>
      </c>
      <c r="B1006" s="5">
        <v>163</v>
      </c>
      <c r="C1006" s="5">
        <v>166.5</v>
      </c>
      <c r="D1006" s="5">
        <v>161.5</v>
      </c>
      <c r="E1006" s="5">
        <v>162.55500000000001</v>
      </c>
      <c r="F1006" s="6">
        <v>2131</v>
      </c>
    </row>
    <row r="1007" spans="1:6" x14ac:dyDescent="0.2">
      <c r="A1007" s="4">
        <v>45932</v>
      </c>
      <c r="B1007" s="5">
        <v>165.13749999999999</v>
      </c>
      <c r="C1007" s="5">
        <v>165.13749999999999</v>
      </c>
      <c r="D1007" s="5">
        <v>164.67500000000001</v>
      </c>
      <c r="E1007" s="5">
        <v>164.67500000000001</v>
      </c>
      <c r="F1007" s="6">
        <v>1161</v>
      </c>
    </row>
    <row r="1008" spans="1:6" x14ac:dyDescent="0.2">
      <c r="A1008" s="4">
        <v>45933</v>
      </c>
      <c r="B1008" s="5">
        <v>165</v>
      </c>
      <c r="C1008" s="5">
        <v>170.51</v>
      </c>
      <c r="D1008" s="5">
        <v>163.61250000000001</v>
      </c>
      <c r="E1008" s="5">
        <v>170.51</v>
      </c>
      <c r="F1008" s="6">
        <v>33157</v>
      </c>
    </row>
    <row r="1009" spans="1:6" x14ac:dyDescent="0.2">
      <c r="A1009" s="4">
        <v>45936</v>
      </c>
      <c r="B1009" s="5">
        <v>170</v>
      </c>
      <c r="C1009" s="5">
        <v>172.3</v>
      </c>
      <c r="D1009" s="5">
        <v>170</v>
      </c>
      <c r="E1009" s="5">
        <v>172.3</v>
      </c>
      <c r="F1009" s="6">
        <v>3649</v>
      </c>
    </row>
    <row r="1010" spans="1:6" x14ac:dyDescent="0.2">
      <c r="A1010" s="4">
        <v>45937</v>
      </c>
      <c r="B1010" s="5">
        <v>175</v>
      </c>
      <c r="C1010" s="5">
        <v>175</v>
      </c>
      <c r="D1010" s="5">
        <v>170</v>
      </c>
      <c r="E1010" s="5">
        <v>170</v>
      </c>
      <c r="F1010" s="6">
        <v>1902</v>
      </c>
    </row>
    <row r="1011" spans="1:6" x14ac:dyDescent="0.2">
      <c r="A1011" s="4">
        <v>45938</v>
      </c>
      <c r="B1011" s="5">
        <v>172.1</v>
      </c>
      <c r="C1011" s="5">
        <v>172.1</v>
      </c>
      <c r="D1011" s="5">
        <v>172.1</v>
      </c>
      <c r="E1011" s="5">
        <v>172.1</v>
      </c>
      <c r="F1011" s="6">
        <v>619</v>
      </c>
    </row>
    <row r="1012" spans="1:6" x14ac:dyDescent="0.2">
      <c r="A1012" s="4">
        <v>45939</v>
      </c>
      <c r="B1012" s="5">
        <v>173</v>
      </c>
      <c r="C1012" s="5">
        <v>173</v>
      </c>
      <c r="D1012" s="5">
        <v>169.84989999999999</v>
      </c>
      <c r="E1012" s="5">
        <v>169.85</v>
      </c>
      <c r="F1012" s="6">
        <v>912</v>
      </c>
    </row>
    <row r="1013" spans="1:6" x14ac:dyDescent="0.2">
      <c r="A1013" s="4">
        <v>45940</v>
      </c>
      <c r="B1013" s="5">
        <v>170</v>
      </c>
      <c r="C1013" s="5">
        <v>171.42</v>
      </c>
      <c r="D1013" s="5">
        <v>169.33529999999999</v>
      </c>
      <c r="E1013" s="5">
        <v>169.33529999999999</v>
      </c>
      <c r="F1013" s="6">
        <v>1835</v>
      </c>
    </row>
    <row r="1014" spans="1:6" x14ac:dyDescent="0.2">
      <c r="A1014" s="4">
        <v>45943</v>
      </c>
      <c r="B1014" s="5">
        <v>169.33529999999999</v>
      </c>
      <c r="C1014" s="5">
        <v>169.33529999999999</v>
      </c>
      <c r="D1014" s="5">
        <v>169.33529999999999</v>
      </c>
      <c r="E1014" s="5">
        <v>169.33529999999999</v>
      </c>
      <c r="F1014" s="6"/>
    </row>
    <row r="1015" spans="1:6" x14ac:dyDescent="0.2">
      <c r="A1015" s="4">
        <v>45944</v>
      </c>
      <c r="B1015" s="5">
        <v>169.1</v>
      </c>
      <c r="C1015" s="5">
        <v>169.1</v>
      </c>
      <c r="D1015" s="5">
        <v>169.1</v>
      </c>
      <c r="E1015" s="5">
        <v>169.1</v>
      </c>
      <c r="F1015" s="6">
        <v>663</v>
      </c>
    </row>
    <row r="1016" spans="1:6" x14ac:dyDescent="0.2">
      <c r="A1016" s="4">
        <v>45945</v>
      </c>
      <c r="B1016" s="5">
        <v>169.1</v>
      </c>
      <c r="C1016" s="5">
        <v>169.1</v>
      </c>
      <c r="D1016" s="5">
        <v>168.03989999999999</v>
      </c>
      <c r="E1016" s="5">
        <v>168.065</v>
      </c>
      <c r="F1016" s="6">
        <v>1234</v>
      </c>
    </row>
    <row r="1017" spans="1:6" x14ac:dyDescent="0.2">
      <c r="A1017" s="4">
        <v>45946</v>
      </c>
      <c r="B1017" s="5">
        <v>167.26</v>
      </c>
      <c r="C1017" s="5">
        <v>169.12</v>
      </c>
      <c r="D1017" s="5">
        <v>167.26</v>
      </c>
      <c r="E1017" s="5">
        <v>169.12</v>
      </c>
      <c r="F1017" s="6">
        <v>9361</v>
      </c>
    </row>
    <row r="1018" spans="1:6" x14ac:dyDescent="0.2">
      <c r="A1018" s="4">
        <v>45947</v>
      </c>
      <c r="B1018" s="5">
        <v>167</v>
      </c>
      <c r="C1018" s="5">
        <v>170.88</v>
      </c>
      <c r="D1018" s="5">
        <v>167</v>
      </c>
      <c r="E1018" s="5">
        <v>170.88</v>
      </c>
      <c r="F1018" s="6">
        <v>1853</v>
      </c>
    </row>
    <row r="1019" spans="1:6" x14ac:dyDescent="0.2">
      <c r="A1019" s="4">
        <v>45950</v>
      </c>
      <c r="B1019" s="5">
        <v>166.97989999999999</v>
      </c>
      <c r="C1019" s="5">
        <v>166.97989999999999</v>
      </c>
      <c r="D1019" s="5">
        <v>166.97989999999999</v>
      </c>
      <c r="E1019" s="5">
        <v>166.97989999999999</v>
      </c>
      <c r="F1019" s="6">
        <v>810</v>
      </c>
    </row>
    <row r="1020" spans="1:6" x14ac:dyDescent="0.2">
      <c r="A1020" s="4">
        <v>45951</v>
      </c>
      <c r="B1020" s="5">
        <v>168.22</v>
      </c>
      <c r="C1020" s="5">
        <v>168.28</v>
      </c>
      <c r="D1020" s="5">
        <v>168.22</v>
      </c>
      <c r="E1020" s="5">
        <v>168.28</v>
      </c>
      <c r="F1020" s="6">
        <v>6144</v>
      </c>
    </row>
    <row r="1021" spans="1:6" x14ac:dyDescent="0.2">
      <c r="A1021" s="4">
        <v>45952</v>
      </c>
      <c r="B1021" s="5">
        <v>168.28</v>
      </c>
      <c r="C1021" s="5">
        <v>168.28</v>
      </c>
      <c r="D1021" s="5">
        <v>168.28</v>
      </c>
      <c r="E1021" s="5">
        <v>168.28</v>
      </c>
      <c r="F1021" s="6"/>
    </row>
    <row r="1022" spans="1:6" x14ac:dyDescent="0.2">
      <c r="A1022" s="4">
        <v>45953</v>
      </c>
      <c r="B1022" s="5">
        <v>168.2</v>
      </c>
      <c r="C1022" s="5">
        <v>168.24</v>
      </c>
      <c r="D1022" s="5">
        <v>163.77500000000001</v>
      </c>
      <c r="E1022" s="5">
        <v>168.24</v>
      </c>
      <c r="F1022" s="6">
        <v>1974</v>
      </c>
    </row>
    <row r="1023" spans="1:6" x14ac:dyDescent="0.2">
      <c r="A1023" s="4">
        <v>45954</v>
      </c>
      <c r="B1023" s="5">
        <v>164.01990000000001</v>
      </c>
      <c r="C1023" s="5">
        <v>164.01990000000001</v>
      </c>
      <c r="D1023" s="5">
        <v>163.75</v>
      </c>
      <c r="E1023" s="5">
        <v>163.75</v>
      </c>
      <c r="F1023" s="6">
        <v>858</v>
      </c>
    </row>
    <row r="1024" spans="1:6" x14ac:dyDescent="0.2">
      <c r="A1024" s="4">
        <v>45957</v>
      </c>
      <c r="B1024" s="5">
        <v>165.42500000000001</v>
      </c>
      <c r="C1024" s="5">
        <v>168.56</v>
      </c>
      <c r="D1024" s="5">
        <v>163.99</v>
      </c>
      <c r="E1024" s="5">
        <v>163.99</v>
      </c>
      <c r="F1024" s="6">
        <v>2121</v>
      </c>
    </row>
    <row r="1025" spans="1:6" x14ac:dyDescent="0.2">
      <c r="A1025" s="4">
        <v>45958</v>
      </c>
      <c r="B1025" s="5">
        <v>165.68</v>
      </c>
      <c r="C1025" s="5">
        <v>165.68</v>
      </c>
      <c r="D1025" s="5">
        <v>165.53989999999999</v>
      </c>
      <c r="E1025" s="5">
        <v>165.58</v>
      </c>
      <c r="F1025" s="6">
        <v>1435</v>
      </c>
    </row>
    <row r="1026" spans="1:6" x14ac:dyDescent="0.2">
      <c r="A1026" s="4">
        <v>45959</v>
      </c>
      <c r="B1026" s="5">
        <v>164.04499999999999</v>
      </c>
      <c r="C1026" s="5">
        <v>167.46</v>
      </c>
      <c r="D1026" s="5">
        <v>163.67500000000001</v>
      </c>
      <c r="E1026" s="5">
        <v>163.67500000000001</v>
      </c>
      <c r="F1026" s="6">
        <v>938</v>
      </c>
    </row>
    <row r="1027" spans="1:6" x14ac:dyDescent="0.2">
      <c r="A1027" s="4">
        <v>45960</v>
      </c>
      <c r="B1027" s="5">
        <v>163.67500000000001</v>
      </c>
      <c r="C1027" s="5">
        <v>163.67500000000001</v>
      </c>
      <c r="D1027" s="5">
        <v>163.67500000000001</v>
      </c>
      <c r="E1027" s="5">
        <v>163.67500000000001</v>
      </c>
      <c r="F1027" s="6"/>
    </row>
    <row r="1028" spans="1:6" x14ac:dyDescent="0.2">
      <c r="A1028" s="4">
        <v>45961</v>
      </c>
      <c r="B1028" s="5">
        <v>163.67500000000001</v>
      </c>
      <c r="C1028" s="5">
        <v>163.67500000000001</v>
      </c>
      <c r="D1028" s="5">
        <v>163.67500000000001</v>
      </c>
      <c r="E1028" s="5">
        <v>163.67500000000001</v>
      </c>
      <c r="F1028" s="6"/>
    </row>
    <row r="1029" spans="1:6" x14ac:dyDescent="0.2">
      <c r="A1029" s="4">
        <v>45964</v>
      </c>
      <c r="B1029" s="5">
        <v>165.1</v>
      </c>
      <c r="C1029" s="5">
        <v>165.1</v>
      </c>
      <c r="D1029" s="5">
        <v>161.9</v>
      </c>
      <c r="E1029" s="5">
        <v>161.9</v>
      </c>
      <c r="F1029" s="6">
        <v>1164</v>
      </c>
    </row>
    <row r="1030" spans="1:6" x14ac:dyDescent="0.2">
      <c r="A1030" s="4">
        <v>45965</v>
      </c>
      <c r="B1030" s="5">
        <v>161</v>
      </c>
      <c r="C1030" s="5">
        <v>165.46</v>
      </c>
      <c r="D1030" s="5">
        <v>161</v>
      </c>
      <c r="E1030" s="5">
        <v>165.26</v>
      </c>
      <c r="F1030" s="6">
        <v>1933</v>
      </c>
    </row>
    <row r="1031" spans="1:6" x14ac:dyDescent="0.2">
      <c r="A1031" s="4">
        <v>45966</v>
      </c>
      <c r="B1031" s="5">
        <v>165.26</v>
      </c>
      <c r="C1031" s="5">
        <v>165.26</v>
      </c>
      <c r="D1031" s="5">
        <v>165.26</v>
      </c>
      <c r="E1031" s="5">
        <v>165.26</v>
      </c>
      <c r="F1031" s="6"/>
    </row>
    <row r="1032" spans="1:6" x14ac:dyDescent="0.2">
      <c r="A1032" s="4">
        <v>45967</v>
      </c>
      <c r="B1032" s="5">
        <v>165.25</v>
      </c>
      <c r="C1032" s="5">
        <v>169</v>
      </c>
      <c r="D1032" s="5">
        <v>165.25</v>
      </c>
      <c r="E1032" s="5">
        <v>169</v>
      </c>
      <c r="F1032" s="6">
        <v>793</v>
      </c>
    </row>
    <row r="1033" spans="1:6" x14ac:dyDescent="0.2">
      <c r="A1033" s="4">
        <v>45968</v>
      </c>
      <c r="B1033" s="5">
        <v>169.5848</v>
      </c>
      <c r="C1033" s="5">
        <v>169.5848</v>
      </c>
      <c r="D1033" s="5">
        <v>166.17</v>
      </c>
      <c r="E1033" s="5">
        <v>166.17</v>
      </c>
      <c r="F1033" s="6">
        <v>833</v>
      </c>
    </row>
    <row r="1034" spans="1:6" x14ac:dyDescent="0.2">
      <c r="A1034" s="4">
        <v>45971</v>
      </c>
      <c r="B1034" s="5">
        <v>170.93</v>
      </c>
      <c r="C1034" s="5">
        <v>174.9</v>
      </c>
      <c r="D1034" s="5">
        <v>170.155</v>
      </c>
      <c r="E1034" s="5">
        <v>174.9</v>
      </c>
      <c r="F1034" s="6">
        <v>1267</v>
      </c>
    </row>
    <row r="1035" spans="1:6" x14ac:dyDescent="0.2">
      <c r="A1035" s="4">
        <v>45972</v>
      </c>
      <c r="B1035" s="5">
        <v>174.9</v>
      </c>
      <c r="C1035" s="5">
        <v>175.2</v>
      </c>
      <c r="D1035" s="5">
        <v>174.9</v>
      </c>
      <c r="E1035" s="5">
        <v>175.2</v>
      </c>
      <c r="F1035" s="6">
        <v>2084</v>
      </c>
    </row>
    <row r="1036" spans="1:6" x14ac:dyDescent="0.2">
      <c r="A1036" s="4">
        <v>45973</v>
      </c>
      <c r="B1036" s="5">
        <v>175.22</v>
      </c>
      <c r="C1036" s="5">
        <v>175.66</v>
      </c>
      <c r="D1036" s="5">
        <v>175.22</v>
      </c>
      <c r="E1036" s="5">
        <v>175.66</v>
      </c>
      <c r="F1036" s="6">
        <v>807</v>
      </c>
    </row>
    <row r="1037" spans="1:6" x14ac:dyDescent="0.2">
      <c r="A1037" s="4">
        <v>45974</v>
      </c>
      <c r="B1037" s="5">
        <v>168.6</v>
      </c>
      <c r="C1037" s="5">
        <v>178.58</v>
      </c>
      <c r="D1037" s="5">
        <v>168.6</v>
      </c>
      <c r="E1037" s="5">
        <v>177.5</v>
      </c>
      <c r="F1037" s="6">
        <v>3773</v>
      </c>
    </row>
    <row r="1038" spans="1:6" x14ac:dyDescent="0.2">
      <c r="A1038" s="4">
        <v>45975</v>
      </c>
      <c r="B1038" s="5">
        <v>178.24</v>
      </c>
      <c r="C1038" s="5">
        <v>178.24</v>
      </c>
      <c r="D1038" s="5">
        <v>174.82490000000001</v>
      </c>
      <c r="E1038" s="5">
        <v>174.82490000000001</v>
      </c>
      <c r="F1038" s="6">
        <v>779</v>
      </c>
    </row>
    <row r="1039" spans="1:6" x14ac:dyDescent="0.2">
      <c r="A1039" s="4">
        <v>45978</v>
      </c>
      <c r="B1039" s="5">
        <v>177</v>
      </c>
      <c r="C1039" s="5">
        <v>177.8725</v>
      </c>
      <c r="D1039" s="5">
        <v>175.245</v>
      </c>
      <c r="E1039" s="5">
        <v>175.245</v>
      </c>
      <c r="F1039" s="6">
        <v>1218</v>
      </c>
    </row>
    <row r="1040" spans="1:6" x14ac:dyDescent="0.2">
      <c r="A1040" s="4">
        <v>45979</v>
      </c>
      <c r="B1040" s="5">
        <v>175.20490000000001</v>
      </c>
      <c r="C1040" s="5">
        <v>175.20490000000001</v>
      </c>
      <c r="D1040" s="5">
        <v>175.20490000000001</v>
      </c>
      <c r="E1040" s="5">
        <v>175.20490000000001</v>
      </c>
      <c r="F1040" s="6">
        <v>866</v>
      </c>
    </row>
    <row r="1041" spans="1:6" x14ac:dyDescent="0.2">
      <c r="A1041" s="4">
        <v>45980</v>
      </c>
      <c r="B1041" s="5">
        <v>180</v>
      </c>
      <c r="C1041" s="5">
        <v>180.26</v>
      </c>
      <c r="D1041" s="5">
        <v>179.82</v>
      </c>
      <c r="E1041" s="5">
        <v>179.82</v>
      </c>
      <c r="F1041" s="6">
        <v>1133</v>
      </c>
    </row>
    <row r="1042" spans="1:6" x14ac:dyDescent="0.2">
      <c r="A1042" s="4">
        <v>45981</v>
      </c>
      <c r="B1042" s="5">
        <v>178.98</v>
      </c>
      <c r="C1042" s="5">
        <v>178.98</v>
      </c>
      <c r="D1042" s="5">
        <v>177.85</v>
      </c>
      <c r="E1042" s="5">
        <v>177.85</v>
      </c>
      <c r="F1042" s="6">
        <v>929</v>
      </c>
    </row>
    <row r="1043" spans="1:6" x14ac:dyDescent="0.2">
      <c r="A1043" s="4">
        <v>45982</v>
      </c>
      <c r="B1043" s="5">
        <v>178.26</v>
      </c>
      <c r="C1043" s="5">
        <v>182.58</v>
      </c>
      <c r="D1043" s="5">
        <v>178.26</v>
      </c>
      <c r="E1043" s="5">
        <v>182.58</v>
      </c>
      <c r="F1043" s="6">
        <v>1865</v>
      </c>
    </row>
    <row r="1044" spans="1:6" x14ac:dyDescent="0.2">
      <c r="A1044" s="4">
        <v>45985</v>
      </c>
      <c r="B1044" s="5">
        <v>179.92500000000001</v>
      </c>
      <c r="C1044" s="5">
        <v>182.7</v>
      </c>
      <c r="D1044" s="5">
        <v>179.92500000000001</v>
      </c>
      <c r="E1044" s="5">
        <v>182.7</v>
      </c>
      <c r="F1044" s="6">
        <v>881</v>
      </c>
    </row>
    <row r="1045" spans="1:6" x14ac:dyDescent="0.2">
      <c r="A1045" s="4">
        <v>45986</v>
      </c>
      <c r="B1045" s="5">
        <v>184.5</v>
      </c>
      <c r="C1045" s="5">
        <v>187.72</v>
      </c>
      <c r="D1045" s="5">
        <v>184.5</v>
      </c>
      <c r="E1045" s="5">
        <v>187.72</v>
      </c>
      <c r="F1045" s="6">
        <v>1815</v>
      </c>
    </row>
    <row r="1046" spans="1:6" x14ac:dyDescent="0.2">
      <c r="A1046" s="4">
        <v>45987</v>
      </c>
      <c r="B1046" s="5">
        <v>185</v>
      </c>
      <c r="C1046" s="5">
        <v>188.5</v>
      </c>
      <c r="D1046" s="5">
        <v>185</v>
      </c>
      <c r="E1046" s="5">
        <v>188.5</v>
      </c>
      <c r="F1046" s="6">
        <v>1776</v>
      </c>
    </row>
    <row r="1047" spans="1:6" x14ac:dyDescent="0.2">
      <c r="A1047" s="4">
        <v>45989</v>
      </c>
      <c r="B1047" s="5">
        <v>183.74</v>
      </c>
      <c r="C1047" s="5">
        <v>183.74</v>
      </c>
      <c r="D1047" s="5">
        <v>183.74</v>
      </c>
      <c r="E1047" s="5">
        <v>183.74</v>
      </c>
      <c r="F1047" s="6">
        <v>349</v>
      </c>
    </row>
    <row r="1048" spans="1:6" x14ac:dyDescent="0.2">
      <c r="A1048" s="4">
        <v>45992</v>
      </c>
      <c r="B1048" s="5">
        <v>184</v>
      </c>
      <c r="C1048" s="5">
        <v>184</v>
      </c>
      <c r="D1048" s="5">
        <v>180.35</v>
      </c>
      <c r="E1048" s="5">
        <v>180.35</v>
      </c>
      <c r="F1048" s="6">
        <v>1737</v>
      </c>
    </row>
    <row r="1049" spans="1:6" x14ac:dyDescent="0.2">
      <c r="A1049" s="4">
        <v>45993</v>
      </c>
      <c r="B1049" s="5">
        <v>180.95</v>
      </c>
      <c r="C1049" s="5">
        <v>180.95</v>
      </c>
      <c r="D1049" s="5">
        <v>179.09989999999999</v>
      </c>
      <c r="E1049" s="5">
        <v>179.09989999999999</v>
      </c>
      <c r="F1049" s="6">
        <v>2140</v>
      </c>
    </row>
    <row r="1050" spans="1:6" x14ac:dyDescent="0.2">
      <c r="A1050" s="4">
        <v>45994</v>
      </c>
      <c r="B1050" s="5">
        <v>179.96</v>
      </c>
      <c r="C1050" s="5">
        <v>183.27500000000001</v>
      </c>
      <c r="D1050" s="5">
        <v>179.96</v>
      </c>
      <c r="E1050" s="5">
        <v>183.27500000000001</v>
      </c>
      <c r="F1050" s="6">
        <v>7499</v>
      </c>
    </row>
    <row r="1051" spans="1:6" x14ac:dyDescent="0.2">
      <c r="A1051" s="4">
        <v>45995</v>
      </c>
      <c r="B1051" s="5">
        <v>183.27500000000001</v>
      </c>
      <c r="C1051" s="5">
        <v>183.27500000000001</v>
      </c>
      <c r="D1051" s="5">
        <v>183.27500000000001</v>
      </c>
      <c r="E1051" s="5">
        <v>183.27500000000001</v>
      </c>
      <c r="F1051" s="6"/>
    </row>
    <row r="1052" spans="1:6" x14ac:dyDescent="0.2">
      <c r="A1052" s="4">
        <v>45996</v>
      </c>
      <c r="B1052" s="5">
        <v>182.32499999999999</v>
      </c>
      <c r="C1052" s="5">
        <v>182.32499999999999</v>
      </c>
      <c r="D1052" s="5">
        <v>179.48750000000001</v>
      </c>
      <c r="E1052" s="5">
        <v>179.48750000000001</v>
      </c>
      <c r="F1052" s="6">
        <v>1118</v>
      </c>
    </row>
    <row r="1053" spans="1:6" x14ac:dyDescent="0.2">
      <c r="A1053" s="4">
        <v>45999</v>
      </c>
      <c r="B1053" s="5">
        <v>179.09989999999999</v>
      </c>
      <c r="C1053" s="5">
        <v>182.35</v>
      </c>
      <c r="D1053" s="5">
        <v>179.09989999999999</v>
      </c>
      <c r="E1053" s="5">
        <v>180.94</v>
      </c>
      <c r="F1053" s="6">
        <v>1208</v>
      </c>
    </row>
    <row r="1054" spans="1:6" x14ac:dyDescent="0.2">
      <c r="A1054" s="4">
        <v>46000</v>
      </c>
      <c r="B1054" s="5">
        <v>183.77969999999999</v>
      </c>
      <c r="C1054" s="5">
        <v>183.77969999999999</v>
      </c>
      <c r="D1054" s="5">
        <v>179.09989999999999</v>
      </c>
      <c r="E1054" s="5">
        <v>179.09989999999999</v>
      </c>
      <c r="F1054" s="6">
        <v>1365</v>
      </c>
    </row>
    <row r="1055" spans="1:6" x14ac:dyDescent="0.2">
      <c r="A1055" s="4">
        <v>46001</v>
      </c>
      <c r="B1055" s="5">
        <v>179.6</v>
      </c>
      <c r="C1055" s="5">
        <v>181.92</v>
      </c>
      <c r="D1055" s="5">
        <v>179.6</v>
      </c>
      <c r="E1055" s="5">
        <v>181.92</v>
      </c>
      <c r="F1055" s="6">
        <v>822</v>
      </c>
    </row>
    <row r="1056" spans="1:6" x14ac:dyDescent="0.2">
      <c r="A1056" s="4">
        <v>46002</v>
      </c>
      <c r="B1056" s="5">
        <v>181.92</v>
      </c>
      <c r="C1056" s="5">
        <v>181.92</v>
      </c>
      <c r="D1056" s="5">
        <v>181.92</v>
      </c>
      <c r="E1056" s="5">
        <v>181.92</v>
      </c>
      <c r="F1056" s="6"/>
    </row>
    <row r="1057" spans="1:6" x14ac:dyDescent="0.2">
      <c r="A1057" s="4">
        <v>46003</v>
      </c>
      <c r="B1057" s="5">
        <v>181.92</v>
      </c>
      <c r="C1057" s="5">
        <v>181.92</v>
      </c>
      <c r="D1057" s="5">
        <v>181.92</v>
      </c>
      <c r="E1057" s="5">
        <v>181.92</v>
      </c>
      <c r="F1057" s="6"/>
    </row>
    <row r="1058" spans="1:6" x14ac:dyDescent="0.2">
      <c r="A1058" s="4">
        <v>46006</v>
      </c>
      <c r="B1058" s="5">
        <v>180.86</v>
      </c>
      <c r="C1058" s="5">
        <v>183.96</v>
      </c>
      <c r="D1058" s="5">
        <v>180.75989999999999</v>
      </c>
      <c r="E1058" s="5">
        <v>183.86</v>
      </c>
      <c r="F1058" s="6">
        <v>1148</v>
      </c>
    </row>
    <row r="1059" spans="1:6" x14ac:dyDescent="0.2">
      <c r="A1059" s="4">
        <v>46007</v>
      </c>
      <c r="B1059" s="5">
        <v>183.86</v>
      </c>
      <c r="C1059" s="5">
        <v>183.86</v>
      </c>
      <c r="D1059" s="5">
        <v>183.86</v>
      </c>
      <c r="E1059" s="5">
        <v>183.86</v>
      </c>
      <c r="F1059" s="6"/>
    </row>
    <row r="1060" spans="1:6" x14ac:dyDescent="0.2">
      <c r="A1060" s="4">
        <v>46008</v>
      </c>
      <c r="B1060" s="5">
        <v>182.7</v>
      </c>
      <c r="C1060" s="5">
        <v>184.75</v>
      </c>
      <c r="D1060" s="5">
        <v>182.7</v>
      </c>
      <c r="E1060" s="5">
        <v>184.75</v>
      </c>
      <c r="F1060" s="6">
        <v>1132</v>
      </c>
    </row>
    <row r="1061" spans="1:6" x14ac:dyDescent="0.2">
      <c r="A1061" s="4">
        <v>46009</v>
      </c>
      <c r="B1061" s="5">
        <v>180.55</v>
      </c>
      <c r="C1061" s="5">
        <v>182.98</v>
      </c>
      <c r="D1061" s="5">
        <v>180.53989999999999</v>
      </c>
      <c r="E1061" s="5">
        <v>180.53989999999999</v>
      </c>
      <c r="F1061" s="6">
        <v>1944</v>
      </c>
    </row>
    <row r="1062" spans="1:6" x14ac:dyDescent="0.2">
      <c r="A1062" s="4">
        <v>46010</v>
      </c>
      <c r="B1062" s="5">
        <v>174.54499999999999</v>
      </c>
      <c r="C1062" s="5">
        <v>183.6592</v>
      </c>
      <c r="D1062" s="5">
        <v>174.54499999999999</v>
      </c>
      <c r="E1062" s="5">
        <v>181.23</v>
      </c>
      <c r="F1062" s="6">
        <v>2421</v>
      </c>
    </row>
    <row r="1063" spans="1:6" x14ac:dyDescent="0.2">
      <c r="A1063" s="4">
        <v>46013</v>
      </c>
      <c r="B1063" s="5">
        <v>184.5</v>
      </c>
      <c r="C1063" s="5">
        <v>184.5</v>
      </c>
      <c r="D1063" s="5">
        <v>180.75</v>
      </c>
      <c r="E1063" s="5">
        <v>180.75</v>
      </c>
      <c r="F1063" s="6">
        <v>8154</v>
      </c>
    </row>
    <row r="1064" spans="1:6" x14ac:dyDescent="0.2">
      <c r="A1064" s="4">
        <v>46014</v>
      </c>
      <c r="B1064" s="5">
        <v>182.24</v>
      </c>
      <c r="C1064" s="5">
        <v>185.72</v>
      </c>
      <c r="D1064" s="5">
        <v>182.24</v>
      </c>
      <c r="E1064" s="5">
        <v>183</v>
      </c>
      <c r="F1064" s="6">
        <v>859</v>
      </c>
    </row>
    <row r="1065" spans="1:6" x14ac:dyDescent="0.2">
      <c r="A1065" s="4">
        <v>46015</v>
      </c>
      <c r="B1065" s="5">
        <v>186.4</v>
      </c>
      <c r="C1065" s="5">
        <v>186.4</v>
      </c>
      <c r="D1065" s="5">
        <v>186.4</v>
      </c>
      <c r="E1065" s="5">
        <v>186.4</v>
      </c>
      <c r="F1065" s="6">
        <v>342</v>
      </c>
    </row>
    <row r="1066" spans="1:6" x14ac:dyDescent="0.2">
      <c r="A1066" s="4">
        <v>46017</v>
      </c>
      <c r="B1066" s="5">
        <v>181.27500000000001</v>
      </c>
      <c r="C1066" s="5">
        <v>181.27500000000001</v>
      </c>
      <c r="D1066" s="5">
        <v>181.27500000000001</v>
      </c>
      <c r="E1066" s="5">
        <v>181.27500000000001</v>
      </c>
      <c r="F1066" s="6">
        <v>894</v>
      </c>
    </row>
    <row r="1067" spans="1:6" x14ac:dyDescent="0.2">
      <c r="A1067" s="4">
        <v>46020</v>
      </c>
      <c r="B1067" s="5">
        <v>183</v>
      </c>
      <c r="C1067" s="5">
        <v>187.06</v>
      </c>
      <c r="D1067" s="5">
        <v>183</v>
      </c>
      <c r="E1067" s="5">
        <v>187.06</v>
      </c>
      <c r="F1067" s="6">
        <v>899</v>
      </c>
    </row>
    <row r="1068" spans="1:6" x14ac:dyDescent="0.2">
      <c r="A1068" s="4">
        <v>46021</v>
      </c>
      <c r="B1068" s="5">
        <v>180.85</v>
      </c>
      <c r="C1068" s="5">
        <v>180.85</v>
      </c>
      <c r="D1068" s="5">
        <v>180.85</v>
      </c>
      <c r="E1068" s="5">
        <v>180.85</v>
      </c>
      <c r="F1068" s="6">
        <v>783</v>
      </c>
    </row>
    <row r="1069" spans="1:6" x14ac:dyDescent="0.2">
      <c r="A1069" s="4">
        <v>46022</v>
      </c>
      <c r="B1069" s="5">
        <v>178.60249999999999</v>
      </c>
      <c r="C1069" s="5">
        <v>178.60249999999999</v>
      </c>
      <c r="D1069" s="5">
        <v>175.5</v>
      </c>
      <c r="E1069" s="5">
        <v>175.5</v>
      </c>
      <c r="F1069" s="6">
        <v>576</v>
      </c>
    </row>
    <row r="1070" spans="1:6" x14ac:dyDescent="0.2">
      <c r="A1070" s="4">
        <v>46024</v>
      </c>
      <c r="B1070" s="5">
        <v>185.06</v>
      </c>
      <c r="C1070" s="5">
        <v>185.06</v>
      </c>
      <c r="D1070" s="5">
        <v>182.67500000000001</v>
      </c>
      <c r="E1070" s="5">
        <v>182.67500000000001</v>
      </c>
      <c r="F1070" s="6">
        <v>2224</v>
      </c>
    </row>
    <row r="1071" spans="1:6" x14ac:dyDescent="0.2">
      <c r="A1071" s="4">
        <v>46027</v>
      </c>
      <c r="B1071" s="5">
        <v>186</v>
      </c>
      <c r="C1071" s="5">
        <v>186</v>
      </c>
      <c r="D1071" s="5">
        <v>179.05699999999999</v>
      </c>
      <c r="E1071" s="5">
        <v>179.05699999999999</v>
      </c>
      <c r="F1071" s="6">
        <v>1948</v>
      </c>
    </row>
    <row r="1072" spans="1:6" x14ac:dyDescent="0.2">
      <c r="A1072" s="4">
        <v>46028</v>
      </c>
      <c r="B1072" s="5">
        <v>188</v>
      </c>
      <c r="C1072" s="5">
        <v>190.49</v>
      </c>
      <c r="D1072" s="5">
        <v>188</v>
      </c>
      <c r="E1072" s="5">
        <v>190.49</v>
      </c>
      <c r="F1072" s="6">
        <v>1513</v>
      </c>
    </row>
    <row r="1073" spans="1:6" x14ac:dyDescent="0.2">
      <c r="A1073" s="4">
        <v>46029</v>
      </c>
      <c r="B1073" s="5">
        <v>189</v>
      </c>
      <c r="C1073" s="5">
        <v>192.9</v>
      </c>
      <c r="D1073" s="5">
        <v>189</v>
      </c>
      <c r="E1073" s="5">
        <v>190.77500000000001</v>
      </c>
      <c r="F1073" s="6">
        <v>1601</v>
      </c>
    </row>
    <row r="1074" spans="1:6" x14ac:dyDescent="0.2">
      <c r="A1074" s="4">
        <v>46030</v>
      </c>
      <c r="B1074" s="5">
        <v>188.5</v>
      </c>
      <c r="C1074" s="5">
        <v>188.5</v>
      </c>
      <c r="D1074" s="5">
        <v>188.5</v>
      </c>
      <c r="E1074" s="5">
        <v>188.5</v>
      </c>
      <c r="F1074" s="6">
        <v>1614</v>
      </c>
    </row>
    <row r="1075" spans="1:6" x14ac:dyDescent="0.2">
      <c r="A1075" s="4">
        <v>46031</v>
      </c>
      <c r="B1075" s="5">
        <v>190.57499999999999</v>
      </c>
      <c r="C1075" s="5">
        <v>192.62</v>
      </c>
      <c r="D1075" s="5">
        <v>190.57499999999999</v>
      </c>
      <c r="E1075" s="5">
        <v>190.98500000000001</v>
      </c>
      <c r="F1075" s="6">
        <v>2372</v>
      </c>
    </row>
    <row r="1076" spans="1:6" x14ac:dyDescent="0.2">
      <c r="A1076" s="4">
        <v>46034</v>
      </c>
      <c r="B1076" s="5">
        <v>188.2</v>
      </c>
      <c r="C1076" s="5">
        <v>188.2</v>
      </c>
      <c r="D1076" s="5">
        <v>185.47989999999999</v>
      </c>
      <c r="E1076" s="5">
        <v>185.47989999999999</v>
      </c>
      <c r="F1076" s="6">
        <v>1678</v>
      </c>
    </row>
    <row r="1077" spans="1:6" x14ac:dyDescent="0.2">
      <c r="A1077" s="4">
        <v>46035</v>
      </c>
      <c r="B1077" s="5">
        <v>182.83199999999999</v>
      </c>
      <c r="C1077" s="5">
        <v>188.66</v>
      </c>
      <c r="D1077" s="5">
        <v>182.83199999999999</v>
      </c>
      <c r="E1077" s="5">
        <v>188.66</v>
      </c>
      <c r="F1077" s="6">
        <v>1109</v>
      </c>
    </row>
    <row r="1078" spans="1:6" x14ac:dyDescent="0.2">
      <c r="A1078" s="4">
        <v>46036</v>
      </c>
      <c r="B1078" s="5">
        <v>190.23</v>
      </c>
      <c r="C1078" s="5">
        <v>190.23</v>
      </c>
      <c r="D1078" s="5">
        <v>190.23</v>
      </c>
      <c r="E1078" s="5">
        <v>190.23</v>
      </c>
      <c r="F1078" s="6">
        <v>492</v>
      </c>
    </row>
    <row r="1079" spans="1:6" x14ac:dyDescent="0.2">
      <c r="A1079" s="4">
        <v>46037</v>
      </c>
      <c r="B1079" s="5">
        <v>189.44</v>
      </c>
      <c r="C1079" s="5">
        <v>189.44</v>
      </c>
      <c r="D1079" s="5">
        <v>186.5</v>
      </c>
      <c r="E1079" s="5">
        <v>188.83500000000001</v>
      </c>
      <c r="F1079" s="6">
        <v>1471</v>
      </c>
    </row>
    <row r="1080" spans="1:6" x14ac:dyDescent="0.2">
      <c r="A1080" s="4">
        <v>46038</v>
      </c>
      <c r="B1080" s="5">
        <v>184.1</v>
      </c>
      <c r="C1080" s="5">
        <v>191.125</v>
      </c>
      <c r="D1080" s="5">
        <v>180.55</v>
      </c>
      <c r="E1080" s="5">
        <v>191.125</v>
      </c>
      <c r="F1080" s="6">
        <v>3523</v>
      </c>
    </row>
    <row r="1081" spans="1:6" x14ac:dyDescent="0.2">
      <c r="A1081" s="4">
        <v>46042</v>
      </c>
      <c r="B1081" s="5">
        <v>172.68</v>
      </c>
      <c r="C1081" s="5">
        <v>183.2</v>
      </c>
      <c r="D1081" s="5">
        <v>172.68</v>
      </c>
      <c r="E1081" s="5">
        <v>183.2</v>
      </c>
      <c r="F1081" s="6">
        <v>4909</v>
      </c>
    </row>
    <row r="1082" spans="1:6" x14ac:dyDescent="0.2">
      <c r="A1082" s="4">
        <v>46043</v>
      </c>
      <c r="B1082" s="5">
        <v>179.39</v>
      </c>
      <c r="C1082" s="5">
        <v>180.64</v>
      </c>
      <c r="D1082" s="5">
        <v>175</v>
      </c>
      <c r="E1082" s="5">
        <v>175</v>
      </c>
      <c r="F1082" s="6">
        <v>2167</v>
      </c>
    </row>
    <row r="1083" spans="1:6" x14ac:dyDescent="0.2">
      <c r="A1083" s="4">
        <v>46044</v>
      </c>
      <c r="B1083" s="5">
        <v>179.5</v>
      </c>
      <c r="C1083" s="5">
        <v>179.5</v>
      </c>
      <c r="D1083" s="5">
        <v>179.5</v>
      </c>
      <c r="E1083" s="5">
        <v>179.5</v>
      </c>
      <c r="F1083" s="6">
        <v>828</v>
      </c>
    </row>
    <row r="1084" spans="1:6" x14ac:dyDescent="0.2">
      <c r="A1084" s="4">
        <v>46045</v>
      </c>
      <c r="B1084" s="5">
        <v>175.34</v>
      </c>
      <c r="C1084" s="5">
        <v>178.29400000000001</v>
      </c>
      <c r="D1084" s="5">
        <v>175.34</v>
      </c>
      <c r="E1084" s="5">
        <v>177.5</v>
      </c>
      <c r="F1084" s="6">
        <v>3712</v>
      </c>
    </row>
    <row r="1085" spans="1:6" x14ac:dyDescent="0.2">
      <c r="A1085" s="4">
        <v>46048</v>
      </c>
      <c r="B1085" s="5">
        <v>187.02500000000001</v>
      </c>
      <c r="C1085" s="5">
        <v>187.02500000000001</v>
      </c>
      <c r="D1085" s="5">
        <v>179.05</v>
      </c>
      <c r="E1085" s="5">
        <v>179.05</v>
      </c>
      <c r="F1085" s="6">
        <v>858</v>
      </c>
    </row>
    <row r="1086" spans="1:6" x14ac:dyDescent="0.2">
      <c r="A1086" s="4">
        <v>46049</v>
      </c>
      <c r="B1086" s="5">
        <v>188.7</v>
      </c>
      <c r="C1086" s="5">
        <v>195</v>
      </c>
      <c r="D1086" s="5">
        <v>188.065</v>
      </c>
      <c r="E1086" s="5">
        <v>188.065</v>
      </c>
      <c r="F1086" s="6">
        <v>2228</v>
      </c>
    </row>
    <row r="1087" spans="1:6" x14ac:dyDescent="0.2">
      <c r="A1087" s="4">
        <v>46050</v>
      </c>
      <c r="B1087" s="5">
        <v>187.85</v>
      </c>
      <c r="C1087" s="5">
        <v>187.9</v>
      </c>
      <c r="D1087" s="5">
        <v>177.87</v>
      </c>
      <c r="E1087" s="5">
        <v>187.8</v>
      </c>
      <c r="F1087" s="6">
        <v>2815</v>
      </c>
    </row>
    <row r="1088" spans="1:6" x14ac:dyDescent="0.2">
      <c r="A1088" s="4">
        <v>46051</v>
      </c>
      <c r="B1088" s="5">
        <v>188.01519999999999</v>
      </c>
      <c r="C1088" s="5">
        <v>188.01519999999999</v>
      </c>
      <c r="D1088" s="5">
        <v>182.79</v>
      </c>
      <c r="E1088" s="5">
        <v>183.17</v>
      </c>
      <c r="F1088" s="6">
        <v>1055</v>
      </c>
    </row>
    <row r="1089" spans="1:6" x14ac:dyDescent="0.2">
      <c r="A1089" s="4">
        <v>46052</v>
      </c>
      <c r="B1089" s="5">
        <v>183</v>
      </c>
      <c r="C1089" s="5">
        <v>187.1</v>
      </c>
      <c r="D1089" s="5">
        <v>182.27500000000001</v>
      </c>
      <c r="E1089" s="5">
        <v>187.1</v>
      </c>
      <c r="F1089" s="6">
        <v>1738</v>
      </c>
    </row>
    <row r="1090" spans="1:6" x14ac:dyDescent="0.2">
      <c r="A1090" s="4">
        <v>46055</v>
      </c>
      <c r="B1090" s="5">
        <v>187.5</v>
      </c>
      <c r="C1090" s="5">
        <v>192.79</v>
      </c>
      <c r="D1090" s="5">
        <v>186.18</v>
      </c>
      <c r="E1090" s="5">
        <v>188.41</v>
      </c>
      <c r="F1090" s="6">
        <v>3228784</v>
      </c>
    </row>
    <row r="1091" spans="1:6" x14ac:dyDescent="0.2">
      <c r="A1091" s="4">
        <v>46056</v>
      </c>
      <c r="B1091" s="5">
        <v>187.61</v>
      </c>
      <c r="C1091" s="5">
        <v>190.72</v>
      </c>
      <c r="D1091" s="5">
        <v>183.63</v>
      </c>
      <c r="E1091" s="5">
        <v>184.32</v>
      </c>
      <c r="F1091" s="6">
        <v>2659669</v>
      </c>
    </row>
    <row r="1092" spans="1:6" x14ac:dyDescent="0.2">
      <c r="A1092" s="4">
        <v>46057</v>
      </c>
      <c r="B1092" s="5">
        <v>189.06</v>
      </c>
      <c r="C1092" s="5">
        <v>190.7</v>
      </c>
      <c r="D1092" s="5">
        <v>186.32</v>
      </c>
      <c r="E1092" s="5">
        <v>187.45</v>
      </c>
      <c r="F1092" s="6">
        <v>3889197</v>
      </c>
    </row>
    <row r="1093" spans="1:6" x14ac:dyDescent="0.2">
      <c r="A1093" s="4">
        <v>46058</v>
      </c>
      <c r="B1093" s="5">
        <v>187.07</v>
      </c>
      <c r="C1093" s="5">
        <v>190.67</v>
      </c>
      <c r="D1093" s="5">
        <v>186.58</v>
      </c>
      <c r="E1093" s="5">
        <v>187.16</v>
      </c>
      <c r="F1093" s="6">
        <v>3380548</v>
      </c>
    </row>
    <row r="1094" spans="1:6" x14ac:dyDescent="0.2">
      <c r="A1094" s="4">
        <v>46059</v>
      </c>
      <c r="B1094" s="5">
        <v>190.46</v>
      </c>
      <c r="C1094" s="5">
        <v>193.97</v>
      </c>
      <c r="D1094" s="5">
        <v>188.49</v>
      </c>
      <c r="E1094" s="5">
        <v>193.03</v>
      </c>
      <c r="F1094" s="6">
        <v>3117634</v>
      </c>
    </row>
    <row r="1095" spans="1:6" x14ac:dyDescent="0.2">
      <c r="A1095" s="4">
        <v>46062</v>
      </c>
      <c r="B1095" s="5">
        <v>191.8</v>
      </c>
      <c r="C1095" s="5">
        <v>192.76</v>
      </c>
      <c r="D1095" s="5">
        <v>187.06</v>
      </c>
      <c r="E1095" s="5">
        <v>188.01</v>
      </c>
      <c r="F1095" s="6">
        <v>3030835</v>
      </c>
    </row>
    <row r="1096" spans="1:6" x14ac:dyDescent="0.2">
      <c r="A1096" s="4">
        <v>46063</v>
      </c>
      <c r="B1096" s="5">
        <v>194.02</v>
      </c>
      <c r="C1096" s="5">
        <v>195.89500000000001</v>
      </c>
      <c r="D1096" s="5">
        <v>190.6</v>
      </c>
      <c r="E1096" s="5">
        <v>193.4</v>
      </c>
      <c r="F1096" s="6">
        <v>2726807</v>
      </c>
    </row>
    <row r="1097" spans="1:6" x14ac:dyDescent="0.2">
      <c r="A1097" s="4">
        <v>46064</v>
      </c>
      <c r="B1097" s="5">
        <v>200.08</v>
      </c>
      <c r="C1097" s="5">
        <v>204.92</v>
      </c>
      <c r="D1097" s="5">
        <v>199.19</v>
      </c>
      <c r="E1097" s="5">
        <v>204.76</v>
      </c>
      <c r="F1097" s="6">
        <v>3484048</v>
      </c>
    </row>
    <row r="1098" spans="1:6" x14ac:dyDescent="0.2">
      <c r="A1098" s="4">
        <v>46065</v>
      </c>
      <c r="B1098" s="5">
        <v>202.52</v>
      </c>
      <c r="C1098" s="5">
        <v>205.86</v>
      </c>
      <c r="D1098" s="5">
        <v>202.1</v>
      </c>
      <c r="E1098" s="5">
        <v>204.52</v>
      </c>
      <c r="F1098" s="6">
        <v>2723911</v>
      </c>
    </row>
    <row r="1099" spans="1:6" x14ac:dyDescent="0.2">
      <c r="A1099" s="4">
        <v>46066</v>
      </c>
      <c r="B1099" s="5">
        <v>205.64</v>
      </c>
      <c r="C1099" s="5">
        <v>206.71</v>
      </c>
      <c r="D1099" s="5">
        <v>204.09</v>
      </c>
      <c r="E1099" s="5">
        <v>205.55</v>
      </c>
      <c r="F1099" s="6">
        <v>2504807</v>
      </c>
    </row>
    <row r="1100" spans="1:6" x14ac:dyDescent="0.2">
      <c r="A1100" s="4">
        <v>46070</v>
      </c>
      <c r="B1100" s="5">
        <v>208.1</v>
      </c>
      <c r="C1100" s="5">
        <v>211.27</v>
      </c>
      <c r="D1100" s="5">
        <v>207.84909999999999</v>
      </c>
      <c r="E1100" s="5">
        <v>209.48</v>
      </c>
      <c r="F1100" s="6">
        <v>2287817</v>
      </c>
    </row>
    <row r="1101" spans="1:6" x14ac:dyDescent="0.2">
      <c r="A1101" s="4">
        <v>46071</v>
      </c>
      <c r="B1101" s="5">
        <v>212.66</v>
      </c>
      <c r="C1101" s="5">
        <v>212.71</v>
      </c>
      <c r="D1101" s="5">
        <v>207.52</v>
      </c>
      <c r="E1101" s="5">
        <v>208.67</v>
      </c>
      <c r="F1101" s="6">
        <v>2604191</v>
      </c>
    </row>
    <row r="1102" spans="1:6" x14ac:dyDescent="0.2">
      <c r="A1102" s="4">
        <v>46072</v>
      </c>
      <c r="B1102" s="5">
        <v>208.75</v>
      </c>
      <c r="C1102" s="5">
        <v>208.95</v>
      </c>
      <c r="D1102" s="5">
        <v>205.715</v>
      </c>
      <c r="E1102" s="5">
        <v>208.62</v>
      </c>
      <c r="F1102" s="6">
        <v>2037183</v>
      </c>
    </row>
    <row r="1103" spans="1:6" x14ac:dyDescent="0.2">
      <c r="A1103" s="4">
        <v>46073</v>
      </c>
      <c r="B1103" s="5">
        <v>206.6</v>
      </c>
      <c r="C1103" s="5">
        <v>207.69</v>
      </c>
      <c r="D1103" s="5">
        <v>204.05</v>
      </c>
      <c r="E1103" s="5">
        <v>204.2</v>
      </c>
      <c r="F1103" s="6">
        <v>1592684</v>
      </c>
    </row>
    <row r="1104" spans="1:6" x14ac:dyDescent="0.2">
      <c r="A1104" s="4">
        <v>46076</v>
      </c>
      <c r="B1104" s="5">
        <v>204.6</v>
      </c>
      <c r="C1104" s="5">
        <v>207.34</v>
      </c>
      <c r="D1104" s="5">
        <v>204.22</v>
      </c>
      <c r="E1104" s="5">
        <v>204.94</v>
      </c>
      <c r="F1104" s="6">
        <v>1816259</v>
      </c>
    </row>
    <row r="1105" spans="1:6" x14ac:dyDescent="0.2">
      <c r="A1105" s="4">
        <v>46077</v>
      </c>
      <c r="B1105" s="5">
        <v>208.99</v>
      </c>
      <c r="C1105" s="5">
        <v>209.35</v>
      </c>
      <c r="D1105" s="5">
        <v>206.49</v>
      </c>
      <c r="E1105" s="5">
        <v>206.61</v>
      </c>
      <c r="F1105" s="6">
        <v>1710971</v>
      </c>
    </row>
    <row r="1106" spans="1:6" x14ac:dyDescent="0.2">
      <c r="A1106" s="4">
        <v>46078</v>
      </c>
      <c r="B1106" s="5">
        <v>206.745</v>
      </c>
      <c r="C1106" s="5">
        <v>207.55</v>
      </c>
      <c r="D1106" s="5">
        <v>205.3004</v>
      </c>
      <c r="E1106" s="5">
        <v>205.79</v>
      </c>
      <c r="F1106" s="6">
        <v>1434786</v>
      </c>
    </row>
    <row r="1107" spans="1:6" x14ac:dyDescent="0.2">
      <c r="A1107" s="4">
        <v>46079</v>
      </c>
      <c r="B1107" s="5">
        <v>204.98</v>
      </c>
      <c r="C1107" s="5">
        <v>205.16</v>
      </c>
      <c r="D1107" s="5">
        <v>202.64</v>
      </c>
      <c r="E1107" s="5">
        <v>203.98</v>
      </c>
      <c r="F1107" s="6">
        <v>2250416</v>
      </c>
    </row>
    <row r="1108" spans="1:6" x14ac:dyDescent="0.2">
      <c r="A1108" s="4">
        <v>46080</v>
      </c>
      <c r="B1108" s="5">
        <v>207.27</v>
      </c>
      <c r="C1108" s="5">
        <v>209.93</v>
      </c>
      <c r="D1108" s="5">
        <v>206.95</v>
      </c>
      <c r="E1108" s="5">
        <v>208.45</v>
      </c>
      <c r="F1108" s="6">
        <v>1996353</v>
      </c>
    </row>
    <row r="1109" spans="1:6" x14ac:dyDescent="0.2">
      <c r="A1109" s="4">
        <v>46083</v>
      </c>
      <c r="B1109" s="5">
        <v>205.64</v>
      </c>
      <c r="C1109" s="5">
        <v>206.3</v>
      </c>
      <c r="D1109" s="5">
        <v>203.34</v>
      </c>
      <c r="E1109" s="5">
        <v>203.73</v>
      </c>
      <c r="F1109" s="6">
        <v>1718825</v>
      </c>
    </row>
    <row r="1110" spans="1:6" x14ac:dyDescent="0.2">
      <c r="A1110" s="4">
        <v>46084</v>
      </c>
      <c r="B1110" s="5">
        <v>200</v>
      </c>
      <c r="C1110" s="5">
        <v>201.99</v>
      </c>
      <c r="D1110" s="5">
        <v>197.1</v>
      </c>
      <c r="E1110" s="5">
        <v>201.76</v>
      </c>
      <c r="F1110" s="6">
        <v>2733125</v>
      </c>
    </row>
    <row r="1111" spans="1:6" x14ac:dyDescent="0.2">
      <c r="A1111" s="4">
        <v>46085</v>
      </c>
      <c r="B1111" s="5">
        <v>203.22</v>
      </c>
      <c r="C1111" s="5">
        <v>203.29</v>
      </c>
      <c r="D1111" s="5">
        <v>200.55</v>
      </c>
      <c r="E1111" s="5">
        <v>201.53</v>
      </c>
      <c r="F1111" s="6">
        <v>2911154</v>
      </c>
    </row>
    <row r="1112" spans="1:6" x14ac:dyDescent="0.2">
      <c r="A1112" s="4">
        <v>46086</v>
      </c>
      <c r="B1112" s="5">
        <v>199.4</v>
      </c>
      <c r="C1112" s="5">
        <v>199.52</v>
      </c>
      <c r="D1112" s="5">
        <v>195.26300000000001</v>
      </c>
      <c r="E1112" s="5">
        <v>197.52</v>
      </c>
      <c r="F1112" s="6">
        <v>2648591</v>
      </c>
    </row>
    <row r="1113" spans="1:6" x14ac:dyDescent="0.2">
      <c r="A1113" s="4">
        <v>46087</v>
      </c>
      <c r="B1113" s="5">
        <v>194.01</v>
      </c>
      <c r="C1113" s="5">
        <v>194.82740000000001</v>
      </c>
      <c r="D1113" s="5">
        <v>192.76</v>
      </c>
      <c r="E1113" s="5">
        <v>194.22</v>
      </c>
      <c r="F1113" s="6">
        <v>1473886</v>
      </c>
    </row>
    <row r="1114" spans="1:6" x14ac:dyDescent="0.2">
      <c r="A1114" s="4">
        <v>46090</v>
      </c>
      <c r="B1114" s="5">
        <v>190.33</v>
      </c>
      <c r="C1114" s="5">
        <v>195.79</v>
      </c>
      <c r="D1114" s="5">
        <v>189.35</v>
      </c>
      <c r="E1114" s="5">
        <v>194.95</v>
      </c>
      <c r="F1114" s="6">
        <v>1875079</v>
      </c>
    </row>
    <row r="1115" spans="1:6" x14ac:dyDescent="0.2">
      <c r="A1115" s="4">
        <v>46091</v>
      </c>
      <c r="B1115" s="5">
        <v>196.72</v>
      </c>
      <c r="C1115" s="5">
        <v>198.09</v>
      </c>
      <c r="D1115" s="5">
        <v>194.81</v>
      </c>
      <c r="E1115" s="5">
        <v>194.99</v>
      </c>
      <c r="F1115" s="6">
        <v>1658298</v>
      </c>
    </row>
    <row r="1116" spans="1:6" x14ac:dyDescent="0.2">
      <c r="A1116" s="4">
        <v>46092</v>
      </c>
      <c r="B1116" s="5">
        <v>194.22</v>
      </c>
      <c r="C1116" s="5">
        <v>194.83</v>
      </c>
      <c r="D1116" s="5">
        <v>192.31</v>
      </c>
      <c r="E1116" s="5">
        <v>193.31</v>
      </c>
      <c r="F1116" s="6">
        <v>1416810</v>
      </c>
    </row>
    <row r="1117" spans="1:6" x14ac:dyDescent="0.2">
      <c r="A1117" s="4">
        <v>46093</v>
      </c>
      <c r="B1117" s="5">
        <v>193.91</v>
      </c>
      <c r="C1117" s="5">
        <v>193.92</v>
      </c>
      <c r="D1117" s="5">
        <v>190.96</v>
      </c>
      <c r="E1117" s="5">
        <v>192.5</v>
      </c>
      <c r="F1117" s="6">
        <v>2154780</v>
      </c>
    </row>
    <row r="1118" spans="1:6" x14ac:dyDescent="0.2">
      <c r="A1118" s="4">
        <v>46094</v>
      </c>
      <c r="B1118" s="5">
        <v>192.64</v>
      </c>
      <c r="C1118" s="5">
        <v>193.65</v>
      </c>
      <c r="D1118" s="5">
        <v>189.43</v>
      </c>
      <c r="E1118" s="5">
        <v>189.9</v>
      </c>
      <c r="F1118" s="6">
        <v>1429046</v>
      </c>
    </row>
    <row r="1119" spans="1:6" x14ac:dyDescent="0.2">
      <c r="A1119" s="4">
        <v>46097</v>
      </c>
      <c r="B1119" s="5">
        <v>190.81</v>
      </c>
      <c r="C1119" s="5">
        <v>192.51</v>
      </c>
      <c r="D1119" s="5">
        <v>190.54</v>
      </c>
      <c r="E1119" s="5">
        <v>192.01</v>
      </c>
      <c r="F1119" s="6">
        <v>1828861</v>
      </c>
    </row>
    <row r="1120" spans="1:6" x14ac:dyDescent="0.2">
      <c r="A1120" s="4">
        <v>46098</v>
      </c>
      <c r="B1120" s="5">
        <v>193.96</v>
      </c>
      <c r="C1120" s="5">
        <v>193.96</v>
      </c>
      <c r="D1120" s="5">
        <v>190.95</v>
      </c>
      <c r="E1120" s="5">
        <v>191.29</v>
      </c>
      <c r="F1120" s="6">
        <v>1455582</v>
      </c>
    </row>
    <row r="1121" spans="1:6" x14ac:dyDescent="0.2">
      <c r="A1121" s="4">
        <v>46099</v>
      </c>
      <c r="B1121" s="5">
        <v>190.67</v>
      </c>
      <c r="C1121" s="5">
        <v>190.73</v>
      </c>
      <c r="D1121" s="5">
        <v>187.56</v>
      </c>
      <c r="E1121" s="5">
        <v>188.42</v>
      </c>
      <c r="F1121" s="6">
        <v>1174457</v>
      </c>
    </row>
    <row r="1122" spans="1:6" x14ac:dyDescent="0.2">
      <c r="A1122" s="4">
        <v>46100</v>
      </c>
      <c r="B1122" s="5">
        <v>186.73</v>
      </c>
      <c r="C1122" s="5">
        <v>189.79</v>
      </c>
      <c r="D1122" s="5">
        <v>186.33</v>
      </c>
      <c r="E1122" s="5">
        <v>188.93</v>
      </c>
      <c r="F1122" s="6">
        <v>1469956</v>
      </c>
    </row>
    <row r="1123" spans="1:6" x14ac:dyDescent="0.2">
      <c r="A1123" s="4">
        <v>46101</v>
      </c>
      <c r="B1123" s="5">
        <v>188.14</v>
      </c>
      <c r="C1123" s="5">
        <v>188.39500000000001</v>
      </c>
      <c r="D1123" s="5">
        <v>182.62</v>
      </c>
      <c r="E1123" s="5">
        <v>183.6</v>
      </c>
      <c r="F1123" s="6">
        <v>2068001</v>
      </c>
    </row>
    <row r="1124" spans="1:6" x14ac:dyDescent="0.2">
      <c r="A1124" s="4">
        <v>46104</v>
      </c>
      <c r="B1124" s="5">
        <v>183.86</v>
      </c>
      <c r="C1124" s="5">
        <v>186.78</v>
      </c>
      <c r="D1124" s="5">
        <v>183.76</v>
      </c>
      <c r="E1124" s="5">
        <v>184.07</v>
      </c>
      <c r="F1124" s="6">
        <v>2009404</v>
      </c>
    </row>
    <row r="1125" spans="1:6" x14ac:dyDescent="0.2">
      <c r="A1125" s="4">
        <v>46105</v>
      </c>
      <c r="B1125" s="5">
        <v>182.63</v>
      </c>
      <c r="C1125" s="5">
        <v>186.22</v>
      </c>
      <c r="D1125" s="5">
        <v>182.39</v>
      </c>
      <c r="E1125" s="5">
        <v>185.78</v>
      </c>
      <c r="F1125" s="6">
        <v>1596240</v>
      </c>
    </row>
    <row r="1126" spans="1:6" x14ac:dyDescent="0.2">
      <c r="A1126" s="4">
        <v>46106</v>
      </c>
      <c r="B1126" s="5">
        <v>187.67</v>
      </c>
      <c r="C1126" s="5">
        <v>188.72</v>
      </c>
      <c r="D1126" s="5">
        <v>186.435</v>
      </c>
      <c r="E1126" s="5">
        <v>187.14</v>
      </c>
      <c r="F1126" s="6">
        <v>1483981</v>
      </c>
    </row>
    <row r="1127" spans="1:6" x14ac:dyDescent="0.2">
      <c r="A1127" s="4">
        <v>46107</v>
      </c>
      <c r="B1127" s="5">
        <v>185.07499999999999</v>
      </c>
      <c r="C1127" s="5">
        <v>186.81</v>
      </c>
      <c r="D1127" s="5">
        <v>182.79</v>
      </c>
      <c r="E1127" s="5">
        <v>183.4</v>
      </c>
      <c r="F1127" s="6">
        <v>1850298</v>
      </c>
    </row>
    <row r="1128" spans="1:6" x14ac:dyDescent="0.2">
      <c r="A1128" s="4">
        <v>46108</v>
      </c>
      <c r="B1128" s="5">
        <v>190.88</v>
      </c>
      <c r="C1128" s="5">
        <v>192.97</v>
      </c>
      <c r="D1128" s="5">
        <v>187.95</v>
      </c>
      <c r="E1128" s="5">
        <v>188.42</v>
      </c>
      <c r="F1128" s="6">
        <v>2762995</v>
      </c>
    </row>
    <row r="1129" spans="1:6" x14ac:dyDescent="0.2">
      <c r="A1129" s="4">
        <v>46111</v>
      </c>
      <c r="B1129" s="5">
        <v>193.83</v>
      </c>
      <c r="C1129" s="5">
        <v>194.63720000000001</v>
      </c>
      <c r="D1129" s="5">
        <v>192.61</v>
      </c>
      <c r="E1129" s="5">
        <v>193.88</v>
      </c>
      <c r="F1129" s="6">
        <v>2114260</v>
      </c>
    </row>
    <row r="1130" spans="1:6" x14ac:dyDescent="0.2">
      <c r="A1130" s="4">
        <v>46112</v>
      </c>
      <c r="B1130" s="5">
        <v>194.85</v>
      </c>
      <c r="C1130" s="5">
        <v>197.27</v>
      </c>
      <c r="D1130" s="5">
        <v>193.55</v>
      </c>
      <c r="E1130" s="5">
        <v>197.22</v>
      </c>
      <c r="F1130" s="6">
        <v>2759743</v>
      </c>
    </row>
    <row r="1131" spans="1:6" x14ac:dyDescent="0.2">
      <c r="A1131" s="4">
        <v>46113</v>
      </c>
      <c r="B1131" s="5">
        <v>198.89</v>
      </c>
      <c r="C1131" s="5">
        <v>201.74</v>
      </c>
      <c r="D1131" s="5">
        <v>198.72</v>
      </c>
      <c r="E1131" s="5">
        <v>200.73</v>
      </c>
      <c r="F1131" s="6">
        <v>2158620</v>
      </c>
    </row>
    <row r="1132" spans="1:6" x14ac:dyDescent="0.2">
      <c r="A1132" s="4">
        <v>46114</v>
      </c>
      <c r="B1132" s="5">
        <v>199.78</v>
      </c>
      <c r="C1132" s="5">
        <v>204.34</v>
      </c>
      <c r="D1132" s="5">
        <v>199.23</v>
      </c>
      <c r="E1132" s="5">
        <v>203.49</v>
      </c>
      <c r="F1132" s="6">
        <v>2049295</v>
      </c>
    </row>
    <row r="1133" spans="1:6" x14ac:dyDescent="0.2">
      <c r="A1133" s="4">
        <v>46118</v>
      </c>
      <c r="B1133" s="5">
        <v>204.75</v>
      </c>
      <c r="C1133" s="5">
        <v>204.75</v>
      </c>
      <c r="D1133" s="5">
        <v>202.73</v>
      </c>
      <c r="E1133" s="5">
        <v>202.83</v>
      </c>
      <c r="F1133" s="6">
        <v>1554659</v>
      </c>
    </row>
    <row r="1134" spans="1:6" x14ac:dyDescent="0.2">
      <c r="A1134" s="4">
        <v>46119</v>
      </c>
      <c r="B1134" s="5">
        <v>198.70500000000001</v>
      </c>
      <c r="C1134" s="5">
        <v>202</v>
      </c>
      <c r="D1134" s="5">
        <v>196.95</v>
      </c>
      <c r="E1134" s="5">
        <v>200.81</v>
      </c>
      <c r="F1134" s="6">
        <v>2451170</v>
      </c>
    </row>
    <row r="1135" spans="1:6" x14ac:dyDescent="0.2">
      <c r="A1135" s="4">
        <v>46120</v>
      </c>
      <c r="B1135" s="5">
        <v>205.45</v>
      </c>
      <c r="C1135" s="5">
        <v>206.73</v>
      </c>
      <c r="D1135" s="5">
        <v>203.655</v>
      </c>
      <c r="E1135" s="5">
        <v>204.27</v>
      </c>
      <c r="F1135" s="6">
        <v>2282879</v>
      </c>
    </row>
    <row r="1136" spans="1:6" x14ac:dyDescent="0.2">
      <c r="A1136" s="4">
        <v>46121</v>
      </c>
      <c r="B1136" s="5">
        <v>202.63499999999999</v>
      </c>
      <c r="C1136" s="5">
        <v>206.49799999999999</v>
      </c>
      <c r="D1136" s="5">
        <v>201.97</v>
      </c>
      <c r="E1136" s="5">
        <v>204.99</v>
      </c>
      <c r="F1136" s="6">
        <v>1239244</v>
      </c>
    </row>
    <row r="1137" spans="1:6" x14ac:dyDescent="0.2">
      <c r="A1137" s="4">
        <v>46122</v>
      </c>
      <c r="B1137" s="5">
        <v>207.3</v>
      </c>
      <c r="C1137" s="5">
        <v>207.3</v>
      </c>
      <c r="D1137" s="5">
        <v>203.82</v>
      </c>
      <c r="E1137" s="5">
        <v>204.03</v>
      </c>
      <c r="F1137" s="6">
        <v>1565792</v>
      </c>
    </row>
    <row r="1138" spans="1:6" x14ac:dyDescent="0.2">
      <c r="A1138" s="4">
        <v>46125</v>
      </c>
      <c r="B1138" s="5">
        <v>202.48</v>
      </c>
      <c r="C1138" s="5">
        <v>203.18</v>
      </c>
      <c r="D1138" s="5">
        <v>200.69499999999999</v>
      </c>
      <c r="E1138" s="5">
        <v>202.24</v>
      </c>
      <c r="F1138" s="6">
        <v>1724282</v>
      </c>
    </row>
    <row r="1139" spans="1:6" x14ac:dyDescent="0.2">
      <c r="A1139" s="4">
        <v>46126</v>
      </c>
      <c r="B1139" s="5">
        <v>202.55</v>
      </c>
      <c r="C1139" s="5">
        <v>204.73</v>
      </c>
      <c r="D1139" s="5">
        <v>202.07</v>
      </c>
      <c r="E1139" s="5">
        <v>204.38</v>
      </c>
      <c r="F1139" s="6">
        <v>2257584</v>
      </c>
    </row>
    <row r="1140" spans="1:6" x14ac:dyDescent="0.2">
      <c r="A1140" s="4">
        <v>46127</v>
      </c>
      <c r="B1140" s="5">
        <v>204.2</v>
      </c>
      <c r="C1140" s="5">
        <v>204.39</v>
      </c>
      <c r="D1140" s="5">
        <v>199.495</v>
      </c>
      <c r="E1140" s="5">
        <v>201.21</v>
      </c>
      <c r="F1140" s="6">
        <v>1657894</v>
      </c>
    </row>
    <row r="1141" spans="1:6" x14ac:dyDescent="0.2">
      <c r="A1141" s="4">
        <v>46128</v>
      </c>
      <c r="B1141" s="5">
        <v>201.44</v>
      </c>
      <c r="C1141" s="5">
        <v>201.8</v>
      </c>
      <c r="D1141" s="5">
        <v>199.99</v>
      </c>
      <c r="E1141" s="5">
        <v>200.47</v>
      </c>
      <c r="F1141" s="6">
        <v>1414401</v>
      </c>
    </row>
    <row r="1142" spans="1:6" x14ac:dyDescent="0.2">
      <c r="A1142" s="4">
        <v>46129</v>
      </c>
      <c r="B1142" s="5">
        <v>202.81</v>
      </c>
      <c r="C1142" s="5">
        <v>205.3</v>
      </c>
      <c r="D1142" s="5">
        <v>202.55</v>
      </c>
      <c r="E1142" s="5">
        <v>204.8</v>
      </c>
      <c r="F1142" s="6">
        <v>1241363</v>
      </c>
    </row>
    <row r="1143" spans="1:6" x14ac:dyDescent="0.2">
      <c r="A1143" s="4">
        <v>46132</v>
      </c>
      <c r="B1143" s="5">
        <v>202.81</v>
      </c>
      <c r="C1143" s="5">
        <v>203.37</v>
      </c>
      <c r="D1143" s="5">
        <v>200.67</v>
      </c>
      <c r="E1143" s="5">
        <v>200.69</v>
      </c>
      <c r="F1143" s="6">
        <v>1104552</v>
      </c>
    </row>
    <row r="1144" spans="1:6" x14ac:dyDescent="0.2">
      <c r="A1144" s="4">
        <v>46133</v>
      </c>
      <c r="B1144" s="5">
        <v>198.85</v>
      </c>
      <c r="C1144" s="5">
        <v>198.99</v>
      </c>
      <c r="D1144" s="5">
        <v>195.77</v>
      </c>
      <c r="E1144" s="5">
        <v>195.78</v>
      </c>
      <c r="F1144" s="6">
        <v>2130707</v>
      </c>
    </row>
    <row r="1145" spans="1:6" x14ac:dyDescent="0.2">
      <c r="A1145" s="4">
        <v>46134</v>
      </c>
      <c r="B1145" s="5">
        <v>196.55</v>
      </c>
      <c r="C1145" s="5">
        <v>196.6532</v>
      </c>
      <c r="D1145" s="5">
        <v>194.8</v>
      </c>
      <c r="E1145" s="5">
        <v>194.81</v>
      </c>
      <c r="F1145" s="6">
        <v>1578964</v>
      </c>
    </row>
    <row r="1146" spans="1:6" x14ac:dyDescent="0.2">
      <c r="A1146" s="4">
        <v>46135</v>
      </c>
      <c r="B1146" s="5">
        <v>195.21</v>
      </c>
      <c r="C1146" s="5">
        <v>196.64</v>
      </c>
      <c r="D1146" s="5">
        <v>191.81</v>
      </c>
      <c r="E1146" s="5">
        <v>192.3</v>
      </c>
      <c r="F1146" s="6">
        <v>2179282</v>
      </c>
    </row>
    <row r="1147" spans="1:6" x14ac:dyDescent="0.2">
      <c r="A1147" s="4">
        <v>46136</v>
      </c>
      <c r="B1147" s="5">
        <v>189.15</v>
      </c>
      <c r="C1147" s="5">
        <v>189.94</v>
      </c>
      <c r="D1147" s="5">
        <v>187.56</v>
      </c>
      <c r="E1147" s="5">
        <v>189.75</v>
      </c>
      <c r="F1147" s="6">
        <v>2388277</v>
      </c>
    </row>
    <row r="1148" spans="1:6" x14ac:dyDescent="0.2">
      <c r="A1148" s="4">
        <v>46139</v>
      </c>
      <c r="B1148" s="5">
        <v>188.91</v>
      </c>
      <c r="C1148" s="5">
        <v>190.59</v>
      </c>
      <c r="D1148" s="5">
        <v>187.2</v>
      </c>
      <c r="E1148" s="5">
        <v>187.51</v>
      </c>
      <c r="F1148" s="6">
        <v>2102078</v>
      </c>
    </row>
    <row r="1149" spans="1:6" x14ac:dyDescent="0.2">
      <c r="A1149" s="4">
        <v>46140</v>
      </c>
      <c r="B1149" s="5">
        <v>186.91</v>
      </c>
      <c r="C1149" s="5">
        <v>187.97499999999999</v>
      </c>
      <c r="D1149" s="5">
        <v>185.405</v>
      </c>
      <c r="E1149" s="5">
        <v>186.68</v>
      </c>
      <c r="F1149" s="6">
        <v>2837504</v>
      </c>
    </row>
    <row r="1150" spans="1:6" x14ac:dyDescent="0.2">
      <c r="A1150" s="4">
        <v>46141</v>
      </c>
      <c r="B1150" s="5">
        <v>183.93</v>
      </c>
      <c r="C1150" s="5">
        <v>187</v>
      </c>
      <c r="D1150" s="5">
        <v>181.73</v>
      </c>
      <c r="E1150" s="5">
        <v>185.2</v>
      </c>
      <c r="F1150" s="6">
        <v>4443017</v>
      </c>
    </row>
    <row r="1151" spans="1:6" x14ac:dyDescent="0.2">
      <c r="A1151" s="4">
        <v>46142</v>
      </c>
      <c r="B1151" s="5">
        <v>188.47</v>
      </c>
      <c r="C1151" s="5">
        <v>190</v>
      </c>
      <c r="D1151" s="5">
        <v>186.87</v>
      </c>
      <c r="E1151" s="5">
        <v>187.37</v>
      </c>
      <c r="F1151" s="6">
        <v>2797434</v>
      </c>
    </row>
    <row r="1152" spans="1:6" x14ac:dyDescent="0.2">
      <c r="A1152" s="4">
        <v>46143</v>
      </c>
      <c r="B1152" s="5">
        <v>185.45</v>
      </c>
      <c r="C1152" s="5">
        <v>187.18</v>
      </c>
      <c r="D1152" s="5">
        <v>184.01</v>
      </c>
      <c r="E1152" s="5">
        <v>184.74</v>
      </c>
      <c r="F1152" s="6">
        <v>1793655</v>
      </c>
    </row>
    <row r="1153" spans="1:6" x14ac:dyDescent="0.2">
      <c r="A1153" s="4">
        <v>46146</v>
      </c>
      <c r="B1153" s="5">
        <v>184.36</v>
      </c>
      <c r="C1153" s="5">
        <v>185.19</v>
      </c>
      <c r="D1153" s="5">
        <v>182.8</v>
      </c>
      <c r="E1153" s="5">
        <v>183.46</v>
      </c>
      <c r="F1153" s="6">
        <v>1170156</v>
      </c>
    </row>
    <row r="1154" spans="1:6" x14ac:dyDescent="0.2">
      <c r="A1154" s="4">
        <v>46147</v>
      </c>
      <c r="B1154" s="5">
        <v>181.48</v>
      </c>
      <c r="C1154" s="5">
        <v>181.98</v>
      </c>
      <c r="D1154" s="5">
        <v>180</v>
      </c>
      <c r="E1154" s="5">
        <v>181.24</v>
      </c>
      <c r="F1154" s="6">
        <v>2459981</v>
      </c>
    </row>
    <row r="1155" spans="1:6" x14ac:dyDescent="0.2">
      <c r="A1155" s="4">
        <v>46148</v>
      </c>
      <c r="B1155" s="5">
        <v>184.52500000000001</v>
      </c>
      <c r="C1155" s="5">
        <v>185.61</v>
      </c>
      <c r="D1155" s="5">
        <v>183.55</v>
      </c>
      <c r="E1155" s="5">
        <v>184.92</v>
      </c>
      <c r="F1155" s="6">
        <v>1953704</v>
      </c>
    </row>
    <row r="1156" spans="1:6" x14ac:dyDescent="0.2">
      <c r="A1156" s="4">
        <v>46149</v>
      </c>
      <c r="B1156" s="5">
        <v>184.37</v>
      </c>
      <c r="C1156" s="5">
        <v>184.37</v>
      </c>
      <c r="D1156" s="5">
        <v>181.03</v>
      </c>
      <c r="E1156" s="5">
        <v>182.52</v>
      </c>
      <c r="F1156" s="6">
        <v>2749511</v>
      </c>
    </row>
    <row r="1157" spans="1:6" x14ac:dyDescent="0.2">
      <c r="A1157" s="4">
        <v>46150</v>
      </c>
      <c r="B1157" s="5">
        <v>182.71</v>
      </c>
      <c r="C1157" s="5">
        <v>183.55</v>
      </c>
      <c r="D1157" s="5">
        <v>181.57749999999999</v>
      </c>
      <c r="E1157" s="5">
        <v>182.85</v>
      </c>
      <c r="F1157" s="6">
        <v>1910488</v>
      </c>
    </row>
    <row r="1158" spans="1:6" x14ac:dyDescent="0.2">
      <c r="A1158" s="4">
        <v>46153</v>
      </c>
      <c r="B1158" s="5">
        <v>183.79</v>
      </c>
      <c r="C1158" s="5">
        <v>185.80500000000001</v>
      </c>
      <c r="D1158" s="5">
        <v>181.72499999999999</v>
      </c>
      <c r="E1158" s="5">
        <v>181.86</v>
      </c>
      <c r="F1158" s="6">
        <v>2106701</v>
      </c>
    </row>
    <row r="1159" spans="1:6" x14ac:dyDescent="0.2">
      <c r="A1159" s="4">
        <v>46154</v>
      </c>
      <c r="B1159" s="5">
        <v>183.01</v>
      </c>
      <c r="C1159" s="5">
        <v>185.82</v>
      </c>
      <c r="D1159" s="5">
        <v>182.7</v>
      </c>
      <c r="E1159" s="5">
        <v>184.54</v>
      </c>
      <c r="F1159" s="6">
        <v>1596094</v>
      </c>
    </row>
    <row r="1160" spans="1:6" x14ac:dyDescent="0.2">
      <c r="A1160" s="4">
        <v>46155</v>
      </c>
      <c r="B1160" s="5">
        <v>183.36</v>
      </c>
      <c r="C1160" s="5">
        <v>187.78</v>
      </c>
      <c r="D1160" s="5">
        <v>183.33</v>
      </c>
      <c r="E1160" s="5">
        <v>187.72</v>
      </c>
      <c r="F1160" s="6">
        <v>1733046</v>
      </c>
    </row>
    <row r="1161" spans="1:6" x14ac:dyDescent="0.2">
      <c r="A1161" s="4">
        <v>46156</v>
      </c>
      <c r="B1161" s="5">
        <v>186.69</v>
      </c>
      <c r="C1161" s="5">
        <v>186.7</v>
      </c>
      <c r="D1161" s="5">
        <v>184.7</v>
      </c>
      <c r="E1161" s="5">
        <v>184.96</v>
      </c>
      <c r="F1161" s="6">
        <v>1027756</v>
      </c>
    </row>
    <row r="1162" spans="1:6" x14ac:dyDescent="0.2">
      <c r="A1162" s="4">
        <v>46157</v>
      </c>
      <c r="B1162" s="5">
        <v>183.25</v>
      </c>
      <c r="C1162" s="5">
        <v>183.44</v>
      </c>
      <c r="D1162" s="5">
        <v>180.55</v>
      </c>
      <c r="E1162" s="5">
        <v>181.58</v>
      </c>
      <c r="F1162" s="6">
        <v>1379471</v>
      </c>
    </row>
    <row r="1163" spans="1:6" x14ac:dyDescent="0.2">
      <c r="A1163" s="4">
        <v>46160</v>
      </c>
      <c r="B1163" s="5">
        <v>183.43</v>
      </c>
      <c r="C1163" s="5">
        <v>184.74</v>
      </c>
      <c r="D1163" s="5">
        <v>182.67</v>
      </c>
      <c r="E1163" s="5">
        <v>183.92</v>
      </c>
      <c r="F1163" s="6">
        <v>1225224</v>
      </c>
    </row>
    <row r="1164" spans="1:6" x14ac:dyDescent="0.2">
      <c r="A1164" s="4">
        <v>46161</v>
      </c>
      <c r="B1164" s="5">
        <v>184.7</v>
      </c>
      <c r="C1164" s="5">
        <v>186.36</v>
      </c>
      <c r="D1164" s="5">
        <v>184.19</v>
      </c>
      <c r="E1164" s="5">
        <v>184.64</v>
      </c>
      <c r="F1164" s="6">
        <v>1616818</v>
      </c>
    </row>
    <row r="1165" spans="1:6" x14ac:dyDescent="0.2">
      <c r="A1165" s="4">
        <v>46162</v>
      </c>
      <c r="B1165" s="5">
        <v>186.69</v>
      </c>
      <c r="C1165" s="5">
        <v>188.31</v>
      </c>
      <c r="D1165" s="5">
        <v>185.73</v>
      </c>
      <c r="E1165" s="5">
        <v>187.46</v>
      </c>
      <c r="F1165" s="6">
        <v>1803544</v>
      </c>
    </row>
    <row r="1166" spans="1:6" x14ac:dyDescent="0.2">
      <c r="A1166" s="4">
        <v>46163</v>
      </c>
      <c r="B1166" s="5">
        <v>185.84</v>
      </c>
      <c r="C1166" s="5">
        <v>191.5</v>
      </c>
      <c r="D1166" s="5">
        <v>184.98</v>
      </c>
      <c r="E1166" s="5">
        <v>189.75</v>
      </c>
      <c r="F1166" s="6">
        <v>2192674</v>
      </c>
    </row>
    <row r="1167" spans="1:6" x14ac:dyDescent="0.2">
      <c r="A1167" s="4">
        <v>46164</v>
      </c>
      <c r="B1167" s="5">
        <v>188.22</v>
      </c>
      <c r="C1167" s="5">
        <v>189.08</v>
      </c>
      <c r="D1167" s="5">
        <v>186.44499999999999</v>
      </c>
      <c r="E1167" s="5">
        <v>187.03</v>
      </c>
      <c r="F1167" s="6">
        <v>2120800</v>
      </c>
    </row>
    <row r="1168" spans="1:6" x14ac:dyDescent="0.2">
      <c r="A1168" s="4">
        <v>46168</v>
      </c>
      <c r="B1168" s="5">
        <v>188.26</v>
      </c>
      <c r="C1168" s="5">
        <v>188.61</v>
      </c>
      <c r="D1168" s="5">
        <v>186.74</v>
      </c>
      <c r="E1168" s="5">
        <v>187.19</v>
      </c>
      <c r="F1168" s="6">
        <v>1412137</v>
      </c>
    </row>
    <row r="1169" spans="1:6" x14ac:dyDescent="0.2">
      <c r="A1169" s="4">
        <v>46169</v>
      </c>
      <c r="B1169" s="5">
        <v>187.43</v>
      </c>
      <c r="C1169" s="5">
        <v>188.72</v>
      </c>
      <c r="D1169" s="5">
        <v>185.38</v>
      </c>
      <c r="E1169" s="5">
        <v>185.65</v>
      </c>
      <c r="F1169" s="6">
        <v>2121835</v>
      </c>
    </row>
    <row r="1170" spans="1:6" x14ac:dyDescent="0.2">
      <c r="A1170" s="4">
        <v>46170</v>
      </c>
      <c r="B1170" s="5">
        <v>183.79499999999999</v>
      </c>
      <c r="C1170" s="5">
        <v>186.46</v>
      </c>
      <c r="D1170" s="5">
        <v>183.35499999999999</v>
      </c>
      <c r="E1170" s="5">
        <v>185.33</v>
      </c>
      <c r="F1170" s="6">
        <v>2059575</v>
      </c>
    </row>
    <row r="1171" spans="1:6" x14ac:dyDescent="0.2">
      <c r="A1171" s="4">
        <v>46171</v>
      </c>
      <c r="B1171" s="5">
        <v>185.99</v>
      </c>
      <c r="C1171" s="5">
        <v>187.1</v>
      </c>
      <c r="D1171" s="5">
        <v>184.65</v>
      </c>
      <c r="E1171" s="5">
        <v>185.67</v>
      </c>
      <c r="F1171" s="6">
        <v>1499235</v>
      </c>
    </row>
    <row r="1172" spans="1:6" x14ac:dyDescent="0.2">
      <c r="A1172" s="4">
        <v>46174</v>
      </c>
      <c r="B1172" s="5">
        <v>182.72</v>
      </c>
      <c r="C1172" s="5">
        <v>183.23</v>
      </c>
      <c r="D1172" s="5">
        <v>179.62</v>
      </c>
      <c r="E1172" s="5">
        <v>179.71</v>
      </c>
      <c r="F1172" s="6">
        <v>2892911</v>
      </c>
    </row>
    <row r="1173" spans="1:6" x14ac:dyDescent="0.2">
      <c r="A1173" s="4">
        <v>46175</v>
      </c>
      <c r="B1173" s="5">
        <v>179.1</v>
      </c>
      <c r="C1173" s="5">
        <v>179.55500000000001</v>
      </c>
      <c r="D1173" s="5">
        <v>176.03</v>
      </c>
      <c r="E1173" s="5">
        <v>177.45</v>
      </c>
      <c r="F1173" s="6">
        <v>2035193</v>
      </c>
    </row>
    <row r="1174" spans="1:6" x14ac:dyDescent="0.2">
      <c r="A1174" s="4">
        <v>46176</v>
      </c>
      <c r="B1174" s="5">
        <v>174.6</v>
      </c>
      <c r="C1174" s="5">
        <v>177.56</v>
      </c>
      <c r="D1174" s="5">
        <v>174.6</v>
      </c>
      <c r="E1174" s="5">
        <v>176.28</v>
      </c>
      <c r="F1174" s="6">
        <v>2396976</v>
      </c>
    </row>
    <row r="1175" spans="1:6" x14ac:dyDescent="0.2">
      <c r="A1175" s="4">
        <v>46177</v>
      </c>
      <c r="B1175" s="5">
        <v>180.58</v>
      </c>
      <c r="C1175" s="5">
        <v>183.37</v>
      </c>
      <c r="D1175" s="5">
        <v>180.24</v>
      </c>
      <c r="E1175" s="5">
        <v>181.8</v>
      </c>
      <c r="F1175" s="6">
        <v>2030356</v>
      </c>
    </row>
    <row r="1176" spans="1:6" x14ac:dyDescent="0.2">
      <c r="A1176" s="4">
        <v>46178</v>
      </c>
      <c r="B1176" s="5">
        <v>184.02</v>
      </c>
      <c r="C1176" s="5">
        <v>186.12</v>
      </c>
      <c r="D1176" s="5">
        <v>184.02</v>
      </c>
      <c r="E1176" s="5">
        <v>185.95</v>
      </c>
      <c r="F1176" s="6">
        <v>2346131</v>
      </c>
    </row>
    <row r="1177" spans="1:6" x14ac:dyDescent="0.2">
      <c r="A1177" s="4">
        <v>46181</v>
      </c>
      <c r="B1177" s="5">
        <v>184.16</v>
      </c>
      <c r="C1177" s="5">
        <v>185.31</v>
      </c>
      <c r="D1177" s="5">
        <v>181.36</v>
      </c>
      <c r="E1177" s="5">
        <v>181.55</v>
      </c>
      <c r="F1177" s="6">
        <v>2040149</v>
      </c>
    </row>
    <row r="1178" spans="1:6" x14ac:dyDescent="0.2">
      <c r="A1178" s="4">
        <v>46182</v>
      </c>
      <c r="B1178" s="5">
        <v>181.73</v>
      </c>
      <c r="C1178" s="5">
        <v>183.81</v>
      </c>
      <c r="D1178" s="5">
        <v>181.155</v>
      </c>
      <c r="E1178" s="5">
        <v>183.43</v>
      </c>
      <c r="F1178" s="6">
        <v>1963805</v>
      </c>
    </row>
    <row r="1179" spans="1:6" x14ac:dyDescent="0.2">
      <c r="A1179" s="4">
        <v>46183</v>
      </c>
      <c r="B1179" s="5">
        <v>180.935</v>
      </c>
      <c r="C1179" s="5">
        <v>181.715</v>
      </c>
      <c r="D1179" s="5">
        <v>177.88</v>
      </c>
      <c r="E1179" s="5">
        <v>178.96</v>
      </c>
      <c r="F1179" s="6">
        <v>2129693</v>
      </c>
    </row>
    <row r="1180" spans="1:6" x14ac:dyDescent="0.2">
      <c r="A1180" s="4">
        <v>46184</v>
      </c>
      <c r="B1180" s="5">
        <v>181.36</v>
      </c>
      <c r="C1180" s="5">
        <v>183.67</v>
      </c>
      <c r="D1180" s="5">
        <v>180.39009999999999</v>
      </c>
      <c r="E1180" s="5">
        <v>182.28</v>
      </c>
      <c r="F1180" s="6">
        <v>1749432</v>
      </c>
    </row>
    <row r="1181" spans="1:6" x14ac:dyDescent="0.2">
      <c r="A1181" s="4">
        <v>46185</v>
      </c>
      <c r="B1181" s="5">
        <v>182.52500000000001</v>
      </c>
      <c r="C1181" s="5">
        <v>182.7</v>
      </c>
      <c r="D1181" s="5">
        <v>178.59</v>
      </c>
      <c r="E1181" s="5">
        <v>178.75</v>
      </c>
      <c r="F1181" s="6">
        <v>2394262</v>
      </c>
    </row>
    <row r="1182" spans="1:6" x14ac:dyDescent="0.2">
      <c r="A1182" s="4">
        <v>46188</v>
      </c>
      <c r="B1182" s="5">
        <v>179.16</v>
      </c>
      <c r="C1182" s="5">
        <v>179.22</v>
      </c>
      <c r="D1182" s="5">
        <v>176.55</v>
      </c>
      <c r="E1182" s="5">
        <v>177.27</v>
      </c>
      <c r="F1182" s="6">
        <v>1329084</v>
      </c>
    </row>
    <row r="1183" spans="1:6" x14ac:dyDescent="0.2">
      <c r="A1183" s="4">
        <v>46189</v>
      </c>
      <c r="B1183" s="5">
        <v>178.32499999999999</v>
      </c>
      <c r="C1183" s="5">
        <v>179.12</v>
      </c>
      <c r="D1183" s="5">
        <v>176.63499999999999</v>
      </c>
      <c r="E1183" s="5">
        <v>178.71</v>
      </c>
      <c r="F1183" s="6">
        <v>1895809</v>
      </c>
    </row>
    <row r="1184" spans="1:6" x14ac:dyDescent="0.2">
      <c r="A1184" s="4">
        <v>46190</v>
      </c>
      <c r="B1184" s="5">
        <v>178.7</v>
      </c>
      <c r="C1184" s="5">
        <v>180.43989999999999</v>
      </c>
      <c r="D1184" s="5">
        <v>177.65299999999999</v>
      </c>
      <c r="E1184" s="5">
        <v>177.89</v>
      </c>
      <c r="F1184" s="6">
        <v>1868663</v>
      </c>
    </row>
    <row r="1185" spans="1:6" x14ac:dyDescent="0.2">
      <c r="A1185" s="4">
        <v>46191</v>
      </c>
      <c r="B1185" s="5">
        <v>177.67</v>
      </c>
      <c r="C1185" s="5">
        <v>177.8</v>
      </c>
      <c r="D1185" s="5">
        <v>173.655</v>
      </c>
      <c r="E1185" s="5">
        <v>174.93</v>
      </c>
      <c r="F1185" s="6">
        <v>1667045</v>
      </c>
    </row>
    <row r="1186" spans="1:6" x14ac:dyDescent="0.2">
      <c r="A1186" s="4">
        <v>46195</v>
      </c>
      <c r="B1186" s="5">
        <v>175.29</v>
      </c>
      <c r="C1186" s="5">
        <v>177.43</v>
      </c>
      <c r="D1186" s="5">
        <v>175.11</v>
      </c>
      <c r="E1186" s="5">
        <v>176.43</v>
      </c>
      <c r="F1186" s="6">
        <v>1489610</v>
      </c>
    </row>
    <row r="1187" spans="1:6" x14ac:dyDescent="0.2">
      <c r="A1187" s="4">
        <v>46196</v>
      </c>
      <c r="B1187" s="5">
        <v>179.81</v>
      </c>
      <c r="C1187" s="5">
        <v>181.15</v>
      </c>
      <c r="D1187" s="5">
        <v>179.27500000000001</v>
      </c>
      <c r="E1187" s="5">
        <v>181.02</v>
      </c>
      <c r="F1187" s="6">
        <v>1503883</v>
      </c>
    </row>
    <row r="1188" spans="1:6" x14ac:dyDescent="0.2">
      <c r="A1188" s="4">
        <v>46197</v>
      </c>
      <c r="B1188" s="5">
        <v>183.4</v>
      </c>
      <c r="C1188" s="5">
        <v>184.61</v>
      </c>
      <c r="D1188" s="5">
        <v>182.19</v>
      </c>
      <c r="E1188" s="5">
        <v>183.02</v>
      </c>
      <c r="F1188" s="6">
        <v>2377682</v>
      </c>
    </row>
    <row r="1189" spans="1:6" x14ac:dyDescent="0.2">
      <c r="A1189" s="4">
        <v>46198</v>
      </c>
      <c r="B1189" s="5">
        <v>184.82</v>
      </c>
      <c r="C1189" s="5">
        <v>186.58</v>
      </c>
      <c r="D1189" s="5">
        <v>184.55</v>
      </c>
      <c r="E1189" s="5">
        <v>185.68</v>
      </c>
      <c r="F1189" s="6">
        <v>1826301</v>
      </c>
    </row>
    <row r="1190" spans="1:6" x14ac:dyDescent="0.2">
      <c r="A1190" s="4">
        <v>46199</v>
      </c>
      <c r="B1190" s="5">
        <v>184.28</v>
      </c>
      <c r="C1190" s="5">
        <v>189.57</v>
      </c>
      <c r="D1190" s="5">
        <v>184.28</v>
      </c>
      <c r="E1190" s="5">
        <v>188.41</v>
      </c>
      <c r="F1190" s="6">
        <v>3235391</v>
      </c>
    </row>
    <row r="1191" spans="1:6" x14ac:dyDescent="0.2">
      <c r="A1191" s="4">
        <v>46202</v>
      </c>
      <c r="B1191" s="5">
        <v>189.25</v>
      </c>
      <c r="C1191" s="5">
        <v>191.13</v>
      </c>
      <c r="D1191" s="5">
        <v>188.45</v>
      </c>
      <c r="E1191" s="5">
        <v>190.95</v>
      </c>
      <c r="F1191" s="6">
        <v>1644471</v>
      </c>
    </row>
    <row r="1192" spans="1:6" x14ac:dyDescent="0.2">
      <c r="A1192" s="4">
        <v>46203</v>
      </c>
      <c r="B1192" s="5">
        <v>190.31</v>
      </c>
      <c r="C1192" s="5">
        <v>190.46</v>
      </c>
      <c r="D1192" s="5">
        <v>186.155</v>
      </c>
      <c r="E1192" s="5">
        <v>189.62</v>
      </c>
      <c r="F1192" s="6">
        <v>2598709</v>
      </c>
    </row>
    <row r="1193" spans="1:6" x14ac:dyDescent="0.2">
      <c r="A1193" s="4">
        <v>46204</v>
      </c>
      <c r="B1193" s="5">
        <v>187.07</v>
      </c>
      <c r="C1193" s="5">
        <v>187.65</v>
      </c>
      <c r="D1193" s="5">
        <v>183.49</v>
      </c>
      <c r="E1193" s="5">
        <v>183.86</v>
      </c>
      <c r="F1193" s="6">
        <v>2115466</v>
      </c>
    </row>
    <row r="1194" spans="1:6" x14ac:dyDescent="0.2">
      <c r="A1194" s="4">
        <v>46205</v>
      </c>
      <c r="B1194" s="5">
        <v>189.52</v>
      </c>
      <c r="C1194" s="5">
        <v>196.41</v>
      </c>
      <c r="D1194" s="5">
        <v>189.1651</v>
      </c>
      <c r="E1194" s="5">
        <v>195.15</v>
      </c>
      <c r="F1194" s="6">
        <v>2379657</v>
      </c>
    </row>
    <row r="1195" spans="1:6" x14ac:dyDescent="0.2">
      <c r="A1195" s="4">
        <v>46209</v>
      </c>
      <c r="B1195" s="5">
        <v>190.2</v>
      </c>
      <c r="C1195" s="5">
        <v>190.24</v>
      </c>
      <c r="D1195" s="5">
        <v>186.23500000000001</v>
      </c>
      <c r="E1195" s="5">
        <v>190.16</v>
      </c>
      <c r="F1195" s="6">
        <v>1872031</v>
      </c>
    </row>
    <row r="1196" spans="1:6" x14ac:dyDescent="0.2">
      <c r="A1196" s="4">
        <v>46210</v>
      </c>
      <c r="B1196" s="5">
        <v>192.98</v>
      </c>
      <c r="C1196" s="5">
        <v>193.79</v>
      </c>
      <c r="D1196" s="5">
        <v>191.6</v>
      </c>
      <c r="E1196" s="5">
        <v>193.12</v>
      </c>
      <c r="F1196" s="6">
        <v>2130028</v>
      </c>
    </row>
    <row r="1197" spans="1:6" x14ac:dyDescent="0.2">
      <c r="A1197" s="4">
        <v>46211</v>
      </c>
      <c r="B1197" s="5">
        <v>189.95</v>
      </c>
      <c r="C1197" s="5">
        <v>191.48</v>
      </c>
      <c r="D1197" s="5">
        <v>188.66499999999999</v>
      </c>
      <c r="E1197" s="5">
        <v>189.28</v>
      </c>
      <c r="F1197" s="6">
        <v>1967847</v>
      </c>
    </row>
    <row r="1198" spans="1:6" x14ac:dyDescent="0.2">
      <c r="A1198" s="4">
        <v>46212</v>
      </c>
      <c r="B1198" s="5">
        <v>173.45</v>
      </c>
      <c r="C1198" s="5">
        <v>180.20509999999999</v>
      </c>
      <c r="D1198" s="5">
        <v>172.76</v>
      </c>
      <c r="E1198" s="5">
        <v>178.49</v>
      </c>
      <c r="F1198" s="6">
        <v>6648956</v>
      </c>
    </row>
    <row r="1199" spans="1:6" x14ac:dyDescent="0.2">
      <c r="A1199" s="4">
        <v>46213</v>
      </c>
      <c r="B1199" s="5">
        <v>175.49</v>
      </c>
      <c r="C1199" s="5">
        <v>175.88</v>
      </c>
      <c r="D1199" s="5">
        <v>171.42</v>
      </c>
      <c r="E1199" s="5">
        <v>171.61</v>
      </c>
      <c r="F1199" s="6">
        <v>3596861</v>
      </c>
    </row>
    <row r="1200" spans="1:6" x14ac:dyDescent="0.2">
      <c r="A1200" s="4">
        <v>46216</v>
      </c>
      <c r="B1200" s="5">
        <v>168.75</v>
      </c>
      <c r="C1200" s="5">
        <v>170.47</v>
      </c>
      <c r="D1200" s="5">
        <v>168.11</v>
      </c>
      <c r="E1200" s="5">
        <v>169.47</v>
      </c>
      <c r="F1200" s="6">
        <v>4666131</v>
      </c>
    </row>
    <row r="1201" spans="1:6" x14ac:dyDescent="0.2">
      <c r="A1201" s="4">
        <v>46217</v>
      </c>
      <c r="B1201" s="5">
        <v>167.36</v>
      </c>
      <c r="C1201" s="5">
        <v>168.1</v>
      </c>
      <c r="D1201" s="5">
        <v>164.45</v>
      </c>
      <c r="E1201" s="5">
        <v>164.5</v>
      </c>
      <c r="F1201" s="6">
        <v>3605456</v>
      </c>
    </row>
    <row r="1202" spans="1:6" x14ac:dyDescent="0.2">
      <c r="A1202" s="4">
        <v>46218</v>
      </c>
      <c r="B1202" s="5">
        <v>166.22</v>
      </c>
      <c r="C1202" s="5">
        <v>169.57499999999999</v>
      </c>
      <c r="D1202" s="5">
        <v>166.21</v>
      </c>
      <c r="E1202" s="5">
        <v>168.37</v>
      </c>
      <c r="F1202" s="6">
        <v>2938306</v>
      </c>
    </row>
    <row r="1203" spans="1:6" x14ac:dyDescent="0.2">
      <c r="A1203" s="4">
        <v>46219</v>
      </c>
      <c r="B1203" s="5">
        <v>167.965</v>
      </c>
      <c r="C1203" s="5">
        <v>170.37</v>
      </c>
      <c r="D1203" s="5">
        <v>167.25</v>
      </c>
      <c r="E1203" s="5">
        <v>169.29</v>
      </c>
      <c r="F1203" s="6">
        <v>3018322</v>
      </c>
    </row>
    <row r="1204" spans="1:6" x14ac:dyDescent="0.2">
      <c r="A1204" s="4">
        <v>46220</v>
      </c>
      <c r="B1204" s="5">
        <v>168.15</v>
      </c>
      <c r="C1204" s="5">
        <v>170.31</v>
      </c>
      <c r="D1204" s="5">
        <v>167.15</v>
      </c>
      <c r="E1204" s="5">
        <v>168.9</v>
      </c>
      <c r="F1204" s="6">
        <v>1981328</v>
      </c>
    </row>
    <row r="1205" spans="1:6" x14ac:dyDescent="0.2">
      <c r="A1205" s="4">
        <v>46223</v>
      </c>
      <c r="B1205" s="5">
        <v>168.46</v>
      </c>
      <c r="C1205" s="5">
        <v>168.65</v>
      </c>
      <c r="D1205" s="5">
        <v>164.06</v>
      </c>
      <c r="E1205" s="5">
        <v>164.52</v>
      </c>
      <c r="F1205" s="6">
        <v>2552981</v>
      </c>
    </row>
    <row r="1206" spans="1:6" x14ac:dyDescent="0.2">
      <c r="A1206" s="4">
        <v>46224</v>
      </c>
      <c r="B1206" s="5">
        <v>165.35</v>
      </c>
      <c r="C1206" s="5">
        <v>169.43</v>
      </c>
      <c r="D1206" s="5">
        <v>164.815</v>
      </c>
      <c r="E1206" s="5">
        <v>169.34</v>
      </c>
      <c r="F1206" s="6">
        <v>1986357</v>
      </c>
    </row>
    <row r="1207" spans="1:6" x14ac:dyDescent="0.2">
      <c r="A1207" s="4">
        <v>46225</v>
      </c>
      <c r="B1207" s="5">
        <v>170.64</v>
      </c>
      <c r="C1207" s="5">
        <v>170.89</v>
      </c>
      <c r="D1207" s="5">
        <v>168.465</v>
      </c>
      <c r="E1207" s="5">
        <v>169.73</v>
      </c>
      <c r="F1207" s="6">
        <v>1683822</v>
      </c>
    </row>
    <row r="1208" spans="1:6" x14ac:dyDescent="0.2">
      <c r="A1208" s="4">
        <v>46226</v>
      </c>
      <c r="B1208" s="5">
        <v>166.37</v>
      </c>
      <c r="C1208" s="5">
        <v>169.49</v>
      </c>
      <c r="D1208" s="5">
        <v>166.04</v>
      </c>
      <c r="E1208" s="5">
        <v>168.27</v>
      </c>
      <c r="F1208" s="6">
        <v>2394069</v>
      </c>
    </row>
    <row r="1209" spans="1:6" x14ac:dyDescent="0.2">
      <c r="A1209" s="4">
        <v>46227</v>
      </c>
      <c r="B1209" s="5">
        <v>169.84</v>
      </c>
      <c r="C1209" s="5">
        <v>170.26</v>
      </c>
      <c r="D1209" s="5">
        <v>168.33</v>
      </c>
      <c r="E1209" s="5">
        <v>169.26</v>
      </c>
      <c r="F1209" s="6">
        <v>2009992</v>
      </c>
    </row>
    <row r="1210" spans="1:6" x14ac:dyDescent="0.2">
      <c r="A1210" s="4">
        <v>46230</v>
      </c>
      <c r="B1210" s="5">
        <v>170.08</v>
      </c>
      <c r="C1210" s="5">
        <v>173.24</v>
      </c>
      <c r="D1210" s="5">
        <v>167.79</v>
      </c>
      <c r="E1210" s="5">
        <v>169.64</v>
      </c>
      <c r="F1210" s="6">
        <v>3861406</v>
      </c>
    </row>
    <row r="1211" spans="1:6" x14ac:dyDescent="0.2">
      <c r="A1211" s="4">
        <v>46231</v>
      </c>
      <c r="B1211" s="5">
        <v>170.69499999999999</v>
      </c>
      <c r="C1211" s="5">
        <v>174.44</v>
      </c>
      <c r="D1211" s="5">
        <v>170.67</v>
      </c>
      <c r="E1211" s="5">
        <v>172.48</v>
      </c>
      <c r="F1211" s="6">
        <v>4740936</v>
      </c>
    </row>
    <row r="1212" spans="1:6" x14ac:dyDescent="0.2">
      <c r="A1212" s="4">
        <v>46232</v>
      </c>
      <c r="B1212" s="5">
        <v>174.24</v>
      </c>
      <c r="C1212" s="5">
        <v>175.035</v>
      </c>
      <c r="D1212" s="5">
        <v>172.63</v>
      </c>
      <c r="E1212" s="5">
        <v>173.3</v>
      </c>
      <c r="F1212" s="6">
        <v>2252203</v>
      </c>
    </row>
    <row r="1213" spans="1:6" x14ac:dyDescent="0.2">
      <c r="A1213" s="4">
        <v>46233</v>
      </c>
      <c r="B1213" s="5">
        <v>170.315</v>
      </c>
      <c r="C1213" s="5">
        <v>171.89</v>
      </c>
      <c r="D1213" s="5">
        <v>169.85</v>
      </c>
      <c r="E1213" s="5">
        <v>171.34</v>
      </c>
      <c r="F1213" s="6">
        <v>2260657</v>
      </c>
    </row>
    <row r="1214" spans="1:6" x14ac:dyDescent="0.2">
      <c r="A1214" s="4">
        <v>46234</v>
      </c>
      <c r="B1214" s="5">
        <v>170.53</v>
      </c>
      <c r="C1214" s="5">
        <v>170.74</v>
      </c>
      <c r="D1214" s="5">
        <v>168.44</v>
      </c>
      <c r="E1214" s="5">
        <v>169.64</v>
      </c>
      <c r="F1214" s="6">
        <v>1670008</v>
      </c>
    </row>
    <row r="1215" spans="1:6" x14ac:dyDescent="0.2">
      <c r="A1215" s="4">
        <v>46237</v>
      </c>
      <c r="B1215" s="5">
        <v>157.16499999999999</v>
      </c>
      <c r="C1215" s="5">
        <v>159.715</v>
      </c>
      <c r="D1215" s="5">
        <v>153.4134</v>
      </c>
      <c r="E1215" s="5">
        <v>157.97</v>
      </c>
      <c r="F1215" s="6">
        <v>16313050</v>
      </c>
    </row>
    <row r="1216" spans="1:6" x14ac:dyDescent="0.2">
      <c r="A1216" s="4">
        <v>46238</v>
      </c>
      <c r="B1216" s="5">
        <v>157.94999999999999</v>
      </c>
      <c r="C1216" s="5">
        <v>158.56</v>
      </c>
      <c r="D1216" s="5">
        <v>155.32</v>
      </c>
      <c r="E1216" s="5">
        <v>155.62</v>
      </c>
      <c r="F1216" s="6">
        <v>8095273</v>
      </c>
    </row>
    <row r="1217" spans="1:6" x14ac:dyDescent="0.2">
      <c r="A1217" s="4">
        <v>46239</v>
      </c>
      <c r="B1217" s="5">
        <v>163.79</v>
      </c>
      <c r="C1217" s="5">
        <v>164.45</v>
      </c>
      <c r="D1217" s="5">
        <v>160.72</v>
      </c>
      <c r="E1217" s="5">
        <v>161.5</v>
      </c>
      <c r="F1217" s="6">
        <v>7002933</v>
      </c>
    </row>
    <row r="1218" spans="1:6" x14ac:dyDescent="0.2">
      <c r="A1218" s="4">
        <v>46240</v>
      </c>
      <c r="B1218" s="5">
        <v>162.62</v>
      </c>
      <c r="C1218" s="5">
        <v>162.93</v>
      </c>
      <c r="D1218" s="5">
        <v>159.75</v>
      </c>
      <c r="E1218" s="5">
        <v>161.07</v>
      </c>
      <c r="F1218" s="6">
        <v>2353906</v>
      </c>
    </row>
    <row r="1219" spans="1:6" x14ac:dyDescent="0.2">
      <c r="A1219" s="4">
        <v>46241</v>
      </c>
      <c r="B1219" s="5">
        <v>162.13999999999999</v>
      </c>
      <c r="C1219" s="5">
        <v>162.18</v>
      </c>
      <c r="D1219" s="5">
        <v>160</v>
      </c>
      <c r="E1219" s="5">
        <v>161.41999999999999</v>
      </c>
      <c r="F1219" s="6">
        <v>3720555</v>
      </c>
    </row>
    <row r="1220" spans="1:6" x14ac:dyDescent="0.2">
      <c r="A1220" s="4">
        <v>46244</v>
      </c>
      <c r="B1220" s="5">
        <v>160.59</v>
      </c>
      <c r="C1220" s="5">
        <v>162.72</v>
      </c>
      <c r="D1220" s="5">
        <v>160.25</v>
      </c>
      <c r="E1220" s="5">
        <v>161.91</v>
      </c>
      <c r="F1220" s="6">
        <v>3745981</v>
      </c>
    </row>
    <row r="1221" spans="1:6" x14ac:dyDescent="0.2">
      <c r="A1221" s="4">
        <v>46245</v>
      </c>
      <c r="B1221" s="5">
        <v>162.06</v>
      </c>
      <c r="C1221" s="5">
        <v>162.26</v>
      </c>
      <c r="D1221" s="5">
        <v>158.61000000000001</v>
      </c>
      <c r="E1221" s="5">
        <v>158.75</v>
      </c>
      <c r="F1221" s="6">
        <v>2754804</v>
      </c>
    </row>
    <row r="1222" spans="1:6" x14ac:dyDescent="0.2">
      <c r="A1222" s="4">
        <v>46246</v>
      </c>
      <c r="B1222" s="5">
        <v>157.68</v>
      </c>
      <c r="C1222" s="5">
        <v>159.02260000000001</v>
      </c>
      <c r="D1222" s="5">
        <v>157.12</v>
      </c>
      <c r="E1222" s="5">
        <v>158.5</v>
      </c>
      <c r="F1222" s="6">
        <v>4140378</v>
      </c>
    </row>
    <row r="1223" spans="1:6" x14ac:dyDescent="0.2">
      <c r="A1223" s="4">
        <v>46247</v>
      </c>
      <c r="B1223" s="5">
        <v>157.85</v>
      </c>
      <c r="C1223" s="5">
        <v>158.44</v>
      </c>
      <c r="D1223" s="5">
        <v>156.97</v>
      </c>
      <c r="E1223" s="5">
        <v>157.24</v>
      </c>
      <c r="F1223" s="6">
        <v>3598337</v>
      </c>
    </row>
    <row r="1224" spans="1:6" x14ac:dyDescent="0.2">
      <c r="A1224" s="4">
        <v>46248</v>
      </c>
      <c r="B1224" s="5">
        <v>155.5</v>
      </c>
      <c r="C1224" s="5">
        <v>156.46</v>
      </c>
      <c r="D1224" s="5">
        <v>154.53</v>
      </c>
      <c r="E1224" s="5">
        <v>156.44999999999999</v>
      </c>
      <c r="F1224" s="6">
        <v>3697884</v>
      </c>
    </row>
    <row r="1225" spans="1:6" x14ac:dyDescent="0.2">
      <c r="A1225" s="4">
        <v>46251</v>
      </c>
      <c r="B1225" s="5">
        <v>156.30000000000001</v>
      </c>
      <c r="C1225" s="5">
        <v>157.26</v>
      </c>
      <c r="D1225" s="5">
        <v>155.78</v>
      </c>
      <c r="E1225" s="5">
        <v>156.88999999999999</v>
      </c>
      <c r="F1225" s="6">
        <v>3361580</v>
      </c>
    </row>
    <row r="1226" spans="1:6" x14ac:dyDescent="0.2">
      <c r="A1226" s="4">
        <v>46252</v>
      </c>
      <c r="B1226" s="5">
        <v>159.12</v>
      </c>
      <c r="C1226" s="5">
        <v>160.63999999999999</v>
      </c>
      <c r="D1226" s="5">
        <v>158.97999999999999</v>
      </c>
      <c r="E1226" s="5">
        <v>160.1</v>
      </c>
      <c r="F1226" s="6">
        <v>3001597</v>
      </c>
    </row>
    <row r="1227" spans="1:6" x14ac:dyDescent="0.2">
      <c r="A1227" s="4">
        <v>46253</v>
      </c>
      <c r="B1227" s="5">
        <v>162.13</v>
      </c>
      <c r="C1227" s="5">
        <v>165.91</v>
      </c>
      <c r="D1227" s="5">
        <v>162</v>
      </c>
      <c r="E1227" s="5">
        <v>164.95</v>
      </c>
      <c r="F1227" s="6">
        <v>3817873</v>
      </c>
    </row>
    <row r="1228" spans="1:6" x14ac:dyDescent="0.2">
      <c r="A1228" s="4">
        <v>46254</v>
      </c>
      <c r="B1228" s="5">
        <v>163.4</v>
      </c>
      <c r="C1228" s="5">
        <v>165.57</v>
      </c>
      <c r="D1228" s="5">
        <v>161.47499999999999</v>
      </c>
      <c r="E1228" s="5">
        <v>164.49</v>
      </c>
      <c r="F1228" s="6">
        <v>5094227</v>
      </c>
    </row>
    <row r="1229" spans="1:6" x14ac:dyDescent="0.2">
      <c r="A1229" s="4">
        <v>46255</v>
      </c>
      <c r="B1229" s="5">
        <v>164.04</v>
      </c>
      <c r="C1229" s="5">
        <v>167.25</v>
      </c>
      <c r="D1229" s="5">
        <v>163.96</v>
      </c>
      <c r="E1229" s="5">
        <v>165.98</v>
      </c>
      <c r="F1229" s="6">
        <v>3179849</v>
      </c>
    </row>
    <row r="1230" spans="1:6" x14ac:dyDescent="0.2">
      <c r="A1230" s="4">
        <v>46258</v>
      </c>
      <c r="B1230" s="5">
        <v>164.57</v>
      </c>
      <c r="C1230" s="5">
        <v>167.08</v>
      </c>
      <c r="D1230" s="5">
        <v>163.97</v>
      </c>
      <c r="E1230" s="5">
        <v>166.71</v>
      </c>
      <c r="F1230" s="6">
        <v>2780179</v>
      </c>
    </row>
    <row r="1231" spans="1:6" x14ac:dyDescent="0.2">
      <c r="A1231" s="4">
        <v>46259</v>
      </c>
      <c r="B1231" s="5">
        <v>167.08</v>
      </c>
      <c r="C1231" s="5">
        <v>170.18</v>
      </c>
      <c r="D1231" s="5">
        <v>166.78</v>
      </c>
      <c r="E1231" s="5">
        <v>169.66</v>
      </c>
      <c r="F1231" s="6">
        <v>3453733</v>
      </c>
    </row>
    <row r="1232" spans="1:6" x14ac:dyDescent="0.2">
      <c r="A1232" s="4">
        <v>46260</v>
      </c>
      <c r="B1232" s="5">
        <v>167.46</v>
      </c>
      <c r="C1232" s="5">
        <v>167.89</v>
      </c>
      <c r="D1232" s="5">
        <v>165.17</v>
      </c>
      <c r="E1232" s="5">
        <v>166.27</v>
      </c>
      <c r="F1232" s="6">
        <v>2680819</v>
      </c>
    </row>
    <row r="1233" spans="1:6" x14ac:dyDescent="0.2">
      <c r="A1233" s="4">
        <v>46261</v>
      </c>
      <c r="B1233" s="5">
        <v>165.27</v>
      </c>
      <c r="C1233" s="5">
        <v>165.58</v>
      </c>
      <c r="D1233" s="5">
        <v>163.98</v>
      </c>
      <c r="E1233" s="5">
        <v>164.52</v>
      </c>
      <c r="F1233" s="6">
        <v>2495241</v>
      </c>
    </row>
    <row r="1234" spans="1:6" x14ac:dyDescent="0.2">
      <c r="A1234" s="4">
        <v>46262</v>
      </c>
      <c r="B1234" s="5">
        <v>163.52000000000001</v>
      </c>
      <c r="C1234" s="5">
        <v>163.54</v>
      </c>
      <c r="D1234" s="5">
        <v>161.18</v>
      </c>
      <c r="E1234" s="5">
        <v>162.69999999999999</v>
      </c>
      <c r="F1234" s="6">
        <v>2880828</v>
      </c>
    </row>
    <row r="1235" spans="1:6" x14ac:dyDescent="0.2">
      <c r="A1235" s="4">
        <v>46265</v>
      </c>
      <c r="B1235" s="5">
        <v>162.69999999999999</v>
      </c>
      <c r="C1235" s="5">
        <v>163.75</v>
      </c>
      <c r="D1235" s="5">
        <v>161.94999999999999</v>
      </c>
      <c r="E1235" s="5">
        <v>162.13</v>
      </c>
      <c r="F1235" s="6">
        <v>3068214</v>
      </c>
    </row>
    <row r="1236" spans="1:6" x14ac:dyDescent="0.2">
      <c r="A1236" s="4">
        <v>46266</v>
      </c>
      <c r="B1236" s="5">
        <v>163.66</v>
      </c>
      <c r="C1236" s="5">
        <v>164.24</v>
      </c>
      <c r="D1236" s="5">
        <v>161.38499999999999</v>
      </c>
      <c r="E1236" s="5">
        <v>162.47</v>
      </c>
      <c r="F1236" s="6">
        <v>2598488</v>
      </c>
    </row>
    <row r="1237" spans="1:6" x14ac:dyDescent="0.2">
      <c r="A1237" s="4">
        <v>46267</v>
      </c>
      <c r="B1237" s="5">
        <v>162.54</v>
      </c>
      <c r="C1237" s="5">
        <v>164.69</v>
      </c>
      <c r="D1237" s="5">
        <v>160.87</v>
      </c>
      <c r="E1237" s="5">
        <v>161.63</v>
      </c>
      <c r="F1237" s="6">
        <v>3301432</v>
      </c>
    </row>
    <row r="1238" spans="1:6" x14ac:dyDescent="0.2">
      <c r="A1238" s="4">
        <v>46268</v>
      </c>
      <c r="B1238" s="5">
        <v>165.64</v>
      </c>
      <c r="C1238" s="5">
        <v>165.74</v>
      </c>
      <c r="D1238" s="5">
        <v>162.24</v>
      </c>
      <c r="E1238" s="5">
        <v>164.77</v>
      </c>
      <c r="F1238" s="6">
        <v>2425270</v>
      </c>
    </row>
    <row r="1239" spans="1:6" x14ac:dyDescent="0.2">
      <c r="A1239" s="4">
        <v>46269</v>
      </c>
      <c r="B1239" s="5">
        <v>162.82</v>
      </c>
      <c r="C1239" s="5">
        <v>163.78</v>
      </c>
      <c r="D1239" s="5">
        <v>161.13</v>
      </c>
      <c r="E1239" s="5">
        <v>162.69999999999999</v>
      </c>
      <c r="F1239" s="6">
        <v>3073349</v>
      </c>
    </row>
    <row r="1240" spans="1:6" x14ac:dyDescent="0.2">
      <c r="A1240" s="4">
        <v>46273</v>
      </c>
      <c r="B1240" s="5">
        <v>163.96</v>
      </c>
      <c r="C1240" s="5">
        <v>163.96</v>
      </c>
      <c r="D1240" s="5">
        <v>159.4</v>
      </c>
      <c r="E1240" s="5">
        <v>160.04</v>
      </c>
      <c r="F1240" s="6">
        <v>5146269</v>
      </c>
    </row>
    <row r="1241" spans="1:6" x14ac:dyDescent="0.2">
      <c r="A1241" s="4">
        <v>46274</v>
      </c>
      <c r="B1241" s="5">
        <v>158.31</v>
      </c>
      <c r="C1241" s="5">
        <v>159.1301</v>
      </c>
      <c r="D1241" s="5">
        <v>156.74</v>
      </c>
      <c r="E1241" s="5">
        <v>156.94</v>
      </c>
      <c r="F1241" s="6">
        <v>3874039</v>
      </c>
    </row>
    <row r="1242" spans="1:6" x14ac:dyDescent="0.2">
      <c r="A1242" s="4">
        <v>46275</v>
      </c>
      <c r="B1242" s="5">
        <v>157.68</v>
      </c>
      <c r="C1242" s="5">
        <v>160.30000000000001</v>
      </c>
      <c r="D1242" s="5">
        <v>157.22999999999999</v>
      </c>
      <c r="E1242" s="5">
        <v>159.63999999999999</v>
      </c>
      <c r="F1242" s="6">
        <v>2935497</v>
      </c>
    </row>
    <row r="1243" spans="1:6" x14ac:dyDescent="0.2">
      <c r="A1243" s="4">
        <v>46276</v>
      </c>
      <c r="B1243" s="5">
        <v>161.43</v>
      </c>
      <c r="C1243" s="5">
        <v>161.51</v>
      </c>
      <c r="D1243" s="5">
        <v>158.13</v>
      </c>
      <c r="E1243" s="5">
        <v>160.16999999999999</v>
      </c>
      <c r="F1243" s="6">
        <v>2229337</v>
      </c>
    </row>
    <row r="1244" spans="1:6" x14ac:dyDescent="0.2">
      <c r="A1244" s="4">
        <v>46279</v>
      </c>
      <c r="B1244" s="5">
        <v>164.08</v>
      </c>
      <c r="C1244" s="5">
        <v>164.55</v>
      </c>
      <c r="D1244" s="5">
        <v>162.13999999999999</v>
      </c>
      <c r="E1244" s="5">
        <v>163.78</v>
      </c>
      <c r="F1244" s="6">
        <v>3093646</v>
      </c>
    </row>
    <row r="1245" spans="1:6" x14ac:dyDescent="0.2">
      <c r="A1245" s="4">
        <v>46280</v>
      </c>
      <c r="B1245" s="5">
        <v>161.41999999999999</v>
      </c>
      <c r="C1245" s="5">
        <v>163.9</v>
      </c>
      <c r="D1245" s="5">
        <v>160.71</v>
      </c>
      <c r="E1245" s="5">
        <v>161.85</v>
      </c>
      <c r="F1245" s="6">
        <v>2939384</v>
      </c>
    </row>
    <row r="1246" spans="1:6" x14ac:dyDescent="0.2">
      <c r="A1246" s="4">
        <v>46281</v>
      </c>
      <c r="B1246" s="5">
        <v>164.21</v>
      </c>
      <c r="C1246" s="5">
        <v>165.42</v>
      </c>
      <c r="D1246" s="5">
        <v>162.02000000000001</v>
      </c>
      <c r="E1246" s="5">
        <v>162.88999999999999</v>
      </c>
      <c r="F1246" s="6">
        <v>3859290</v>
      </c>
    </row>
    <row r="1247" spans="1:6" x14ac:dyDescent="0.2">
      <c r="A1247" s="4">
        <v>46282</v>
      </c>
      <c r="B1247" s="5">
        <v>164.59</v>
      </c>
      <c r="C1247" s="5">
        <v>166.29</v>
      </c>
      <c r="D1247" s="5">
        <v>164.29499999999999</v>
      </c>
      <c r="E1247" s="5">
        <v>166.14</v>
      </c>
      <c r="F1247" s="6">
        <v>3807907</v>
      </c>
    </row>
    <row r="1248" spans="1:6" x14ac:dyDescent="0.2">
      <c r="A1248" s="4">
        <v>46283</v>
      </c>
      <c r="B1248" s="5">
        <v>167.15</v>
      </c>
      <c r="C1248" s="5">
        <v>167.83</v>
      </c>
      <c r="D1248" s="5">
        <v>165.54</v>
      </c>
      <c r="E1248" s="5">
        <v>166.08</v>
      </c>
      <c r="F1248" s="6">
        <v>3060377</v>
      </c>
    </row>
    <row r="1249" spans="1:6" x14ac:dyDescent="0.2">
      <c r="A1249" s="4">
        <v>46286</v>
      </c>
      <c r="B1249" s="5">
        <v>168.45</v>
      </c>
      <c r="C1249" s="5">
        <v>169</v>
      </c>
      <c r="D1249" s="5">
        <v>167.11</v>
      </c>
      <c r="E1249" s="5">
        <v>168.1</v>
      </c>
      <c r="F1249" s="6">
        <v>2937798</v>
      </c>
    </row>
    <row r="1250" spans="1:6" x14ac:dyDescent="0.2">
      <c r="A1250" s="4">
        <v>46287</v>
      </c>
      <c r="B1250" s="5">
        <v>167.84</v>
      </c>
      <c r="C1250" s="5">
        <v>169.35</v>
      </c>
      <c r="D1250" s="5">
        <v>166.74</v>
      </c>
      <c r="E1250" s="5">
        <v>168.37</v>
      </c>
      <c r="F1250" s="6">
        <v>2306260</v>
      </c>
    </row>
    <row r="1251" spans="1:6" x14ac:dyDescent="0.2">
      <c r="A1251" s="4">
        <v>46288</v>
      </c>
      <c r="B1251" s="5">
        <v>166.58</v>
      </c>
      <c r="C1251" s="5">
        <v>167.59</v>
      </c>
      <c r="D1251" s="5">
        <v>163.33000000000001</v>
      </c>
      <c r="E1251" s="5">
        <v>163.33000000000001</v>
      </c>
      <c r="F1251" s="6">
        <v>2361339</v>
      </c>
    </row>
    <row r="1252" spans="1:6" x14ac:dyDescent="0.2">
      <c r="A1252" s="4">
        <v>46289</v>
      </c>
      <c r="B1252" s="5">
        <v>162.91</v>
      </c>
      <c r="C1252" s="5">
        <v>166.25</v>
      </c>
      <c r="D1252" s="5">
        <v>162.91</v>
      </c>
      <c r="E1252" s="5">
        <v>164.56</v>
      </c>
      <c r="F1252" s="6">
        <v>3188582</v>
      </c>
    </row>
    <row r="1253" spans="1:6" x14ac:dyDescent="0.2">
      <c r="A1253" s="4">
        <v>46290</v>
      </c>
      <c r="B1253" s="5">
        <v>166.16</v>
      </c>
      <c r="C1253" s="5">
        <v>166.81</v>
      </c>
      <c r="D1253" s="5">
        <v>164.6</v>
      </c>
      <c r="E1253" s="5">
        <v>166.58</v>
      </c>
      <c r="F1253" s="6">
        <v>2067863</v>
      </c>
    </row>
    <row r="1254" spans="1:6" x14ac:dyDescent="0.2">
      <c r="A1254" s="4">
        <v>46293</v>
      </c>
      <c r="B1254" s="5">
        <v>165.69</v>
      </c>
      <c r="C1254" s="5">
        <v>167.52</v>
      </c>
      <c r="D1254" s="5">
        <v>165.39</v>
      </c>
      <c r="E1254" s="5">
        <v>166.15</v>
      </c>
      <c r="F1254" s="6">
        <v>1726644</v>
      </c>
    </row>
    <row r="1255" spans="1:6" x14ac:dyDescent="0.2">
      <c r="A1255" s="4">
        <v>46294</v>
      </c>
      <c r="B1255" s="5">
        <v>165.09</v>
      </c>
      <c r="C1255" s="5">
        <v>166.465</v>
      </c>
      <c r="D1255" s="5">
        <v>163.24</v>
      </c>
      <c r="E1255" s="5">
        <v>164.21</v>
      </c>
      <c r="F1255" s="6">
        <v>3372149</v>
      </c>
    </row>
    <row r="1256" spans="1:6" x14ac:dyDescent="0.2">
      <c r="A1256" s="4">
        <v>46295</v>
      </c>
      <c r="B1256" s="5">
        <v>164.47</v>
      </c>
      <c r="C1256" s="5">
        <v>164.48400000000001</v>
      </c>
      <c r="D1256" s="5">
        <v>161.46</v>
      </c>
      <c r="E1256" s="5">
        <v>161.47</v>
      </c>
      <c r="F1256" s="6">
        <v>2225476</v>
      </c>
    </row>
    <row r="1257" spans="1:6" x14ac:dyDescent="0.2">
      <c r="A1257" s="4">
        <v>46296</v>
      </c>
      <c r="B1257" s="5">
        <v>160.77000000000001</v>
      </c>
      <c r="C1257" s="5">
        <v>161.32499999999999</v>
      </c>
      <c r="D1257" s="5">
        <v>157.54</v>
      </c>
      <c r="E1257" s="5">
        <v>157.69999999999999</v>
      </c>
      <c r="F1257" s="6">
        <v>3378102</v>
      </c>
    </row>
    <row r="1258" spans="1:6" x14ac:dyDescent="0.2">
      <c r="A1258" s="4">
        <v>46297</v>
      </c>
      <c r="B1258" s="5">
        <v>158.46</v>
      </c>
      <c r="C1258" s="5">
        <v>158.79499999999999</v>
      </c>
      <c r="D1258" s="5">
        <v>156.41</v>
      </c>
      <c r="E1258" s="5">
        <v>156.9</v>
      </c>
      <c r="F1258" s="6">
        <v>3035561</v>
      </c>
    </row>
  </sheetData>
  <autoFilter ref="A4:F1258" xr:uid="{73FEACA6-94CC-4565-87D5-4A7DB8ED4DE5}"/>
  <conditionalFormatting sqref="H18">
    <cfRule type="expression" dxfId="2" priority="1" stopIfTrue="1">
      <formula>AND($I$11="OK",$I$16&gt;=0)</formula>
    </cfRule>
    <cfRule type="expression" dxfId="1" priority="2" stopIfTrue="1">
      <formula>AND($I$11="OK",$I$16&lt;0)</formula>
    </cfRule>
    <cfRule type="expression" dxfId="0" priority="3" stopIfTrue="1">
      <formula>$I$11&lt;&gt;"OK"</formula>
    </cfRule>
  </conditionalFormatting>
  <dataValidations count="1">
    <dataValidation type="date" allowBlank="1" showInputMessage="1" showErrorMessage="1" errorTitle="Invalid date" error="Please enter a date, e.g. 2024-01-31." sqref="I4:I5" xr:uid="{10E0A0EC-58C9-4D2E-8E35-3D5D65306213}">
      <formula1>32874</formula1>
      <formula2>73415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Liu</dc:creator>
  <cp:lastModifiedBy>Ting Liu</cp:lastModifiedBy>
  <dcterms:created xsi:type="dcterms:W3CDTF">2026-10-05T16:26:01Z</dcterms:created>
  <dcterms:modified xsi:type="dcterms:W3CDTF">2026-10-05T16:26:03Z</dcterms:modified>
</cp:coreProperties>
</file>