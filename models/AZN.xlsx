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C54F9D3E-F47E-42B0-BC38-0A2E0F8E2CF0}" xr6:coauthVersionLast="47" xr6:coauthVersionMax="47" xr10:uidLastSave="{00000000-0000-0000-0000-000000000000}"/>
  <bookViews>
    <workbookView xWindow="37395" yWindow="435" windowWidth="27555" windowHeight="14520" xr2:uid="{ADAF56A0-C9E2-4B3F-9903-D92F720E8C8D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Data'!$O$5:$O$1258,MIN('Stock Price'!$I$9,1254)):INDEX('Peer Data'!$O$5:$O$1258,MAX('Stock Price'!$I$10,1))</definedName>
    <definedName name="PeerPct_BAYNr">INDEX('Peer Data'!$T$5:$T$1258,MIN('Stock Price'!$I$9,1254)):INDEX('Peer Data'!$T$5:$T$1258,MAX('Stock Price'!$I$10,1))</definedName>
    <definedName name="PeerPct_BMY">INDEX('Peer Data'!$X$5:$X$1258,MIN('Stock Price'!$I$9,1254)):INDEX('Peer Data'!$X$5:$X$1258,MAX('Stock Price'!$I$10,1))</definedName>
    <definedName name="PeerPct_GSK">INDEX('Peer Data'!$Q$5:$Q$1258,MIN('Stock Price'!$I$9,1254)):INDEX('Peer Data'!$Q$5:$Q$1258,MAX('Stock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Data'!$U$5:$U$1258,MIN('Stock Price'!$I$9,1254)):INDEX('Peer Data'!$U$5:$U$1258,MAX('Stock Price'!$I$10,1))</definedName>
    <definedName name="PeerPct_NVS">INDEX('Peer Data'!$P$5:$P$1258,MIN('Stock Price'!$I$9,1254)):INDEX('Peer Data'!$P$5:$P$1258,MAX('Stock Price'!$I$10,1))</definedName>
    <definedName name="PeerPct_PFE">INDEX('Peer Data'!$V$5:$V$1258,MIN('Stock Price'!$I$9,1254)):INDEX('Peer Data'!$V$5:$V$1258,MAX('Stock Price'!$I$10,1))</definedName>
    <definedName name="PeerPct_ROG">INDEX('Peer Data'!$R$5:$R$1258,MIN('Stock Price'!$I$9,1254)):INDEX('Peer Data'!$R$5:$R$1258,MAX('Stock Price'!$I$10,1))</definedName>
    <definedName name="PeerPct_SNY">INDEX('Peer Data'!$S$5:$S$1258,MIN('Stock Price'!$I$9,1254)):INDEX('Peer Data'!$S$5:$S$1258,MAX('Stock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639" i="2"/>
  <c r="Z647" i="2"/>
  <c r="Z655" i="2"/>
  <c r="Z663" i="2"/>
  <c r="Z671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680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602" i="2"/>
  <c r="Z610" i="2"/>
  <c r="Z618" i="2"/>
  <c r="Z626" i="2"/>
  <c r="Z634" i="2"/>
  <c r="Z642" i="2"/>
  <c r="Z650" i="2"/>
  <c r="Z658" i="2"/>
  <c r="Z666" i="2"/>
  <c r="Z674" i="2"/>
  <c r="Z682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11" i="2"/>
  <c r="Z75" i="2"/>
  <c r="Z139" i="2"/>
  <c r="Z203" i="2"/>
  <c r="Z267" i="2"/>
  <c r="Z331" i="2"/>
  <c r="Z395" i="2"/>
  <c r="Z459" i="2"/>
  <c r="Z491" i="2"/>
  <c r="Z523" i="2"/>
  <c r="Z555" i="2"/>
  <c r="Z587" i="2"/>
  <c r="Z619" i="2"/>
  <c r="Z651" i="2"/>
  <c r="Z679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025" i="2"/>
  <c r="Z1033" i="2"/>
  <c r="Z1041" i="2"/>
  <c r="Z1049" i="2"/>
  <c r="Z1057" i="2"/>
  <c r="Z1065" i="2"/>
  <c r="Z1073" i="2"/>
  <c r="Z1081" i="2"/>
  <c r="Z1089" i="2"/>
  <c r="Z1097" i="2"/>
  <c r="Z1105" i="2"/>
  <c r="Z1113" i="2"/>
  <c r="Z1121" i="2"/>
  <c r="Z1129" i="2"/>
  <c r="Z1137" i="2"/>
  <c r="Z1145" i="2"/>
  <c r="Z1153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19" i="2"/>
  <c r="Z83" i="2"/>
  <c r="Z147" i="2"/>
  <c r="Z211" i="2"/>
  <c r="Z275" i="2"/>
  <c r="Z339" i="2"/>
  <c r="Z403" i="2"/>
  <c r="Z460" i="2"/>
  <c r="Z492" i="2"/>
  <c r="Z524" i="2"/>
  <c r="Z556" i="2"/>
  <c r="Z588" i="2"/>
  <c r="Z620" i="2"/>
  <c r="Z652" i="2"/>
  <c r="Z681" i="2"/>
  <c r="Z690" i="2"/>
  <c r="Z698" i="2"/>
  <c r="Z706" i="2"/>
  <c r="Z714" i="2"/>
  <c r="Z722" i="2"/>
  <c r="Z730" i="2"/>
  <c r="Z738" i="2"/>
  <c r="Z746" i="2"/>
  <c r="Z754" i="2"/>
  <c r="Z762" i="2"/>
  <c r="Z770" i="2"/>
  <c r="Z778" i="2"/>
  <c r="Z786" i="2"/>
  <c r="Z794" i="2"/>
  <c r="Z802" i="2"/>
  <c r="Z810" i="2"/>
  <c r="Z818" i="2"/>
  <c r="Z826" i="2"/>
  <c r="Z834" i="2"/>
  <c r="Z842" i="2"/>
  <c r="Z850" i="2"/>
  <c r="Z858" i="2"/>
  <c r="Z866" i="2"/>
  <c r="Z874" i="2"/>
  <c r="Z882" i="2"/>
  <c r="Z890" i="2"/>
  <c r="Z898" i="2"/>
  <c r="Z906" i="2"/>
  <c r="Z914" i="2"/>
  <c r="Z922" i="2"/>
  <c r="Z930" i="2"/>
  <c r="Z938" i="2"/>
  <c r="Z946" i="2"/>
  <c r="Z954" i="2"/>
  <c r="Z962" i="2"/>
  <c r="Z970" i="2"/>
  <c r="Z978" i="2"/>
  <c r="Z986" i="2"/>
  <c r="Z994" i="2"/>
  <c r="Z1002" i="2"/>
  <c r="Z1010" i="2"/>
  <c r="Z1018" i="2"/>
  <c r="Z1026" i="2"/>
  <c r="Z1034" i="2"/>
  <c r="Z1042" i="2"/>
  <c r="Z1050" i="2"/>
  <c r="Z1058" i="2"/>
  <c r="Z1066" i="2"/>
  <c r="Z1074" i="2"/>
  <c r="Z1082" i="2"/>
  <c r="Z1090" i="2"/>
  <c r="Z1098" i="2"/>
  <c r="Z1106" i="2"/>
  <c r="Z1114" i="2"/>
  <c r="Z1122" i="2"/>
  <c r="Z1130" i="2"/>
  <c r="Z1138" i="2"/>
  <c r="Z1146" i="2"/>
  <c r="Z1154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27" i="2"/>
  <c r="Z91" i="2"/>
  <c r="Z155" i="2"/>
  <c r="Z219" i="2"/>
  <c r="Z283" i="2"/>
  <c r="Z347" i="2"/>
  <c r="Z411" i="2"/>
  <c r="Z467" i="2"/>
  <c r="Z499" i="2"/>
  <c r="Z531" i="2"/>
  <c r="Z563" i="2"/>
  <c r="Z595" i="2"/>
  <c r="Z627" i="2"/>
  <c r="Z659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931" i="2"/>
  <c r="Z939" i="2"/>
  <c r="Z947" i="2"/>
  <c r="Z955" i="2"/>
  <c r="Z963" i="2"/>
  <c r="Z971" i="2"/>
  <c r="Z979" i="2"/>
  <c r="Z987" i="2"/>
  <c r="Z995" i="2"/>
  <c r="Z1003" i="2"/>
  <c r="Z1011" i="2"/>
  <c r="Z1019" i="2"/>
  <c r="Z1027" i="2"/>
  <c r="Z1035" i="2"/>
  <c r="Z1043" i="2"/>
  <c r="Z1051" i="2"/>
  <c r="Z1059" i="2"/>
  <c r="Z1067" i="2"/>
  <c r="Z1075" i="2"/>
  <c r="Z1083" i="2"/>
  <c r="Z1091" i="2"/>
  <c r="Z1099" i="2"/>
  <c r="Z1107" i="2"/>
  <c r="Z1115" i="2"/>
  <c r="Z1123" i="2"/>
  <c r="Z1131" i="2"/>
  <c r="Z1139" i="2"/>
  <c r="Z1147" i="2"/>
  <c r="Z1155" i="2"/>
  <c r="Z1163" i="2"/>
  <c r="Z1171" i="2"/>
  <c r="Z1179" i="2"/>
  <c r="Z1187" i="2"/>
  <c r="Z1195" i="2"/>
  <c r="Z1203" i="2"/>
  <c r="Z1211" i="2"/>
  <c r="Z1219" i="2"/>
  <c r="Z1227" i="2"/>
  <c r="Z1235" i="2"/>
  <c r="Z1243" i="2"/>
  <c r="Z35" i="2"/>
  <c r="Z99" i="2"/>
  <c r="Z163" i="2"/>
  <c r="Z227" i="2"/>
  <c r="Z291" i="2"/>
  <c r="Z355" i="2"/>
  <c r="Z419" i="2"/>
  <c r="Z468" i="2"/>
  <c r="Z500" i="2"/>
  <c r="Z532" i="2"/>
  <c r="Z564" i="2"/>
  <c r="Z596" i="2"/>
  <c r="Z628" i="2"/>
  <c r="Z660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1028" i="2"/>
  <c r="Z1036" i="2"/>
  <c r="Z1044" i="2"/>
  <c r="Z1052" i="2"/>
  <c r="Z1060" i="2"/>
  <c r="Z1068" i="2"/>
  <c r="Z1076" i="2"/>
  <c r="Z1084" i="2"/>
  <c r="Z1092" i="2"/>
  <c r="Z1100" i="2"/>
  <c r="Z1108" i="2"/>
  <c r="Z1116" i="2"/>
  <c r="Z1124" i="2"/>
  <c r="Z1132" i="2"/>
  <c r="Z1140" i="2"/>
  <c r="Z1148" i="2"/>
  <c r="Z1156" i="2"/>
  <c r="Z1164" i="2"/>
  <c r="Z1172" i="2"/>
  <c r="Z1180" i="2"/>
  <c r="Z1188" i="2"/>
  <c r="Z1196" i="2"/>
  <c r="Z1204" i="2"/>
  <c r="Z1212" i="2"/>
  <c r="Z1220" i="2"/>
  <c r="Z1228" i="2"/>
  <c r="Z1236" i="2"/>
  <c r="Z1244" i="2"/>
  <c r="Z43" i="2"/>
  <c r="Z107" i="2"/>
  <c r="Z171" i="2"/>
  <c r="Z235" i="2"/>
  <c r="Z299" i="2"/>
  <c r="Z363" i="2"/>
  <c r="Z427" i="2"/>
  <c r="Z475" i="2"/>
  <c r="Z507" i="2"/>
  <c r="Z539" i="2"/>
  <c r="Z571" i="2"/>
  <c r="Z603" i="2"/>
  <c r="Z635" i="2"/>
  <c r="Z667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837" i="2"/>
  <c r="Z845" i="2"/>
  <c r="Z853" i="2"/>
  <c r="Z861" i="2"/>
  <c r="Z869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51" i="2"/>
  <c r="Z115" i="2"/>
  <c r="Z179" i="2"/>
  <c r="Z243" i="2"/>
  <c r="Z307" i="2"/>
  <c r="Z371" i="2"/>
  <c r="Z435" i="2"/>
  <c r="Z476" i="2"/>
  <c r="Z508" i="2"/>
  <c r="Z540" i="2"/>
  <c r="Z572" i="2"/>
  <c r="Z604" i="2"/>
  <c r="Z636" i="2"/>
  <c r="Z668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67" i="2"/>
  <c r="Z131" i="2"/>
  <c r="Z195" i="2"/>
  <c r="Z259" i="2"/>
  <c r="Z323" i="2"/>
  <c r="Z387" i="2"/>
  <c r="Z451" i="2"/>
  <c r="Z484" i="2"/>
  <c r="Z516" i="2"/>
  <c r="Z548" i="2"/>
  <c r="Z580" i="2"/>
  <c r="Z612" i="2"/>
  <c r="Z644" i="2"/>
  <c r="Z676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920" i="2"/>
  <c r="Z928" i="2"/>
  <c r="Z936" i="2"/>
  <c r="Z944" i="2"/>
  <c r="Z952" i="2"/>
  <c r="Z960" i="2"/>
  <c r="Z968" i="2"/>
  <c r="Z976" i="2"/>
  <c r="Z984" i="2"/>
  <c r="Z992" i="2"/>
  <c r="Z59" i="2"/>
  <c r="Z515" i="2"/>
  <c r="Z703" i="2"/>
  <c r="Z767" i="2"/>
  <c r="Z831" i="2"/>
  <c r="Z895" i="2"/>
  <c r="Z959" i="2"/>
  <c r="Z1008" i="2"/>
  <c r="Z1040" i="2"/>
  <c r="Z1072" i="2"/>
  <c r="Z1095" i="2"/>
  <c r="Z1111" i="2"/>
  <c r="Z1127" i="2"/>
  <c r="Z1143" i="2"/>
  <c r="Z1159" i="2"/>
  <c r="Z1175" i="2"/>
  <c r="Z1191" i="2"/>
  <c r="Z1207" i="2"/>
  <c r="Z1223" i="2"/>
  <c r="Z1239" i="2"/>
  <c r="Z1253" i="2"/>
  <c r="Z751" i="2"/>
  <c r="Z123" i="2"/>
  <c r="Z547" i="2"/>
  <c r="Z711" i="2"/>
  <c r="Z775" i="2"/>
  <c r="Z839" i="2"/>
  <c r="Z903" i="2"/>
  <c r="Z967" i="2"/>
  <c r="Z1015" i="2"/>
  <c r="Z1047" i="2"/>
  <c r="Z1079" i="2"/>
  <c r="Z1096" i="2"/>
  <c r="Z1112" i="2"/>
  <c r="Z1128" i="2"/>
  <c r="Z1144" i="2"/>
  <c r="Z1160" i="2"/>
  <c r="Z1176" i="2"/>
  <c r="Z1192" i="2"/>
  <c r="Z1208" i="2"/>
  <c r="Z1224" i="2"/>
  <c r="Z1240" i="2"/>
  <c r="Z1254" i="2"/>
  <c r="Z187" i="2"/>
  <c r="Z579" i="2"/>
  <c r="Z719" i="2"/>
  <c r="Z783" i="2"/>
  <c r="Z847" i="2"/>
  <c r="Z911" i="2"/>
  <c r="Z975" i="2"/>
  <c r="Z1016" i="2"/>
  <c r="Z1048" i="2"/>
  <c r="Z1080" i="2"/>
  <c r="Z1101" i="2"/>
  <c r="Z1117" i="2"/>
  <c r="Z1133" i="2"/>
  <c r="Z1149" i="2"/>
  <c r="Z1165" i="2"/>
  <c r="Z1181" i="2"/>
  <c r="Z1197" i="2"/>
  <c r="Z1213" i="2"/>
  <c r="Z1229" i="2"/>
  <c r="Z1245" i="2"/>
  <c r="Z1255" i="2"/>
  <c r="Z687" i="2"/>
  <c r="Z1000" i="2"/>
  <c r="Z1093" i="2"/>
  <c r="Z1141" i="2"/>
  <c r="Z1173" i="2"/>
  <c r="Z1221" i="2"/>
  <c r="Z251" i="2"/>
  <c r="Z611" i="2"/>
  <c r="Z727" i="2"/>
  <c r="Z791" i="2"/>
  <c r="Z855" i="2"/>
  <c r="Z919" i="2"/>
  <c r="Z983" i="2"/>
  <c r="Z1023" i="2"/>
  <c r="Z1055" i="2"/>
  <c r="Z1086" i="2"/>
  <c r="Z1102" i="2"/>
  <c r="Z1118" i="2"/>
  <c r="Z1134" i="2"/>
  <c r="Z1150" i="2"/>
  <c r="Z1166" i="2"/>
  <c r="Z1182" i="2"/>
  <c r="Z1198" i="2"/>
  <c r="Z1214" i="2"/>
  <c r="Z1230" i="2"/>
  <c r="Z1246" i="2"/>
  <c r="Z1256" i="2"/>
  <c r="Z443" i="2"/>
  <c r="Z1032" i="2"/>
  <c r="Z1109" i="2"/>
  <c r="Z1157" i="2"/>
  <c r="Z1205" i="2"/>
  <c r="Z1237" i="2"/>
  <c r="Z315" i="2"/>
  <c r="Z643" i="2"/>
  <c r="Z735" i="2"/>
  <c r="Z799" i="2"/>
  <c r="Z863" i="2"/>
  <c r="Z927" i="2"/>
  <c r="Z991" i="2"/>
  <c r="Z1024" i="2"/>
  <c r="Z1056" i="2"/>
  <c r="Z1087" i="2"/>
  <c r="Z1103" i="2"/>
  <c r="Z1119" i="2"/>
  <c r="Z1135" i="2"/>
  <c r="Z1151" i="2"/>
  <c r="Z1167" i="2"/>
  <c r="Z1183" i="2"/>
  <c r="Z1199" i="2"/>
  <c r="Z1215" i="2"/>
  <c r="Z1231" i="2"/>
  <c r="Z1247" i="2"/>
  <c r="Z815" i="2"/>
  <c r="Z1064" i="2"/>
  <c r="Z1125" i="2"/>
  <c r="Z1189" i="2"/>
  <c r="Z1251" i="2"/>
  <c r="Z379" i="2"/>
  <c r="Z675" i="2"/>
  <c r="Z743" i="2"/>
  <c r="Z807" i="2"/>
  <c r="Z871" i="2"/>
  <c r="Z935" i="2"/>
  <c r="Z999" i="2"/>
  <c r="Z1031" i="2"/>
  <c r="Z1063" i="2"/>
  <c r="Z1088" i="2"/>
  <c r="Z1104" i="2"/>
  <c r="Z1120" i="2"/>
  <c r="Z1136" i="2"/>
  <c r="Z1152" i="2"/>
  <c r="Z1168" i="2"/>
  <c r="Z1184" i="2"/>
  <c r="Z1200" i="2"/>
  <c r="Z1216" i="2"/>
  <c r="Z1232" i="2"/>
  <c r="Z1248" i="2"/>
  <c r="Z879" i="2"/>
  <c r="Z483" i="2"/>
  <c r="Z695" i="2"/>
  <c r="Z759" i="2"/>
  <c r="Z823" i="2"/>
  <c r="Z887" i="2"/>
  <c r="Z951" i="2"/>
  <c r="Z1007" i="2"/>
  <c r="Z1039" i="2"/>
  <c r="Z1071" i="2"/>
  <c r="Z1094" i="2"/>
  <c r="Z1110" i="2"/>
  <c r="Z1126" i="2"/>
  <c r="Z1142" i="2"/>
  <c r="Z1158" i="2"/>
  <c r="Z1174" i="2"/>
  <c r="Z1190" i="2"/>
  <c r="Z1206" i="2"/>
  <c r="Z1222" i="2"/>
  <c r="Z1238" i="2"/>
  <c r="Z1252" i="2"/>
  <c r="Z943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11" i="2"/>
  <c r="Y75" i="2"/>
  <c r="Y139" i="2"/>
  <c r="Y203" i="2"/>
  <c r="Y267" i="2"/>
  <c r="Y331" i="2"/>
  <c r="Y395" i="2"/>
  <c r="Y459" i="2"/>
  <c r="Y523" i="2"/>
  <c r="Y572" i="2"/>
  <c r="Y604" i="2"/>
  <c r="Y636" i="2"/>
  <c r="Y668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19" i="2"/>
  <c r="Y83" i="2"/>
  <c r="Y147" i="2"/>
  <c r="Y211" i="2"/>
  <c r="Y275" i="2"/>
  <c r="Y339" i="2"/>
  <c r="Y403" i="2"/>
  <c r="Y467" i="2"/>
  <c r="Y531" i="2"/>
  <c r="Y579" i="2"/>
  <c r="Y611" i="2"/>
  <c r="Y643" i="2"/>
  <c r="Y675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27" i="2"/>
  <c r="Y91" i="2"/>
  <c r="Y155" i="2"/>
  <c r="Y219" i="2"/>
  <c r="Y283" i="2"/>
  <c r="Y347" i="2"/>
  <c r="Y411" i="2"/>
  <c r="Y475" i="2"/>
  <c r="Y539" i="2"/>
  <c r="Y580" i="2"/>
  <c r="Y612" i="2"/>
  <c r="Y644" i="2"/>
  <c r="Y676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35" i="2"/>
  <c r="Y99" i="2"/>
  <c r="Y163" i="2"/>
  <c r="Y227" i="2"/>
  <c r="Y291" i="2"/>
  <c r="Y355" i="2"/>
  <c r="Y419" i="2"/>
  <c r="Y483" i="2"/>
  <c r="Y547" i="2"/>
  <c r="Y587" i="2"/>
  <c r="Y619" i="2"/>
  <c r="Y651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43" i="2"/>
  <c r="Y107" i="2"/>
  <c r="Y171" i="2"/>
  <c r="Y235" i="2"/>
  <c r="Y299" i="2"/>
  <c r="Y363" i="2"/>
  <c r="Y427" i="2"/>
  <c r="Y491" i="2"/>
  <c r="Y555" i="2"/>
  <c r="Y588" i="2"/>
  <c r="Y620" i="2"/>
  <c r="Y652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51" i="2"/>
  <c r="Y115" i="2"/>
  <c r="Y179" i="2"/>
  <c r="Y243" i="2"/>
  <c r="Y307" i="2"/>
  <c r="Y371" i="2"/>
  <c r="Y435" i="2"/>
  <c r="Y499" i="2"/>
  <c r="Y563" i="2"/>
  <c r="Y595" i="2"/>
  <c r="Y627" i="2"/>
  <c r="Y659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67" i="2"/>
  <c r="Y131" i="2"/>
  <c r="Y195" i="2"/>
  <c r="Y259" i="2"/>
  <c r="Y323" i="2"/>
  <c r="Y387" i="2"/>
  <c r="Y451" i="2"/>
  <c r="Y515" i="2"/>
  <c r="Y571" i="2"/>
  <c r="Y603" i="2"/>
  <c r="Y635" i="2"/>
  <c r="Y667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59" i="2"/>
  <c r="Y564" i="2"/>
  <c r="Y717" i="2"/>
  <c r="Y781" i="2"/>
  <c r="Y845" i="2"/>
  <c r="Y909" i="2"/>
  <c r="Y973" i="2"/>
  <c r="Y1029" i="2"/>
  <c r="Y1061" i="2"/>
  <c r="Y1093" i="2"/>
  <c r="Y1125" i="2"/>
  <c r="Y1157" i="2"/>
  <c r="Y1188" i="2"/>
  <c r="Y1204" i="2"/>
  <c r="Y1220" i="2"/>
  <c r="Y1236" i="2"/>
  <c r="Y1251" i="2"/>
  <c r="Y893" i="2"/>
  <c r="Y123" i="2"/>
  <c r="Y596" i="2"/>
  <c r="Y725" i="2"/>
  <c r="Y789" i="2"/>
  <c r="Y853" i="2"/>
  <c r="Y917" i="2"/>
  <c r="Y981" i="2"/>
  <c r="Y1030" i="2"/>
  <c r="Y1062" i="2"/>
  <c r="Y1094" i="2"/>
  <c r="Y1126" i="2"/>
  <c r="Y1158" i="2"/>
  <c r="Y1189" i="2"/>
  <c r="Y1205" i="2"/>
  <c r="Y1221" i="2"/>
  <c r="Y1237" i="2"/>
  <c r="Y1252" i="2"/>
  <c r="Y829" i="2"/>
  <c r="Y1021" i="2"/>
  <c r="Y1117" i="2"/>
  <c r="Y1181" i="2"/>
  <c r="Y1230" i="2"/>
  <c r="Y187" i="2"/>
  <c r="Y628" i="2"/>
  <c r="Y733" i="2"/>
  <c r="Y797" i="2"/>
  <c r="Y861" i="2"/>
  <c r="Y925" i="2"/>
  <c r="Y989" i="2"/>
  <c r="Y1037" i="2"/>
  <c r="Y1069" i="2"/>
  <c r="Y1101" i="2"/>
  <c r="Y1133" i="2"/>
  <c r="Y1165" i="2"/>
  <c r="Y1190" i="2"/>
  <c r="Y1206" i="2"/>
  <c r="Y1222" i="2"/>
  <c r="Y1238" i="2"/>
  <c r="Y1253" i="2"/>
  <c r="Y251" i="2"/>
  <c r="Y660" i="2"/>
  <c r="Y741" i="2"/>
  <c r="Y805" i="2"/>
  <c r="Y869" i="2"/>
  <c r="Y933" i="2"/>
  <c r="Y997" i="2"/>
  <c r="Y1038" i="2"/>
  <c r="Y1070" i="2"/>
  <c r="Y1102" i="2"/>
  <c r="Y1134" i="2"/>
  <c r="Y1166" i="2"/>
  <c r="Y1195" i="2"/>
  <c r="Y1211" i="2"/>
  <c r="Y1227" i="2"/>
  <c r="Y1243" i="2"/>
  <c r="Y1254" i="2"/>
  <c r="Y701" i="2"/>
  <c r="Y1085" i="2"/>
  <c r="Y1214" i="2"/>
  <c r="Y315" i="2"/>
  <c r="Y685" i="2"/>
  <c r="Y749" i="2"/>
  <c r="Y813" i="2"/>
  <c r="Y877" i="2"/>
  <c r="Y941" i="2"/>
  <c r="Y1005" i="2"/>
  <c r="Y1045" i="2"/>
  <c r="Y1077" i="2"/>
  <c r="Y1109" i="2"/>
  <c r="Y1141" i="2"/>
  <c r="Y1173" i="2"/>
  <c r="Y1196" i="2"/>
  <c r="Y1212" i="2"/>
  <c r="Y1228" i="2"/>
  <c r="Y1244" i="2"/>
  <c r="Y1258" i="2"/>
  <c r="V59" i="1" s="1"/>
  <c r="AC15" i="2" s="1"/>
  <c r="Y765" i="2"/>
  <c r="Y379" i="2"/>
  <c r="Y693" i="2"/>
  <c r="Y757" i="2"/>
  <c r="Y821" i="2"/>
  <c r="Y885" i="2"/>
  <c r="Y949" i="2"/>
  <c r="Y1013" i="2"/>
  <c r="Y1046" i="2"/>
  <c r="Y1078" i="2"/>
  <c r="Y1110" i="2"/>
  <c r="Y1142" i="2"/>
  <c r="Y1174" i="2"/>
  <c r="Y1197" i="2"/>
  <c r="Y1213" i="2"/>
  <c r="Y1229" i="2"/>
  <c r="Y1245" i="2"/>
  <c r="Y443" i="2"/>
  <c r="Y1053" i="2"/>
  <c r="Y1149" i="2"/>
  <c r="Y1198" i="2"/>
  <c r="Y1246" i="2"/>
  <c r="Y507" i="2"/>
  <c r="Y709" i="2"/>
  <c r="Y773" i="2"/>
  <c r="Y837" i="2"/>
  <c r="Y901" i="2"/>
  <c r="Y965" i="2"/>
  <c r="Y1022" i="2"/>
  <c r="Y1054" i="2"/>
  <c r="Y1086" i="2"/>
  <c r="Y1118" i="2"/>
  <c r="Y1150" i="2"/>
  <c r="Y1182" i="2"/>
  <c r="Y1203" i="2"/>
  <c r="Y1219" i="2"/>
  <c r="Y1235" i="2"/>
  <c r="Y1250" i="2"/>
  <c r="Y957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626" i="2"/>
  <c r="X634" i="2"/>
  <c r="X642" i="2"/>
  <c r="X650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403" i="2"/>
  <c r="X467" i="2"/>
  <c r="X524" i="2"/>
  <c r="X556" i="2"/>
  <c r="X588" i="2"/>
  <c r="X620" i="2"/>
  <c r="X652" i="2"/>
  <c r="X675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411" i="2"/>
  <c r="X475" i="2"/>
  <c r="X531" i="2"/>
  <c r="X563" i="2"/>
  <c r="X595" i="2"/>
  <c r="X627" i="2"/>
  <c r="X658" i="2"/>
  <c r="X676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419" i="2"/>
  <c r="X483" i="2"/>
  <c r="X532" i="2"/>
  <c r="X564" i="2"/>
  <c r="X596" i="2"/>
  <c r="X628" i="2"/>
  <c r="X659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427" i="2"/>
  <c r="X491" i="2"/>
  <c r="X539" i="2"/>
  <c r="X571" i="2"/>
  <c r="X603" i="2"/>
  <c r="X635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435" i="2"/>
  <c r="X499" i="2"/>
  <c r="X540" i="2"/>
  <c r="X572" i="2"/>
  <c r="X604" i="2"/>
  <c r="X636" i="2"/>
  <c r="X666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1116" i="2"/>
  <c r="X1124" i="2"/>
  <c r="X1132" i="2"/>
  <c r="X1140" i="2"/>
  <c r="X1148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443" i="2"/>
  <c r="X507" i="2"/>
  <c r="X547" i="2"/>
  <c r="X579" i="2"/>
  <c r="X611" i="2"/>
  <c r="X643" i="2"/>
  <c r="X667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451" i="2"/>
  <c r="X515" i="2"/>
  <c r="X548" i="2"/>
  <c r="X580" i="2"/>
  <c r="X612" i="2"/>
  <c r="X644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459" i="2"/>
  <c r="X523" i="2"/>
  <c r="X555" i="2"/>
  <c r="X587" i="2"/>
  <c r="X619" i="2"/>
  <c r="X651" i="2"/>
  <c r="X674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681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371" i="2"/>
  <c r="W435" i="2"/>
  <c r="W499" i="2"/>
  <c r="W539" i="2"/>
  <c r="W571" i="2"/>
  <c r="W603" i="2"/>
  <c r="W628" i="2"/>
  <c r="W651" i="2"/>
  <c r="W674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379" i="2"/>
  <c r="W443" i="2"/>
  <c r="W507" i="2"/>
  <c r="W540" i="2"/>
  <c r="W572" i="2"/>
  <c r="W604" i="2"/>
  <c r="W634" i="2"/>
  <c r="W652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387" i="2"/>
  <c r="W451" i="2"/>
  <c r="W515" i="2"/>
  <c r="W547" i="2"/>
  <c r="W579" i="2"/>
  <c r="W611" i="2"/>
  <c r="W635" i="2"/>
  <c r="W658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395" i="2"/>
  <c r="W459" i="2"/>
  <c r="W516" i="2"/>
  <c r="W548" i="2"/>
  <c r="W580" i="2"/>
  <c r="W612" i="2"/>
  <c r="W636" i="2"/>
  <c r="W659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403" i="2"/>
  <c r="W467" i="2"/>
  <c r="W523" i="2"/>
  <c r="W555" i="2"/>
  <c r="W587" i="2"/>
  <c r="W619" i="2"/>
  <c r="W642" i="2"/>
  <c r="W660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411" i="2"/>
  <c r="W475" i="2"/>
  <c r="W524" i="2"/>
  <c r="W556" i="2"/>
  <c r="W588" i="2"/>
  <c r="W620" i="2"/>
  <c r="W643" i="2"/>
  <c r="W666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19" i="2"/>
  <c r="W483" i="2"/>
  <c r="W531" i="2"/>
  <c r="W563" i="2"/>
  <c r="W595" i="2"/>
  <c r="W626" i="2"/>
  <c r="W644" i="2"/>
  <c r="W667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427" i="2"/>
  <c r="W491" i="2"/>
  <c r="W532" i="2"/>
  <c r="W564" i="2"/>
  <c r="W596" i="2"/>
  <c r="W627" i="2"/>
  <c r="W650" i="2"/>
  <c r="W668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11" i="2"/>
  <c r="V75" i="2"/>
  <c r="V139" i="2"/>
  <c r="V203" i="2"/>
  <c r="V267" i="2"/>
  <c r="V331" i="2"/>
  <c r="V395" i="2"/>
  <c r="V459" i="2"/>
  <c r="V523" i="2"/>
  <c r="V572" i="2"/>
  <c r="V604" i="2"/>
  <c r="V636" i="2"/>
  <c r="V668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19" i="2"/>
  <c r="V83" i="2"/>
  <c r="V147" i="2"/>
  <c r="V211" i="2"/>
  <c r="V275" i="2"/>
  <c r="V339" i="2"/>
  <c r="V403" i="2"/>
  <c r="V467" i="2"/>
  <c r="V531" i="2"/>
  <c r="V579" i="2"/>
  <c r="V611" i="2"/>
  <c r="V643" i="2"/>
  <c r="V675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251" i="2"/>
  <c r="V27" i="2"/>
  <c r="V91" i="2"/>
  <c r="V155" i="2"/>
  <c r="V219" i="2"/>
  <c r="V283" i="2"/>
  <c r="V347" i="2"/>
  <c r="V411" i="2"/>
  <c r="V475" i="2"/>
  <c r="V539" i="2"/>
  <c r="V580" i="2"/>
  <c r="V612" i="2"/>
  <c r="V644" i="2"/>
  <c r="V676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123" i="2"/>
  <c r="V35" i="2"/>
  <c r="V99" i="2"/>
  <c r="V163" i="2"/>
  <c r="V227" i="2"/>
  <c r="V291" i="2"/>
  <c r="V355" i="2"/>
  <c r="V419" i="2"/>
  <c r="V483" i="2"/>
  <c r="V547" i="2"/>
  <c r="V587" i="2"/>
  <c r="V619" i="2"/>
  <c r="V651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315" i="2"/>
  <c r="V443" i="2"/>
  <c r="V564" i="2"/>
  <c r="V660" i="2"/>
  <c r="V694" i="2"/>
  <c r="V710" i="2"/>
  <c r="V726" i="2"/>
  <c r="V734" i="2"/>
  <c r="V774" i="2"/>
  <c r="V798" i="2"/>
  <c r="V43" i="2"/>
  <c r="V107" i="2"/>
  <c r="V171" i="2"/>
  <c r="V235" i="2"/>
  <c r="V299" i="2"/>
  <c r="V363" i="2"/>
  <c r="V427" i="2"/>
  <c r="V491" i="2"/>
  <c r="V555" i="2"/>
  <c r="V588" i="2"/>
  <c r="V620" i="2"/>
  <c r="V652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187" i="2"/>
  <c r="V750" i="2"/>
  <c r="V51" i="2"/>
  <c r="V115" i="2"/>
  <c r="V179" i="2"/>
  <c r="V243" i="2"/>
  <c r="V307" i="2"/>
  <c r="V371" i="2"/>
  <c r="V435" i="2"/>
  <c r="V499" i="2"/>
  <c r="V563" i="2"/>
  <c r="V595" i="2"/>
  <c r="V627" i="2"/>
  <c r="V659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379" i="2"/>
  <c r="V507" i="2"/>
  <c r="V596" i="2"/>
  <c r="V628" i="2"/>
  <c r="V686" i="2"/>
  <c r="V702" i="2"/>
  <c r="V718" i="2"/>
  <c r="V742" i="2"/>
  <c r="V758" i="2"/>
  <c r="V782" i="2"/>
  <c r="V806" i="2"/>
  <c r="V67" i="2"/>
  <c r="V131" i="2"/>
  <c r="V195" i="2"/>
  <c r="V259" i="2"/>
  <c r="V323" i="2"/>
  <c r="V387" i="2"/>
  <c r="V451" i="2"/>
  <c r="V515" i="2"/>
  <c r="V571" i="2"/>
  <c r="V603" i="2"/>
  <c r="V635" i="2"/>
  <c r="V667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9" i="2"/>
  <c r="V766" i="2"/>
  <c r="V862" i="2"/>
  <c r="V926" i="2"/>
  <c r="V990" i="2"/>
  <c r="V1054" i="2"/>
  <c r="V1118" i="2"/>
  <c r="V1182" i="2"/>
  <c r="V1246" i="2"/>
  <c r="V1166" i="2"/>
  <c r="V790" i="2"/>
  <c r="V870" i="2"/>
  <c r="V934" i="2"/>
  <c r="V998" i="2"/>
  <c r="V1062" i="2"/>
  <c r="V1126" i="2"/>
  <c r="V1190" i="2"/>
  <c r="V1254" i="2"/>
  <c r="V910" i="2"/>
  <c r="V814" i="2"/>
  <c r="V878" i="2"/>
  <c r="V942" i="2"/>
  <c r="V1006" i="2"/>
  <c r="V1070" i="2"/>
  <c r="V1134" i="2"/>
  <c r="V1198" i="2"/>
  <c r="V974" i="2"/>
  <c r="V822" i="2"/>
  <c r="V886" i="2"/>
  <c r="V950" i="2"/>
  <c r="V1014" i="2"/>
  <c r="V1078" i="2"/>
  <c r="V1142" i="2"/>
  <c r="V1206" i="2"/>
  <c r="V1230" i="2"/>
  <c r="V830" i="2"/>
  <c r="V894" i="2"/>
  <c r="V958" i="2"/>
  <c r="V1022" i="2"/>
  <c r="V1086" i="2"/>
  <c r="V1150" i="2"/>
  <c r="V1214" i="2"/>
  <c r="V1102" i="2"/>
  <c r="V838" i="2"/>
  <c r="V902" i="2"/>
  <c r="V966" i="2"/>
  <c r="V1030" i="2"/>
  <c r="V1094" i="2"/>
  <c r="V1158" i="2"/>
  <c r="V1222" i="2"/>
  <c r="V1038" i="2"/>
  <c r="V854" i="2"/>
  <c r="V918" i="2"/>
  <c r="V982" i="2"/>
  <c r="V1046" i="2"/>
  <c r="V1110" i="2"/>
  <c r="V1174" i="2"/>
  <c r="V1238" i="2"/>
  <c r="V846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5" i="2"/>
  <c r="U15" i="2"/>
  <c r="U24" i="2"/>
  <c r="U33" i="2"/>
  <c r="U42" i="2"/>
  <c r="U51" i="2"/>
  <c r="U60" i="2"/>
  <c r="U69" i="2"/>
  <c r="U79" i="2"/>
  <c r="U88" i="2"/>
  <c r="U97" i="2"/>
  <c r="U106" i="2"/>
  <c r="U115" i="2"/>
  <c r="U124" i="2"/>
  <c r="U133" i="2"/>
  <c r="U143" i="2"/>
  <c r="U152" i="2"/>
  <c r="U161" i="2"/>
  <c r="U170" i="2"/>
  <c r="U179" i="2"/>
  <c r="U188" i="2"/>
  <c r="U197" i="2"/>
  <c r="U207" i="2"/>
  <c r="U216" i="2"/>
  <c r="U225" i="2"/>
  <c r="U234" i="2"/>
  <c r="U243" i="2"/>
  <c r="U252" i="2"/>
  <c r="U261" i="2"/>
  <c r="U271" i="2"/>
  <c r="U280" i="2"/>
  <c r="U289" i="2"/>
  <c r="U298" i="2"/>
  <c r="U307" i="2"/>
  <c r="U316" i="2"/>
  <c r="U325" i="2"/>
  <c r="U335" i="2"/>
  <c r="U344" i="2"/>
  <c r="U353" i="2"/>
  <c r="U362" i="2"/>
  <c r="U371" i="2"/>
  <c r="U380" i="2"/>
  <c r="U389" i="2"/>
  <c r="U399" i="2"/>
  <c r="U408" i="2"/>
  <c r="U417" i="2"/>
  <c r="U426" i="2"/>
  <c r="U435" i="2"/>
  <c r="U444" i="2"/>
  <c r="U453" i="2"/>
  <c r="U463" i="2"/>
  <c r="U472" i="2"/>
  <c r="U481" i="2"/>
  <c r="U490" i="2"/>
  <c r="U499" i="2"/>
  <c r="U508" i="2"/>
  <c r="U517" i="2"/>
  <c r="U527" i="2"/>
  <c r="U536" i="2"/>
  <c r="U545" i="2"/>
  <c r="U554" i="2"/>
  <c r="U563" i="2"/>
  <c r="U572" i="2"/>
  <c r="U581" i="2"/>
  <c r="U591" i="2"/>
  <c r="U600" i="2"/>
  <c r="U609" i="2"/>
  <c r="U618" i="2"/>
  <c r="U627" i="2"/>
  <c r="U636" i="2"/>
  <c r="U645" i="2"/>
  <c r="U655" i="2"/>
  <c r="U664" i="2"/>
  <c r="U673" i="2"/>
  <c r="U682" i="2"/>
  <c r="U690" i="2"/>
  <c r="U698" i="2"/>
  <c r="U706" i="2"/>
  <c r="U714" i="2"/>
  <c r="U722" i="2"/>
  <c r="U730" i="2"/>
  <c r="U738" i="2"/>
  <c r="U746" i="2"/>
  <c r="U754" i="2"/>
  <c r="U762" i="2"/>
  <c r="U7" i="2"/>
  <c r="U16" i="2"/>
  <c r="U25" i="2"/>
  <c r="U34" i="2"/>
  <c r="U43" i="2"/>
  <c r="U52" i="2"/>
  <c r="U61" i="2"/>
  <c r="U71" i="2"/>
  <c r="U80" i="2"/>
  <c r="U89" i="2"/>
  <c r="U98" i="2"/>
  <c r="U107" i="2"/>
  <c r="U116" i="2"/>
  <c r="U125" i="2"/>
  <c r="U135" i="2"/>
  <c r="U144" i="2"/>
  <c r="U153" i="2"/>
  <c r="U162" i="2"/>
  <c r="U171" i="2"/>
  <c r="U180" i="2"/>
  <c r="U189" i="2"/>
  <c r="U199" i="2"/>
  <c r="U208" i="2"/>
  <c r="U217" i="2"/>
  <c r="U226" i="2"/>
  <c r="U8" i="2"/>
  <c r="U19" i="2"/>
  <c r="U31" i="2"/>
  <c r="U44" i="2"/>
  <c r="U56" i="2"/>
  <c r="U67" i="2"/>
  <c r="U81" i="2"/>
  <c r="U92" i="2"/>
  <c r="U104" i="2"/>
  <c r="U117" i="2"/>
  <c r="U129" i="2"/>
  <c r="U140" i="2"/>
  <c r="U154" i="2"/>
  <c r="U165" i="2"/>
  <c r="U177" i="2"/>
  <c r="U191" i="2"/>
  <c r="U202" i="2"/>
  <c r="U213" i="2"/>
  <c r="U227" i="2"/>
  <c r="U237" i="2"/>
  <c r="U248" i="2"/>
  <c r="U258" i="2"/>
  <c r="U268" i="2"/>
  <c r="U279" i="2"/>
  <c r="U290" i="2"/>
  <c r="U300" i="2"/>
  <c r="U311" i="2"/>
  <c r="U321" i="2"/>
  <c r="U331" i="2"/>
  <c r="U341" i="2"/>
  <c r="U352" i="2"/>
  <c r="U363" i="2"/>
  <c r="U373" i="2"/>
  <c r="U384" i="2"/>
  <c r="U394" i="2"/>
  <c r="U404" i="2"/>
  <c r="U415" i="2"/>
  <c r="U425" i="2"/>
  <c r="U436" i="2"/>
  <c r="U447" i="2"/>
  <c r="U457" i="2"/>
  <c r="U467" i="2"/>
  <c r="U477" i="2"/>
  <c r="U488" i="2"/>
  <c r="U498" i="2"/>
  <c r="U509" i="2"/>
  <c r="U520" i="2"/>
  <c r="U530" i="2"/>
  <c r="U540" i="2"/>
  <c r="U551" i="2"/>
  <c r="U561" i="2"/>
  <c r="U571" i="2"/>
  <c r="U583" i="2"/>
  <c r="U593" i="2"/>
  <c r="U603" i="2"/>
  <c r="U613" i="2"/>
  <c r="U624" i="2"/>
  <c r="U634" i="2"/>
  <c r="U644" i="2"/>
  <c r="U656" i="2"/>
  <c r="U666" i="2"/>
  <c r="U676" i="2"/>
  <c r="U686" i="2"/>
  <c r="U695" i="2"/>
  <c r="U704" i="2"/>
  <c r="U713" i="2"/>
  <c r="U723" i="2"/>
  <c r="U732" i="2"/>
  <c r="U741" i="2"/>
  <c r="U750" i="2"/>
  <c r="U759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9" i="2"/>
  <c r="U20" i="2"/>
  <c r="U32" i="2"/>
  <c r="U45" i="2"/>
  <c r="U57" i="2"/>
  <c r="U68" i="2"/>
  <c r="U82" i="2"/>
  <c r="U93" i="2"/>
  <c r="U105" i="2"/>
  <c r="U119" i="2"/>
  <c r="U130" i="2"/>
  <c r="U141" i="2"/>
  <c r="U155" i="2"/>
  <c r="U167" i="2"/>
  <c r="U178" i="2"/>
  <c r="U192" i="2"/>
  <c r="U203" i="2"/>
  <c r="U215" i="2"/>
  <c r="U228" i="2"/>
  <c r="U239" i="2"/>
  <c r="U249" i="2"/>
  <c r="U259" i="2"/>
  <c r="U269" i="2"/>
  <c r="U281" i="2"/>
  <c r="U291" i="2"/>
  <c r="U301" i="2"/>
  <c r="U312" i="2"/>
  <c r="U322" i="2"/>
  <c r="U332" i="2"/>
  <c r="U343" i="2"/>
  <c r="U354" i="2"/>
  <c r="U364" i="2"/>
  <c r="U375" i="2"/>
  <c r="U385" i="2"/>
  <c r="U395" i="2"/>
  <c r="U405" i="2"/>
  <c r="U416" i="2"/>
  <c r="U427" i="2"/>
  <c r="U437" i="2"/>
  <c r="U448" i="2"/>
  <c r="U458" i="2"/>
  <c r="U468" i="2"/>
  <c r="U479" i="2"/>
  <c r="U489" i="2"/>
  <c r="U500" i="2"/>
  <c r="U511" i="2"/>
  <c r="U521" i="2"/>
  <c r="U531" i="2"/>
  <c r="U541" i="2"/>
  <c r="U552" i="2"/>
  <c r="U562" i="2"/>
  <c r="U573" i="2"/>
  <c r="U584" i="2"/>
  <c r="U594" i="2"/>
  <c r="U604" i="2"/>
  <c r="U615" i="2"/>
  <c r="U625" i="2"/>
  <c r="U635" i="2"/>
  <c r="U647" i="2"/>
  <c r="U657" i="2"/>
  <c r="U667" i="2"/>
  <c r="U677" i="2"/>
  <c r="U687" i="2"/>
  <c r="U696" i="2"/>
  <c r="U705" i="2"/>
  <c r="U715" i="2"/>
  <c r="U724" i="2"/>
  <c r="U733" i="2"/>
  <c r="U742" i="2"/>
  <c r="U751" i="2"/>
  <c r="U760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10" i="2"/>
  <c r="U21" i="2"/>
  <c r="U35" i="2"/>
  <c r="U47" i="2"/>
  <c r="U58" i="2"/>
  <c r="U72" i="2"/>
  <c r="U83" i="2"/>
  <c r="U95" i="2"/>
  <c r="U108" i="2"/>
  <c r="U120" i="2"/>
  <c r="U131" i="2"/>
  <c r="U145" i="2"/>
  <c r="U156" i="2"/>
  <c r="U168" i="2"/>
  <c r="U181" i="2"/>
  <c r="U193" i="2"/>
  <c r="U204" i="2"/>
  <c r="U218" i="2"/>
  <c r="U229" i="2"/>
  <c r="U240" i="2"/>
  <c r="U250" i="2"/>
  <c r="U260" i="2"/>
  <c r="U272" i="2"/>
  <c r="U282" i="2"/>
  <c r="U292" i="2"/>
  <c r="U303" i="2"/>
  <c r="U313" i="2"/>
  <c r="U323" i="2"/>
  <c r="U333" i="2"/>
  <c r="U345" i="2"/>
  <c r="U355" i="2"/>
  <c r="U365" i="2"/>
  <c r="U376" i="2"/>
  <c r="U386" i="2"/>
  <c r="U396" i="2"/>
  <c r="U407" i="2"/>
  <c r="U418" i="2"/>
  <c r="U11" i="2"/>
  <c r="U28" i="2"/>
  <c r="U49" i="2"/>
  <c r="U66" i="2"/>
  <c r="U87" i="2"/>
  <c r="U109" i="2"/>
  <c r="U127" i="2"/>
  <c r="U147" i="2"/>
  <c r="U164" i="2"/>
  <c r="U185" i="2"/>
  <c r="U205" i="2"/>
  <c r="U223" i="2"/>
  <c r="U242" i="2"/>
  <c r="U257" i="2"/>
  <c r="U275" i="2"/>
  <c r="U293" i="2"/>
  <c r="U308" i="2"/>
  <c r="U327" i="2"/>
  <c r="U340" i="2"/>
  <c r="U359" i="2"/>
  <c r="U377" i="2"/>
  <c r="U392" i="2"/>
  <c r="U410" i="2"/>
  <c r="U424" i="2"/>
  <c r="U440" i="2"/>
  <c r="U452" i="2"/>
  <c r="U466" i="2"/>
  <c r="U482" i="2"/>
  <c r="U495" i="2"/>
  <c r="U507" i="2"/>
  <c r="U523" i="2"/>
  <c r="U537" i="2"/>
  <c r="U549" i="2"/>
  <c r="U565" i="2"/>
  <c r="U578" i="2"/>
  <c r="U592" i="2"/>
  <c r="U607" i="2"/>
  <c r="U620" i="2"/>
  <c r="U633" i="2"/>
  <c r="U649" i="2"/>
  <c r="U661" i="2"/>
  <c r="U675" i="2"/>
  <c r="U689" i="2"/>
  <c r="U701" i="2"/>
  <c r="U712" i="2"/>
  <c r="U726" i="2"/>
  <c r="U737" i="2"/>
  <c r="U749" i="2"/>
  <c r="U763" i="2"/>
  <c r="U773" i="2"/>
  <c r="U783" i="2"/>
  <c r="U795" i="2"/>
  <c r="U805" i="2"/>
  <c r="U815" i="2"/>
  <c r="U827" i="2"/>
  <c r="U837" i="2"/>
  <c r="U847" i="2"/>
  <c r="U859" i="2"/>
  <c r="U869" i="2"/>
  <c r="U879" i="2"/>
  <c r="U891" i="2"/>
  <c r="U901" i="2"/>
  <c r="U911" i="2"/>
  <c r="U923" i="2"/>
  <c r="U933" i="2"/>
  <c r="U943" i="2"/>
  <c r="U955" i="2"/>
  <c r="U965" i="2"/>
  <c r="U975" i="2"/>
  <c r="U987" i="2"/>
  <c r="U997" i="2"/>
  <c r="U1007" i="2"/>
  <c r="U1019" i="2"/>
  <c r="U1029" i="2"/>
  <c r="U1039" i="2"/>
  <c r="U1051" i="2"/>
  <c r="U1061" i="2"/>
  <c r="U1071" i="2"/>
  <c r="U1083" i="2"/>
  <c r="U1093" i="2"/>
  <c r="U1103" i="2"/>
  <c r="U1115" i="2"/>
  <c r="U1125" i="2"/>
  <c r="U1135" i="2"/>
  <c r="U1147" i="2"/>
  <c r="U1157" i="2"/>
  <c r="U1167" i="2"/>
  <c r="U1179" i="2"/>
  <c r="U1189" i="2"/>
  <c r="U1199" i="2"/>
  <c r="U1211" i="2"/>
  <c r="U1221" i="2"/>
  <c r="U1231" i="2"/>
  <c r="U1243" i="2"/>
  <c r="U1253" i="2"/>
  <c r="U12" i="2"/>
  <c r="U29" i="2"/>
  <c r="U50" i="2"/>
  <c r="U73" i="2"/>
  <c r="U90" i="2"/>
  <c r="U111" i="2"/>
  <c r="U128" i="2"/>
  <c r="U148" i="2"/>
  <c r="U169" i="2"/>
  <c r="U186" i="2"/>
  <c r="U209" i="2"/>
  <c r="U224" i="2"/>
  <c r="U244" i="2"/>
  <c r="U263" i="2"/>
  <c r="U276" i="2"/>
  <c r="U295" i="2"/>
  <c r="U309" i="2"/>
  <c r="U328" i="2"/>
  <c r="U346" i="2"/>
  <c r="U360" i="2"/>
  <c r="U378" i="2"/>
  <c r="U393" i="2"/>
  <c r="U411" i="2"/>
  <c r="U428" i="2"/>
  <c r="U441" i="2"/>
  <c r="U455" i="2"/>
  <c r="U469" i="2"/>
  <c r="U483" i="2"/>
  <c r="U496" i="2"/>
  <c r="U512" i="2"/>
  <c r="U524" i="2"/>
  <c r="U538" i="2"/>
  <c r="U553" i="2"/>
  <c r="U567" i="2"/>
  <c r="U579" i="2"/>
  <c r="U595" i="2"/>
  <c r="U608" i="2"/>
  <c r="U621" i="2"/>
  <c r="U637" i="2"/>
  <c r="U650" i="2"/>
  <c r="U663" i="2"/>
  <c r="U679" i="2"/>
  <c r="U691" i="2"/>
  <c r="U702" i="2"/>
  <c r="U716" i="2"/>
  <c r="U727" i="2"/>
  <c r="U739" i="2"/>
  <c r="U752" i="2"/>
  <c r="U764" i="2"/>
  <c r="U774" i="2"/>
  <c r="U786" i="2"/>
  <c r="U796" i="2"/>
  <c r="U806" i="2"/>
  <c r="U818" i="2"/>
  <c r="U828" i="2"/>
  <c r="U838" i="2"/>
  <c r="U850" i="2"/>
  <c r="U860" i="2"/>
  <c r="U870" i="2"/>
  <c r="U882" i="2"/>
  <c r="U892" i="2"/>
  <c r="U902" i="2"/>
  <c r="U914" i="2"/>
  <c r="U924" i="2"/>
  <c r="U934" i="2"/>
  <c r="U946" i="2"/>
  <c r="U956" i="2"/>
  <c r="U966" i="2"/>
  <c r="U978" i="2"/>
  <c r="U988" i="2"/>
  <c r="U998" i="2"/>
  <c r="U1010" i="2"/>
  <c r="U1020" i="2"/>
  <c r="U1030" i="2"/>
  <c r="U1042" i="2"/>
  <c r="U13" i="2"/>
  <c r="U39" i="2"/>
  <c r="U64" i="2"/>
  <c r="U91" i="2"/>
  <c r="U114" i="2"/>
  <c r="U139" i="2"/>
  <c r="U172" i="2"/>
  <c r="U195" i="2"/>
  <c r="U220" i="2"/>
  <c r="U245" i="2"/>
  <c r="U266" i="2"/>
  <c r="U287" i="2"/>
  <c r="U314" i="2"/>
  <c r="U336" i="2"/>
  <c r="U356" i="2"/>
  <c r="U379" i="2"/>
  <c r="U401" i="2"/>
  <c r="U421" i="2"/>
  <c r="U442" i="2"/>
  <c r="U460" i="2"/>
  <c r="U476" i="2"/>
  <c r="U497" i="2"/>
  <c r="U515" i="2"/>
  <c r="U533" i="2"/>
  <c r="U555" i="2"/>
  <c r="U570" i="2"/>
  <c r="U588" i="2"/>
  <c r="U610" i="2"/>
  <c r="U628" i="2"/>
  <c r="U643" i="2"/>
  <c r="U665" i="2"/>
  <c r="U683" i="2"/>
  <c r="U699" i="2"/>
  <c r="U717" i="2"/>
  <c r="U731" i="2"/>
  <c r="U747" i="2"/>
  <c r="U765" i="2"/>
  <c r="U779" i="2"/>
  <c r="U791" i="2"/>
  <c r="U807" i="2"/>
  <c r="U821" i="2"/>
  <c r="U835" i="2"/>
  <c r="U851" i="2"/>
  <c r="U863" i="2"/>
  <c r="U877" i="2"/>
  <c r="U893" i="2"/>
  <c r="U907" i="2"/>
  <c r="U919" i="2"/>
  <c r="U935" i="2"/>
  <c r="U949" i="2"/>
  <c r="U963" i="2"/>
  <c r="U979" i="2"/>
  <c r="U991" i="2"/>
  <c r="U1005" i="2"/>
  <c r="U1021" i="2"/>
  <c r="U1035" i="2"/>
  <c r="U1047" i="2"/>
  <c r="U1060" i="2"/>
  <c r="U1074" i="2"/>
  <c r="U1085" i="2"/>
  <c r="U1098" i="2"/>
  <c r="U1109" i="2"/>
  <c r="U1122" i="2"/>
  <c r="U1133" i="2"/>
  <c r="U1146" i="2"/>
  <c r="U1158" i="2"/>
  <c r="U1171" i="2"/>
  <c r="U1182" i="2"/>
  <c r="U1195" i="2"/>
  <c r="U1206" i="2"/>
  <c r="U1219" i="2"/>
  <c r="U1230" i="2"/>
  <c r="U1244" i="2"/>
  <c r="U1255" i="2"/>
  <c r="U17" i="2"/>
  <c r="U40" i="2"/>
  <c r="U65" i="2"/>
  <c r="U96" i="2"/>
  <c r="U121" i="2"/>
  <c r="U146" i="2"/>
  <c r="U173" i="2"/>
  <c r="U196" i="2"/>
  <c r="U221" i="2"/>
  <c r="U247" i="2"/>
  <c r="U267" i="2"/>
  <c r="U288" i="2"/>
  <c r="U315" i="2"/>
  <c r="U337" i="2"/>
  <c r="U357" i="2"/>
  <c r="U381" i="2"/>
  <c r="U402" i="2"/>
  <c r="U423" i="2"/>
  <c r="U443" i="2"/>
  <c r="U461" i="2"/>
  <c r="U480" i="2"/>
  <c r="U501" i="2"/>
  <c r="U516" i="2"/>
  <c r="U535" i="2"/>
  <c r="U556" i="2"/>
  <c r="U575" i="2"/>
  <c r="U589" i="2"/>
  <c r="U611" i="2"/>
  <c r="U629" i="2"/>
  <c r="U648" i="2"/>
  <c r="U668" i="2"/>
  <c r="U684" i="2"/>
  <c r="U700" i="2"/>
  <c r="U718" i="2"/>
  <c r="U734" i="2"/>
  <c r="U748" i="2"/>
  <c r="U766" i="2"/>
  <c r="U780" i="2"/>
  <c r="U794" i="2"/>
  <c r="U810" i="2"/>
  <c r="U822" i="2"/>
  <c r="U836" i="2"/>
  <c r="U852" i="2"/>
  <c r="U866" i="2"/>
  <c r="U878" i="2"/>
  <c r="U894" i="2"/>
  <c r="U908" i="2"/>
  <c r="U922" i="2"/>
  <c r="U938" i="2"/>
  <c r="U950" i="2"/>
  <c r="U964" i="2"/>
  <c r="U980" i="2"/>
  <c r="U994" i="2"/>
  <c r="U1006" i="2"/>
  <c r="U1022" i="2"/>
  <c r="U1036" i="2"/>
  <c r="U1050" i="2"/>
  <c r="U1062" i="2"/>
  <c r="U1075" i="2"/>
  <c r="U1086" i="2"/>
  <c r="U1099" i="2"/>
  <c r="U1110" i="2"/>
  <c r="U1123" i="2"/>
  <c r="U1134" i="2"/>
  <c r="U1148" i="2"/>
  <c r="U1159" i="2"/>
  <c r="U1172" i="2"/>
  <c r="U1183" i="2"/>
  <c r="U1196" i="2"/>
  <c r="U1207" i="2"/>
  <c r="U1220" i="2"/>
  <c r="U1234" i="2"/>
  <c r="U1245" i="2"/>
  <c r="U1258" i="2"/>
  <c r="V55" i="1" s="1"/>
  <c r="AC11" i="2" s="1"/>
  <c r="U18" i="2"/>
  <c r="U41" i="2"/>
  <c r="U74" i="2"/>
  <c r="U99" i="2"/>
  <c r="U122" i="2"/>
  <c r="U149" i="2"/>
  <c r="U175" i="2"/>
  <c r="U200" i="2"/>
  <c r="U231" i="2"/>
  <c r="U251" i="2"/>
  <c r="U273" i="2"/>
  <c r="U296" i="2"/>
  <c r="U317" i="2"/>
  <c r="U338" i="2"/>
  <c r="U361" i="2"/>
  <c r="U383" i="2"/>
  <c r="U403" i="2"/>
  <c r="U429" i="2"/>
  <c r="U445" i="2"/>
  <c r="U464" i="2"/>
  <c r="U484" i="2"/>
  <c r="U503" i="2"/>
  <c r="U519" i="2"/>
  <c r="U539" i="2"/>
  <c r="U557" i="2"/>
  <c r="U576" i="2"/>
  <c r="U596" i="2"/>
  <c r="U612" i="2"/>
  <c r="U631" i="2"/>
  <c r="U651" i="2"/>
  <c r="U669" i="2"/>
  <c r="U685" i="2"/>
  <c r="U703" i="2"/>
  <c r="U719" i="2"/>
  <c r="U735" i="2"/>
  <c r="U753" i="2"/>
  <c r="U767" i="2"/>
  <c r="U781" i="2"/>
  <c r="U797" i="2"/>
  <c r="U811" i="2"/>
  <c r="U823" i="2"/>
  <c r="U839" i="2"/>
  <c r="U853" i="2"/>
  <c r="U867" i="2"/>
  <c r="U883" i="2"/>
  <c r="U895" i="2"/>
  <c r="U909" i="2"/>
  <c r="U925" i="2"/>
  <c r="U939" i="2"/>
  <c r="U951" i="2"/>
  <c r="U967" i="2"/>
  <c r="U981" i="2"/>
  <c r="U995" i="2"/>
  <c r="U1011" i="2"/>
  <c r="U1023" i="2"/>
  <c r="U1037" i="2"/>
  <c r="U1052" i="2"/>
  <c r="U1063" i="2"/>
  <c r="U1076" i="2"/>
  <c r="U1087" i="2"/>
  <c r="U1100" i="2"/>
  <c r="U1111" i="2"/>
  <c r="U1124" i="2"/>
  <c r="U1138" i="2"/>
  <c r="U1149" i="2"/>
  <c r="U1162" i="2"/>
  <c r="U1173" i="2"/>
  <c r="U1186" i="2"/>
  <c r="U1197" i="2"/>
  <c r="U1210" i="2"/>
  <c r="U1222" i="2"/>
  <c r="U1235" i="2"/>
  <c r="U1246" i="2"/>
  <c r="U23" i="2"/>
  <c r="U48" i="2"/>
  <c r="U75" i="2"/>
  <c r="U100" i="2"/>
  <c r="U123" i="2"/>
  <c r="U151" i="2"/>
  <c r="U176" i="2"/>
  <c r="U201" i="2"/>
  <c r="U232" i="2"/>
  <c r="U253" i="2"/>
  <c r="U274" i="2"/>
  <c r="U297" i="2"/>
  <c r="U319" i="2"/>
  <c r="U339" i="2"/>
  <c r="U367" i="2"/>
  <c r="U387" i="2"/>
  <c r="U409" i="2"/>
  <c r="U431" i="2"/>
  <c r="U449" i="2"/>
  <c r="U465" i="2"/>
  <c r="U485" i="2"/>
  <c r="U504" i="2"/>
  <c r="U522" i="2"/>
  <c r="U543" i="2"/>
  <c r="U559" i="2"/>
  <c r="U577" i="2"/>
  <c r="U597" i="2"/>
  <c r="U616" i="2"/>
  <c r="U632" i="2"/>
  <c r="U652" i="2"/>
  <c r="U671" i="2"/>
  <c r="U688" i="2"/>
  <c r="U707" i="2"/>
  <c r="U720" i="2"/>
  <c r="U736" i="2"/>
  <c r="U755" i="2"/>
  <c r="U770" i="2"/>
  <c r="U782" i="2"/>
  <c r="U798" i="2"/>
  <c r="U812" i="2"/>
  <c r="U826" i="2"/>
  <c r="U842" i="2"/>
  <c r="U854" i="2"/>
  <c r="U868" i="2"/>
  <c r="U884" i="2"/>
  <c r="U898" i="2"/>
  <c r="U910" i="2"/>
  <c r="U926" i="2"/>
  <c r="U940" i="2"/>
  <c r="U954" i="2"/>
  <c r="U970" i="2"/>
  <c r="U982" i="2"/>
  <c r="U996" i="2"/>
  <c r="U1012" i="2"/>
  <c r="U1026" i="2"/>
  <c r="U1038" i="2"/>
  <c r="U1053" i="2"/>
  <c r="U1066" i="2"/>
  <c r="U1077" i="2"/>
  <c r="U1090" i="2"/>
  <c r="U1101" i="2"/>
  <c r="U1114" i="2"/>
  <c r="U1126" i="2"/>
  <c r="U1139" i="2"/>
  <c r="U1150" i="2"/>
  <c r="U1163" i="2"/>
  <c r="U1174" i="2"/>
  <c r="U1187" i="2"/>
  <c r="U1198" i="2"/>
  <c r="U1212" i="2"/>
  <c r="U1223" i="2"/>
  <c r="U1236" i="2"/>
  <c r="U1247" i="2"/>
  <c r="U26" i="2"/>
  <c r="U53" i="2"/>
  <c r="U76" i="2"/>
  <c r="U101" i="2"/>
  <c r="U132" i="2"/>
  <c r="U157" i="2"/>
  <c r="U183" i="2"/>
  <c r="U210" i="2"/>
  <c r="U233" i="2"/>
  <c r="U255" i="2"/>
  <c r="U277" i="2"/>
  <c r="U299" i="2"/>
  <c r="U320" i="2"/>
  <c r="U347" i="2"/>
  <c r="U368" i="2"/>
  <c r="U388" i="2"/>
  <c r="U412" i="2"/>
  <c r="U432" i="2"/>
  <c r="U450" i="2"/>
  <c r="U471" i="2"/>
  <c r="U487" i="2"/>
  <c r="U505" i="2"/>
  <c r="U525" i="2"/>
  <c r="U544" i="2"/>
  <c r="U560" i="2"/>
  <c r="U580" i="2"/>
  <c r="U599" i="2"/>
  <c r="U617" i="2"/>
  <c r="U639" i="2"/>
  <c r="U653" i="2"/>
  <c r="U672" i="2"/>
  <c r="U692" i="2"/>
  <c r="U708" i="2"/>
  <c r="U721" i="2"/>
  <c r="U740" i="2"/>
  <c r="U756" i="2"/>
  <c r="U771" i="2"/>
  <c r="U787" i="2"/>
  <c r="U799" i="2"/>
  <c r="U813" i="2"/>
  <c r="U829" i="2"/>
  <c r="U843" i="2"/>
  <c r="U855" i="2"/>
  <c r="U871" i="2"/>
  <c r="U885" i="2"/>
  <c r="U899" i="2"/>
  <c r="U915" i="2"/>
  <c r="U27" i="2"/>
  <c r="U85" i="2"/>
  <c r="U160" i="2"/>
  <c r="U235" i="2"/>
  <c r="U285" i="2"/>
  <c r="U349" i="2"/>
  <c r="U413" i="2"/>
  <c r="U459" i="2"/>
  <c r="U513" i="2"/>
  <c r="U564" i="2"/>
  <c r="U605" i="2"/>
  <c r="U659" i="2"/>
  <c r="U709" i="2"/>
  <c r="U745" i="2"/>
  <c r="U789" i="2"/>
  <c r="U830" i="2"/>
  <c r="U862" i="2"/>
  <c r="U903" i="2"/>
  <c r="U932" i="2"/>
  <c r="U962" i="2"/>
  <c r="U990" i="2"/>
  <c r="U1018" i="2"/>
  <c r="U1046" i="2"/>
  <c r="U1070" i="2"/>
  <c r="U1095" i="2"/>
  <c r="U1119" i="2"/>
  <c r="U1143" i="2"/>
  <c r="U1170" i="2"/>
  <c r="U1194" i="2"/>
  <c r="U1218" i="2"/>
  <c r="U1242" i="2"/>
  <c r="U112" i="2"/>
  <c r="U184" i="2"/>
  <c r="U241" i="2"/>
  <c r="U305" i="2"/>
  <c r="U369" i="2"/>
  <c r="U474" i="2"/>
  <c r="U528" i="2"/>
  <c r="U623" i="2"/>
  <c r="U711" i="2"/>
  <c r="U758" i="2"/>
  <c r="U834" i="2"/>
  <c r="U916" i="2"/>
  <c r="U972" i="2"/>
  <c r="U1028" i="2"/>
  <c r="U1079" i="2"/>
  <c r="U1130" i="2"/>
  <c r="U1178" i="2"/>
  <c r="U1227" i="2"/>
  <c r="U55" i="2"/>
  <c r="U187" i="2"/>
  <c r="U256" i="2"/>
  <c r="U370" i="2"/>
  <c r="U433" i="2"/>
  <c r="U529" i="2"/>
  <c r="U585" i="2"/>
  <c r="U680" i="2"/>
  <c r="U761" i="2"/>
  <c r="U844" i="2"/>
  <c r="U917" i="2"/>
  <c r="U973" i="2"/>
  <c r="U1031" i="2"/>
  <c r="U1082" i="2"/>
  <c r="U1131" i="2"/>
  <c r="U1180" i="2"/>
  <c r="U1228" i="2"/>
  <c r="U136" i="2"/>
  <c r="U264" i="2"/>
  <c r="U372" i="2"/>
  <c r="U491" i="2"/>
  <c r="U532" i="2"/>
  <c r="U640" i="2"/>
  <c r="U728" i="2"/>
  <c r="U804" i="2"/>
  <c r="U886" i="2"/>
  <c r="U918" i="2"/>
  <c r="U948" i="2"/>
  <c r="U1004" i="2"/>
  <c r="U1059" i="2"/>
  <c r="U1108" i="2"/>
  <c r="U1156" i="2"/>
  <c r="U1205" i="2"/>
  <c r="U1254" i="2"/>
  <c r="U137" i="2"/>
  <c r="U265" i="2"/>
  <c r="U391" i="2"/>
  <c r="U492" i="2"/>
  <c r="U587" i="2"/>
  <c r="U693" i="2"/>
  <c r="U775" i="2"/>
  <c r="U846" i="2"/>
  <c r="U927" i="2"/>
  <c r="U983" i="2"/>
  <c r="U1043" i="2"/>
  <c r="U1116" i="2"/>
  <c r="U1164" i="2"/>
  <c r="U1213" i="2"/>
  <c r="U138" i="2"/>
  <c r="U283" i="2"/>
  <c r="U397" i="2"/>
  <c r="U451" i="2"/>
  <c r="U601" i="2"/>
  <c r="U694" i="2"/>
  <c r="U778" i="2"/>
  <c r="U858" i="2"/>
  <c r="U890" i="2"/>
  <c r="U958" i="2"/>
  <c r="U1044" i="2"/>
  <c r="U1068" i="2"/>
  <c r="U1117" i="2"/>
  <c r="U1165" i="2"/>
  <c r="U1190" i="2"/>
  <c r="U1238" i="2"/>
  <c r="U159" i="2"/>
  <c r="U284" i="2"/>
  <c r="U400" i="2"/>
  <c r="U506" i="2"/>
  <c r="U602" i="2"/>
  <c r="U697" i="2"/>
  <c r="U744" i="2"/>
  <c r="U820" i="2"/>
  <c r="U861" i="2"/>
  <c r="U931" i="2"/>
  <c r="U989" i="2"/>
  <c r="U1045" i="2"/>
  <c r="U1069" i="2"/>
  <c r="U1118" i="2"/>
  <c r="U1142" i="2"/>
  <c r="U1191" i="2"/>
  <c r="U1239" i="2"/>
  <c r="U36" i="2"/>
  <c r="U103" i="2"/>
  <c r="U163" i="2"/>
  <c r="U236" i="2"/>
  <c r="U304" i="2"/>
  <c r="U351" i="2"/>
  <c r="U419" i="2"/>
  <c r="U473" i="2"/>
  <c r="U514" i="2"/>
  <c r="U568" i="2"/>
  <c r="U619" i="2"/>
  <c r="U660" i="2"/>
  <c r="U710" i="2"/>
  <c r="U757" i="2"/>
  <c r="U790" i="2"/>
  <c r="U831" i="2"/>
  <c r="U874" i="2"/>
  <c r="U906" i="2"/>
  <c r="U941" i="2"/>
  <c r="U971" i="2"/>
  <c r="U999" i="2"/>
  <c r="U1027" i="2"/>
  <c r="U1054" i="2"/>
  <c r="U1078" i="2"/>
  <c r="U1102" i="2"/>
  <c r="U1127" i="2"/>
  <c r="U1151" i="2"/>
  <c r="U1175" i="2"/>
  <c r="U1202" i="2"/>
  <c r="U1226" i="2"/>
  <c r="U1250" i="2"/>
  <c r="U37" i="2"/>
  <c r="U420" i="2"/>
  <c r="U569" i="2"/>
  <c r="U674" i="2"/>
  <c r="U802" i="2"/>
  <c r="U875" i="2"/>
  <c r="U942" i="2"/>
  <c r="U1002" i="2"/>
  <c r="U1055" i="2"/>
  <c r="U1106" i="2"/>
  <c r="U1154" i="2"/>
  <c r="U1203" i="2"/>
  <c r="U1251" i="2"/>
  <c r="U113" i="2"/>
  <c r="U306" i="2"/>
  <c r="U475" i="2"/>
  <c r="U626" i="2"/>
  <c r="U725" i="2"/>
  <c r="U803" i="2"/>
  <c r="U876" i="2"/>
  <c r="U947" i="2"/>
  <c r="U1003" i="2"/>
  <c r="U1058" i="2"/>
  <c r="U1107" i="2"/>
  <c r="U1155" i="2"/>
  <c r="U1204" i="2"/>
  <c r="U1252" i="2"/>
  <c r="U59" i="2"/>
  <c r="U194" i="2"/>
  <c r="U324" i="2"/>
  <c r="U434" i="2"/>
  <c r="U586" i="2"/>
  <c r="U681" i="2"/>
  <c r="U772" i="2"/>
  <c r="U845" i="2"/>
  <c r="U974" i="2"/>
  <c r="U1034" i="2"/>
  <c r="U1084" i="2"/>
  <c r="U1132" i="2"/>
  <c r="U1181" i="2"/>
  <c r="U1229" i="2"/>
  <c r="U63" i="2"/>
  <c r="U211" i="2"/>
  <c r="U329" i="2"/>
  <c r="U439" i="2"/>
  <c r="U546" i="2"/>
  <c r="U641" i="2"/>
  <c r="U729" i="2"/>
  <c r="U814" i="2"/>
  <c r="U887" i="2"/>
  <c r="U957" i="2"/>
  <c r="U1013" i="2"/>
  <c r="U1067" i="2"/>
  <c r="U1091" i="2"/>
  <c r="U1140" i="2"/>
  <c r="U1188" i="2"/>
  <c r="U1237" i="2"/>
  <c r="U77" i="2"/>
  <c r="U212" i="2"/>
  <c r="U330" i="2"/>
  <c r="U493" i="2"/>
  <c r="U547" i="2"/>
  <c r="U642" i="2"/>
  <c r="U743" i="2"/>
  <c r="U819" i="2"/>
  <c r="U930" i="2"/>
  <c r="U986" i="2"/>
  <c r="U1014" i="2"/>
  <c r="U1092" i="2"/>
  <c r="U1141" i="2"/>
  <c r="U1214" i="2"/>
  <c r="U84" i="2"/>
  <c r="U219" i="2"/>
  <c r="U348" i="2"/>
  <c r="U456" i="2"/>
  <c r="U548" i="2"/>
  <c r="U658" i="2"/>
  <c r="U788" i="2"/>
  <c r="U900" i="2"/>
  <c r="U959" i="2"/>
  <c r="U1015" i="2"/>
  <c r="U1094" i="2"/>
  <c r="U1166" i="2"/>
  <c r="U1215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0" i="2"/>
  <c r="T28" i="2"/>
  <c r="T51" i="2"/>
  <c r="T74" i="2"/>
  <c r="T92" i="2"/>
  <c r="T115" i="2"/>
  <c r="T138" i="2"/>
  <c r="T156" i="2"/>
  <c r="T172" i="2"/>
  <c r="T187" i="2"/>
  <c r="T201" i="2"/>
  <c r="T212" i="2"/>
  <c r="T226" i="2"/>
  <c r="T238" i="2"/>
  <c r="T251" i="2"/>
  <c r="T265" i="2"/>
  <c r="T276" i="2"/>
  <c r="T290" i="2"/>
  <c r="T302" i="2"/>
  <c r="T315" i="2"/>
  <c r="T329" i="2"/>
  <c r="T340" i="2"/>
  <c r="T354" i="2"/>
  <c r="T366" i="2"/>
  <c r="T379" i="2"/>
  <c r="T393" i="2"/>
  <c r="T404" i="2"/>
  <c r="T418" i="2"/>
  <c r="T430" i="2"/>
  <c r="T443" i="2"/>
  <c r="T457" i="2"/>
  <c r="T468" i="2"/>
  <c r="T482" i="2"/>
  <c r="T494" i="2"/>
  <c r="T507" i="2"/>
  <c r="T521" i="2"/>
  <c r="T532" i="2"/>
  <c r="T546" i="2"/>
  <c r="T558" i="2"/>
  <c r="T571" i="2"/>
  <c r="T585" i="2"/>
  <c r="T596" i="2"/>
  <c r="T610" i="2"/>
  <c r="T622" i="2"/>
  <c r="T635" i="2"/>
  <c r="T649" i="2"/>
  <c r="T660" i="2"/>
  <c r="T673" i="2"/>
  <c r="T683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11" i="2"/>
  <c r="T34" i="2"/>
  <c r="T52" i="2"/>
  <c r="T75" i="2"/>
  <c r="T98" i="2"/>
  <c r="T116" i="2"/>
  <c r="T139" i="2"/>
  <c r="T158" i="2"/>
  <c r="T174" i="2"/>
  <c r="T188" i="2"/>
  <c r="T202" i="2"/>
  <c r="T214" i="2"/>
  <c r="T227" i="2"/>
  <c r="T241" i="2"/>
  <c r="T252" i="2"/>
  <c r="T266" i="2"/>
  <c r="T278" i="2"/>
  <c r="T291" i="2"/>
  <c r="T305" i="2"/>
  <c r="T316" i="2"/>
  <c r="T330" i="2"/>
  <c r="T342" i="2"/>
  <c r="T355" i="2"/>
  <c r="T369" i="2"/>
  <c r="T380" i="2"/>
  <c r="T394" i="2"/>
  <c r="T406" i="2"/>
  <c r="T419" i="2"/>
  <c r="T433" i="2"/>
  <c r="T444" i="2"/>
  <c r="T458" i="2"/>
  <c r="T470" i="2"/>
  <c r="T483" i="2"/>
  <c r="T497" i="2"/>
  <c r="T508" i="2"/>
  <c r="T522" i="2"/>
  <c r="T534" i="2"/>
  <c r="T547" i="2"/>
  <c r="T561" i="2"/>
  <c r="T572" i="2"/>
  <c r="T586" i="2"/>
  <c r="T598" i="2"/>
  <c r="T611" i="2"/>
  <c r="T625" i="2"/>
  <c r="T636" i="2"/>
  <c r="T650" i="2"/>
  <c r="T662" i="2"/>
  <c r="T674" i="2"/>
  <c r="T684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12" i="2"/>
  <c r="T35" i="2"/>
  <c r="T58" i="2"/>
  <c r="T76" i="2"/>
  <c r="T99" i="2"/>
  <c r="T122" i="2"/>
  <c r="T140" i="2"/>
  <c r="T162" i="2"/>
  <c r="T178" i="2"/>
  <c r="T190" i="2"/>
  <c r="T203" i="2"/>
  <c r="T217" i="2"/>
  <c r="T228" i="2"/>
  <c r="T242" i="2"/>
  <c r="T254" i="2"/>
  <c r="T267" i="2"/>
  <c r="T281" i="2"/>
  <c r="T292" i="2"/>
  <c r="T306" i="2"/>
  <c r="T318" i="2"/>
  <c r="T331" i="2"/>
  <c r="T345" i="2"/>
  <c r="T356" i="2"/>
  <c r="T370" i="2"/>
  <c r="T382" i="2"/>
  <c r="T395" i="2"/>
  <c r="T409" i="2"/>
  <c r="T420" i="2"/>
  <c r="T434" i="2"/>
  <c r="T446" i="2"/>
  <c r="T459" i="2"/>
  <c r="T473" i="2"/>
  <c r="T484" i="2"/>
  <c r="T498" i="2"/>
  <c r="T510" i="2"/>
  <c r="T523" i="2"/>
  <c r="T537" i="2"/>
  <c r="T548" i="2"/>
  <c r="T562" i="2"/>
  <c r="T574" i="2"/>
  <c r="T587" i="2"/>
  <c r="T601" i="2"/>
  <c r="T612" i="2"/>
  <c r="T626" i="2"/>
  <c r="T638" i="2"/>
  <c r="T651" i="2"/>
  <c r="T665" i="2"/>
  <c r="T675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18" i="2"/>
  <c r="T36" i="2"/>
  <c r="T59" i="2"/>
  <c r="T82" i="2"/>
  <c r="T100" i="2"/>
  <c r="T123" i="2"/>
  <c r="T146" i="2"/>
  <c r="T163" i="2"/>
  <c r="T179" i="2"/>
  <c r="T193" i="2"/>
  <c r="T204" i="2"/>
  <c r="T218" i="2"/>
  <c r="T230" i="2"/>
  <c r="T243" i="2"/>
  <c r="T257" i="2"/>
  <c r="T268" i="2"/>
  <c r="T282" i="2"/>
  <c r="T294" i="2"/>
  <c r="T307" i="2"/>
  <c r="T321" i="2"/>
  <c r="T332" i="2"/>
  <c r="T346" i="2"/>
  <c r="T358" i="2"/>
  <c r="T371" i="2"/>
  <c r="T385" i="2"/>
  <c r="T396" i="2"/>
  <c r="T410" i="2"/>
  <c r="T422" i="2"/>
  <c r="T435" i="2"/>
  <c r="T449" i="2"/>
  <c r="T460" i="2"/>
  <c r="T474" i="2"/>
  <c r="T486" i="2"/>
  <c r="T499" i="2"/>
  <c r="T513" i="2"/>
  <c r="T524" i="2"/>
  <c r="T538" i="2"/>
  <c r="T550" i="2"/>
  <c r="T563" i="2"/>
  <c r="T577" i="2"/>
  <c r="T588" i="2"/>
  <c r="T602" i="2"/>
  <c r="T614" i="2"/>
  <c r="T627" i="2"/>
  <c r="T641" i="2"/>
  <c r="T652" i="2"/>
  <c r="T666" i="2"/>
  <c r="T676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19" i="2"/>
  <c r="T42" i="2"/>
  <c r="T60" i="2"/>
  <c r="T83" i="2"/>
  <c r="T106" i="2"/>
  <c r="T124" i="2"/>
  <c r="T147" i="2"/>
  <c r="T164" i="2"/>
  <c r="T180" i="2"/>
  <c r="T194" i="2"/>
  <c r="T206" i="2"/>
  <c r="T219" i="2"/>
  <c r="T233" i="2"/>
  <c r="T244" i="2"/>
  <c r="T258" i="2"/>
  <c r="T270" i="2"/>
  <c r="T283" i="2"/>
  <c r="T297" i="2"/>
  <c r="T308" i="2"/>
  <c r="T322" i="2"/>
  <c r="T334" i="2"/>
  <c r="T347" i="2"/>
  <c r="T361" i="2"/>
  <c r="T372" i="2"/>
  <c r="T386" i="2"/>
  <c r="T398" i="2"/>
  <c r="T411" i="2"/>
  <c r="T425" i="2"/>
  <c r="T436" i="2"/>
  <c r="T450" i="2"/>
  <c r="T462" i="2"/>
  <c r="T475" i="2"/>
  <c r="T489" i="2"/>
  <c r="T500" i="2"/>
  <c r="T514" i="2"/>
  <c r="T526" i="2"/>
  <c r="T539" i="2"/>
  <c r="T553" i="2"/>
  <c r="T564" i="2"/>
  <c r="T578" i="2"/>
  <c r="T590" i="2"/>
  <c r="T603" i="2"/>
  <c r="T617" i="2"/>
  <c r="T628" i="2"/>
  <c r="T642" i="2"/>
  <c r="T654" i="2"/>
  <c r="T667" i="2"/>
  <c r="T678" i="2"/>
  <c r="T687" i="2"/>
  <c r="T695" i="2"/>
  <c r="T703" i="2"/>
  <c r="T711" i="2"/>
  <c r="T719" i="2"/>
  <c r="T727" i="2"/>
  <c r="T735" i="2"/>
  <c r="T743" i="2"/>
  <c r="T751" i="2"/>
  <c r="T20" i="2"/>
  <c r="T68" i="2"/>
  <c r="T131" i="2"/>
  <c r="T182" i="2"/>
  <c r="T211" i="2"/>
  <c r="T249" i="2"/>
  <c r="T284" i="2"/>
  <c r="T314" i="2"/>
  <c r="T350" i="2"/>
  <c r="T387" i="2"/>
  <c r="T417" i="2"/>
  <c r="T452" i="2"/>
  <c r="T490" i="2"/>
  <c r="T518" i="2"/>
  <c r="T555" i="2"/>
  <c r="T593" i="2"/>
  <c r="T620" i="2"/>
  <c r="T658" i="2"/>
  <c r="T688" i="2"/>
  <c r="T706" i="2"/>
  <c r="T729" i="2"/>
  <c r="T752" i="2"/>
  <c r="T768" i="2"/>
  <c r="T784" i="2"/>
  <c r="T800" i="2"/>
  <c r="T816" i="2"/>
  <c r="T827" i="2"/>
  <c r="T841" i="2"/>
  <c r="T855" i="2"/>
  <c r="T866" i="2"/>
  <c r="T880" i="2"/>
  <c r="T891" i="2"/>
  <c r="T903" i="2"/>
  <c r="T913" i="2"/>
  <c r="T922" i="2"/>
  <c r="T931" i="2"/>
  <c r="T941" i="2"/>
  <c r="T950" i="2"/>
  <c r="T959" i="2"/>
  <c r="T968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1178" i="2"/>
  <c r="T1186" i="2"/>
  <c r="T1194" i="2"/>
  <c r="T1202" i="2"/>
  <c r="T1210" i="2"/>
  <c r="T1218" i="2"/>
  <c r="T1226" i="2"/>
  <c r="T1234" i="2"/>
  <c r="T1242" i="2"/>
  <c r="T1250" i="2"/>
  <c r="T1258" i="2"/>
  <c r="V54" i="1" s="1"/>
  <c r="AC10" i="2" s="1"/>
  <c r="T198" i="2"/>
  <c r="T26" i="2"/>
  <c r="T84" i="2"/>
  <c r="T132" i="2"/>
  <c r="T185" i="2"/>
  <c r="T220" i="2"/>
  <c r="T250" i="2"/>
  <c r="T286" i="2"/>
  <c r="T323" i="2"/>
  <c r="T353" i="2"/>
  <c r="T388" i="2"/>
  <c r="T426" i="2"/>
  <c r="T454" i="2"/>
  <c r="T491" i="2"/>
  <c r="T529" i="2"/>
  <c r="T556" i="2"/>
  <c r="T594" i="2"/>
  <c r="T630" i="2"/>
  <c r="T659" i="2"/>
  <c r="T689" i="2"/>
  <c r="T712" i="2"/>
  <c r="T730" i="2"/>
  <c r="T753" i="2"/>
  <c r="T769" i="2"/>
  <c r="T785" i="2"/>
  <c r="T801" i="2"/>
  <c r="T817" i="2"/>
  <c r="T831" i="2"/>
  <c r="T842" i="2"/>
  <c r="T856" i="2"/>
  <c r="T867" i="2"/>
  <c r="T881" i="2"/>
  <c r="T894" i="2"/>
  <c r="T904" i="2"/>
  <c r="T914" i="2"/>
  <c r="T923" i="2"/>
  <c r="T933" i="2"/>
  <c r="T942" i="2"/>
  <c r="T951" i="2"/>
  <c r="T960" i="2"/>
  <c r="T969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27" i="2"/>
  <c r="T90" i="2"/>
  <c r="T148" i="2"/>
  <c r="T186" i="2"/>
  <c r="T222" i="2"/>
  <c r="T259" i="2"/>
  <c r="T289" i="2"/>
  <c r="T324" i="2"/>
  <c r="T362" i="2"/>
  <c r="T390" i="2"/>
  <c r="T427" i="2"/>
  <c r="T465" i="2"/>
  <c r="T492" i="2"/>
  <c r="T530" i="2"/>
  <c r="T566" i="2"/>
  <c r="T595" i="2"/>
  <c r="T633" i="2"/>
  <c r="T668" i="2"/>
  <c r="T690" i="2"/>
  <c r="T713" i="2"/>
  <c r="T736" i="2"/>
  <c r="T754" i="2"/>
  <c r="T770" i="2"/>
  <c r="T786" i="2"/>
  <c r="T802" i="2"/>
  <c r="T818" i="2"/>
  <c r="T832" i="2"/>
  <c r="T843" i="2"/>
  <c r="T857" i="2"/>
  <c r="T871" i="2"/>
  <c r="T882" i="2"/>
  <c r="T895" i="2"/>
  <c r="T905" i="2"/>
  <c r="T915" i="2"/>
  <c r="T925" i="2"/>
  <c r="T934" i="2"/>
  <c r="T943" i="2"/>
  <c r="T952" i="2"/>
  <c r="T961" i="2"/>
  <c r="T970" i="2"/>
  <c r="T979" i="2"/>
  <c r="T987" i="2"/>
  <c r="T995" i="2"/>
  <c r="T1003" i="2"/>
  <c r="T1011" i="2"/>
  <c r="T1019" i="2"/>
  <c r="T1027" i="2"/>
  <c r="T1035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738" i="2"/>
  <c r="T108" i="2"/>
  <c r="T43" i="2"/>
  <c r="T91" i="2"/>
  <c r="T154" i="2"/>
  <c r="T195" i="2"/>
  <c r="T225" i="2"/>
  <c r="T260" i="2"/>
  <c r="T298" i="2"/>
  <c r="T326" i="2"/>
  <c r="T363" i="2"/>
  <c r="T401" i="2"/>
  <c r="T428" i="2"/>
  <c r="T466" i="2"/>
  <c r="T502" i="2"/>
  <c r="T531" i="2"/>
  <c r="T569" i="2"/>
  <c r="T604" i="2"/>
  <c r="T634" i="2"/>
  <c r="T670" i="2"/>
  <c r="T696" i="2"/>
  <c r="T714" i="2"/>
  <c r="T737" i="2"/>
  <c r="T759" i="2"/>
  <c r="T775" i="2"/>
  <c r="T791" i="2"/>
  <c r="T807" i="2"/>
  <c r="T819" i="2"/>
  <c r="T833" i="2"/>
  <c r="T847" i="2"/>
  <c r="T858" i="2"/>
  <c r="T872" i="2"/>
  <c r="T883" i="2"/>
  <c r="T896" i="2"/>
  <c r="T906" i="2"/>
  <c r="T917" i="2"/>
  <c r="T926" i="2"/>
  <c r="T935" i="2"/>
  <c r="T944" i="2"/>
  <c r="T953" i="2"/>
  <c r="T962" i="2"/>
  <c r="T971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196" i="2"/>
  <c r="T1117" i="2"/>
  <c r="T1173" i="2"/>
  <c r="T1197" i="2"/>
  <c r="T1213" i="2"/>
  <c r="T1229" i="2"/>
  <c r="T1237" i="2"/>
  <c r="T1253" i="2"/>
  <c r="T50" i="2"/>
  <c r="T273" i="2"/>
  <c r="T44" i="2"/>
  <c r="T107" i="2"/>
  <c r="T155" i="2"/>
  <c r="T234" i="2"/>
  <c r="T262" i="2"/>
  <c r="T299" i="2"/>
  <c r="T337" i="2"/>
  <c r="T364" i="2"/>
  <c r="T402" i="2"/>
  <c r="T438" i="2"/>
  <c r="T467" i="2"/>
  <c r="T505" i="2"/>
  <c r="T540" i="2"/>
  <c r="T570" i="2"/>
  <c r="T606" i="2"/>
  <c r="T643" i="2"/>
  <c r="T671" i="2"/>
  <c r="T697" i="2"/>
  <c r="T720" i="2"/>
  <c r="T760" i="2"/>
  <c r="T776" i="2"/>
  <c r="T792" i="2"/>
  <c r="T808" i="2"/>
  <c r="T823" i="2"/>
  <c r="T834" i="2"/>
  <c r="T848" i="2"/>
  <c r="T859" i="2"/>
  <c r="T873" i="2"/>
  <c r="T887" i="2"/>
  <c r="T897" i="2"/>
  <c r="T907" i="2"/>
  <c r="T918" i="2"/>
  <c r="T927" i="2"/>
  <c r="T936" i="2"/>
  <c r="T945" i="2"/>
  <c r="T954" i="2"/>
  <c r="T963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25" i="2"/>
  <c r="T1133" i="2"/>
  <c r="T1141" i="2"/>
  <c r="T1149" i="2"/>
  <c r="T1157" i="2"/>
  <c r="T1165" i="2"/>
  <c r="T1181" i="2"/>
  <c r="T1189" i="2"/>
  <c r="T1205" i="2"/>
  <c r="T1221" i="2"/>
  <c r="T1245" i="2"/>
  <c r="T166" i="2"/>
  <c r="T235" i="2"/>
  <c r="T300" i="2"/>
  <c r="T67" i="2"/>
  <c r="T130" i="2"/>
  <c r="T171" i="2"/>
  <c r="T210" i="2"/>
  <c r="T246" i="2"/>
  <c r="T275" i="2"/>
  <c r="T313" i="2"/>
  <c r="T348" i="2"/>
  <c r="T378" i="2"/>
  <c r="T414" i="2"/>
  <c r="T451" i="2"/>
  <c r="T481" i="2"/>
  <c r="T516" i="2"/>
  <c r="T554" i="2"/>
  <c r="T582" i="2"/>
  <c r="T619" i="2"/>
  <c r="T657" i="2"/>
  <c r="T682" i="2"/>
  <c r="T705" i="2"/>
  <c r="T728" i="2"/>
  <c r="T746" i="2"/>
  <c r="T767" i="2"/>
  <c r="T783" i="2"/>
  <c r="T799" i="2"/>
  <c r="T815" i="2"/>
  <c r="T826" i="2"/>
  <c r="T840" i="2"/>
  <c r="T851" i="2"/>
  <c r="T865" i="2"/>
  <c r="T879" i="2"/>
  <c r="T890" i="2"/>
  <c r="T902" i="2"/>
  <c r="T912" i="2"/>
  <c r="T921" i="2"/>
  <c r="T930" i="2"/>
  <c r="T939" i="2"/>
  <c r="T949" i="2"/>
  <c r="T958" i="2"/>
  <c r="T967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66" i="2"/>
  <c r="T339" i="2"/>
  <c r="T478" i="2"/>
  <c r="T618" i="2"/>
  <c r="T722" i="2"/>
  <c r="T794" i="2"/>
  <c r="T850" i="2"/>
  <c r="T899" i="2"/>
  <c r="T938" i="2"/>
  <c r="T975" i="2"/>
  <c r="T1007" i="2"/>
  <c r="T1039" i="2"/>
  <c r="T1071" i="2"/>
  <c r="T1103" i="2"/>
  <c r="T1135" i="2"/>
  <c r="T1167" i="2"/>
  <c r="T1199" i="2"/>
  <c r="T1231" i="2"/>
  <c r="T412" i="2"/>
  <c r="T1087" i="2"/>
  <c r="T1215" i="2"/>
  <c r="T793" i="2"/>
  <c r="T1102" i="2"/>
  <c r="T1230" i="2"/>
  <c r="T114" i="2"/>
  <c r="T374" i="2"/>
  <c r="T506" i="2"/>
  <c r="T644" i="2"/>
  <c r="T744" i="2"/>
  <c r="T809" i="2"/>
  <c r="T863" i="2"/>
  <c r="T910" i="2"/>
  <c r="T946" i="2"/>
  <c r="T982" i="2"/>
  <c r="T1014" i="2"/>
  <c r="T1046" i="2"/>
  <c r="T1078" i="2"/>
  <c r="T1110" i="2"/>
  <c r="T1142" i="2"/>
  <c r="T1174" i="2"/>
  <c r="T1206" i="2"/>
  <c r="T1238" i="2"/>
  <c r="T236" i="2"/>
  <c r="T762" i="2"/>
  <c r="T825" i="2"/>
  <c r="T875" i="2"/>
  <c r="T920" i="2"/>
  <c r="T957" i="2"/>
  <c r="T1023" i="2"/>
  <c r="T1151" i="2"/>
  <c r="T476" i="2"/>
  <c r="T849" i="2"/>
  <c r="T937" i="2"/>
  <c r="T1038" i="2"/>
  <c r="T1134" i="2"/>
  <c r="T170" i="2"/>
  <c r="T377" i="2"/>
  <c r="T515" i="2"/>
  <c r="T646" i="2"/>
  <c r="T745" i="2"/>
  <c r="T810" i="2"/>
  <c r="T864" i="2"/>
  <c r="T911" i="2"/>
  <c r="T947" i="2"/>
  <c r="T983" i="2"/>
  <c r="T1015" i="2"/>
  <c r="T1047" i="2"/>
  <c r="T1079" i="2"/>
  <c r="T1111" i="2"/>
  <c r="T1143" i="2"/>
  <c r="T1175" i="2"/>
  <c r="T1207" i="2"/>
  <c r="T1239" i="2"/>
  <c r="T545" i="2"/>
  <c r="T1055" i="2"/>
  <c r="T1183" i="2"/>
  <c r="T609" i="2"/>
  <c r="T1006" i="2"/>
  <c r="T1166" i="2"/>
  <c r="T209" i="2"/>
  <c r="T403" i="2"/>
  <c r="T542" i="2"/>
  <c r="T679" i="2"/>
  <c r="T761" i="2"/>
  <c r="T824" i="2"/>
  <c r="T874" i="2"/>
  <c r="T919" i="2"/>
  <c r="T955" i="2"/>
  <c r="T990" i="2"/>
  <c r="T1022" i="2"/>
  <c r="T1054" i="2"/>
  <c r="T1086" i="2"/>
  <c r="T1118" i="2"/>
  <c r="T1150" i="2"/>
  <c r="T1182" i="2"/>
  <c r="T1214" i="2"/>
  <c r="T1246" i="2"/>
  <c r="T681" i="2"/>
  <c r="T991" i="2"/>
  <c r="T1119" i="2"/>
  <c r="T1247" i="2"/>
  <c r="T721" i="2"/>
  <c r="T898" i="2"/>
  <c r="T974" i="2"/>
  <c r="T1070" i="2"/>
  <c r="T1198" i="2"/>
  <c r="T274" i="2"/>
  <c r="T441" i="2"/>
  <c r="T579" i="2"/>
  <c r="T698" i="2"/>
  <c r="T777" i="2"/>
  <c r="T835" i="2"/>
  <c r="T888" i="2"/>
  <c r="T928" i="2"/>
  <c r="T965" i="2"/>
  <c r="T998" i="2"/>
  <c r="T1030" i="2"/>
  <c r="T1062" i="2"/>
  <c r="T1094" i="2"/>
  <c r="T1126" i="2"/>
  <c r="T1158" i="2"/>
  <c r="T1190" i="2"/>
  <c r="T1222" i="2"/>
  <c r="T1254" i="2"/>
  <c r="T310" i="2"/>
  <c r="T442" i="2"/>
  <c r="T580" i="2"/>
  <c r="T704" i="2"/>
  <c r="T778" i="2"/>
  <c r="T839" i="2"/>
  <c r="T889" i="2"/>
  <c r="T929" i="2"/>
  <c r="T966" i="2"/>
  <c r="T999" i="2"/>
  <c r="T1031" i="2"/>
  <c r="T1063" i="2"/>
  <c r="T1095" i="2"/>
  <c r="T1127" i="2"/>
  <c r="T1159" i="2"/>
  <c r="T1191" i="2"/>
  <c r="T1223" i="2"/>
  <c r="T1255" i="2"/>
  <c r="T338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" i="2"/>
  <c r="S14" i="2"/>
  <c r="S22" i="2"/>
  <c r="S30" i="2"/>
  <c r="S7" i="2"/>
  <c r="S15" i="2"/>
  <c r="S23" i="2"/>
  <c r="S31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628" i="2"/>
  <c r="S636" i="2"/>
  <c r="S644" i="2"/>
  <c r="S652" i="2"/>
  <c r="S660" i="2"/>
  <c r="S668" i="2"/>
  <c r="S676" i="2"/>
  <c r="S684" i="2"/>
  <c r="S10" i="2"/>
  <c r="S38" i="2"/>
  <c r="S54" i="2"/>
  <c r="S70" i="2"/>
  <c r="S86" i="2"/>
  <c r="S102" i="2"/>
  <c r="S118" i="2"/>
  <c r="S134" i="2"/>
  <c r="S150" i="2"/>
  <c r="S166" i="2"/>
  <c r="S182" i="2"/>
  <c r="S198" i="2"/>
  <c r="S214" i="2"/>
  <c r="S230" i="2"/>
  <c r="S246" i="2"/>
  <c r="S262" i="2"/>
  <c r="S278" i="2"/>
  <c r="S294" i="2"/>
  <c r="S310" i="2"/>
  <c r="S326" i="2"/>
  <c r="S342" i="2"/>
  <c r="S358" i="2"/>
  <c r="S374" i="2"/>
  <c r="S390" i="2"/>
  <c r="S406" i="2"/>
  <c r="S422" i="2"/>
  <c r="S438" i="2"/>
  <c r="S454" i="2"/>
  <c r="S470" i="2"/>
  <c r="S486" i="2"/>
  <c r="S502" i="2"/>
  <c r="S518" i="2"/>
  <c r="S534" i="2"/>
  <c r="S550" i="2"/>
  <c r="S566" i="2"/>
  <c r="S582" i="2"/>
  <c r="S598" i="2"/>
  <c r="S614" i="2"/>
  <c r="S630" i="2"/>
  <c r="S646" i="2"/>
  <c r="S662" i="2"/>
  <c r="S677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1" i="2"/>
  <c r="S42" i="2"/>
  <c r="S59" i="2"/>
  <c r="S78" i="2"/>
  <c r="S95" i="2"/>
  <c r="S114" i="2"/>
  <c r="S131" i="2"/>
  <c r="S151" i="2"/>
  <c r="S170" i="2"/>
  <c r="S187" i="2"/>
  <c r="S206" i="2"/>
  <c r="S223" i="2"/>
  <c r="S242" i="2"/>
  <c r="S259" i="2"/>
  <c r="S279" i="2"/>
  <c r="S298" i="2"/>
  <c r="S315" i="2"/>
  <c r="S334" i="2"/>
  <c r="S351" i="2"/>
  <c r="S370" i="2"/>
  <c r="S387" i="2"/>
  <c r="S407" i="2"/>
  <c r="S426" i="2"/>
  <c r="S443" i="2"/>
  <c r="S462" i="2"/>
  <c r="S479" i="2"/>
  <c r="S498" i="2"/>
  <c r="S515" i="2"/>
  <c r="S535" i="2"/>
  <c r="S554" i="2"/>
  <c r="S571" i="2"/>
  <c r="S590" i="2"/>
  <c r="S607" i="2"/>
  <c r="S626" i="2"/>
  <c r="S643" i="2"/>
  <c r="S663" i="2"/>
  <c r="S679" i="2"/>
  <c r="S691" i="2"/>
  <c r="S700" i="2"/>
  <c r="S709" i="2"/>
  <c r="S718" i="2"/>
  <c r="S727" i="2"/>
  <c r="S737" i="2"/>
  <c r="S746" i="2"/>
  <c r="S755" i="2"/>
  <c r="S764" i="2"/>
  <c r="S773" i="2"/>
  <c r="S782" i="2"/>
  <c r="S791" i="2"/>
  <c r="S801" i="2"/>
  <c r="S810" i="2"/>
  <c r="S819" i="2"/>
  <c r="S828" i="2"/>
  <c r="S837" i="2"/>
  <c r="S846" i="2"/>
  <c r="S855" i="2"/>
  <c r="S865" i="2"/>
  <c r="S874" i="2"/>
  <c r="S883" i="2"/>
  <c r="S892" i="2"/>
  <c r="S901" i="2"/>
  <c r="S910" i="2"/>
  <c r="S919" i="2"/>
  <c r="S929" i="2"/>
  <c r="S938" i="2"/>
  <c r="S947" i="2"/>
  <c r="S956" i="2"/>
  <c r="S965" i="2"/>
  <c r="S974" i="2"/>
  <c r="S983" i="2"/>
  <c r="S993" i="2"/>
  <c r="S1002" i="2"/>
  <c r="S1011" i="2"/>
  <c r="S1020" i="2"/>
  <c r="S1029" i="2"/>
  <c r="S1037" i="2"/>
  <c r="S1045" i="2"/>
  <c r="S1053" i="2"/>
  <c r="S1061" i="2"/>
  <c r="S1069" i="2"/>
  <c r="S1077" i="2"/>
  <c r="S1085" i="2"/>
  <c r="S1093" i="2"/>
  <c r="S1101" i="2"/>
  <c r="S1109" i="2"/>
  <c r="S1117" i="2"/>
  <c r="S1125" i="2"/>
  <c r="S1133" i="2"/>
  <c r="S18" i="2"/>
  <c r="S43" i="2"/>
  <c r="S62" i="2"/>
  <c r="S79" i="2"/>
  <c r="S98" i="2"/>
  <c r="S115" i="2"/>
  <c r="S135" i="2"/>
  <c r="S154" i="2"/>
  <c r="S171" i="2"/>
  <c r="S190" i="2"/>
  <c r="S207" i="2"/>
  <c r="S226" i="2"/>
  <c r="S243" i="2"/>
  <c r="S263" i="2"/>
  <c r="S282" i="2"/>
  <c r="S299" i="2"/>
  <c r="S318" i="2"/>
  <c r="S335" i="2"/>
  <c r="S354" i="2"/>
  <c r="S371" i="2"/>
  <c r="S391" i="2"/>
  <c r="S410" i="2"/>
  <c r="S427" i="2"/>
  <c r="S446" i="2"/>
  <c r="S463" i="2"/>
  <c r="S482" i="2"/>
  <c r="S499" i="2"/>
  <c r="S519" i="2"/>
  <c r="S538" i="2"/>
  <c r="S555" i="2"/>
  <c r="S574" i="2"/>
  <c r="S591" i="2"/>
  <c r="S610" i="2"/>
  <c r="S627" i="2"/>
  <c r="S647" i="2"/>
  <c r="S666" i="2"/>
  <c r="S682" i="2"/>
  <c r="S692" i="2"/>
  <c r="S701" i="2"/>
  <c r="S710" i="2"/>
  <c r="S719" i="2"/>
  <c r="S729" i="2"/>
  <c r="S738" i="2"/>
  <c r="S747" i="2"/>
  <c r="S756" i="2"/>
  <c r="S765" i="2"/>
  <c r="S774" i="2"/>
  <c r="S783" i="2"/>
  <c r="S793" i="2"/>
  <c r="S802" i="2"/>
  <c r="S811" i="2"/>
  <c r="S820" i="2"/>
  <c r="S829" i="2"/>
  <c r="S838" i="2"/>
  <c r="S847" i="2"/>
  <c r="S857" i="2"/>
  <c r="S866" i="2"/>
  <c r="S875" i="2"/>
  <c r="S884" i="2"/>
  <c r="S893" i="2"/>
  <c r="S902" i="2"/>
  <c r="S911" i="2"/>
  <c r="S921" i="2"/>
  <c r="S930" i="2"/>
  <c r="S939" i="2"/>
  <c r="S948" i="2"/>
  <c r="S957" i="2"/>
  <c r="S966" i="2"/>
  <c r="S975" i="2"/>
  <c r="S985" i="2"/>
  <c r="S994" i="2"/>
  <c r="S1003" i="2"/>
  <c r="S1012" i="2"/>
  <c r="S1021" i="2"/>
  <c r="S1030" i="2"/>
  <c r="S1038" i="2"/>
  <c r="S1046" i="2"/>
  <c r="S1054" i="2"/>
  <c r="S1062" i="2"/>
  <c r="S1070" i="2"/>
  <c r="S1078" i="2"/>
  <c r="S1086" i="2"/>
  <c r="S1094" i="2"/>
  <c r="S1102" i="2"/>
  <c r="S1110" i="2"/>
  <c r="S19" i="2"/>
  <c r="S50" i="2"/>
  <c r="S74" i="2"/>
  <c r="S99" i="2"/>
  <c r="S123" i="2"/>
  <c r="S146" i="2"/>
  <c r="S174" i="2"/>
  <c r="S195" i="2"/>
  <c r="S219" i="2"/>
  <c r="S247" i="2"/>
  <c r="S270" i="2"/>
  <c r="S291" i="2"/>
  <c r="S319" i="2"/>
  <c r="S343" i="2"/>
  <c r="S366" i="2"/>
  <c r="S394" i="2"/>
  <c r="S415" i="2"/>
  <c r="S439" i="2"/>
  <c r="S466" i="2"/>
  <c r="S490" i="2"/>
  <c r="S511" i="2"/>
  <c r="S539" i="2"/>
  <c r="S562" i="2"/>
  <c r="S586" i="2"/>
  <c r="S611" i="2"/>
  <c r="S635" i="2"/>
  <c r="S658" i="2"/>
  <c r="S683" i="2"/>
  <c r="S695" i="2"/>
  <c r="S707" i="2"/>
  <c r="S721" i="2"/>
  <c r="S732" i="2"/>
  <c r="S743" i="2"/>
  <c r="S757" i="2"/>
  <c r="S769" i="2"/>
  <c r="S780" i="2"/>
  <c r="S794" i="2"/>
  <c r="S805" i="2"/>
  <c r="S817" i="2"/>
  <c r="S830" i="2"/>
  <c r="S842" i="2"/>
  <c r="S853" i="2"/>
  <c r="S867" i="2"/>
  <c r="S878" i="2"/>
  <c r="S890" i="2"/>
  <c r="S903" i="2"/>
  <c r="S915" i="2"/>
  <c r="S926" i="2"/>
  <c r="S940" i="2"/>
  <c r="S951" i="2"/>
  <c r="S963" i="2"/>
  <c r="S977" i="2"/>
  <c r="S988" i="2"/>
  <c r="S999" i="2"/>
  <c r="S1013" i="2"/>
  <c r="S1025" i="2"/>
  <c r="S1035" i="2"/>
  <c r="S1047" i="2"/>
  <c r="S1057" i="2"/>
  <c r="S1067" i="2"/>
  <c r="S1079" i="2"/>
  <c r="S1089" i="2"/>
  <c r="S1099" i="2"/>
  <c r="S1111" i="2"/>
  <c r="S1120" i="2"/>
  <c r="S1129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27" i="2"/>
  <c r="S82" i="2"/>
  <c r="S106" i="2"/>
  <c r="S127" i="2"/>
  <c r="S155" i="2"/>
  <c r="S178" i="2"/>
  <c r="S202" i="2"/>
  <c r="S227" i="2"/>
  <c r="S251" i="2"/>
  <c r="S274" i="2"/>
  <c r="S302" i="2"/>
  <c r="S323" i="2"/>
  <c r="S347" i="2"/>
  <c r="S375" i="2"/>
  <c r="S398" i="2"/>
  <c r="S447" i="2"/>
  <c r="S471" i="2"/>
  <c r="S494" i="2"/>
  <c r="S522" i="2"/>
  <c r="S567" i="2"/>
  <c r="S594" i="2"/>
  <c r="S639" i="2"/>
  <c r="S686" i="2"/>
  <c r="S711" i="2"/>
  <c r="S734" i="2"/>
  <c r="S748" i="2"/>
  <c r="S771" i="2"/>
  <c r="S796" i="2"/>
  <c r="S807" i="2"/>
  <c r="S833" i="2"/>
  <c r="S869" i="2"/>
  <c r="S894" i="2"/>
  <c r="S917" i="2"/>
  <c r="S942" i="2"/>
  <c r="S967" i="2"/>
  <c r="S990" i="2"/>
  <c r="S1015" i="2"/>
  <c r="S1027" i="2"/>
  <c r="S1049" i="2"/>
  <c r="S1071" i="2"/>
  <c r="S1091" i="2"/>
  <c r="S1113" i="2"/>
  <c r="S1131" i="2"/>
  <c r="S1148" i="2"/>
  <c r="S1164" i="2"/>
  <c r="S1180" i="2"/>
  <c r="S1196" i="2"/>
  <c r="S1212" i="2"/>
  <c r="S1228" i="2"/>
  <c r="S1244" i="2"/>
  <c r="S34" i="2"/>
  <c r="S83" i="2"/>
  <c r="S107" i="2"/>
  <c r="S130" i="2"/>
  <c r="S179" i="2"/>
  <c r="S203" i="2"/>
  <c r="S254" i="2"/>
  <c r="S303" i="2"/>
  <c r="S327" i="2"/>
  <c r="S378" i="2"/>
  <c r="S423" i="2"/>
  <c r="S474" i="2"/>
  <c r="S523" i="2"/>
  <c r="S570" i="2"/>
  <c r="S619" i="2"/>
  <c r="S642" i="2"/>
  <c r="S687" i="2"/>
  <c r="S713" i="2"/>
  <c r="S735" i="2"/>
  <c r="S761" i="2"/>
  <c r="S772" i="2"/>
  <c r="S797" i="2"/>
  <c r="S822" i="2"/>
  <c r="S845" i="2"/>
  <c r="S870" i="2"/>
  <c r="S895" i="2"/>
  <c r="S918" i="2"/>
  <c r="S943" i="2"/>
  <c r="S969" i="2"/>
  <c r="S991" i="2"/>
  <c r="S1017" i="2"/>
  <c r="S1040" i="2"/>
  <c r="S1060" i="2"/>
  <c r="S1082" i="2"/>
  <c r="S1104" i="2"/>
  <c r="S1123" i="2"/>
  <c r="S1141" i="2"/>
  <c r="S1157" i="2"/>
  <c r="S26" i="2"/>
  <c r="S51" i="2"/>
  <c r="S75" i="2"/>
  <c r="S103" i="2"/>
  <c r="S126" i="2"/>
  <c r="S147" i="2"/>
  <c r="S175" i="2"/>
  <c r="S199" i="2"/>
  <c r="S222" i="2"/>
  <c r="S250" i="2"/>
  <c r="S271" i="2"/>
  <c r="S295" i="2"/>
  <c r="S322" i="2"/>
  <c r="S346" i="2"/>
  <c r="S367" i="2"/>
  <c r="S395" i="2"/>
  <c r="S418" i="2"/>
  <c r="S442" i="2"/>
  <c r="S467" i="2"/>
  <c r="S491" i="2"/>
  <c r="S514" i="2"/>
  <c r="S542" i="2"/>
  <c r="S563" i="2"/>
  <c r="S587" i="2"/>
  <c r="S615" i="2"/>
  <c r="S638" i="2"/>
  <c r="S659" i="2"/>
  <c r="S685" i="2"/>
  <c r="S697" i="2"/>
  <c r="S708" i="2"/>
  <c r="S722" i="2"/>
  <c r="S733" i="2"/>
  <c r="S745" i="2"/>
  <c r="S758" i="2"/>
  <c r="S770" i="2"/>
  <c r="S781" i="2"/>
  <c r="S795" i="2"/>
  <c r="S806" i="2"/>
  <c r="S818" i="2"/>
  <c r="S831" i="2"/>
  <c r="S843" i="2"/>
  <c r="S854" i="2"/>
  <c r="S868" i="2"/>
  <c r="S879" i="2"/>
  <c r="S891" i="2"/>
  <c r="S905" i="2"/>
  <c r="S916" i="2"/>
  <c r="S927" i="2"/>
  <c r="S941" i="2"/>
  <c r="S953" i="2"/>
  <c r="S964" i="2"/>
  <c r="S978" i="2"/>
  <c r="S989" i="2"/>
  <c r="S1001" i="2"/>
  <c r="S1014" i="2"/>
  <c r="S1026" i="2"/>
  <c r="S1036" i="2"/>
  <c r="S1048" i="2"/>
  <c r="S1058" i="2"/>
  <c r="S1068" i="2"/>
  <c r="S1080" i="2"/>
  <c r="S1090" i="2"/>
  <c r="S1100" i="2"/>
  <c r="S1112" i="2"/>
  <c r="S1121" i="2"/>
  <c r="S1130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55" i="2"/>
  <c r="S419" i="2"/>
  <c r="S543" i="2"/>
  <c r="S618" i="2"/>
  <c r="S667" i="2"/>
  <c r="S698" i="2"/>
  <c r="S723" i="2"/>
  <c r="S759" i="2"/>
  <c r="S785" i="2"/>
  <c r="S821" i="2"/>
  <c r="S844" i="2"/>
  <c r="S858" i="2"/>
  <c r="S881" i="2"/>
  <c r="S906" i="2"/>
  <c r="S931" i="2"/>
  <c r="S954" i="2"/>
  <c r="S979" i="2"/>
  <c r="S1004" i="2"/>
  <c r="S1039" i="2"/>
  <c r="S1059" i="2"/>
  <c r="S1081" i="2"/>
  <c r="S1103" i="2"/>
  <c r="S1122" i="2"/>
  <c r="S1140" i="2"/>
  <c r="S1156" i="2"/>
  <c r="S1172" i="2"/>
  <c r="S1188" i="2"/>
  <c r="S1204" i="2"/>
  <c r="S1220" i="2"/>
  <c r="S1236" i="2"/>
  <c r="S1252" i="2"/>
  <c r="S58" i="2"/>
  <c r="S158" i="2"/>
  <c r="S231" i="2"/>
  <c r="S275" i="2"/>
  <c r="S350" i="2"/>
  <c r="S399" i="2"/>
  <c r="S450" i="2"/>
  <c r="S495" i="2"/>
  <c r="S546" i="2"/>
  <c r="S595" i="2"/>
  <c r="S670" i="2"/>
  <c r="S699" i="2"/>
  <c r="S724" i="2"/>
  <c r="S749" i="2"/>
  <c r="S786" i="2"/>
  <c r="S809" i="2"/>
  <c r="S834" i="2"/>
  <c r="S859" i="2"/>
  <c r="S882" i="2"/>
  <c r="S907" i="2"/>
  <c r="S932" i="2"/>
  <c r="S955" i="2"/>
  <c r="S980" i="2"/>
  <c r="S1005" i="2"/>
  <c r="S1028" i="2"/>
  <c r="S1050" i="2"/>
  <c r="S1072" i="2"/>
  <c r="S1092" i="2"/>
  <c r="S1114" i="2"/>
  <c r="S1132" i="2"/>
  <c r="S1149" i="2"/>
  <c r="S1165" i="2"/>
  <c r="S1181" i="2"/>
  <c r="S35" i="2"/>
  <c r="S87" i="2"/>
  <c r="S138" i="2"/>
  <c r="S183" i="2"/>
  <c r="S234" i="2"/>
  <c r="S283" i="2"/>
  <c r="S330" i="2"/>
  <c r="S379" i="2"/>
  <c r="S430" i="2"/>
  <c r="S475" i="2"/>
  <c r="S526" i="2"/>
  <c r="S575" i="2"/>
  <c r="S622" i="2"/>
  <c r="S671" i="2"/>
  <c r="S702" i="2"/>
  <c r="S725" i="2"/>
  <c r="S750" i="2"/>
  <c r="S775" i="2"/>
  <c r="S798" i="2"/>
  <c r="S823" i="2"/>
  <c r="S849" i="2"/>
  <c r="S871" i="2"/>
  <c r="S897" i="2"/>
  <c r="S922" i="2"/>
  <c r="S945" i="2"/>
  <c r="S970" i="2"/>
  <c r="S995" i="2"/>
  <c r="S1018" i="2"/>
  <c r="S1041" i="2"/>
  <c r="S1063" i="2"/>
  <c r="S1083" i="2"/>
  <c r="S1105" i="2"/>
  <c r="S1124" i="2"/>
  <c r="S1142" i="2"/>
  <c r="S1158" i="2"/>
  <c r="S1173" i="2"/>
  <c r="S1185" i="2"/>
  <c r="S1199" i="2"/>
  <c r="S1213" i="2"/>
  <c r="S1224" i="2"/>
  <c r="S1238" i="2"/>
  <c r="S1249" i="2"/>
  <c r="S91" i="2"/>
  <c r="S778" i="2"/>
  <c r="S899" i="2"/>
  <c r="S997" i="2"/>
  <c r="S1043" i="2"/>
  <c r="S1087" i="2"/>
  <c r="S1127" i="2"/>
  <c r="S1160" i="2"/>
  <c r="S1190" i="2"/>
  <c r="S1201" i="2"/>
  <c r="S1229" i="2"/>
  <c r="S1254" i="2"/>
  <c r="S63" i="2"/>
  <c r="S210" i="2"/>
  <c r="S306" i="2"/>
  <c r="S402" i="2"/>
  <c r="S547" i="2"/>
  <c r="S650" i="2"/>
  <c r="S714" i="2"/>
  <c r="S762" i="2"/>
  <c r="S812" i="2"/>
  <c r="S860" i="2"/>
  <c r="S908" i="2"/>
  <c r="S958" i="2"/>
  <c r="S1006" i="2"/>
  <c r="S1051" i="2"/>
  <c r="S1095" i="2"/>
  <c r="S1115" i="2"/>
  <c r="S1150" i="2"/>
  <c r="S1177" i="2"/>
  <c r="S1206" i="2"/>
  <c r="S1231" i="2"/>
  <c r="S1256" i="2"/>
  <c r="S66" i="2"/>
  <c r="S162" i="2"/>
  <c r="S211" i="2"/>
  <c r="S258" i="2"/>
  <c r="S307" i="2"/>
  <c r="S403" i="2"/>
  <c r="S455" i="2"/>
  <c r="S602" i="2"/>
  <c r="S690" i="2"/>
  <c r="S763" i="2"/>
  <c r="S836" i="2"/>
  <c r="S886" i="2"/>
  <c r="S934" i="2"/>
  <c r="S959" i="2"/>
  <c r="S1007" i="2"/>
  <c r="S1052" i="2"/>
  <c r="S1116" i="2"/>
  <c r="S1151" i="2"/>
  <c r="S1182" i="2"/>
  <c r="S1221" i="2"/>
  <c r="S1246" i="2"/>
  <c r="S67" i="2"/>
  <c r="S163" i="2"/>
  <c r="S215" i="2"/>
  <c r="S266" i="2"/>
  <c r="S311" i="2"/>
  <c r="S362" i="2"/>
  <c r="S411" i="2"/>
  <c r="S507" i="2"/>
  <c r="S558" i="2"/>
  <c r="S654" i="2"/>
  <c r="S716" i="2"/>
  <c r="S766" i="2"/>
  <c r="S814" i="2"/>
  <c r="S839" i="2"/>
  <c r="S887" i="2"/>
  <c r="S935" i="2"/>
  <c r="S961" i="2"/>
  <c r="S1009" i="2"/>
  <c r="S1055" i="2"/>
  <c r="S1097" i="2"/>
  <c r="S1136" i="2"/>
  <c r="S1168" i="2"/>
  <c r="S1197" i="2"/>
  <c r="S1208" i="2"/>
  <c r="S1233" i="2"/>
  <c r="S71" i="2"/>
  <c r="S167" i="2"/>
  <c r="S218" i="2"/>
  <c r="S267" i="2"/>
  <c r="S363" i="2"/>
  <c r="S459" i="2"/>
  <c r="S510" i="2"/>
  <c r="S606" i="2"/>
  <c r="S655" i="2"/>
  <c r="S717" i="2"/>
  <c r="S767" i="2"/>
  <c r="S815" i="2"/>
  <c r="S863" i="2"/>
  <c r="S914" i="2"/>
  <c r="S937" i="2"/>
  <c r="S987" i="2"/>
  <c r="S1034" i="2"/>
  <c r="S1076" i="2"/>
  <c r="S1119" i="2"/>
  <c r="S1153" i="2"/>
  <c r="S1184" i="2"/>
  <c r="S1223" i="2"/>
  <c r="S1248" i="2"/>
  <c r="S39" i="2"/>
  <c r="S90" i="2"/>
  <c r="S139" i="2"/>
  <c r="S186" i="2"/>
  <c r="S235" i="2"/>
  <c r="S286" i="2"/>
  <c r="S331" i="2"/>
  <c r="S382" i="2"/>
  <c r="S431" i="2"/>
  <c r="S478" i="2"/>
  <c r="S527" i="2"/>
  <c r="S578" i="2"/>
  <c r="S623" i="2"/>
  <c r="S674" i="2"/>
  <c r="S703" i="2"/>
  <c r="S726" i="2"/>
  <c r="S751" i="2"/>
  <c r="S777" i="2"/>
  <c r="S799" i="2"/>
  <c r="S825" i="2"/>
  <c r="S850" i="2"/>
  <c r="S873" i="2"/>
  <c r="S898" i="2"/>
  <c r="S923" i="2"/>
  <c r="S946" i="2"/>
  <c r="S971" i="2"/>
  <c r="S996" i="2"/>
  <c r="S1019" i="2"/>
  <c r="S1042" i="2"/>
  <c r="S1064" i="2"/>
  <c r="S1084" i="2"/>
  <c r="S1106" i="2"/>
  <c r="S1126" i="2"/>
  <c r="S1143" i="2"/>
  <c r="S1159" i="2"/>
  <c r="S1174" i="2"/>
  <c r="S1189" i="2"/>
  <c r="S1200" i="2"/>
  <c r="S1214" i="2"/>
  <c r="S1225" i="2"/>
  <c r="S1239" i="2"/>
  <c r="S1253" i="2"/>
  <c r="S46" i="2"/>
  <c r="S142" i="2"/>
  <c r="S191" i="2"/>
  <c r="S238" i="2"/>
  <c r="S287" i="2"/>
  <c r="S338" i="2"/>
  <c r="S383" i="2"/>
  <c r="S434" i="2"/>
  <c r="S483" i="2"/>
  <c r="S530" i="2"/>
  <c r="S579" i="2"/>
  <c r="S631" i="2"/>
  <c r="S675" i="2"/>
  <c r="S705" i="2"/>
  <c r="S730" i="2"/>
  <c r="S753" i="2"/>
  <c r="S803" i="2"/>
  <c r="S826" i="2"/>
  <c r="S851" i="2"/>
  <c r="S876" i="2"/>
  <c r="S924" i="2"/>
  <c r="S949" i="2"/>
  <c r="S972" i="2"/>
  <c r="S1022" i="2"/>
  <c r="S1065" i="2"/>
  <c r="S1107" i="2"/>
  <c r="S1144" i="2"/>
  <c r="S1175" i="2"/>
  <c r="S1215" i="2"/>
  <c r="S1240" i="2"/>
  <c r="S110" i="2"/>
  <c r="S159" i="2"/>
  <c r="S255" i="2"/>
  <c r="S355" i="2"/>
  <c r="S451" i="2"/>
  <c r="S503" i="2"/>
  <c r="S599" i="2"/>
  <c r="S689" i="2"/>
  <c r="S739" i="2"/>
  <c r="S787" i="2"/>
  <c r="S835" i="2"/>
  <c r="S885" i="2"/>
  <c r="S933" i="2"/>
  <c r="S981" i="2"/>
  <c r="S1031" i="2"/>
  <c r="S1073" i="2"/>
  <c r="S1134" i="2"/>
  <c r="S1166" i="2"/>
  <c r="S1192" i="2"/>
  <c r="S1217" i="2"/>
  <c r="S1245" i="2"/>
  <c r="S111" i="2"/>
  <c r="S359" i="2"/>
  <c r="S506" i="2"/>
  <c r="S551" i="2"/>
  <c r="S651" i="2"/>
  <c r="S715" i="2"/>
  <c r="S740" i="2"/>
  <c r="S788" i="2"/>
  <c r="S813" i="2"/>
  <c r="S861" i="2"/>
  <c r="S909" i="2"/>
  <c r="S982" i="2"/>
  <c r="S1032" i="2"/>
  <c r="S1074" i="2"/>
  <c r="S1096" i="2"/>
  <c r="S1135" i="2"/>
  <c r="S1167" i="2"/>
  <c r="S1193" i="2"/>
  <c r="S1207" i="2"/>
  <c r="S1232" i="2"/>
  <c r="S1257" i="2"/>
  <c r="S119" i="2"/>
  <c r="S458" i="2"/>
  <c r="S603" i="2"/>
  <c r="S693" i="2"/>
  <c r="S741" i="2"/>
  <c r="S789" i="2"/>
  <c r="S862" i="2"/>
  <c r="S913" i="2"/>
  <c r="S986" i="2"/>
  <c r="S1033" i="2"/>
  <c r="S1075" i="2"/>
  <c r="S1118" i="2"/>
  <c r="S1152" i="2"/>
  <c r="S1183" i="2"/>
  <c r="S1222" i="2"/>
  <c r="S1247" i="2"/>
  <c r="S122" i="2"/>
  <c r="S314" i="2"/>
  <c r="S414" i="2"/>
  <c r="S559" i="2"/>
  <c r="S694" i="2"/>
  <c r="S742" i="2"/>
  <c r="S790" i="2"/>
  <c r="S841" i="2"/>
  <c r="S889" i="2"/>
  <c r="S962" i="2"/>
  <c r="S1010" i="2"/>
  <c r="S1056" i="2"/>
  <c r="S1098" i="2"/>
  <c r="S1137" i="2"/>
  <c r="S1169" i="2"/>
  <c r="S1198" i="2"/>
  <c r="S1209" i="2"/>
  <c r="S1237" i="2"/>
  <c r="S47" i="2"/>
  <c r="S94" i="2"/>
  <c r="S143" i="2"/>
  <c r="S194" i="2"/>
  <c r="S239" i="2"/>
  <c r="S290" i="2"/>
  <c r="S339" i="2"/>
  <c r="S386" i="2"/>
  <c r="S435" i="2"/>
  <c r="S487" i="2"/>
  <c r="S531" i="2"/>
  <c r="S583" i="2"/>
  <c r="S634" i="2"/>
  <c r="S678" i="2"/>
  <c r="S706" i="2"/>
  <c r="S731" i="2"/>
  <c r="S754" i="2"/>
  <c r="S779" i="2"/>
  <c r="S804" i="2"/>
  <c r="S827" i="2"/>
  <c r="S852" i="2"/>
  <c r="S877" i="2"/>
  <c r="S900" i="2"/>
  <c r="S925" i="2"/>
  <c r="S950" i="2"/>
  <c r="S973" i="2"/>
  <c r="S998" i="2"/>
  <c r="S1023" i="2"/>
  <c r="S1044" i="2"/>
  <c r="S1066" i="2"/>
  <c r="S1088" i="2"/>
  <c r="S1108" i="2"/>
  <c r="S1128" i="2"/>
  <c r="S1145" i="2"/>
  <c r="S1161" i="2"/>
  <c r="S1176" i="2"/>
  <c r="S1191" i="2"/>
  <c r="S1205" i="2"/>
  <c r="S1216" i="2"/>
  <c r="S1230" i="2"/>
  <c r="S1241" i="2"/>
  <c r="S1255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10" i="2"/>
  <c r="R28" i="2"/>
  <c r="R51" i="2"/>
  <c r="R74" i="2"/>
  <c r="R92" i="2"/>
  <c r="R115" i="2"/>
  <c r="R138" i="2"/>
  <c r="R156" i="2"/>
  <c r="R179" i="2"/>
  <c r="R202" i="2"/>
  <c r="R220" i="2"/>
  <c r="R243" i="2"/>
  <c r="R266" i="2"/>
  <c r="R284" i="2"/>
  <c r="R307" i="2"/>
  <c r="R330" i="2"/>
  <c r="R348" i="2"/>
  <c r="R371" i="2"/>
  <c r="R394" i="2"/>
  <c r="R412" i="2"/>
  <c r="R435" i="2"/>
  <c r="R458" i="2"/>
  <c r="R476" i="2"/>
  <c r="R499" i="2"/>
  <c r="R522" i="2"/>
  <c r="R540" i="2"/>
  <c r="R563" i="2"/>
  <c r="R586" i="2"/>
  <c r="R604" i="2"/>
  <c r="R627" i="2"/>
  <c r="R649" i="2"/>
  <c r="R665" i="2"/>
  <c r="R681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01" i="2"/>
  <c r="R1009" i="2"/>
  <c r="R1017" i="2"/>
  <c r="R1025" i="2"/>
  <c r="R1033" i="2"/>
  <c r="R1041" i="2"/>
  <c r="R1049" i="2"/>
  <c r="R1057" i="2"/>
  <c r="R1065" i="2"/>
  <c r="R1073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12" i="2"/>
  <c r="R35" i="2"/>
  <c r="R58" i="2"/>
  <c r="R76" i="2"/>
  <c r="R99" i="2"/>
  <c r="R122" i="2"/>
  <c r="R140" i="2"/>
  <c r="R163" i="2"/>
  <c r="R186" i="2"/>
  <c r="R204" i="2"/>
  <c r="R227" i="2"/>
  <c r="R250" i="2"/>
  <c r="R268" i="2"/>
  <c r="R291" i="2"/>
  <c r="R314" i="2"/>
  <c r="R332" i="2"/>
  <c r="R355" i="2"/>
  <c r="R378" i="2"/>
  <c r="R396" i="2"/>
  <c r="R419" i="2"/>
  <c r="R442" i="2"/>
  <c r="R460" i="2"/>
  <c r="R483" i="2"/>
  <c r="R506" i="2"/>
  <c r="R524" i="2"/>
  <c r="R547" i="2"/>
  <c r="R570" i="2"/>
  <c r="R588" i="2"/>
  <c r="R611" i="2"/>
  <c r="R634" i="2"/>
  <c r="R651" i="2"/>
  <c r="R667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18" i="2"/>
  <c r="R36" i="2"/>
  <c r="R59" i="2"/>
  <c r="R82" i="2"/>
  <c r="R100" i="2"/>
  <c r="R123" i="2"/>
  <c r="R146" i="2"/>
  <c r="R164" i="2"/>
  <c r="R187" i="2"/>
  <c r="R210" i="2"/>
  <c r="R228" i="2"/>
  <c r="R251" i="2"/>
  <c r="R274" i="2"/>
  <c r="R292" i="2"/>
  <c r="R315" i="2"/>
  <c r="R338" i="2"/>
  <c r="R356" i="2"/>
  <c r="R379" i="2"/>
  <c r="R402" i="2"/>
  <c r="R420" i="2"/>
  <c r="R443" i="2"/>
  <c r="R466" i="2"/>
  <c r="R484" i="2"/>
  <c r="R507" i="2"/>
  <c r="R530" i="2"/>
  <c r="R548" i="2"/>
  <c r="R571" i="2"/>
  <c r="R594" i="2"/>
  <c r="R612" i="2"/>
  <c r="R635" i="2"/>
  <c r="R652" i="2"/>
  <c r="R668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19" i="2"/>
  <c r="R42" i="2"/>
  <c r="R60" i="2"/>
  <c r="R83" i="2"/>
  <c r="R106" i="2"/>
  <c r="R124" i="2"/>
  <c r="R147" i="2"/>
  <c r="R170" i="2"/>
  <c r="R188" i="2"/>
  <c r="R211" i="2"/>
  <c r="R234" i="2"/>
  <c r="R252" i="2"/>
  <c r="R275" i="2"/>
  <c r="R298" i="2"/>
  <c r="R316" i="2"/>
  <c r="R339" i="2"/>
  <c r="R362" i="2"/>
  <c r="R380" i="2"/>
  <c r="R403" i="2"/>
  <c r="R426" i="2"/>
  <c r="R444" i="2"/>
  <c r="R467" i="2"/>
  <c r="R490" i="2"/>
  <c r="R508" i="2"/>
  <c r="R531" i="2"/>
  <c r="R554" i="2"/>
  <c r="R572" i="2"/>
  <c r="R595" i="2"/>
  <c r="R618" i="2"/>
  <c r="R636" i="2"/>
  <c r="R657" i="2"/>
  <c r="R673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1045" i="2"/>
  <c r="R1053" i="2"/>
  <c r="R1061" i="2"/>
  <c r="R1069" i="2"/>
  <c r="R1077" i="2"/>
  <c r="R1085" i="2"/>
  <c r="R1093" i="2"/>
  <c r="R1101" i="2"/>
  <c r="R20" i="2"/>
  <c r="R43" i="2"/>
  <c r="R66" i="2"/>
  <c r="R84" i="2"/>
  <c r="R107" i="2"/>
  <c r="R130" i="2"/>
  <c r="R148" i="2"/>
  <c r="R171" i="2"/>
  <c r="R194" i="2"/>
  <c r="R212" i="2"/>
  <c r="R235" i="2"/>
  <c r="R258" i="2"/>
  <c r="R276" i="2"/>
  <c r="R299" i="2"/>
  <c r="R322" i="2"/>
  <c r="R340" i="2"/>
  <c r="R363" i="2"/>
  <c r="R386" i="2"/>
  <c r="R404" i="2"/>
  <c r="R427" i="2"/>
  <c r="R450" i="2"/>
  <c r="R468" i="2"/>
  <c r="R491" i="2"/>
  <c r="R514" i="2"/>
  <c r="R532" i="2"/>
  <c r="R555" i="2"/>
  <c r="R578" i="2"/>
  <c r="R596" i="2"/>
  <c r="R619" i="2"/>
  <c r="R642" i="2"/>
  <c r="R658" i="2"/>
  <c r="R674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1" i="2"/>
  <c r="R68" i="2"/>
  <c r="R131" i="2"/>
  <c r="R180" i="2"/>
  <c r="R242" i="2"/>
  <c r="R300" i="2"/>
  <c r="R354" i="2"/>
  <c r="R411" i="2"/>
  <c r="R474" i="2"/>
  <c r="R523" i="2"/>
  <c r="R580" i="2"/>
  <c r="R643" i="2"/>
  <c r="R682" i="2"/>
  <c r="R704" i="2"/>
  <c r="R727" i="2"/>
  <c r="R746" i="2"/>
  <c r="R768" i="2"/>
  <c r="R791" i="2"/>
  <c r="R810" i="2"/>
  <c r="R832" i="2"/>
  <c r="R855" i="2"/>
  <c r="R874" i="2"/>
  <c r="R896" i="2"/>
  <c r="R919" i="2"/>
  <c r="R938" i="2"/>
  <c r="R960" i="2"/>
  <c r="R983" i="2"/>
  <c r="R1002" i="2"/>
  <c r="R1024" i="2"/>
  <c r="R1047" i="2"/>
  <c r="R1066" i="2"/>
  <c r="R1088" i="2"/>
  <c r="R1104" i="2"/>
  <c r="R1118" i="2"/>
  <c r="R1130" i="2"/>
  <c r="R1143" i="2"/>
  <c r="R1157" i="2"/>
  <c r="R1168" i="2"/>
  <c r="R1182" i="2"/>
  <c r="R1194" i="2"/>
  <c r="R1207" i="2"/>
  <c r="R1221" i="2"/>
  <c r="R1232" i="2"/>
  <c r="R1246" i="2"/>
  <c r="R1258" i="2"/>
  <c r="V52" i="1" s="1"/>
  <c r="AC8" i="2" s="1"/>
  <c r="R236" i="2"/>
  <c r="R1167" i="2"/>
  <c r="R26" i="2"/>
  <c r="R75" i="2"/>
  <c r="R132" i="2"/>
  <c r="R195" i="2"/>
  <c r="R244" i="2"/>
  <c r="R306" i="2"/>
  <c r="R364" i="2"/>
  <c r="R418" i="2"/>
  <c r="R475" i="2"/>
  <c r="R538" i="2"/>
  <c r="R587" i="2"/>
  <c r="R644" i="2"/>
  <c r="R687" i="2"/>
  <c r="R706" i="2"/>
  <c r="R728" i="2"/>
  <c r="R751" i="2"/>
  <c r="R770" i="2"/>
  <c r="R792" i="2"/>
  <c r="R815" i="2"/>
  <c r="R834" i="2"/>
  <c r="R856" i="2"/>
  <c r="R879" i="2"/>
  <c r="R898" i="2"/>
  <c r="R920" i="2"/>
  <c r="R943" i="2"/>
  <c r="R962" i="2"/>
  <c r="R984" i="2"/>
  <c r="R1007" i="2"/>
  <c r="R1026" i="2"/>
  <c r="R1048" i="2"/>
  <c r="R1071" i="2"/>
  <c r="R1090" i="2"/>
  <c r="R1106" i="2"/>
  <c r="R1119" i="2"/>
  <c r="R1133" i="2"/>
  <c r="R1144" i="2"/>
  <c r="R1158" i="2"/>
  <c r="R1170" i="2"/>
  <c r="R1183" i="2"/>
  <c r="R1197" i="2"/>
  <c r="R1208" i="2"/>
  <c r="R1222" i="2"/>
  <c r="R1234" i="2"/>
  <c r="R1247" i="2"/>
  <c r="R91" i="2"/>
  <c r="R347" i="2"/>
  <c r="R27" i="2"/>
  <c r="R90" i="2"/>
  <c r="R139" i="2"/>
  <c r="R196" i="2"/>
  <c r="R259" i="2"/>
  <c r="R308" i="2"/>
  <c r="R370" i="2"/>
  <c r="R428" i="2"/>
  <c r="R482" i="2"/>
  <c r="R539" i="2"/>
  <c r="R602" i="2"/>
  <c r="R650" i="2"/>
  <c r="R688" i="2"/>
  <c r="R711" i="2"/>
  <c r="R730" i="2"/>
  <c r="R752" i="2"/>
  <c r="R775" i="2"/>
  <c r="R794" i="2"/>
  <c r="R816" i="2"/>
  <c r="R839" i="2"/>
  <c r="R858" i="2"/>
  <c r="R880" i="2"/>
  <c r="R903" i="2"/>
  <c r="R922" i="2"/>
  <c r="R944" i="2"/>
  <c r="R967" i="2"/>
  <c r="R986" i="2"/>
  <c r="R1008" i="2"/>
  <c r="R1031" i="2"/>
  <c r="R1050" i="2"/>
  <c r="R1072" i="2"/>
  <c r="R1094" i="2"/>
  <c r="R1109" i="2"/>
  <c r="R1120" i="2"/>
  <c r="R1134" i="2"/>
  <c r="R1146" i="2"/>
  <c r="R1159" i="2"/>
  <c r="R1173" i="2"/>
  <c r="R1184" i="2"/>
  <c r="R1198" i="2"/>
  <c r="R1210" i="2"/>
  <c r="R1223" i="2"/>
  <c r="R1237" i="2"/>
  <c r="R1248" i="2"/>
  <c r="R154" i="2"/>
  <c r="R290" i="2"/>
  <c r="R34" i="2"/>
  <c r="R203" i="2"/>
  <c r="R260" i="2"/>
  <c r="R323" i="2"/>
  <c r="R372" i="2"/>
  <c r="R434" i="2"/>
  <c r="R492" i="2"/>
  <c r="R546" i="2"/>
  <c r="R603" i="2"/>
  <c r="R659" i="2"/>
  <c r="R690" i="2"/>
  <c r="R712" i="2"/>
  <c r="R735" i="2"/>
  <c r="R754" i="2"/>
  <c r="R776" i="2"/>
  <c r="R799" i="2"/>
  <c r="R818" i="2"/>
  <c r="R840" i="2"/>
  <c r="R863" i="2"/>
  <c r="R882" i="2"/>
  <c r="R904" i="2"/>
  <c r="R927" i="2"/>
  <c r="R946" i="2"/>
  <c r="R968" i="2"/>
  <c r="R991" i="2"/>
  <c r="R1010" i="2"/>
  <c r="R1032" i="2"/>
  <c r="R1055" i="2"/>
  <c r="R1074" i="2"/>
  <c r="R1095" i="2"/>
  <c r="R1110" i="2"/>
  <c r="R1122" i="2"/>
  <c r="R1135" i="2"/>
  <c r="R1149" i="2"/>
  <c r="R1160" i="2"/>
  <c r="R1174" i="2"/>
  <c r="R1186" i="2"/>
  <c r="R1199" i="2"/>
  <c r="R1213" i="2"/>
  <c r="R1224" i="2"/>
  <c r="R1238" i="2"/>
  <c r="R1250" i="2"/>
  <c r="R178" i="2"/>
  <c r="R1181" i="2"/>
  <c r="R44" i="2"/>
  <c r="R98" i="2"/>
  <c r="R155" i="2"/>
  <c r="R218" i="2"/>
  <c r="R267" i="2"/>
  <c r="R324" i="2"/>
  <c r="R387" i="2"/>
  <c r="R436" i="2"/>
  <c r="R498" i="2"/>
  <c r="R556" i="2"/>
  <c r="R610" i="2"/>
  <c r="R660" i="2"/>
  <c r="R695" i="2"/>
  <c r="R714" i="2"/>
  <c r="R736" i="2"/>
  <c r="R759" i="2"/>
  <c r="R778" i="2"/>
  <c r="R800" i="2"/>
  <c r="R823" i="2"/>
  <c r="R842" i="2"/>
  <c r="R864" i="2"/>
  <c r="R887" i="2"/>
  <c r="R906" i="2"/>
  <c r="R928" i="2"/>
  <c r="R951" i="2"/>
  <c r="R970" i="2"/>
  <c r="R992" i="2"/>
  <c r="R1015" i="2"/>
  <c r="R1034" i="2"/>
  <c r="R1056" i="2"/>
  <c r="R1079" i="2"/>
  <c r="R1096" i="2"/>
  <c r="R1111" i="2"/>
  <c r="R1125" i="2"/>
  <c r="R1136" i="2"/>
  <c r="R1150" i="2"/>
  <c r="R1162" i="2"/>
  <c r="R1175" i="2"/>
  <c r="R1189" i="2"/>
  <c r="R1200" i="2"/>
  <c r="R1214" i="2"/>
  <c r="R1226" i="2"/>
  <c r="R1239" i="2"/>
  <c r="R1253" i="2"/>
  <c r="R1127" i="2"/>
  <c r="R116" i="2"/>
  <c r="R459" i="2"/>
  <c r="R579" i="2"/>
  <c r="R676" i="2"/>
  <c r="R722" i="2"/>
  <c r="R767" i="2"/>
  <c r="R808" i="2"/>
  <c r="R850" i="2"/>
  <c r="R895" i="2"/>
  <c r="R936" i="2"/>
  <c r="R959" i="2"/>
  <c r="R1000" i="2"/>
  <c r="R1042" i="2"/>
  <c r="R1087" i="2"/>
  <c r="R1117" i="2"/>
  <c r="R1142" i="2"/>
  <c r="R1192" i="2"/>
  <c r="R1218" i="2"/>
  <c r="R1245" i="2"/>
  <c r="R50" i="2"/>
  <c r="R108" i="2"/>
  <c r="R162" i="2"/>
  <c r="R219" i="2"/>
  <c r="R282" i="2"/>
  <c r="R331" i="2"/>
  <c r="R388" i="2"/>
  <c r="R451" i="2"/>
  <c r="R500" i="2"/>
  <c r="R562" i="2"/>
  <c r="R620" i="2"/>
  <c r="R666" i="2"/>
  <c r="R696" i="2"/>
  <c r="R719" i="2"/>
  <c r="R738" i="2"/>
  <c r="R760" i="2"/>
  <c r="R783" i="2"/>
  <c r="R802" i="2"/>
  <c r="R824" i="2"/>
  <c r="R847" i="2"/>
  <c r="R866" i="2"/>
  <c r="R888" i="2"/>
  <c r="R911" i="2"/>
  <c r="R930" i="2"/>
  <c r="R952" i="2"/>
  <c r="R975" i="2"/>
  <c r="R994" i="2"/>
  <c r="R1016" i="2"/>
  <c r="R1039" i="2"/>
  <c r="R1058" i="2"/>
  <c r="R1080" i="2"/>
  <c r="R1098" i="2"/>
  <c r="R1112" i="2"/>
  <c r="R1126" i="2"/>
  <c r="R1138" i="2"/>
  <c r="R1151" i="2"/>
  <c r="R1165" i="2"/>
  <c r="R1176" i="2"/>
  <c r="R1190" i="2"/>
  <c r="R1202" i="2"/>
  <c r="R1215" i="2"/>
  <c r="R1229" i="2"/>
  <c r="R1240" i="2"/>
  <c r="R1254" i="2"/>
  <c r="R1114" i="2"/>
  <c r="R67" i="2"/>
  <c r="R410" i="2"/>
  <c r="R516" i="2"/>
  <c r="R628" i="2"/>
  <c r="R703" i="2"/>
  <c r="R744" i="2"/>
  <c r="R786" i="2"/>
  <c r="R831" i="2"/>
  <c r="R872" i="2"/>
  <c r="R914" i="2"/>
  <c r="R978" i="2"/>
  <c r="R1023" i="2"/>
  <c r="R1064" i="2"/>
  <c r="R1103" i="2"/>
  <c r="R1128" i="2"/>
  <c r="R1154" i="2"/>
  <c r="R1206" i="2"/>
  <c r="R1231" i="2"/>
  <c r="R1256" i="2"/>
  <c r="R52" i="2"/>
  <c r="R114" i="2"/>
  <c r="R172" i="2"/>
  <c r="R226" i="2"/>
  <c r="R283" i="2"/>
  <c r="R346" i="2"/>
  <c r="R395" i="2"/>
  <c r="R452" i="2"/>
  <c r="R515" i="2"/>
  <c r="R564" i="2"/>
  <c r="R626" i="2"/>
  <c r="R675" i="2"/>
  <c r="R698" i="2"/>
  <c r="R720" i="2"/>
  <c r="R743" i="2"/>
  <c r="R762" i="2"/>
  <c r="R784" i="2"/>
  <c r="R807" i="2"/>
  <c r="R826" i="2"/>
  <c r="R848" i="2"/>
  <c r="R871" i="2"/>
  <c r="R890" i="2"/>
  <c r="R912" i="2"/>
  <c r="R935" i="2"/>
  <c r="R954" i="2"/>
  <c r="R976" i="2"/>
  <c r="R999" i="2"/>
  <c r="R1018" i="2"/>
  <c r="R1040" i="2"/>
  <c r="R1063" i="2"/>
  <c r="R1082" i="2"/>
  <c r="R1102" i="2"/>
  <c r="R1141" i="2"/>
  <c r="R1152" i="2"/>
  <c r="R1166" i="2"/>
  <c r="R1178" i="2"/>
  <c r="R1191" i="2"/>
  <c r="R1205" i="2"/>
  <c r="R1216" i="2"/>
  <c r="R1230" i="2"/>
  <c r="R1242" i="2"/>
  <c r="R1255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5" i="2"/>
  <c r="Q57" i="2"/>
  <c r="Q89" i="2"/>
  <c r="Q121" i="2"/>
  <c r="Q153" i="2"/>
  <c r="Q185" i="2"/>
  <c r="Q217" i="2"/>
  <c r="Q236" i="2"/>
  <c r="Q259" i="2"/>
  <c r="Q281" i="2"/>
  <c r="Q300" i="2"/>
  <c r="Q323" i="2"/>
  <c r="Q345" i="2"/>
  <c r="Q364" i="2"/>
  <c r="Q387" i="2"/>
  <c r="Q409" i="2"/>
  <c r="Q428" i="2"/>
  <c r="Q451" i="2"/>
  <c r="Q473" i="2"/>
  <c r="Q492" i="2"/>
  <c r="Q515" i="2"/>
  <c r="Q537" i="2"/>
  <c r="Q555" i="2"/>
  <c r="Q571" i="2"/>
  <c r="Q587" i="2"/>
  <c r="Q603" i="2"/>
  <c r="Q619" i="2"/>
  <c r="Q635" i="2"/>
  <c r="Q651" i="2"/>
  <c r="Q667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28" i="2"/>
  <c r="Q60" i="2"/>
  <c r="Q92" i="2"/>
  <c r="Q124" i="2"/>
  <c r="Q156" i="2"/>
  <c r="Q188" i="2"/>
  <c r="Q219" i="2"/>
  <c r="Q241" i="2"/>
  <c r="Q260" i="2"/>
  <c r="Q283" i="2"/>
  <c r="Q305" i="2"/>
  <c r="Q324" i="2"/>
  <c r="Q347" i="2"/>
  <c r="Q369" i="2"/>
  <c r="Q388" i="2"/>
  <c r="Q411" i="2"/>
  <c r="Q433" i="2"/>
  <c r="Q452" i="2"/>
  <c r="Q475" i="2"/>
  <c r="Q497" i="2"/>
  <c r="Q516" i="2"/>
  <c r="Q539" i="2"/>
  <c r="Q556" i="2"/>
  <c r="Q572" i="2"/>
  <c r="Q588" i="2"/>
  <c r="Q604" i="2"/>
  <c r="Q620" i="2"/>
  <c r="Q636" i="2"/>
  <c r="Q652" i="2"/>
  <c r="Q668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36" i="2"/>
  <c r="Q68" i="2"/>
  <c r="Q100" i="2"/>
  <c r="Q132" i="2"/>
  <c r="Q164" i="2"/>
  <c r="Q196" i="2"/>
  <c r="Q225" i="2"/>
  <c r="Q244" i="2"/>
  <c r="Q267" i="2"/>
  <c r="Q289" i="2"/>
  <c r="Q308" i="2"/>
  <c r="Q331" i="2"/>
  <c r="Q353" i="2"/>
  <c r="Q372" i="2"/>
  <c r="Q395" i="2"/>
  <c r="Q417" i="2"/>
  <c r="Q436" i="2"/>
  <c r="Q459" i="2"/>
  <c r="Q481" i="2"/>
  <c r="Q500" i="2"/>
  <c r="Q523" i="2"/>
  <c r="Q545" i="2"/>
  <c r="Q562" i="2"/>
  <c r="Q578" i="2"/>
  <c r="Q594" i="2"/>
  <c r="Q610" i="2"/>
  <c r="Q626" i="2"/>
  <c r="Q642" i="2"/>
  <c r="Q658" i="2"/>
  <c r="Q674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9" i="2"/>
  <c r="Q52" i="2"/>
  <c r="Q108" i="2"/>
  <c r="Q161" i="2"/>
  <c r="Q209" i="2"/>
  <c r="Q249" i="2"/>
  <c r="Q276" i="2"/>
  <c r="Q315" i="2"/>
  <c r="Q348" i="2"/>
  <c r="Q380" i="2"/>
  <c r="Q419" i="2"/>
  <c r="Q449" i="2"/>
  <c r="Q484" i="2"/>
  <c r="Q521" i="2"/>
  <c r="Q553" i="2"/>
  <c r="Q579" i="2"/>
  <c r="Q602" i="2"/>
  <c r="Q628" i="2"/>
  <c r="Q657" i="2"/>
  <c r="Q681" i="2"/>
  <c r="Q695" i="2"/>
  <c r="Q706" i="2"/>
  <c r="Q720" i="2"/>
  <c r="Q733" i="2"/>
  <c r="Q745" i="2"/>
  <c r="Q759" i="2"/>
  <c r="Q770" i="2"/>
  <c r="Q784" i="2"/>
  <c r="Q797" i="2"/>
  <c r="Q809" i="2"/>
  <c r="Q823" i="2"/>
  <c r="Q834" i="2"/>
  <c r="Q847" i="2"/>
  <c r="Q857" i="2"/>
  <c r="Q869" i="2"/>
  <c r="Q879" i="2"/>
  <c r="Q889" i="2"/>
  <c r="Q901" i="2"/>
  <c r="Q911" i="2"/>
  <c r="Q921" i="2"/>
  <c r="Q933" i="2"/>
  <c r="Q943" i="2"/>
  <c r="Q953" i="2"/>
  <c r="Q965" i="2"/>
  <c r="Q975" i="2"/>
  <c r="Q985" i="2"/>
  <c r="Q997" i="2"/>
  <c r="Q1007" i="2"/>
  <c r="Q1017" i="2"/>
  <c r="Q1029" i="2"/>
  <c r="Q1039" i="2"/>
  <c r="Q1049" i="2"/>
  <c r="Q1061" i="2"/>
  <c r="Q1071" i="2"/>
  <c r="Q1081" i="2"/>
  <c r="Q1093" i="2"/>
  <c r="Q1103" i="2"/>
  <c r="Q1113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129" i="2"/>
  <c r="Q177" i="2"/>
  <c r="Q227" i="2"/>
  <c r="Q329" i="2"/>
  <c r="Q427" i="2"/>
  <c r="Q531" i="2"/>
  <c r="Q612" i="2"/>
  <c r="Q687" i="2"/>
  <c r="Q12" i="2"/>
  <c r="Q65" i="2"/>
  <c r="Q113" i="2"/>
  <c r="Q169" i="2"/>
  <c r="Q212" i="2"/>
  <c r="Q251" i="2"/>
  <c r="Q284" i="2"/>
  <c r="Q316" i="2"/>
  <c r="Q355" i="2"/>
  <c r="Q385" i="2"/>
  <c r="Q420" i="2"/>
  <c r="Q457" i="2"/>
  <c r="Q489" i="2"/>
  <c r="Q524" i="2"/>
  <c r="Q554" i="2"/>
  <c r="Q580" i="2"/>
  <c r="Q609" i="2"/>
  <c r="Q633" i="2"/>
  <c r="Q659" i="2"/>
  <c r="Q682" i="2"/>
  <c r="Q696" i="2"/>
  <c r="Q709" i="2"/>
  <c r="Q721" i="2"/>
  <c r="Q735" i="2"/>
  <c r="Q746" i="2"/>
  <c r="Q760" i="2"/>
  <c r="Q773" i="2"/>
  <c r="Q785" i="2"/>
  <c r="Q799" i="2"/>
  <c r="Q810" i="2"/>
  <c r="Q824" i="2"/>
  <c r="Q837" i="2"/>
  <c r="Q848" i="2"/>
  <c r="Q858" i="2"/>
  <c r="Q870" i="2"/>
  <c r="Q880" i="2"/>
  <c r="Q890" i="2"/>
  <c r="Q902" i="2"/>
  <c r="Q912" i="2"/>
  <c r="Q922" i="2"/>
  <c r="Q934" i="2"/>
  <c r="Q944" i="2"/>
  <c r="Q954" i="2"/>
  <c r="Q966" i="2"/>
  <c r="Q976" i="2"/>
  <c r="Q986" i="2"/>
  <c r="Q998" i="2"/>
  <c r="Q1008" i="2"/>
  <c r="Q1018" i="2"/>
  <c r="Q1030" i="2"/>
  <c r="Q1040" i="2"/>
  <c r="Q1050" i="2"/>
  <c r="Q1062" i="2"/>
  <c r="Q1072" i="2"/>
  <c r="Q1082" i="2"/>
  <c r="Q1094" i="2"/>
  <c r="Q1104" i="2"/>
  <c r="Q1114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76" i="2"/>
  <c r="Q257" i="2"/>
  <c r="Q396" i="2"/>
  <c r="Q499" i="2"/>
  <c r="Q586" i="2"/>
  <c r="Q665" i="2"/>
  <c r="Q17" i="2"/>
  <c r="Q73" i="2"/>
  <c r="Q116" i="2"/>
  <c r="Q172" i="2"/>
  <c r="Q220" i="2"/>
  <c r="Q252" i="2"/>
  <c r="Q291" i="2"/>
  <c r="Q321" i="2"/>
  <c r="Q356" i="2"/>
  <c r="Q393" i="2"/>
  <c r="Q425" i="2"/>
  <c r="Q460" i="2"/>
  <c r="Q491" i="2"/>
  <c r="Q529" i="2"/>
  <c r="Q561" i="2"/>
  <c r="Q585" i="2"/>
  <c r="Q611" i="2"/>
  <c r="Q634" i="2"/>
  <c r="Q660" i="2"/>
  <c r="Q685" i="2"/>
  <c r="Q697" i="2"/>
  <c r="Q711" i="2"/>
  <c r="Q722" i="2"/>
  <c r="Q736" i="2"/>
  <c r="Q749" i="2"/>
  <c r="Q761" i="2"/>
  <c r="Q775" i="2"/>
  <c r="Q786" i="2"/>
  <c r="Q800" i="2"/>
  <c r="Q813" i="2"/>
  <c r="Q825" i="2"/>
  <c r="Q839" i="2"/>
  <c r="Q849" i="2"/>
  <c r="Q861" i="2"/>
  <c r="Q871" i="2"/>
  <c r="Q881" i="2"/>
  <c r="Q893" i="2"/>
  <c r="Q903" i="2"/>
  <c r="Q913" i="2"/>
  <c r="Q925" i="2"/>
  <c r="Q935" i="2"/>
  <c r="Q945" i="2"/>
  <c r="Q957" i="2"/>
  <c r="Q967" i="2"/>
  <c r="Q977" i="2"/>
  <c r="Q989" i="2"/>
  <c r="Q999" i="2"/>
  <c r="Q1009" i="2"/>
  <c r="Q1021" i="2"/>
  <c r="Q1031" i="2"/>
  <c r="Q1041" i="2"/>
  <c r="Q1053" i="2"/>
  <c r="Q1063" i="2"/>
  <c r="Q1073" i="2"/>
  <c r="Q1085" i="2"/>
  <c r="Q1095" i="2"/>
  <c r="Q1105" i="2"/>
  <c r="Q1117" i="2"/>
  <c r="Q1125" i="2"/>
  <c r="Q1133" i="2"/>
  <c r="Q1141" i="2"/>
  <c r="Q1149" i="2"/>
  <c r="Q1157" i="2"/>
  <c r="Q1165" i="2"/>
  <c r="Q1173" i="2"/>
  <c r="Q1181" i="2"/>
  <c r="Q1189" i="2"/>
  <c r="Q1197" i="2"/>
  <c r="Q1205" i="2"/>
  <c r="Q1213" i="2"/>
  <c r="Q1221" i="2"/>
  <c r="Q1229" i="2"/>
  <c r="Q1237" i="2"/>
  <c r="Q1245" i="2"/>
  <c r="Q1253" i="2"/>
  <c r="Q20" i="2"/>
  <c r="Q292" i="2"/>
  <c r="Q361" i="2"/>
  <c r="Q465" i="2"/>
  <c r="Q563" i="2"/>
  <c r="Q641" i="2"/>
  <c r="Q698" i="2"/>
  <c r="Q33" i="2"/>
  <c r="Q81" i="2"/>
  <c r="Q137" i="2"/>
  <c r="Q180" i="2"/>
  <c r="Q228" i="2"/>
  <c r="Q265" i="2"/>
  <c r="Q297" i="2"/>
  <c r="Q332" i="2"/>
  <c r="Q363" i="2"/>
  <c r="Q401" i="2"/>
  <c r="Q435" i="2"/>
  <c r="Q467" i="2"/>
  <c r="Q505" i="2"/>
  <c r="Q532" i="2"/>
  <c r="Q564" i="2"/>
  <c r="Q593" i="2"/>
  <c r="Q617" i="2"/>
  <c r="Q643" i="2"/>
  <c r="Q666" i="2"/>
  <c r="Q688" i="2"/>
  <c r="Q701" i="2"/>
  <c r="Q713" i="2"/>
  <c r="Q727" i="2"/>
  <c r="Q738" i="2"/>
  <c r="Q752" i="2"/>
  <c r="Q765" i="2"/>
  <c r="Q777" i="2"/>
  <c r="Q791" i="2"/>
  <c r="Q802" i="2"/>
  <c r="Q816" i="2"/>
  <c r="Q829" i="2"/>
  <c r="Q841" i="2"/>
  <c r="Q853" i="2"/>
  <c r="Q863" i="2"/>
  <c r="Q873" i="2"/>
  <c r="Q41" i="2"/>
  <c r="Q84" i="2"/>
  <c r="Q140" i="2"/>
  <c r="Q193" i="2"/>
  <c r="Q233" i="2"/>
  <c r="Q268" i="2"/>
  <c r="Q299" i="2"/>
  <c r="Q337" i="2"/>
  <c r="Q371" i="2"/>
  <c r="Q403" i="2"/>
  <c r="Q441" i="2"/>
  <c r="Q468" i="2"/>
  <c r="Q507" i="2"/>
  <c r="Q540" i="2"/>
  <c r="Q569" i="2"/>
  <c r="Q595" i="2"/>
  <c r="Q618" i="2"/>
  <c r="Q644" i="2"/>
  <c r="Q673" i="2"/>
  <c r="Q689" i="2"/>
  <c r="Q703" i="2"/>
  <c r="Q714" i="2"/>
  <c r="Q728" i="2"/>
  <c r="Q741" i="2"/>
  <c r="Q753" i="2"/>
  <c r="Q767" i="2"/>
  <c r="Q778" i="2"/>
  <c r="Q792" i="2"/>
  <c r="Q805" i="2"/>
  <c r="Q817" i="2"/>
  <c r="Q831" i="2"/>
  <c r="Q842" i="2"/>
  <c r="Q854" i="2"/>
  <c r="Q864" i="2"/>
  <c r="Q874" i="2"/>
  <c r="Q886" i="2"/>
  <c r="Q896" i="2"/>
  <c r="Q906" i="2"/>
  <c r="Q918" i="2"/>
  <c r="Q928" i="2"/>
  <c r="Q938" i="2"/>
  <c r="Q950" i="2"/>
  <c r="Q960" i="2"/>
  <c r="Q970" i="2"/>
  <c r="Q982" i="2"/>
  <c r="Q992" i="2"/>
  <c r="Q1002" i="2"/>
  <c r="Q1014" i="2"/>
  <c r="Q1024" i="2"/>
  <c r="Q1034" i="2"/>
  <c r="Q1046" i="2"/>
  <c r="Q1056" i="2"/>
  <c r="Q1066" i="2"/>
  <c r="Q1078" i="2"/>
  <c r="Q1088" i="2"/>
  <c r="Q1098" i="2"/>
  <c r="Q1110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44" i="2"/>
  <c r="Q97" i="2"/>
  <c r="Q145" i="2"/>
  <c r="Q201" i="2"/>
  <c r="Q235" i="2"/>
  <c r="Q273" i="2"/>
  <c r="Q307" i="2"/>
  <c r="Q339" i="2"/>
  <c r="Q377" i="2"/>
  <c r="Q404" i="2"/>
  <c r="Q443" i="2"/>
  <c r="Q476" i="2"/>
  <c r="Q508" i="2"/>
  <c r="Q547" i="2"/>
  <c r="Q570" i="2"/>
  <c r="Q596" i="2"/>
  <c r="Q625" i="2"/>
  <c r="Q649" i="2"/>
  <c r="Q675" i="2"/>
  <c r="Q690" i="2"/>
  <c r="Q704" i="2"/>
  <c r="Q717" i="2"/>
  <c r="Q729" i="2"/>
  <c r="Q743" i="2"/>
  <c r="Q754" i="2"/>
  <c r="Q768" i="2"/>
  <c r="Q781" i="2"/>
  <c r="Q793" i="2"/>
  <c r="Q807" i="2"/>
  <c r="Q818" i="2"/>
  <c r="Q832" i="2"/>
  <c r="Q845" i="2"/>
  <c r="Q855" i="2"/>
  <c r="Q865" i="2"/>
  <c r="Q877" i="2"/>
  <c r="Q887" i="2"/>
  <c r="Q897" i="2"/>
  <c r="Q909" i="2"/>
  <c r="Q919" i="2"/>
  <c r="Q929" i="2"/>
  <c r="Q941" i="2"/>
  <c r="Q951" i="2"/>
  <c r="Q961" i="2"/>
  <c r="Q973" i="2"/>
  <c r="Q983" i="2"/>
  <c r="Q993" i="2"/>
  <c r="Q1005" i="2"/>
  <c r="Q1015" i="2"/>
  <c r="Q1025" i="2"/>
  <c r="Q1037" i="2"/>
  <c r="Q1047" i="2"/>
  <c r="Q1057" i="2"/>
  <c r="Q1069" i="2"/>
  <c r="Q1079" i="2"/>
  <c r="Q1089" i="2"/>
  <c r="Q1101" i="2"/>
  <c r="Q1111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49" i="2"/>
  <c r="Q105" i="2"/>
  <c r="Q148" i="2"/>
  <c r="Q204" i="2"/>
  <c r="Q243" i="2"/>
  <c r="Q275" i="2"/>
  <c r="Q313" i="2"/>
  <c r="Q340" i="2"/>
  <c r="Q379" i="2"/>
  <c r="Q412" i="2"/>
  <c r="Q444" i="2"/>
  <c r="Q676" i="2"/>
  <c r="Q744" i="2"/>
  <c r="Q794" i="2"/>
  <c r="Q846" i="2"/>
  <c r="Q885" i="2"/>
  <c r="Q914" i="2"/>
  <c r="Q969" i="2"/>
  <c r="Q1000" i="2"/>
  <c r="Q1026" i="2"/>
  <c r="Q1055" i="2"/>
  <c r="Q1086" i="2"/>
  <c r="Q1112" i="2"/>
  <c r="Q1135" i="2"/>
  <c r="Q1158" i="2"/>
  <c r="Q1178" i="2"/>
  <c r="Q1199" i="2"/>
  <c r="Q1222" i="2"/>
  <c r="Q1242" i="2"/>
  <c r="Q1070" i="2"/>
  <c r="Q1234" i="2"/>
  <c r="Q905" i="2"/>
  <c r="Q483" i="2"/>
  <c r="Q693" i="2"/>
  <c r="Q751" i="2"/>
  <c r="Q801" i="2"/>
  <c r="Q850" i="2"/>
  <c r="Q888" i="2"/>
  <c r="Q917" i="2"/>
  <c r="Q946" i="2"/>
  <c r="Q974" i="2"/>
  <c r="Q1001" i="2"/>
  <c r="Q1032" i="2"/>
  <c r="Q1058" i="2"/>
  <c r="Q1087" i="2"/>
  <c r="Q1118" i="2"/>
  <c r="Q1138" i="2"/>
  <c r="Q1159" i="2"/>
  <c r="Q1182" i="2"/>
  <c r="Q1202" i="2"/>
  <c r="Q1223" i="2"/>
  <c r="Q1246" i="2"/>
  <c r="Q1097" i="2"/>
  <c r="Q1214" i="2"/>
  <c r="Q513" i="2"/>
  <c r="Q705" i="2"/>
  <c r="Q757" i="2"/>
  <c r="Q808" i="2"/>
  <c r="Q856" i="2"/>
  <c r="Q894" i="2"/>
  <c r="Q920" i="2"/>
  <c r="Q949" i="2"/>
  <c r="Q978" i="2"/>
  <c r="Q1006" i="2"/>
  <c r="Q1033" i="2"/>
  <c r="Q1064" i="2"/>
  <c r="Q1090" i="2"/>
  <c r="Q1119" i="2"/>
  <c r="Q1142" i="2"/>
  <c r="Q1162" i="2"/>
  <c r="Q1183" i="2"/>
  <c r="Q1206" i="2"/>
  <c r="Q1226" i="2"/>
  <c r="Q1247" i="2"/>
  <c r="Q548" i="2"/>
  <c r="Q712" i="2"/>
  <c r="Q762" i="2"/>
  <c r="Q815" i="2"/>
  <c r="Q862" i="2"/>
  <c r="Q895" i="2"/>
  <c r="Q926" i="2"/>
  <c r="Q952" i="2"/>
  <c r="Q981" i="2"/>
  <c r="Q1010" i="2"/>
  <c r="Q1038" i="2"/>
  <c r="Q1065" i="2"/>
  <c r="Q1096" i="2"/>
  <c r="Q1122" i="2"/>
  <c r="Q1143" i="2"/>
  <c r="Q1166" i="2"/>
  <c r="Q1186" i="2"/>
  <c r="Q1207" i="2"/>
  <c r="Q1230" i="2"/>
  <c r="Q1250" i="2"/>
  <c r="Q984" i="2"/>
  <c r="Q730" i="2"/>
  <c r="Q1215" i="2"/>
  <c r="Q930" i="2"/>
  <c r="Q833" i="2"/>
  <c r="Q1130" i="2"/>
  <c r="Q577" i="2"/>
  <c r="Q719" i="2"/>
  <c r="Q769" i="2"/>
  <c r="Q821" i="2"/>
  <c r="Q866" i="2"/>
  <c r="Q898" i="2"/>
  <c r="Q927" i="2"/>
  <c r="Q958" i="2"/>
  <c r="Q1013" i="2"/>
  <c r="Q1042" i="2"/>
  <c r="Q1126" i="2"/>
  <c r="Q1167" i="2"/>
  <c r="Q1190" i="2"/>
  <c r="Q1210" i="2"/>
  <c r="Q1231" i="2"/>
  <c r="Q1254" i="2"/>
  <c r="Q872" i="2"/>
  <c r="Q783" i="2"/>
  <c r="Q1151" i="2"/>
  <c r="Q1258" i="2"/>
  <c r="V51" i="1" s="1"/>
  <c r="AC7" i="2" s="1"/>
  <c r="Q601" i="2"/>
  <c r="Q725" i="2"/>
  <c r="Q776" i="2"/>
  <c r="Q826" i="2"/>
  <c r="Q904" i="2"/>
  <c r="Q959" i="2"/>
  <c r="Q990" i="2"/>
  <c r="Q1016" i="2"/>
  <c r="Q1045" i="2"/>
  <c r="Q1074" i="2"/>
  <c r="Q1102" i="2"/>
  <c r="Q1127" i="2"/>
  <c r="Q1150" i="2"/>
  <c r="Q1170" i="2"/>
  <c r="Q1191" i="2"/>
  <c r="Q1255" i="2"/>
  <c r="Q627" i="2"/>
  <c r="Q936" i="2"/>
  <c r="Q962" i="2"/>
  <c r="Q991" i="2"/>
  <c r="Q1022" i="2"/>
  <c r="Q1048" i="2"/>
  <c r="Q1077" i="2"/>
  <c r="Q1106" i="2"/>
  <c r="Q1174" i="2"/>
  <c r="Q1194" i="2"/>
  <c r="Q1238" i="2"/>
  <c r="Q650" i="2"/>
  <c r="Q737" i="2"/>
  <c r="Q789" i="2"/>
  <c r="Q840" i="2"/>
  <c r="Q882" i="2"/>
  <c r="Q910" i="2"/>
  <c r="Q937" i="2"/>
  <c r="Q968" i="2"/>
  <c r="Q994" i="2"/>
  <c r="Q1023" i="2"/>
  <c r="Q1054" i="2"/>
  <c r="Q1080" i="2"/>
  <c r="Q1109" i="2"/>
  <c r="Q1134" i="2"/>
  <c r="Q1154" i="2"/>
  <c r="Q1175" i="2"/>
  <c r="Q1198" i="2"/>
  <c r="Q1218" i="2"/>
  <c r="Q1239" i="2"/>
  <c r="Q942" i="2"/>
  <c r="Q1146" i="2"/>
  <c r="Q878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6" i="2"/>
  <c r="P16" i="2"/>
  <c r="P26" i="2"/>
  <c r="P38" i="2"/>
  <c r="P48" i="2"/>
  <c r="P58" i="2"/>
  <c r="P70" i="2"/>
  <c r="P80" i="2"/>
  <c r="P90" i="2"/>
  <c r="P102" i="2"/>
  <c r="P112" i="2"/>
  <c r="P122" i="2"/>
  <c r="P134" i="2"/>
  <c r="P144" i="2"/>
  <c r="P154" i="2"/>
  <c r="P166" i="2"/>
  <c r="P176" i="2"/>
  <c r="P186" i="2"/>
  <c r="P198" i="2"/>
  <c r="P208" i="2"/>
  <c r="P218" i="2"/>
  <c r="P230" i="2"/>
  <c r="P240" i="2"/>
  <c r="P250" i="2"/>
  <c r="P262" i="2"/>
  <c r="P272" i="2"/>
  <c r="P282" i="2"/>
  <c r="P294" i="2"/>
  <c r="P304" i="2"/>
  <c r="P314" i="2"/>
  <c r="P326" i="2"/>
  <c r="P336" i="2"/>
  <c r="P346" i="2"/>
  <c r="P358" i="2"/>
  <c r="P368" i="2"/>
  <c r="P378" i="2"/>
  <c r="P390" i="2"/>
  <c r="P399" i="2"/>
  <c r="P408" i="2"/>
  <c r="P417" i="2"/>
  <c r="P426" i="2"/>
  <c r="P435" i="2"/>
  <c r="P444" i="2"/>
  <c r="P454" i="2"/>
  <c r="P463" i="2"/>
  <c r="P472" i="2"/>
  <c r="P481" i="2"/>
  <c r="P490" i="2"/>
  <c r="P499" i="2"/>
  <c r="P508" i="2"/>
  <c r="P518" i="2"/>
  <c r="P527" i="2"/>
  <c r="P536" i="2"/>
  <c r="P545" i="2"/>
  <c r="P554" i="2"/>
  <c r="P563" i="2"/>
  <c r="P572" i="2"/>
  <c r="P582" i="2"/>
  <c r="P591" i="2"/>
  <c r="P600" i="2"/>
  <c r="P609" i="2"/>
  <c r="P618" i="2"/>
  <c r="P627" i="2"/>
  <c r="P636" i="2"/>
  <c r="P646" i="2"/>
  <c r="P655" i="2"/>
  <c r="P664" i="2"/>
  <c r="P673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1114" i="2"/>
  <c r="P1122" i="2"/>
  <c r="P1130" i="2"/>
  <c r="P1138" i="2"/>
  <c r="P15" i="2"/>
  <c r="P25" i="2"/>
  <c r="P35" i="2"/>
  <c r="P47" i="2"/>
  <c r="P57" i="2"/>
  <c r="P67" i="2"/>
  <c r="P79" i="2"/>
  <c r="P89" i="2"/>
  <c r="P99" i="2"/>
  <c r="P111" i="2"/>
  <c r="P121" i="2"/>
  <c r="P131" i="2"/>
  <c r="P143" i="2"/>
  <c r="P153" i="2"/>
  <c r="P163" i="2"/>
  <c r="P175" i="2"/>
  <c r="P185" i="2"/>
  <c r="P195" i="2"/>
  <c r="P207" i="2"/>
  <c r="P217" i="2"/>
  <c r="P227" i="2"/>
  <c r="P239" i="2"/>
  <c r="P249" i="2"/>
  <c r="P259" i="2"/>
  <c r="P271" i="2"/>
  <c r="P281" i="2"/>
  <c r="P291" i="2"/>
  <c r="P303" i="2"/>
  <c r="P313" i="2"/>
  <c r="P323" i="2"/>
  <c r="P335" i="2"/>
  <c r="P345" i="2"/>
  <c r="P355" i="2"/>
  <c r="P367" i="2"/>
  <c r="P377" i="2"/>
  <c r="P387" i="2"/>
  <c r="P398" i="2"/>
  <c r="P407" i="2"/>
  <c r="P416" i="2"/>
  <c r="P425" i="2"/>
  <c r="P434" i="2"/>
  <c r="P443" i="2"/>
  <c r="P452" i="2"/>
  <c r="P462" i="2"/>
  <c r="P471" i="2"/>
  <c r="P480" i="2"/>
  <c r="P489" i="2"/>
  <c r="P498" i="2"/>
  <c r="P507" i="2"/>
  <c r="P516" i="2"/>
  <c r="P526" i="2"/>
  <c r="P535" i="2"/>
  <c r="P544" i="2"/>
  <c r="P553" i="2"/>
  <c r="P562" i="2"/>
  <c r="P571" i="2"/>
  <c r="P580" i="2"/>
  <c r="P590" i="2"/>
  <c r="P599" i="2"/>
  <c r="P608" i="2"/>
  <c r="P617" i="2"/>
  <c r="P626" i="2"/>
  <c r="P635" i="2"/>
  <c r="P644" i="2"/>
  <c r="P654" i="2"/>
  <c r="P663" i="2"/>
  <c r="P672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7" i="2"/>
  <c r="P19" i="2"/>
  <c r="P33" i="2"/>
  <c r="P49" i="2"/>
  <c r="P63" i="2"/>
  <c r="P75" i="2"/>
  <c r="P91" i="2"/>
  <c r="P105" i="2"/>
  <c r="P119" i="2"/>
  <c r="P135" i="2"/>
  <c r="P147" i="2"/>
  <c r="P161" i="2"/>
  <c r="P177" i="2"/>
  <c r="P191" i="2"/>
  <c r="P203" i="2"/>
  <c r="P219" i="2"/>
  <c r="P233" i="2"/>
  <c r="P247" i="2"/>
  <c r="P263" i="2"/>
  <c r="P275" i="2"/>
  <c r="P289" i="2"/>
  <c r="P305" i="2"/>
  <c r="P319" i="2"/>
  <c r="P331" i="2"/>
  <c r="P347" i="2"/>
  <c r="P361" i="2"/>
  <c r="P375" i="2"/>
  <c r="P391" i="2"/>
  <c r="P402" i="2"/>
  <c r="P414" i="2"/>
  <c r="P427" i="2"/>
  <c r="P439" i="2"/>
  <c r="P450" i="2"/>
  <c r="P464" i="2"/>
  <c r="P475" i="2"/>
  <c r="P487" i="2"/>
  <c r="P500" i="2"/>
  <c r="P512" i="2"/>
  <c r="P523" i="2"/>
  <c r="P537" i="2"/>
  <c r="P548" i="2"/>
  <c r="P560" i="2"/>
  <c r="P574" i="2"/>
  <c r="P585" i="2"/>
  <c r="P596" i="2"/>
  <c r="P610" i="2"/>
  <c r="P622" i="2"/>
  <c r="P633" i="2"/>
  <c r="P647" i="2"/>
  <c r="P658" i="2"/>
  <c r="P670" i="2"/>
  <c r="P683" i="2"/>
  <c r="P693" i="2"/>
  <c r="P703" i="2"/>
  <c r="P715" i="2"/>
  <c r="P725" i="2"/>
  <c r="P735" i="2"/>
  <c r="P747" i="2"/>
  <c r="P757" i="2"/>
  <c r="P767" i="2"/>
  <c r="P779" i="2"/>
  <c r="P789" i="2"/>
  <c r="P799" i="2"/>
  <c r="P811" i="2"/>
  <c r="P821" i="2"/>
  <c r="P830" i="2"/>
  <c r="P839" i="2"/>
  <c r="P848" i="2"/>
  <c r="P857" i="2"/>
  <c r="P867" i="2"/>
  <c r="P876" i="2"/>
  <c r="P885" i="2"/>
  <c r="P894" i="2"/>
  <c r="P903" i="2"/>
  <c r="P912" i="2"/>
  <c r="P921" i="2"/>
  <c r="P931" i="2"/>
  <c r="P940" i="2"/>
  <c r="P949" i="2"/>
  <c r="P958" i="2"/>
  <c r="P967" i="2"/>
  <c r="P976" i="2"/>
  <c r="P985" i="2"/>
  <c r="P995" i="2"/>
  <c r="P1004" i="2"/>
  <c r="P1013" i="2"/>
  <c r="P1022" i="2"/>
  <c r="P1031" i="2"/>
  <c r="P1040" i="2"/>
  <c r="P1049" i="2"/>
  <c r="P1059" i="2"/>
  <c r="P1068" i="2"/>
  <c r="P1077" i="2"/>
  <c r="P1086" i="2"/>
  <c r="P1095" i="2"/>
  <c r="P1104" i="2"/>
  <c r="P1113" i="2"/>
  <c r="P1123" i="2"/>
  <c r="P1132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8" i="2"/>
  <c r="P22" i="2"/>
  <c r="P34" i="2"/>
  <c r="P50" i="2"/>
  <c r="P64" i="2"/>
  <c r="P78" i="2"/>
  <c r="P94" i="2"/>
  <c r="P106" i="2"/>
  <c r="P120" i="2"/>
  <c r="P136" i="2"/>
  <c r="P150" i="2"/>
  <c r="P162" i="2"/>
  <c r="P178" i="2"/>
  <c r="P192" i="2"/>
  <c r="P206" i="2"/>
  <c r="P222" i="2"/>
  <c r="P234" i="2"/>
  <c r="P248" i="2"/>
  <c r="P264" i="2"/>
  <c r="P278" i="2"/>
  <c r="P290" i="2"/>
  <c r="P306" i="2"/>
  <c r="P320" i="2"/>
  <c r="P334" i="2"/>
  <c r="P350" i="2"/>
  <c r="P362" i="2"/>
  <c r="P376" i="2"/>
  <c r="P392" i="2"/>
  <c r="P403" i="2"/>
  <c r="P415" i="2"/>
  <c r="P428" i="2"/>
  <c r="P440" i="2"/>
  <c r="P451" i="2"/>
  <c r="P465" i="2"/>
  <c r="P476" i="2"/>
  <c r="P488" i="2"/>
  <c r="P502" i="2"/>
  <c r="P513" i="2"/>
  <c r="P524" i="2"/>
  <c r="P538" i="2"/>
  <c r="P550" i="2"/>
  <c r="P561" i="2"/>
  <c r="P575" i="2"/>
  <c r="P586" i="2"/>
  <c r="P598" i="2"/>
  <c r="P611" i="2"/>
  <c r="P623" i="2"/>
  <c r="P634" i="2"/>
  <c r="P648" i="2"/>
  <c r="P659" i="2"/>
  <c r="P671" i="2"/>
  <c r="P684" i="2"/>
  <c r="P694" i="2"/>
  <c r="P704" i="2"/>
  <c r="P716" i="2"/>
  <c r="P726" i="2"/>
  <c r="P736" i="2"/>
  <c r="P748" i="2"/>
  <c r="P758" i="2"/>
  <c r="P768" i="2"/>
  <c r="P780" i="2"/>
  <c r="P790" i="2"/>
  <c r="P800" i="2"/>
  <c r="P812" i="2"/>
  <c r="P822" i="2"/>
  <c r="P831" i="2"/>
  <c r="P840" i="2"/>
  <c r="P849" i="2"/>
  <c r="P859" i="2"/>
  <c r="P868" i="2"/>
  <c r="P877" i="2"/>
  <c r="P886" i="2"/>
  <c r="P895" i="2"/>
  <c r="P904" i="2"/>
  <c r="P913" i="2"/>
  <c r="P923" i="2"/>
  <c r="P932" i="2"/>
  <c r="P941" i="2"/>
  <c r="P950" i="2"/>
  <c r="P9" i="2"/>
  <c r="P23" i="2"/>
  <c r="P39" i="2"/>
  <c r="P51" i="2"/>
  <c r="P65" i="2"/>
  <c r="P81" i="2"/>
  <c r="P95" i="2"/>
  <c r="P107" i="2"/>
  <c r="P123" i="2"/>
  <c r="P137" i="2"/>
  <c r="P151" i="2"/>
  <c r="P167" i="2"/>
  <c r="P179" i="2"/>
  <c r="P193" i="2"/>
  <c r="P209" i="2"/>
  <c r="P223" i="2"/>
  <c r="P235" i="2"/>
  <c r="P251" i="2"/>
  <c r="P265" i="2"/>
  <c r="P279" i="2"/>
  <c r="P295" i="2"/>
  <c r="P307" i="2"/>
  <c r="P321" i="2"/>
  <c r="P337" i="2"/>
  <c r="P351" i="2"/>
  <c r="P363" i="2"/>
  <c r="P379" i="2"/>
  <c r="P393" i="2"/>
  <c r="P404" i="2"/>
  <c r="P418" i="2"/>
  <c r="P430" i="2"/>
  <c r="P441" i="2"/>
  <c r="P455" i="2"/>
  <c r="P466" i="2"/>
  <c r="P478" i="2"/>
  <c r="P491" i="2"/>
  <c r="P503" i="2"/>
  <c r="P514" i="2"/>
  <c r="P528" i="2"/>
  <c r="P539" i="2"/>
  <c r="P551" i="2"/>
  <c r="P564" i="2"/>
  <c r="P576" i="2"/>
  <c r="P587" i="2"/>
  <c r="P601" i="2"/>
  <c r="P612" i="2"/>
  <c r="P624" i="2"/>
  <c r="P638" i="2"/>
  <c r="P649" i="2"/>
  <c r="P660" i="2"/>
  <c r="P674" i="2"/>
  <c r="P685" i="2"/>
  <c r="P695" i="2"/>
  <c r="P707" i="2"/>
  <c r="P717" i="2"/>
  <c r="P727" i="2"/>
  <c r="P739" i="2"/>
  <c r="P749" i="2"/>
  <c r="P759" i="2"/>
  <c r="P771" i="2"/>
  <c r="P781" i="2"/>
  <c r="P791" i="2"/>
  <c r="P803" i="2"/>
  <c r="P813" i="2"/>
  <c r="P823" i="2"/>
  <c r="P832" i="2"/>
  <c r="P841" i="2"/>
  <c r="P851" i="2"/>
  <c r="P860" i="2"/>
  <c r="P869" i="2"/>
  <c r="P878" i="2"/>
  <c r="P887" i="2"/>
  <c r="P896" i="2"/>
  <c r="P905" i="2"/>
  <c r="P915" i="2"/>
  <c r="P924" i="2"/>
  <c r="P933" i="2"/>
  <c r="P942" i="2"/>
  <c r="P951" i="2"/>
  <c r="P960" i="2"/>
  <c r="P969" i="2"/>
  <c r="P979" i="2"/>
  <c r="P988" i="2"/>
  <c r="P997" i="2"/>
  <c r="P1006" i="2"/>
  <c r="P14" i="2"/>
  <c r="P30" i="2"/>
  <c r="P42" i="2"/>
  <c r="P56" i="2"/>
  <c r="P72" i="2"/>
  <c r="P86" i="2"/>
  <c r="P98" i="2"/>
  <c r="P114" i="2"/>
  <c r="P128" i="2"/>
  <c r="P142" i="2"/>
  <c r="P158" i="2"/>
  <c r="P170" i="2"/>
  <c r="P184" i="2"/>
  <c r="P200" i="2"/>
  <c r="P214" i="2"/>
  <c r="P226" i="2"/>
  <c r="P242" i="2"/>
  <c r="P256" i="2"/>
  <c r="P270" i="2"/>
  <c r="P286" i="2"/>
  <c r="P298" i="2"/>
  <c r="P312" i="2"/>
  <c r="P328" i="2"/>
  <c r="P342" i="2"/>
  <c r="P354" i="2"/>
  <c r="P370" i="2"/>
  <c r="P384" i="2"/>
  <c r="P396" i="2"/>
  <c r="P410" i="2"/>
  <c r="P422" i="2"/>
  <c r="P433" i="2"/>
  <c r="P447" i="2"/>
  <c r="P458" i="2"/>
  <c r="P470" i="2"/>
  <c r="P483" i="2"/>
  <c r="P495" i="2"/>
  <c r="P506" i="2"/>
  <c r="P520" i="2"/>
  <c r="P531" i="2"/>
  <c r="P543" i="2"/>
  <c r="P556" i="2"/>
  <c r="P568" i="2"/>
  <c r="P579" i="2"/>
  <c r="P593" i="2"/>
  <c r="P604" i="2"/>
  <c r="P616" i="2"/>
  <c r="P630" i="2"/>
  <c r="P641" i="2"/>
  <c r="P652" i="2"/>
  <c r="P666" i="2"/>
  <c r="P678" i="2"/>
  <c r="P688" i="2"/>
  <c r="P700" i="2"/>
  <c r="P710" i="2"/>
  <c r="P720" i="2"/>
  <c r="P732" i="2"/>
  <c r="P742" i="2"/>
  <c r="P752" i="2"/>
  <c r="P764" i="2"/>
  <c r="P774" i="2"/>
  <c r="P784" i="2"/>
  <c r="P796" i="2"/>
  <c r="P806" i="2"/>
  <c r="P816" i="2"/>
  <c r="P827" i="2"/>
  <c r="P836" i="2"/>
  <c r="P845" i="2"/>
  <c r="P854" i="2"/>
  <c r="P863" i="2"/>
  <c r="P872" i="2"/>
  <c r="P881" i="2"/>
  <c r="P891" i="2"/>
  <c r="P17" i="2"/>
  <c r="P31" i="2"/>
  <c r="P43" i="2"/>
  <c r="P59" i="2"/>
  <c r="P73" i="2"/>
  <c r="P87" i="2"/>
  <c r="P103" i="2"/>
  <c r="P115" i="2"/>
  <c r="P129" i="2"/>
  <c r="P145" i="2"/>
  <c r="P159" i="2"/>
  <c r="P171" i="2"/>
  <c r="P187" i="2"/>
  <c r="P201" i="2"/>
  <c r="P215" i="2"/>
  <c r="P231" i="2"/>
  <c r="P243" i="2"/>
  <c r="P257" i="2"/>
  <c r="P273" i="2"/>
  <c r="P287" i="2"/>
  <c r="P299" i="2"/>
  <c r="P315" i="2"/>
  <c r="P329" i="2"/>
  <c r="P343" i="2"/>
  <c r="P359" i="2"/>
  <c r="P371" i="2"/>
  <c r="P385" i="2"/>
  <c r="P400" i="2"/>
  <c r="P411" i="2"/>
  <c r="P423" i="2"/>
  <c r="P436" i="2"/>
  <c r="P448" i="2"/>
  <c r="P459" i="2"/>
  <c r="P473" i="2"/>
  <c r="P484" i="2"/>
  <c r="P496" i="2"/>
  <c r="P510" i="2"/>
  <c r="P521" i="2"/>
  <c r="P532" i="2"/>
  <c r="P546" i="2"/>
  <c r="P558" i="2"/>
  <c r="P569" i="2"/>
  <c r="P583" i="2"/>
  <c r="P594" i="2"/>
  <c r="P606" i="2"/>
  <c r="P619" i="2"/>
  <c r="P631" i="2"/>
  <c r="P642" i="2"/>
  <c r="P656" i="2"/>
  <c r="P667" i="2"/>
  <c r="P679" i="2"/>
  <c r="P691" i="2"/>
  <c r="P701" i="2"/>
  <c r="P711" i="2"/>
  <c r="P723" i="2"/>
  <c r="P733" i="2"/>
  <c r="P743" i="2"/>
  <c r="P755" i="2"/>
  <c r="P765" i="2"/>
  <c r="P775" i="2"/>
  <c r="P787" i="2"/>
  <c r="P18" i="2"/>
  <c r="P32" i="2"/>
  <c r="P46" i="2"/>
  <c r="P62" i="2"/>
  <c r="P74" i="2"/>
  <c r="P88" i="2"/>
  <c r="P104" i="2"/>
  <c r="P118" i="2"/>
  <c r="P130" i="2"/>
  <c r="P146" i="2"/>
  <c r="P160" i="2"/>
  <c r="P174" i="2"/>
  <c r="P190" i="2"/>
  <c r="P202" i="2"/>
  <c r="P216" i="2"/>
  <c r="P232" i="2"/>
  <c r="P246" i="2"/>
  <c r="P258" i="2"/>
  <c r="P274" i="2"/>
  <c r="P288" i="2"/>
  <c r="P302" i="2"/>
  <c r="P318" i="2"/>
  <c r="P330" i="2"/>
  <c r="P344" i="2"/>
  <c r="P360" i="2"/>
  <c r="P374" i="2"/>
  <c r="P386" i="2"/>
  <c r="P401" i="2"/>
  <c r="P412" i="2"/>
  <c r="P424" i="2"/>
  <c r="P438" i="2"/>
  <c r="P449" i="2"/>
  <c r="P460" i="2"/>
  <c r="P474" i="2"/>
  <c r="P486" i="2"/>
  <c r="P497" i="2"/>
  <c r="P511" i="2"/>
  <c r="P522" i="2"/>
  <c r="P534" i="2"/>
  <c r="P547" i="2"/>
  <c r="P559" i="2"/>
  <c r="P570" i="2"/>
  <c r="P584" i="2"/>
  <c r="P595" i="2"/>
  <c r="P607" i="2"/>
  <c r="P620" i="2"/>
  <c r="P632" i="2"/>
  <c r="P643" i="2"/>
  <c r="P657" i="2"/>
  <c r="P668" i="2"/>
  <c r="P680" i="2"/>
  <c r="P692" i="2"/>
  <c r="P702" i="2"/>
  <c r="P712" i="2"/>
  <c r="P724" i="2"/>
  <c r="P734" i="2"/>
  <c r="P744" i="2"/>
  <c r="P756" i="2"/>
  <c r="P766" i="2"/>
  <c r="P776" i="2"/>
  <c r="P788" i="2"/>
  <c r="P798" i="2"/>
  <c r="P808" i="2"/>
  <c r="P820" i="2"/>
  <c r="P829" i="2"/>
  <c r="P10" i="2"/>
  <c r="P66" i="2"/>
  <c r="P126" i="2"/>
  <c r="P182" i="2"/>
  <c r="P238" i="2"/>
  <c r="P296" i="2"/>
  <c r="P352" i="2"/>
  <c r="P406" i="2"/>
  <c r="P456" i="2"/>
  <c r="P504" i="2"/>
  <c r="P552" i="2"/>
  <c r="P602" i="2"/>
  <c r="P650" i="2"/>
  <c r="P696" i="2"/>
  <c r="P740" i="2"/>
  <c r="P782" i="2"/>
  <c r="P814" i="2"/>
  <c r="P837" i="2"/>
  <c r="P855" i="2"/>
  <c r="P873" i="2"/>
  <c r="P892" i="2"/>
  <c r="P908" i="2"/>
  <c r="P920" i="2"/>
  <c r="P936" i="2"/>
  <c r="P952" i="2"/>
  <c r="P964" i="2"/>
  <c r="P975" i="2"/>
  <c r="P989" i="2"/>
  <c r="P1000" i="2"/>
  <c r="P1012" i="2"/>
  <c r="P1023" i="2"/>
  <c r="P1033" i="2"/>
  <c r="P1044" i="2"/>
  <c r="P1054" i="2"/>
  <c r="P1064" i="2"/>
  <c r="P1075" i="2"/>
  <c r="P1085" i="2"/>
  <c r="P1096" i="2"/>
  <c r="P1107" i="2"/>
  <c r="P1117" i="2"/>
  <c r="P1127" i="2"/>
  <c r="P1137" i="2"/>
  <c r="P1147" i="2"/>
  <c r="P1156" i="2"/>
  <c r="P1166" i="2"/>
  <c r="P1175" i="2"/>
  <c r="P1184" i="2"/>
  <c r="P1193" i="2"/>
  <c r="P1202" i="2"/>
  <c r="P1211" i="2"/>
  <c r="P1220" i="2"/>
  <c r="P1230" i="2"/>
  <c r="P1239" i="2"/>
  <c r="P1248" i="2"/>
  <c r="P1257" i="2"/>
  <c r="P11" i="2"/>
  <c r="P783" i="2"/>
  <c r="P893" i="2"/>
  <c r="P953" i="2"/>
  <c r="P977" i="2"/>
  <c r="P1001" i="2"/>
  <c r="P1024" i="2"/>
  <c r="P1045" i="2"/>
  <c r="P1065" i="2"/>
  <c r="P1087" i="2"/>
  <c r="P1108" i="2"/>
  <c r="P1128" i="2"/>
  <c r="P1148" i="2"/>
  <c r="P1167" i="2"/>
  <c r="P1176" i="2"/>
  <c r="P1194" i="2"/>
  <c r="P1203" i="2"/>
  <c r="P1222" i="2"/>
  <c r="P1240" i="2"/>
  <c r="P1258" i="2"/>
  <c r="V50" i="1" s="1"/>
  <c r="AC6" i="2" s="1"/>
  <c r="P1160" i="2"/>
  <c r="P71" i="2"/>
  <c r="P127" i="2"/>
  <c r="P183" i="2"/>
  <c r="P353" i="2"/>
  <c r="P409" i="2"/>
  <c r="P457" i="2"/>
  <c r="P505" i="2"/>
  <c r="P555" i="2"/>
  <c r="P603" i="2"/>
  <c r="P651" i="2"/>
  <c r="P699" i="2"/>
  <c r="P741" i="2"/>
  <c r="P815" i="2"/>
  <c r="P838" i="2"/>
  <c r="P856" i="2"/>
  <c r="P875" i="2"/>
  <c r="P909" i="2"/>
  <c r="P925" i="2"/>
  <c r="P937" i="2"/>
  <c r="P965" i="2"/>
  <c r="P990" i="2"/>
  <c r="P1014" i="2"/>
  <c r="P1035" i="2"/>
  <c r="P1055" i="2"/>
  <c r="P1076" i="2"/>
  <c r="P1097" i="2"/>
  <c r="P1118" i="2"/>
  <c r="P1139" i="2"/>
  <c r="P1158" i="2"/>
  <c r="P1185" i="2"/>
  <c r="P1212" i="2"/>
  <c r="P1231" i="2"/>
  <c r="P1249" i="2"/>
  <c r="P1178" i="2"/>
  <c r="P24" i="2"/>
  <c r="P82" i="2"/>
  <c r="P138" i="2"/>
  <c r="P194" i="2"/>
  <c r="P254" i="2"/>
  <c r="P310" i="2"/>
  <c r="P366" i="2"/>
  <c r="P419" i="2"/>
  <c r="P467" i="2"/>
  <c r="P515" i="2"/>
  <c r="P566" i="2"/>
  <c r="P614" i="2"/>
  <c r="P662" i="2"/>
  <c r="P708" i="2"/>
  <c r="P750" i="2"/>
  <c r="P792" i="2"/>
  <c r="P819" i="2"/>
  <c r="P843" i="2"/>
  <c r="P861" i="2"/>
  <c r="P879" i="2"/>
  <c r="P897" i="2"/>
  <c r="P910" i="2"/>
  <c r="P926" i="2"/>
  <c r="P939" i="2"/>
  <c r="P955" i="2"/>
  <c r="P966" i="2"/>
  <c r="P980" i="2"/>
  <c r="P991" i="2"/>
  <c r="P1003" i="2"/>
  <c r="P1015" i="2"/>
  <c r="P1025" i="2"/>
  <c r="P1036" i="2"/>
  <c r="P1046" i="2"/>
  <c r="P1056" i="2"/>
  <c r="P1067" i="2"/>
  <c r="P1078" i="2"/>
  <c r="P1088" i="2"/>
  <c r="P1099" i="2"/>
  <c r="P1109" i="2"/>
  <c r="P1119" i="2"/>
  <c r="P1129" i="2"/>
  <c r="P1140" i="2"/>
  <c r="P1150" i="2"/>
  <c r="P1159" i="2"/>
  <c r="P1168" i="2"/>
  <c r="P1177" i="2"/>
  <c r="P1186" i="2"/>
  <c r="P1195" i="2"/>
  <c r="P1204" i="2"/>
  <c r="P1214" i="2"/>
  <c r="P1223" i="2"/>
  <c r="P1232" i="2"/>
  <c r="P1241" i="2"/>
  <c r="P1250" i="2"/>
  <c r="P1169" i="2"/>
  <c r="P27" i="2"/>
  <c r="P83" i="2"/>
  <c r="P139" i="2"/>
  <c r="P199" i="2"/>
  <c r="P255" i="2"/>
  <c r="P311" i="2"/>
  <c r="P369" i="2"/>
  <c r="P420" i="2"/>
  <c r="P468" i="2"/>
  <c r="P519" i="2"/>
  <c r="P567" i="2"/>
  <c r="P615" i="2"/>
  <c r="P665" i="2"/>
  <c r="P709" i="2"/>
  <c r="P751" i="2"/>
  <c r="P795" i="2"/>
  <c r="P824" i="2"/>
  <c r="P844" i="2"/>
  <c r="P862" i="2"/>
  <c r="P880" i="2"/>
  <c r="P899" i="2"/>
  <c r="P911" i="2"/>
  <c r="P927" i="2"/>
  <c r="P943" i="2"/>
  <c r="P956" i="2"/>
  <c r="P968" i="2"/>
  <c r="P981" i="2"/>
  <c r="P992" i="2"/>
  <c r="P1005" i="2"/>
  <c r="P1016" i="2"/>
  <c r="P1027" i="2"/>
  <c r="P1037" i="2"/>
  <c r="P1047" i="2"/>
  <c r="P1057" i="2"/>
  <c r="P1069" i="2"/>
  <c r="P1079" i="2"/>
  <c r="P1089" i="2"/>
  <c r="P1100" i="2"/>
  <c r="P1110" i="2"/>
  <c r="P1120" i="2"/>
  <c r="P1131" i="2"/>
  <c r="P1187" i="2"/>
  <c r="P1196" i="2"/>
  <c r="P1206" i="2"/>
  <c r="P1215" i="2"/>
  <c r="P1224" i="2"/>
  <c r="P1233" i="2"/>
  <c r="P1242" i="2"/>
  <c r="P1251" i="2"/>
  <c r="P40" i="2"/>
  <c r="P96" i="2"/>
  <c r="P152" i="2"/>
  <c r="P210" i="2"/>
  <c r="P266" i="2"/>
  <c r="P322" i="2"/>
  <c r="P382" i="2"/>
  <c r="P431" i="2"/>
  <c r="P479" i="2"/>
  <c r="P529" i="2"/>
  <c r="P577" i="2"/>
  <c r="P625" i="2"/>
  <c r="P675" i="2"/>
  <c r="P718" i="2"/>
  <c r="P760" i="2"/>
  <c r="P797" i="2"/>
  <c r="P825" i="2"/>
  <c r="P846" i="2"/>
  <c r="P864" i="2"/>
  <c r="P883" i="2"/>
  <c r="P900" i="2"/>
  <c r="P916" i="2"/>
  <c r="P928" i="2"/>
  <c r="P944" i="2"/>
  <c r="P957" i="2"/>
  <c r="P971" i="2"/>
  <c r="P982" i="2"/>
  <c r="P993" i="2"/>
  <c r="P1007" i="2"/>
  <c r="P1017" i="2"/>
  <c r="P1028" i="2"/>
  <c r="P1038" i="2"/>
  <c r="P1048" i="2"/>
  <c r="P1060" i="2"/>
  <c r="P1070" i="2"/>
  <c r="P1080" i="2"/>
  <c r="P1091" i="2"/>
  <c r="P1101" i="2"/>
  <c r="P1111" i="2"/>
  <c r="P1121" i="2"/>
  <c r="P1133" i="2"/>
  <c r="P1143" i="2"/>
  <c r="P1152" i="2"/>
  <c r="P1161" i="2"/>
  <c r="P1170" i="2"/>
  <c r="P1179" i="2"/>
  <c r="P1188" i="2"/>
  <c r="P1198" i="2"/>
  <c r="P1207" i="2"/>
  <c r="P1216" i="2"/>
  <c r="P1225" i="2"/>
  <c r="P1234" i="2"/>
  <c r="P1243" i="2"/>
  <c r="P1252" i="2"/>
  <c r="P41" i="2"/>
  <c r="P97" i="2"/>
  <c r="P155" i="2"/>
  <c r="P211" i="2"/>
  <c r="P267" i="2"/>
  <c r="P327" i="2"/>
  <c r="P383" i="2"/>
  <c r="P432" i="2"/>
  <c r="P482" i="2"/>
  <c r="P530" i="2"/>
  <c r="P578" i="2"/>
  <c r="P628" i="2"/>
  <c r="P676" i="2"/>
  <c r="P719" i="2"/>
  <c r="P763" i="2"/>
  <c r="P804" i="2"/>
  <c r="P828" i="2"/>
  <c r="P847" i="2"/>
  <c r="P865" i="2"/>
  <c r="P884" i="2"/>
  <c r="P901" i="2"/>
  <c r="P917" i="2"/>
  <c r="P929" i="2"/>
  <c r="P945" i="2"/>
  <c r="P959" i="2"/>
  <c r="P972" i="2"/>
  <c r="P983" i="2"/>
  <c r="P996" i="2"/>
  <c r="P1008" i="2"/>
  <c r="P1019" i="2"/>
  <c r="P1029" i="2"/>
  <c r="P1039" i="2"/>
  <c r="P1051" i="2"/>
  <c r="P1061" i="2"/>
  <c r="P1071" i="2"/>
  <c r="P1081" i="2"/>
  <c r="P1092" i="2"/>
  <c r="P1102" i="2"/>
  <c r="P1112" i="2"/>
  <c r="P1124" i="2"/>
  <c r="P1134" i="2"/>
  <c r="P1144" i="2"/>
  <c r="P1153" i="2"/>
  <c r="P1162" i="2"/>
  <c r="P1171" i="2"/>
  <c r="P1180" i="2"/>
  <c r="P1190" i="2"/>
  <c r="P1199" i="2"/>
  <c r="P1208" i="2"/>
  <c r="P1217" i="2"/>
  <c r="P1226" i="2"/>
  <c r="P1235" i="2"/>
  <c r="P1244" i="2"/>
  <c r="P1254" i="2"/>
  <c r="P297" i="2"/>
  <c r="P1151" i="2"/>
  <c r="P54" i="2"/>
  <c r="P110" i="2"/>
  <c r="P168" i="2"/>
  <c r="P224" i="2"/>
  <c r="P280" i="2"/>
  <c r="P338" i="2"/>
  <c r="P394" i="2"/>
  <c r="P442" i="2"/>
  <c r="P492" i="2"/>
  <c r="P540" i="2"/>
  <c r="P588" i="2"/>
  <c r="P639" i="2"/>
  <c r="P686" i="2"/>
  <c r="P728" i="2"/>
  <c r="P772" i="2"/>
  <c r="P805" i="2"/>
  <c r="P833" i="2"/>
  <c r="P852" i="2"/>
  <c r="P870" i="2"/>
  <c r="P888" i="2"/>
  <c r="P902" i="2"/>
  <c r="P918" i="2"/>
  <c r="P934" i="2"/>
  <c r="P947" i="2"/>
  <c r="P961" i="2"/>
  <c r="P973" i="2"/>
  <c r="P984" i="2"/>
  <c r="P998" i="2"/>
  <c r="P1009" i="2"/>
  <c r="P1020" i="2"/>
  <c r="P1030" i="2"/>
  <c r="P1041" i="2"/>
  <c r="P1052" i="2"/>
  <c r="P1062" i="2"/>
  <c r="P1072" i="2"/>
  <c r="P1083" i="2"/>
  <c r="P1093" i="2"/>
  <c r="P1103" i="2"/>
  <c r="P1115" i="2"/>
  <c r="P1125" i="2"/>
  <c r="P1135" i="2"/>
  <c r="P1145" i="2"/>
  <c r="P1154" i="2"/>
  <c r="P1163" i="2"/>
  <c r="P1172" i="2"/>
  <c r="P1182" i="2"/>
  <c r="P1191" i="2"/>
  <c r="P1200" i="2"/>
  <c r="P1209" i="2"/>
  <c r="P1218" i="2"/>
  <c r="P1227" i="2"/>
  <c r="P1236" i="2"/>
  <c r="P1246" i="2"/>
  <c r="P1255" i="2"/>
  <c r="P241" i="2"/>
  <c r="P1142" i="2"/>
  <c r="P55" i="2"/>
  <c r="P113" i="2"/>
  <c r="P169" i="2"/>
  <c r="P225" i="2"/>
  <c r="P283" i="2"/>
  <c r="P339" i="2"/>
  <c r="P395" i="2"/>
  <c r="P446" i="2"/>
  <c r="P494" i="2"/>
  <c r="P542" i="2"/>
  <c r="P592" i="2"/>
  <c r="P640" i="2"/>
  <c r="P687" i="2"/>
  <c r="P731" i="2"/>
  <c r="P773" i="2"/>
  <c r="P807" i="2"/>
  <c r="P835" i="2"/>
  <c r="P853" i="2"/>
  <c r="P871" i="2"/>
  <c r="P889" i="2"/>
  <c r="P907" i="2"/>
  <c r="P919" i="2"/>
  <c r="P935" i="2"/>
  <c r="P948" i="2"/>
  <c r="P963" i="2"/>
  <c r="P974" i="2"/>
  <c r="P987" i="2"/>
  <c r="P999" i="2"/>
  <c r="P1011" i="2"/>
  <c r="P1021" i="2"/>
  <c r="P1032" i="2"/>
  <c r="P1043" i="2"/>
  <c r="P1053" i="2"/>
  <c r="P1063" i="2"/>
  <c r="P1073" i="2"/>
  <c r="P1084" i="2"/>
  <c r="P1094" i="2"/>
  <c r="P1105" i="2"/>
  <c r="P1116" i="2"/>
  <c r="P1126" i="2"/>
  <c r="P1136" i="2"/>
  <c r="P1146" i="2"/>
  <c r="P1155" i="2"/>
  <c r="P1164" i="2"/>
  <c r="P1174" i="2"/>
  <c r="P1183" i="2"/>
  <c r="P1192" i="2"/>
  <c r="P1201" i="2"/>
  <c r="P1210" i="2"/>
  <c r="P1219" i="2"/>
  <c r="P1228" i="2"/>
  <c r="P1238" i="2"/>
  <c r="P1247" i="2"/>
  <c r="P1256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7" i="2"/>
  <c r="O8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460" i="2"/>
  <c r="O468" i="2"/>
  <c r="O476" i="2"/>
  <c r="O484" i="2"/>
  <c r="O492" i="2"/>
  <c r="O500" i="2"/>
  <c r="O508" i="2"/>
  <c r="O516" i="2"/>
  <c r="O524" i="2"/>
  <c r="O532" i="2"/>
  <c r="O540" i="2"/>
  <c r="O548" i="2"/>
  <c r="O556" i="2"/>
  <c r="O564" i="2"/>
  <c r="O572" i="2"/>
  <c r="O580" i="2"/>
  <c r="O588" i="2"/>
  <c r="O596" i="2"/>
  <c r="O604" i="2"/>
  <c r="O612" i="2"/>
  <c r="O620" i="2"/>
  <c r="O628" i="2"/>
  <c r="O636" i="2"/>
  <c r="O644" i="2"/>
  <c r="O652" i="2"/>
  <c r="O660" i="2"/>
  <c r="O668" i="2"/>
  <c r="O676" i="2"/>
  <c r="O684" i="2"/>
  <c r="O11" i="2"/>
  <c r="O32" i="2"/>
  <c r="O55" i="2"/>
  <c r="O75" i="2"/>
  <c r="O96" i="2"/>
  <c r="O119" i="2"/>
  <c r="O139" i="2"/>
  <c r="O160" i="2"/>
  <c r="O183" i="2"/>
  <c r="O203" i="2"/>
  <c r="O224" i="2"/>
  <c r="O247" i="2"/>
  <c r="O267" i="2"/>
  <c r="O288" i="2"/>
  <c r="O311" i="2"/>
  <c r="O331" i="2"/>
  <c r="O352" i="2"/>
  <c r="O375" i="2"/>
  <c r="O395" i="2"/>
  <c r="O411" i="2"/>
  <c r="O423" i="2"/>
  <c r="O437" i="2"/>
  <c r="O448" i="2"/>
  <c r="O462" i="2"/>
  <c r="O475" i="2"/>
  <c r="O487" i="2"/>
  <c r="O501" i="2"/>
  <c r="O512" i="2"/>
  <c r="O526" i="2"/>
  <c r="O539" i="2"/>
  <c r="O551" i="2"/>
  <c r="O565" i="2"/>
  <c r="O576" i="2"/>
  <c r="O590" i="2"/>
  <c r="O603" i="2"/>
  <c r="O615" i="2"/>
  <c r="O629" i="2"/>
  <c r="O640" i="2"/>
  <c r="O654" i="2"/>
  <c r="O667" i="2"/>
  <c r="O679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1002" i="2"/>
  <c r="O1010" i="2"/>
  <c r="O1018" i="2"/>
  <c r="O1026" i="2"/>
  <c r="O1034" i="2"/>
  <c r="O1042" i="2"/>
  <c r="O15" i="2"/>
  <c r="O35" i="2"/>
  <c r="O56" i="2"/>
  <c r="O79" i="2"/>
  <c r="O99" i="2"/>
  <c r="O120" i="2"/>
  <c r="O143" i="2"/>
  <c r="O163" i="2"/>
  <c r="O184" i="2"/>
  <c r="O207" i="2"/>
  <c r="O227" i="2"/>
  <c r="O248" i="2"/>
  <c r="O271" i="2"/>
  <c r="O291" i="2"/>
  <c r="O312" i="2"/>
  <c r="O335" i="2"/>
  <c r="O355" i="2"/>
  <c r="O376" i="2"/>
  <c r="O399" i="2"/>
  <c r="O413" i="2"/>
  <c r="O424" i="2"/>
  <c r="O438" i="2"/>
  <c r="O451" i="2"/>
  <c r="O463" i="2"/>
  <c r="O477" i="2"/>
  <c r="O488" i="2"/>
  <c r="O502" i="2"/>
  <c r="O515" i="2"/>
  <c r="O527" i="2"/>
  <c r="O541" i="2"/>
  <c r="O552" i="2"/>
  <c r="O566" i="2"/>
  <c r="O579" i="2"/>
  <c r="O591" i="2"/>
  <c r="O605" i="2"/>
  <c r="O616" i="2"/>
  <c r="O630" i="2"/>
  <c r="O643" i="2"/>
  <c r="O655" i="2"/>
  <c r="O669" i="2"/>
  <c r="O680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6" i="2"/>
  <c r="O39" i="2"/>
  <c r="O59" i="2"/>
  <c r="O80" i="2"/>
  <c r="O103" i="2"/>
  <c r="O123" i="2"/>
  <c r="O144" i="2"/>
  <c r="O167" i="2"/>
  <c r="O187" i="2"/>
  <c r="O208" i="2"/>
  <c r="O231" i="2"/>
  <c r="O251" i="2"/>
  <c r="O19" i="2"/>
  <c r="O40" i="2"/>
  <c r="O63" i="2"/>
  <c r="O83" i="2"/>
  <c r="O104" i="2"/>
  <c r="O127" i="2"/>
  <c r="O147" i="2"/>
  <c r="O168" i="2"/>
  <c r="O191" i="2"/>
  <c r="O211" i="2"/>
  <c r="O232" i="2"/>
  <c r="O255" i="2"/>
  <c r="O23" i="2"/>
  <c r="O43" i="2"/>
  <c r="O64" i="2"/>
  <c r="O87" i="2"/>
  <c r="O107" i="2"/>
  <c r="O128" i="2"/>
  <c r="O151" i="2"/>
  <c r="O171" i="2"/>
  <c r="O192" i="2"/>
  <c r="O215" i="2"/>
  <c r="O235" i="2"/>
  <c r="O256" i="2"/>
  <c r="O279" i="2"/>
  <c r="O299" i="2"/>
  <c r="O320" i="2"/>
  <c r="O343" i="2"/>
  <c r="O363" i="2"/>
  <c r="O384" i="2"/>
  <c r="O405" i="2"/>
  <c r="O416" i="2"/>
  <c r="O430" i="2"/>
  <c r="O443" i="2"/>
  <c r="O455" i="2"/>
  <c r="O469" i="2"/>
  <c r="O480" i="2"/>
  <c r="O494" i="2"/>
  <c r="O507" i="2"/>
  <c r="O519" i="2"/>
  <c r="O533" i="2"/>
  <c r="O544" i="2"/>
  <c r="O558" i="2"/>
  <c r="O571" i="2"/>
  <c r="O583" i="2"/>
  <c r="O597" i="2"/>
  <c r="O608" i="2"/>
  <c r="O622" i="2"/>
  <c r="O635" i="2"/>
  <c r="O647" i="2"/>
  <c r="O661" i="2"/>
  <c r="O672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4" i="2"/>
  <c r="O47" i="2"/>
  <c r="O67" i="2"/>
  <c r="O88" i="2"/>
  <c r="O111" i="2"/>
  <c r="O131" i="2"/>
  <c r="O152" i="2"/>
  <c r="O175" i="2"/>
  <c r="O195" i="2"/>
  <c r="O216" i="2"/>
  <c r="O239" i="2"/>
  <c r="O259" i="2"/>
  <c r="O280" i="2"/>
  <c r="O303" i="2"/>
  <c r="O323" i="2"/>
  <c r="O344" i="2"/>
  <c r="O367" i="2"/>
  <c r="O387" i="2"/>
  <c r="O406" i="2"/>
  <c r="O419" i="2"/>
  <c r="O431" i="2"/>
  <c r="O445" i="2"/>
  <c r="O456" i="2"/>
  <c r="O470" i="2"/>
  <c r="O483" i="2"/>
  <c r="O495" i="2"/>
  <c r="O509" i="2"/>
  <c r="O520" i="2"/>
  <c r="O534" i="2"/>
  <c r="O547" i="2"/>
  <c r="O559" i="2"/>
  <c r="O573" i="2"/>
  <c r="O584" i="2"/>
  <c r="O598" i="2"/>
  <c r="O611" i="2"/>
  <c r="O623" i="2"/>
  <c r="O637" i="2"/>
  <c r="O648" i="2"/>
  <c r="O662" i="2"/>
  <c r="O675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31" i="2"/>
  <c r="O51" i="2"/>
  <c r="O72" i="2"/>
  <c r="O95" i="2"/>
  <c r="O115" i="2"/>
  <c r="O136" i="2"/>
  <c r="O159" i="2"/>
  <c r="O179" i="2"/>
  <c r="O200" i="2"/>
  <c r="O223" i="2"/>
  <c r="O243" i="2"/>
  <c r="O264" i="2"/>
  <c r="O287" i="2"/>
  <c r="O307" i="2"/>
  <c r="O328" i="2"/>
  <c r="O351" i="2"/>
  <c r="O371" i="2"/>
  <c r="O392" i="2"/>
  <c r="O408" i="2"/>
  <c r="O422" i="2"/>
  <c r="O435" i="2"/>
  <c r="O447" i="2"/>
  <c r="O461" i="2"/>
  <c r="O472" i="2"/>
  <c r="O486" i="2"/>
  <c r="O499" i="2"/>
  <c r="O511" i="2"/>
  <c r="O525" i="2"/>
  <c r="O536" i="2"/>
  <c r="O550" i="2"/>
  <c r="O563" i="2"/>
  <c r="O575" i="2"/>
  <c r="O589" i="2"/>
  <c r="O600" i="2"/>
  <c r="O614" i="2"/>
  <c r="O627" i="2"/>
  <c r="O639" i="2"/>
  <c r="O653" i="2"/>
  <c r="O664" i="2"/>
  <c r="O678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929" i="2"/>
  <c r="O937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27" i="2"/>
  <c r="O199" i="2"/>
  <c r="O296" i="2"/>
  <c r="O359" i="2"/>
  <c r="O407" i="2"/>
  <c r="O440" i="2"/>
  <c r="O478" i="2"/>
  <c r="O510" i="2"/>
  <c r="O543" i="2"/>
  <c r="O581" i="2"/>
  <c r="O613" i="2"/>
  <c r="O646" i="2"/>
  <c r="O683" i="2"/>
  <c r="O704" i="2"/>
  <c r="O725" i="2"/>
  <c r="O748" i="2"/>
  <c r="O768" i="2"/>
  <c r="O789" i="2"/>
  <c r="O812" i="2"/>
  <c r="O832" i="2"/>
  <c r="O853" i="2"/>
  <c r="O876" i="2"/>
  <c r="O896" i="2"/>
  <c r="O917" i="2"/>
  <c r="O940" i="2"/>
  <c r="O960" i="2"/>
  <c r="O981" i="2"/>
  <c r="O1000" i="2"/>
  <c r="O1021" i="2"/>
  <c r="O1043" i="2"/>
  <c r="O1056" i="2"/>
  <c r="O1068" i="2"/>
  <c r="O1082" i="2"/>
  <c r="O1093" i="2"/>
  <c r="O1107" i="2"/>
  <c r="O1120" i="2"/>
  <c r="O1132" i="2"/>
  <c r="O1146" i="2"/>
  <c r="O1157" i="2"/>
  <c r="O1171" i="2"/>
  <c r="O1184" i="2"/>
  <c r="O1196" i="2"/>
  <c r="O1210" i="2"/>
  <c r="O1221" i="2"/>
  <c r="O1235" i="2"/>
  <c r="O1248" i="2"/>
  <c r="O240" i="2"/>
  <c r="O796" i="2"/>
  <c r="O944" i="2"/>
  <c r="O1028" i="2"/>
  <c r="O1072" i="2"/>
  <c r="O1109" i="2"/>
  <c r="O1136" i="2"/>
  <c r="O1173" i="2"/>
  <c r="O1212" i="2"/>
  <c r="O1237" i="2"/>
  <c r="O48" i="2"/>
  <c r="O219" i="2"/>
  <c r="O304" i="2"/>
  <c r="O360" i="2"/>
  <c r="O414" i="2"/>
  <c r="O446" i="2"/>
  <c r="O479" i="2"/>
  <c r="O517" i="2"/>
  <c r="O549" i="2"/>
  <c r="O582" i="2"/>
  <c r="O619" i="2"/>
  <c r="O651" i="2"/>
  <c r="O685" i="2"/>
  <c r="O708" i="2"/>
  <c r="O728" i="2"/>
  <c r="O749" i="2"/>
  <c r="O772" i="2"/>
  <c r="O792" i="2"/>
  <c r="O813" i="2"/>
  <c r="O836" i="2"/>
  <c r="O856" i="2"/>
  <c r="O877" i="2"/>
  <c r="O900" i="2"/>
  <c r="O920" i="2"/>
  <c r="O941" i="2"/>
  <c r="O964" i="2"/>
  <c r="O984" i="2"/>
  <c r="O1004" i="2"/>
  <c r="O1024" i="2"/>
  <c r="O1044" i="2"/>
  <c r="O1058" i="2"/>
  <c r="O1069" i="2"/>
  <c r="O1083" i="2"/>
  <c r="O1096" i="2"/>
  <c r="O1108" i="2"/>
  <c r="O1122" i="2"/>
  <c r="O1133" i="2"/>
  <c r="O1147" i="2"/>
  <c r="O1160" i="2"/>
  <c r="O1172" i="2"/>
  <c r="O1186" i="2"/>
  <c r="O1197" i="2"/>
  <c r="O1211" i="2"/>
  <c r="O1224" i="2"/>
  <c r="O1236" i="2"/>
  <c r="O1250" i="2"/>
  <c r="O71" i="2"/>
  <c r="O816" i="2"/>
  <c r="O924" i="2"/>
  <c r="O1005" i="2"/>
  <c r="O1059" i="2"/>
  <c r="O1098" i="2"/>
  <c r="O1123" i="2"/>
  <c r="O1162" i="2"/>
  <c r="O1200" i="2"/>
  <c r="O1226" i="2"/>
  <c r="O315" i="2"/>
  <c r="O368" i="2"/>
  <c r="O415" i="2"/>
  <c r="O453" i="2"/>
  <c r="O485" i="2"/>
  <c r="O518" i="2"/>
  <c r="O555" i="2"/>
  <c r="O587" i="2"/>
  <c r="O621" i="2"/>
  <c r="O656" i="2"/>
  <c r="O688" i="2"/>
  <c r="O709" i="2"/>
  <c r="O732" i="2"/>
  <c r="O752" i="2"/>
  <c r="O773" i="2"/>
  <c r="O837" i="2"/>
  <c r="O860" i="2"/>
  <c r="O880" i="2"/>
  <c r="O901" i="2"/>
  <c r="O965" i="2"/>
  <c r="O988" i="2"/>
  <c r="O1045" i="2"/>
  <c r="O1084" i="2"/>
  <c r="O1148" i="2"/>
  <c r="O1187" i="2"/>
  <c r="O1251" i="2"/>
  <c r="O91" i="2"/>
  <c r="O263" i="2"/>
  <c r="O319" i="2"/>
  <c r="O379" i="2"/>
  <c r="O421" i="2"/>
  <c r="O454" i="2"/>
  <c r="O491" i="2"/>
  <c r="O523" i="2"/>
  <c r="O557" i="2"/>
  <c r="O592" i="2"/>
  <c r="O624" i="2"/>
  <c r="O659" i="2"/>
  <c r="O692" i="2"/>
  <c r="O712" i="2"/>
  <c r="O733" i="2"/>
  <c r="O756" i="2"/>
  <c r="O776" i="2"/>
  <c r="O797" i="2"/>
  <c r="O820" i="2"/>
  <c r="O840" i="2"/>
  <c r="O861" i="2"/>
  <c r="O884" i="2"/>
  <c r="O904" i="2"/>
  <c r="O925" i="2"/>
  <c r="O948" i="2"/>
  <c r="O968" i="2"/>
  <c r="O989" i="2"/>
  <c r="O1008" i="2"/>
  <c r="O1029" i="2"/>
  <c r="O1048" i="2"/>
  <c r="O1060" i="2"/>
  <c r="O1074" i="2"/>
  <c r="O1085" i="2"/>
  <c r="O1099" i="2"/>
  <c r="O1112" i="2"/>
  <c r="O1124" i="2"/>
  <c r="O1138" i="2"/>
  <c r="O1149" i="2"/>
  <c r="O1163" i="2"/>
  <c r="O1176" i="2"/>
  <c r="O1188" i="2"/>
  <c r="O1202" i="2"/>
  <c r="O1213" i="2"/>
  <c r="O1227" i="2"/>
  <c r="O1240" i="2"/>
  <c r="O1252" i="2"/>
  <c r="O112" i="2"/>
  <c r="O272" i="2"/>
  <c r="O327" i="2"/>
  <c r="O383" i="2"/>
  <c r="O427" i="2"/>
  <c r="O459" i="2"/>
  <c r="O493" i="2"/>
  <c r="O528" i="2"/>
  <c r="O560" i="2"/>
  <c r="O595" i="2"/>
  <c r="O631" i="2"/>
  <c r="O663" i="2"/>
  <c r="O693" i="2"/>
  <c r="O716" i="2"/>
  <c r="O736" i="2"/>
  <c r="O757" i="2"/>
  <c r="O780" i="2"/>
  <c r="O800" i="2"/>
  <c r="O821" i="2"/>
  <c r="O844" i="2"/>
  <c r="O864" i="2"/>
  <c r="O885" i="2"/>
  <c r="O908" i="2"/>
  <c r="O928" i="2"/>
  <c r="O949" i="2"/>
  <c r="O972" i="2"/>
  <c r="O992" i="2"/>
  <c r="O1012" i="2"/>
  <c r="O1032" i="2"/>
  <c r="O1050" i="2"/>
  <c r="O1061" i="2"/>
  <c r="O1075" i="2"/>
  <c r="O1088" i="2"/>
  <c r="O1100" i="2"/>
  <c r="O1114" i="2"/>
  <c r="O1125" i="2"/>
  <c r="O1139" i="2"/>
  <c r="O1152" i="2"/>
  <c r="O1164" i="2"/>
  <c r="O1178" i="2"/>
  <c r="O1189" i="2"/>
  <c r="O1203" i="2"/>
  <c r="O1216" i="2"/>
  <c r="O1228" i="2"/>
  <c r="O135" i="2"/>
  <c r="O275" i="2"/>
  <c r="O336" i="2"/>
  <c r="O391" i="2"/>
  <c r="O429" i="2"/>
  <c r="O464" i="2"/>
  <c r="O496" i="2"/>
  <c r="O531" i="2"/>
  <c r="O567" i="2"/>
  <c r="O599" i="2"/>
  <c r="O632" i="2"/>
  <c r="O670" i="2"/>
  <c r="O696" i="2"/>
  <c r="O717" i="2"/>
  <c r="O740" i="2"/>
  <c r="O760" i="2"/>
  <c r="O781" i="2"/>
  <c r="O804" i="2"/>
  <c r="O824" i="2"/>
  <c r="O845" i="2"/>
  <c r="O868" i="2"/>
  <c r="O888" i="2"/>
  <c r="O909" i="2"/>
  <c r="O932" i="2"/>
  <c r="O952" i="2"/>
  <c r="O973" i="2"/>
  <c r="O994" i="2"/>
  <c r="O1013" i="2"/>
  <c r="O1036" i="2"/>
  <c r="O1051" i="2"/>
  <c r="O1064" i="2"/>
  <c r="O1076" i="2"/>
  <c r="O1090" i="2"/>
  <c r="O1101" i="2"/>
  <c r="O1115" i="2"/>
  <c r="O1128" i="2"/>
  <c r="O1140" i="2"/>
  <c r="O1154" i="2"/>
  <c r="O1165" i="2"/>
  <c r="O1179" i="2"/>
  <c r="O1192" i="2"/>
  <c r="O1204" i="2"/>
  <c r="O1218" i="2"/>
  <c r="O1229" i="2"/>
  <c r="O1243" i="2"/>
  <c r="O1256" i="2"/>
  <c r="O155" i="2"/>
  <c r="O283" i="2"/>
  <c r="O339" i="2"/>
  <c r="O400" i="2"/>
  <c r="O432" i="2"/>
  <c r="O467" i="2"/>
  <c r="O503" i="2"/>
  <c r="O535" i="2"/>
  <c r="O568" i="2"/>
  <c r="O606" i="2"/>
  <c r="O638" i="2"/>
  <c r="O671" i="2"/>
  <c r="O700" i="2"/>
  <c r="O720" i="2"/>
  <c r="O741" i="2"/>
  <c r="O764" i="2"/>
  <c r="O784" i="2"/>
  <c r="O805" i="2"/>
  <c r="O828" i="2"/>
  <c r="O848" i="2"/>
  <c r="O869" i="2"/>
  <c r="O892" i="2"/>
  <c r="O912" i="2"/>
  <c r="O933" i="2"/>
  <c r="O956" i="2"/>
  <c r="O976" i="2"/>
  <c r="O996" i="2"/>
  <c r="O1016" i="2"/>
  <c r="O1037" i="2"/>
  <c r="O1052" i="2"/>
  <c r="O1066" i="2"/>
  <c r="O1077" i="2"/>
  <c r="O1091" i="2"/>
  <c r="O1104" i="2"/>
  <c r="O1116" i="2"/>
  <c r="O1130" i="2"/>
  <c r="O1141" i="2"/>
  <c r="O1155" i="2"/>
  <c r="O1168" i="2"/>
  <c r="O1180" i="2"/>
  <c r="O1194" i="2"/>
  <c r="O1205" i="2"/>
  <c r="O1219" i="2"/>
  <c r="O1232" i="2"/>
  <c r="O1244" i="2"/>
  <c r="O1258" i="2"/>
  <c r="V49" i="1" s="1"/>
  <c r="AC5" i="2" s="1"/>
  <c r="O176" i="2"/>
  <c r="O295" i="2"/>
  <c r="O347" i="2"/>
  <c r="O403" i="2"/>
  <c r="O439" i="2"/>
  <c r="O471" i="2"/>
  <c r="O504" i="2"/>
  <c r="O542" i="2"/>
  <c r="O574" i="2"/>
  <c r="O607" i="2"/>
  <c r="O645" i="2"/>
  <c r="O677" i="2"/>
  <c r="O701" i="2"/>
  <c r="O724" i="2"/>
  <c r="O744" i="2"/>
  <c r="O765" i="2"/>
  <c r="O788" i="2"/>
  <c r="O808" i="2"/>
  <c r="O829" i="2"/>
  <c r="O852" i="2"/>
  <c r="O872" i="2"/>
  <c r="O893" i="2"/>
  <c r="O916" i="2"/>
  <c r="O936" i="2"/>
  <c r="O957" i="2"/>
  <c r="O980" i="2"/>
  <c r="O997" i="2"/>
  <c r="O1020" i="2"/>
  <c r="O1040" i="2"/>
  <c r="O1053" i="2"/>
  <c r="O1067" i="2"/>
  <c r="O1080" i="2"/>
  <c r="O1092" i="2"/>
  <c r="O1106" i="2"/>
  <c r="O1117" i="2"/>
  <c r="O1131" i="2"/>
  <c r="O1144" i="2"/>
  <c r="O1156" i="2"/>
  <c r="O1170" i="2"/>
  <c r="O1181" i="2"/>
  <c r="O1195" i="2"/>
  <c r="O1208" i="2"/>
  <c r="O1220" i="2"/>
  <c r="O1242" i="2"/>
  <c r="O1245" i="2"/>
  <c r="O1234" i="2"/>
  <c r="O1253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E16" i="2" l="1"/>
  <c r="AI16" i="2"/>
  <c r="AE15" i="2"/>
  <c r="AI15" i="2"/>
  <c r="AI14" i="2"/>
  <c r="AE14" i="2"/>
  <c r="AI13" i="2"/>
  <c r="AE13" i="2"/>
  <c r="AI12" i="2"/>
  <c r="AE12" i="2"/>
  <c r="AI11" i="2"/>
  <c r="AE11" i="2"/>
  <c r="AI10" i="2"/>
  <c r="AE10" i="2"/>
  <c r="AI9" i="2"/>
  <c r="AE9" i="2"/>
  <c r="AI8" i="2"/>
  <c r="AE8" i="2"/>
  <c r="AE7" i="2"/>
  <c r="AI7" i="2"/>
  <c r="AI6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9" i="2" l="1"/>
  <c r="AK14" i="2"/>
  <c r="AG10" i="2" l="1"/>
  <c r="AK13" i="2"/>
  <c r="AG7" i="2" l="1"/>
  <c r="AK12" i="2"/>
  <c r="AG14" i="2" l="1"/>
  <c r="AK11" i="2"/>
  <c r="AG8" i="2" l="1"/>
  <c r="AK10" i="2"/>
  <c r="AG5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<sst xmlns="http://schemas.openxmlformats.org/spreadsheetml/2006/main" count="91" uniqueCount="75">
  <si>
    <t>AstraZeneca PLC (AZN) - Daily Stock Price, Last 5 Years</t>
  </si>
  <si>
    <t>Source: Nasdaq historical quotes (nasdaq.com/market-activity/stocks/azn), retrieved 2026-10-05. USD per ordinary share. Volume before 2026-02-02 is very low (often N/A), consistent with AZN's direct NYSE listing of ordinary shares in Feb 2026; earlier quotes are thinly traded, so treat them with caution.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</si>
  <si>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</si>
  <si>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</si>
  <si>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</si>
  <si>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</si>
  <si>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</si>
  <si>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</si>
  <si>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</si>
  <si>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</si>
  <si>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</si>
  <si>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</si>
  <si>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</si>
  <si>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</si>
  <si>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</si>
  <si>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</si>
  <si>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</si>
  <si>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</si>
  <si>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</si>
  <si>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</si>
  <si>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</si>
  <si>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</si>
  <si>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</si>
  <si>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</si>
  <si>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AZN trading days (last close on or before each date). Each stock's % change is in its own currency (BAYNr in EUR, others USD). % columns follow Start/End Date in 'Stock Price'!I4:I5.</t>
  </si>
  <si>
    <t>AZN Close</t>
  </si>
  <si>
    <t>AZN % chg</t>
  </si>
  <si>
    <t>NVS Close</t>
  </si>
  <si>
    <t>NVS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</si>
  <si>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</si>
  <si>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</si>
  <si>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</si>
  <si>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</si>
  <si>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</si>
  <si>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</si>
  <si>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</si>
  <si>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</si>
  <si>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</si>
  <si>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</si>
  <si>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</si>
  <si>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</si>
  <si>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</si>
  <si>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</si>
  <si>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</si>
  <si>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</si>
  <si>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</si>
  <si>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</si>
  <si>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</si>
  <si>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</si>
  <si>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</si>
  <si>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</si>
  <si>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</si>
  <si>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AZN</t>
  </si>
  <si>
    <t>NVS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</si>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</sst>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4" borderId="0" xfId="0" applyFont="1" applyFill="1" applyBorder="1"/>
    <xf numFmtId="168" fontId="1" fillId="4" borderId="0" xfId="0" applyNumberFormat="1" applyFont="1" applyFill="1" applyBorder="1" applyAlignment="1">
      <alignment horizontal="right"/>
    </xf>
    <xf numFmtId="0" fontId="1" fillId="4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AZN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121</c:v>
                </c:pt>
                <c:pt idx="1">
                  <c:v>120.27</c:v>
                </c:pt>
                <c:pt idx="2">
                  <c:v>121.98</c:v>
                </c:pt>
                <c:pt idx="3">
                  <c:v>123.83</c:v>
                </c:pt>
                <c:pt idx="4">
                  <c:v>123.4924</c:v>
                </c:pt>
                <c:pt idx="5">
                  <c:v>122.92</c:v>
                </c:pt>
                <c:pt idx="6">
                  <c:v>119.09</c:v>
                </c:pt>
                <c:pt idx="7">
                  <c:v>121</c:v>
                </c:pt>
                <c:pt idx="8">
                  <c:v>118.58</c:v>
                </c:pt>
                <c:pt idx="9">
                  <c:v>120.12</c:v>
                </c:pt>
                <c:pt idx="10">
                  <c:v>119.37</c:v>
                </c:pt>
                <c:pt idx="11">
                  <c:v>122</c:v>
                </c:pt>
                <c:pt idx="12">
                  <c:v>122.4</c:v>
                </c:pt>
                <c:pt idx="13">
                  <c:v>123.77500000000001</c:v>
                </c:pt>
                <c:pt idx="14">
                  <c:v>124.82</c:v>
                </c:pt>
                <c:pt idx="15">
                  <c:v>123.13</c:v>
                </c:pt>
                <c:pt idx="16">
                  <c:v>122.81</c:v>
                </c:pt>
                <c:pt idx="17">
                  <c:v>127.25</c:v>
                </c:pt>
                <c:pt idx="18">
                  <c:v>125.27500000000001</c:v>
                </c:pt>
                <c:pt idx="19">
                  <c:v>127.17</c:v>
                </c:pt>
                <c:pt idx="20">
                  <c:v>126.45</c:v>
                </c:pt>
                <c:pt idx="21">
                  <c:v>129</c:v>
                </c:pt>
                <c:pt idx="22">
                  <c:v>129.91999999999999</c:v>
                </c:pt>
                <c:pt idx="23">
                  <c:v>125.47</c:v>
                </c:pt>
                <c:pt idx="24">
                  <c:v>128.37</c:v>
                </c:pt>
                <c:pt idx="25">
                  <c:v>126.42</c:v>
                </c:pt>
                <c:pt idx="26">
                  <c:v>126.77</c:v>
                </c:pt>
                <c:pt idx="27">
                  <c:v>126.92</c:v>
                </c:pt>
                <c:pt idx="28">
                  <c:v>118.39</c:v>
                </c:pt>
                <c:pt idx="29">
                  <c:v>123.13</c:v>
                </c:pt>
                <c:pt idx="30">
                  <c:v>116.81</c:v>
                </c:pt>
                <c:pt idx="31">
                  <c:v>115.94</c:v>
                </c:pt>
                <c:pt idx="32">
                  <c:v>112.42</c:v>
                </c:pt>
                <c:pt idx="33">
                  <c:v>112.6</c:v>
                </c:pt>
                <c:pt idx="34">
                  <c:v>114.21</c:v>
                </c:pt>
                <c:pt idx="35">
                  <c:v>112.25</c:v>
                </c:pt>
                <c:pt idx="36">
                  <c:v>113.72</c:v>
                </c:pt>
                <c:pt idx="37">
                  <c:v>112.355</c:v>
                </c:pt>
                <c:pt idx="38">
                  <c:v>112.35</c:v>
                </c:pt>
                <c:pt idx="39">
                  <c:v>111.57</c:v>
                </c:pt>
                <c:pt idx="40">
                  <c:v>109.35</c:v>
                </c:pt>
                <c:pt idx="41">
                  <c:v>111.42</c:v>
                </c:pt>
                <c:pt idx="42">
                  <c:v>109.66</c:v>
                </c:pt>
                <c:pt idx="43">
                  <c:v>110.93</c:v>
                </c:pt>
                <c:pt idx="44">
                  <c:v>108.63</c:v>
                </c:pt>
                <c:pt idx="45">
                  <c:v>112.47</c:v>
                </c:pt>
                <c:pt idx="46">
                  <c:v>109.25</c:v>
                </c:pt>
                <c:pt idx="47">
                  <c:v>110.43</c:v>
                </c:pt>
                <c:pt idx="48">
                  <c:v>107.28</c:v>
                </c:pt>
                <c:pt idx="49">
                  <c:v>107.76</c:v>
                </c:pt>
                <c:pt idx="50">
                  <c:v>110.34</c:v>
                </c:pt>
                <c:pt idx="51">
                  <c:v>113.92</c:v>
                </c:pt>
                <c:pt idx="52">
                  <c:v>111.4</c:v>
                </c:pt>
                <c:pt idx="53">
                  <c:v>109.56</c:v>
                </c:pt>
                <c:pt idx="54">
                  <c:v>116</c:v>
                </c:pt>
                <c:pt idx="55">
                  <c:v>115.87</c:v>
                </c:pt>
                <c:pt idx="56">
                  <c:v>115</c:v>
                </c:pt>
                <c:pt idx="57">
                  <c:v>115</c:v>
                </c:pt>
                <c:pt idx="58">
                  <c:v>117.15</c:v>
                </c:pt>
                <c:pt idx="59">
                  <c:v>116.13</c:v>
                </c:pt>
                <c:pt idx="60">
                  <c:v>118</c:v>
                </c:pt>
                <c:pt idx="61">
                  <c:v>115.8501</c:v>
                </c:pt>
                <c:pt idx="62">
                  <c:v>115.785</c:v>
                </c:pt>
                <c:pt idx="63">
                  <c:v>115.66</c:v>
                </c:pt>
                <c:pt idx="64">
                  <c:v>113.5</c:v>
                </c:pt>
                <c:pt idx="65">
                  <c:v>114.7</c:v>
                </c:pt>
                <c:pt idx="66">
                  <c:v>112.73</c:v>
                </c:pt>
                <c:pt idx="67">
                  <c:v>115.02</c:v>
                </c:pt>
                <c:pt idx="68">
                  <c:v>115.51</c:v>
                </c:pt>
                <c:pt idx="69">
                  <c:v>115.32</c:v>
                </c:pt>
                <c:pt idx="70">
                  <c:v>117.2</c:v>
                </c:pt>
                <c:pt idx="71">
                  <c:v>118.1</c:v>
                </c:pt>
                <c:pt idx="72">
                  <c:v>119</c:v>
                </c:pt>
                <c:pt idx="73">
                  <c:v>119.67</c:v>
                </c:pt>
                <c:pt idx="74">
                  <c:v>121.21</c:v>
                </c:pt>
                <c:pt idx="75">
                  <c:v>120.82</c:v>
                </c:pt>
                <c:pt idx="76">
                  <c:v>112.36</c:v>
                </c:pt>
                <c:pt idx="77">
                  <c:v>113.35</c:v>
                </c:pt>
                <c:pt idx="78">
                  <c:v>116.8</c:v>
                </c:pt>
                <c:pt idx="79">
                  <c:v>120.5</c:v>
                </c:pt>
                <c:pt idx="80">
                  <c:v>116.25</c:v>
                </c:pt>
                <c:pt idx="81">
                  <c:v>117.02</c:v>
                </c:pt>
                <c:pt idx="82">
                  <c:v>116.5</c:v>
                </c:pt>
                <c:pt idx="83">
                  <c:v>117.68</c:v>
                </c:pt>
                <c:pt idx="84">
                  <c:v>116.92</c:v>
                </c:pt>
                <c:pt idx="85">
                  <c:v>110.53</c:v>
                </c:pt>
                <c:pt idx="86">
                  <c:v>111.5</c:v>
                </c:pt>
                <c:pt idx="87">
                  <c:v>112.87</c:v>
                </c:pt>
                <c:pt idx="88">
                  <c:v>114.52</c:v>
                </c:pt>
                <c:pt idx="89">
                  <c:v>115.751</c:v>
                </c:pt>
                <c:pt idx="90">
                  <c:v>114.15</c:v>
                </c:pt>
                <c:pt idx="91">
                  <c:v>111.36</c:v>
                </c:pt>
                <c:pt idx="92">
                  <c:v>117.12</c:v>
                </c:pt>
                <c:pt idx="93">
                  <c:v>120.87</c:v>
                </c:pt>
                <c:pt idx="94">
                  <c:v>122.4</c:v>
                </c:pt>
                <c:pt idx="95">
                  <c:v>117.98</c:v>
                </c:pt>
                <c:pt idx="96">
                  <c:v>120.3</c:v>
                </c:pt>
                <c:pt idx="97">
                  <c:v>120.97</c:v>
                </c:pt>
                <c:pt idx="98">
                  <c:v>115.95</c:v>
                </c:pt>
                <c:pt idx="99">
                  <c:v>121.27</c:v>
                </c:pt>
                <c:pt idx="100">
                  <c:v>117.23</c:v>
                </c:pt>
                <c:pt idx="101">
                  <c:v>122</c:v>
                </c:pt>
                <c:pt idx="102">
                  <c:v>124.92</c:v>
                </c:pt>
                <c:pt idx="103">
                  <c:v>118.35</c:v>
                </c:pt>
                <c:pt idx="104">
                  <c:v>113.2401</c:v>
                </c:pt>
                <c:pt idx="105">
                  <c:v>114.27</c:v>
                </c:pt>
                <c:pt idx="106">
                  <c:v>112.83</c:v>
                </c:pt>
                <c:pt idx="107">
                  <c:v>119.3</c:v>
                </c:pt>
                <c:pt idx="108">
                  <c:v>122.42</c:v>
                </c:pt>
                <c:pt idx="109">
                  <c:v>119.85</c:v>
                </c:pt>
                <c:pt idx="110">
                  <c:v>120.73</c:v>
                </c:pt>
                <c:pt idx="111">
                  <c:v>121.32</c:v>
                </c:pt>
                <c:pt idx="112">
                  <c:v>121.33</c:v>
                </c:pt>
                <c:pt idx="113">
                  <c:v>124.08</c:v>
                </c:pt>
                <c:pt idx="114">
                  <c:v>127.92</c:v>
                </c:pt>
                <c:pt idx="115">
                  <c:v>121.79</c:v>
                </c:pt>
                <c:pt idx="116">
                  <c:v>127.92</c:v>
                </c:pt>
                <c:pt idx="117">
                  <c:v>129.77000000000001</c:v>
                </c:pt>
                <c:pt idx="118">
                  <c:v>133.91999999999999</c:v>
                </c:pt>
                <c:pt idx="119">
                  <c:v>134.61000000000001</c:v>
                </c:pt>
                <c:pt idx="120">
                  <c:v>133.43</c:v>
                </c:pt>
                <c:pt idx="121">
                  <c:v>136.11000000000001</c:v>
                </c:pt>
                <c:pt idx="122">
                  <c:v>131.46</c:v>
                </c:pt>
                <c:pt idx="123">
                  <c:v>134.63</c:v>
                </c:pt>
                <c:pt idx="124">
                  <c:v>133.25</c:v>
                </c:pt>
                <c:pt idx="125">
                  <c:v>136.27000000000001</c:v>
                </c:pt>
                <c:pt idx="126">
                  <c:v>133.61000000000001</c:v>
                </c:pt>
                <c:pt idx="127">
                  <c:v>137.62</c:v>
                </c:pt>
                <c:pt idx="128">
                  <c:v>139.88999999999999</c:v>
                </c:pt>
                <c:pt idx="129">
                  <c:v>140.91999999999999</c:v>
                </c:pt>
                <c:pt idx="130">
                  <c:v>137.94999999999999</c:v>
                </c:pt>
                <c:pt idx="131">
                  <c:v>138.41999999999999</c:v>
                </c:pt>
                <c:pt idx="132">
                  <c:v>134.72</c:v>
                </c:pt>
                <c:pt idx="133">
                  <c:v>134</c:v>
                </c:pt>
                <c:pt idx="134">
                  <c:v>141.57</c:v>
                </c:pt>
                <c:pt idx="135">
                  <c:v>135.08000000000001</c:v>
                </c:pt>
                <c:pt idx="136">
                  <c:v>136.83000000000001</c:v>
                </c:pt>
                <c:pt idx="137">
                  <c:v>135.38</c:v>
                </c:pt>
                <c:pt idx="138">
                  <c:v>134.66999999999999</c:v>
                </c:pt>
                <c:pt idx="139">
                  <c:v>129.33000000000001</c:v>
                </c:pt>
                <c:pt idx="140">
                  <c:v>129.46</c:v>
                </c:pt>
                <c:pt idx="141">
                  <c:v>129.33000000000001</c:v>
                </c:pt>
                <c:pt idx="142">
                  <c:v>129.83000000000001</c:v>
                </c:pt>
                <c:pt idx="143">
                  <c:v>132.33000000000001</c:v>
                </c:pt>
                <c:pt idx="144">
                  <c:v>130</c:v>
                </c:pt>
                <c:pt idx="145">
                  <c:v>130.08000000000001</c:v>
                </c:pt>
                <c:pt idx="146">
                  <c:v>129.25</c:v>
                </c:pt>
                <c:pt idx="147">
                  <c:v>127.6</c:v>
                </c:pt>
                <c:pt idx="148">
                  <c:v>125.58</c:v>
                </c:pt>
                <c:pt idx="149">
                  <c:v>121.53</c:v>
                </c:pt>
                <c:pt idx="150">
                  <c:v>123.75</c:v>
                </c:pt>
                <c:pt idx="151">
                  <c:v>122.7</c:v>
                </c:pt>
                <c:pt idx="152">
                  <c:v>120.72</c:v>
                </c:pt>
                <c:pt idx="153">
                  <c:v>125.82</c:v>
                </c:pt>
                <c:pt idx="154">
                  <c:v>126.58</c:v>
                </c:pt>
                <c:pt idx="155">
                  <c:v>129.22</c:v>
                </c:pt>
                <c:pt idx="156">
                  <c:v>125.49</c:v>
                </c:pt>
                <c:pt idx="157">
                  <c:v>125.9</c:v>
                </c:pt>
                <c:pt idx="158">
                  <c:v>127.06</c:v>
                </c:pt>
                <c:pt idx="159">
                  <c:v>131.08000000000001</c:v>
                </c:pt>
                <c:pt idx="160">
                  <c:v>132.46</c:v>
                </c:pt>
                <c:pt idx="161">
                  <c:v>134.13999999999999</c:v>
                </c:pt>
                <c:pt idx="162">
                  <c:v>134.12</c:v>
                </c:pt>
                <c:pt idx="163">
                  <c:v>130.75</c:v>
                </c:pt>
                <c:pt idx="164">
                  <c:v>129.26</c:v>
                </c:pt>
                <c:pt idx="165">
                  <c:v>132.13999999999999</c:v>
                </c:pt>
                <c:pt idx="166">
                  <c:v>128.72</c:v>
                </c:pt>
                <c:pt idx="167">
                  <c:v>126.48</c:v>
                </c:pt>
                <c:pt idx="168">
                  <c:v>125.6</c:v>
                </c:pt>
                <c:pt idx="169">
                  <c:v>125.08</c:v>
                </c:pt>
                <c:pt idx="170">
                  <c:v>125.08</c:v>
                </c:pt>
                <c:pt idx="171">
                  <c:v>123.28</c:v>
                </c:pt>
                <c:pt idx="172">
                  <c:v>122.99</c:v>
                </c:pt>
                <c:pt idx="173">
                  <c:v>115.61</c:v>
                </c:pt>
                <c:pt idx="174">
                  <c:v>114.42100000000001</c:v>
                </c:pt>
                <c:pt idx="175">
                  <c:v>115.9</c:v>
                </c:pt>
                <c:pt idx="176">
                  <c:v>118.75</c:v>
                </c:pt>
                <c:pt idx="177">
                  <c:v>120.22</c:v>
                </c:pt>
                <c:pt idx="178">
                  <c:v>121.9</c:v>
                </c:pt>
                <c:pt idx="179">
                  <c:v>125.4</c:v>
                </c:pt>
                <c:pt idx="180">
                  <c:v>126.7</c:v>
                </c:pt>
                <c:pt idx="181">
                  <c:v>129.21</c:v>
                </c:pt>
                <c:pt idx="182">
                  <c:v>127.2501</c:v>
                </c:pt>
                <c:pt idx="183">
                  <c:v>131.69999999999999</c:v>
                </c:pt>
                <c:pt idx="184">
                  <c:v>131</c:v>
                </c:pt>
                <c:pt idx="185">
                  <c:v>128.91</c:v>
                </c:pt>
                <c:pt idx="186">
                  <c:v>130.75</c:v>
                </c:pt>
                <c:pt idx="187">
                  <c:v>124.68</c:v>
                </c:pt>
                <c:pt idx="188">
                  <c:v>130.16</c:v>
                </c:pt>
                <c:pt idx="189">
                  <c:v>131.67500000000001</c:v>
                </c:pt>
                <c:pt idx="190">
                  <c:v>130.5</c:v>
                </c:pt>
                <c:pt idx="191">
                  <c:v>131.21</c:v>
                </c:pt>
                <c:pt idx="192">
                  <c:v>132</c:v>
                </c:pt>
                <c:pt idx="193">
                  <c:v>129.97999999999999</c:v>
                </c:pt>
                <c:pt idx="194">
                  <c:v>129.32</c:v>
                </c:pt>
                <c:pt idx="195">
                  <c:v>131.26</c:v>
                </c:pt>
                <c:pt idx="196">
                  <c:v>133.9</c:v>
                </c:pt>
                <c:pt idx="197">
                  <c:v>134.55000000000001</c:v>
                </c:pt>
                <c:pt idx="198">
                  <c:v>129.91</c:v>
                </c:pt>
                <c:pt idx="199">
                  <c:v>125.55</c:v>
                </c:pt>
                <c:pt idx="200">
                  <c:v>128.64009999999999</c:v>
                </c:pt>
                <c:pt idx="201">
                  <c:v>129.06</c:v>
                </c:pt>
                <c:pt idx="202">
                  <c:v>131.30000000000001</c:v>
                </c:pt>
                <c:pt idx="203">
                  <c:v>134.29</c:v>
                </c:pt>
                <c:pt idx="204">
                  <c:v>131.1</c:v>
                </c:pt>
                <c:pt idx="205">
                  <c:v>130.72</c:v>
                </c:pt>
                <c:pt idx="206">
                  <c:v>132.63999999999999</c:v>
                </c:pt>
                <c:pt idx="207">
                  <c:v>130.30000000000001</c:v>
                </c:pt>
                <c:pt idx="208">
                  <c:v>130.30000000000001</c:v>
                </c:pt>
                <c:pt idx="209">
                  <c:v>133.34</c:v>
                </c:pt>
                <c:pt idx="210">
                  <c:v>128.16</c:v>
                </c:pt>
                <c:pt idx="211">
                  <c:v>133.34</c:v>
                </c:pt>
                <c:pt idx="212">
                  <c:v>128.16</c:v>
                </c:pt>
                <c:pt idx="213">
                  <c:v>132.43</c:v>
                </c:pt>
                <c:pt idx="214">
                  <c:v>128.51499999999999</c:v>
                </c:pt>
                <c:pt idx="215">
                  <c:v>127.39</c:v>
                </c:pt>
                <c:pt idx="216">
                  <c:v>131.54499999999999</c:v>
                </c:pt>
                <c:pt idx="217">
                  <c:v>134.13</c:v>
                </c:pt>
                <c:pt idx="218">
                  <c:v>134.13</c:v>
                </c:pt>
                <c:pt idx="219">
                  <c:v>130.16999999999999</c:v>
                </c:pt>
                <c:pt idx="220">
                  <c:v>131.15</c:v>
                </c:pt>
                <c:pt idx="221">
                  <c:v>135.75</c:v>
                </c:pt>
                <c:pt idx="222">
                  <c:v>133</c:v>
                </c:pt>
                <c:pt idx="223">
                  <c:v>128.01</c:v>
                </c:pt>
                <c:pt idx="224">
                  <c:v>128.01</c:v>
                </c:pt>
                <c:pt idx="225">
                  <c:v>131.44</c:v>
                </c:pt>
                <c:pt idx="226">
                  <c:v>128.75</c:v>
                </c:pt>
                <c:pt idx="227">
                  <c:v>125.77</c:v>
                </c:pt>
                <c:pt idx="228">
                  <c:v>124.44</c:v>
                </c:pt>
                <c:pt idx="229">
                  <c:v>118.06</c:v>
                </c:pt>
                <c:pt idx="230">
                  <c:v>126.59</c:v>
                </c:pt>
                <c:pt idx="231">
                  <c:v>117.01</c:v>
                </c:pt>
                <c:pt idx="232">
                  <c:v>113.76</c:v>
                </c:pt>
                <c:pt idx="233">
                  <c:v>118.96</c:v>
                </c:pt>
                <c:pt idx="234">
                  <c:v>122.71</c:v>
                </c:pt>
                <c:pt idx="235">
                  <c:v>118.91</c:v>
                </c:pt>
                <c:pt idx="236">
                  <c:v>117.46</c:v>
                </c:pt>
                <c:pt idx="237">
                  <c:v>116.37</c:v>
                </c:pt>
                <c:pt idx="238">
                  <c:v>112.81</c:v>
                </c:pt>
                <c:pt idx="239">
                  <c:v>113</c:v>
                </c:pt>
                <c:pt idx="240">
                  <c:v>110.96</c:v>
                </c:pt>
                <c:pt idx="241">
                  <c:v>110.51</c:v>
                </c:pt>
                <c:pt idx="242">
                  <c:v>114.155</c:v>
                </c:pt>
                <c:pt idx="243">
                  <c:v>111.6</c:v>
                </c:pt>
                <c:pt idx="244">
                  <c:v>108.35</c:v>
                </c:pt>
                <c:pt idx="245">
                  <c:v>104.5</c:v>
                </c:pt>
                <c:pt idx="246">
                  <c:v>106.5</c:v>
                </c:pt>
                <c:pt idx="247">
                  <c:v>108.26</c:v>
                </c:pt>
                <c:pt idx="248">
                  <c:v>109</c:v>
                </c:pt>
                <c:pt idx="249">
                  <c:v>107.1</c:v>
                </c:pt>
                <c:pt idx="250">
                  <c:v>111.25</c:v>
                </c:pt>
                <c:pt idx="251">
                  <c:v>113</c:v>
                </c:pt>
                <c:pt idx="252">
                  <c:v>112.14</c:v>
                </c:pt>
                <c:pt idx="253">
                  <c:v>109.12</c:v>
                </c:pt>
                <c:pt idx="254">
                  <c:v>109.5</c:v>
                </c:pt>
                <c:pt idx="255">
                  <c:v>110.6</c:v>
                </c:pt>
                <c:pt idx="256">
                  <c:v>109.16</c:v>
                </c:pt>
                <c:pt idx="257">
                  <c:v>109.1</c:v>
                </c:pt>
                <c:pt idx="258">
                  <c:v>107.6</c:v>
                </c:pt>
                <c:pt idx="259">
                  <c:v>111.35</c:v>
                </c:pt>
                <c:pt idx="260">
                  <c:v>114.3</c:v>
                </c:pt>
                <c:pt idx="261">
                  <c:v>109.88</c:v>
                </c:pt>
                <c:pt idx="262">
                  <c:v>108.25</c:v>
                </c:pt>
                <c:pt idx="263">
                  <c:v>109.88</c:v>
                </c:pt>
                <c:pt idx="264">
                  <c:v>109.9</c:v>
                </c:pt>
                <c:pt idx="265">
                  <c:v>108.96</c:v>
                </c:pt>
                <c:pt idx="266">
                  <c:v>111.1999</c:v>
                </c:pt>
                <c:pt idx="267">
                  <c:v>114.47499999999999</c:v>
                </c:pt>
                <c:pt idx="268">
                  <c:v>115.35</c:v>
                </c:pt>
                <c:pt idx="269">
                  <c:v>114.4</c:v>
                </c:pt>
                <c:pt idx="270">
                  <c:v>116.44</c:v>
                </c:pt>
                <c:pt idx="271">
                  <c:v>118.1</c:v>
                </c:pt>
                <c:pt idx="272">
                  <c:v>120</c:v>
                </c:pt>
                <c:pt idx="273">
                  <c:v>120.95</c:v>
                </c:pt>
                <c:pt idx="274">
                  <c:v>119.94</c:v>
                </c:pt>
                <c:pt idx="275">
                  <c:v>120.22</c:v>
                </c:pt>
                <c:pt idx="276">
                  <c:v>121.24</c:v>
                </c:pt>
                <c:pt idx="277">
                  <c:v>120.5</c:v>
                </c:pt>
                <c:pt idx="278">
                  <c:v>127.28</c:v>
                </c:pt>
                <c:pt idx="279">
                  <c:v>123.85</c:v>
                </c:pt>
                <c:pt idx="280">
                  <c:v>126.44</c:v>
                </c:pt>
                <c:pt idx="281">
                  <c:v>125.94</c:v>
                </c:pt>
                <c:pt idx="282">
                  <c:v>126.2</c:v>
                </c:pt>
                <c:pt idx="283">
                  <c:v>126.4599</c:v>
                </c:pt>
                <c:pt idx="284">
                  <c:v>127.9</c:v>
                </c:pt>
                <c:pt idx="285">
                  <c:v>129.75989999999999</c:v>
                </c:pt>
                <c:pt idx="286">
                  <c:v>130.125</c:v>
                </c:pt>
                <c:pt idx="287">
                  <c:v>130.56</c:v>
                </c:pt>
                <c:pt idx="288">
                  <c:v>133.25</c:v>
                </c:pt>
                <c:pt idx="289">
                  <c:v>133.9</c:v>
                </c:pt>
                <c:pt idx="290">
                  <c:v>131.31</c:v>
                </c:pt>
                <c:pt idx="291">
                  <c:v>132.1</c:v>
                </c:pt>
                <c:pt idx="292">
                  <c:v>138.25</c:v>
                </c:pt>
                <c:pt idx="293">
                  <c:v>137</c:v>
                </c:pt>
                <c:pt idx="294">
                  <c:v>136.75</c:v>
                </c:pt>
                <c:pt idx="295">
                  <c:v>136.75</c:v>
                </c:pt>
                <c:pt idx="296">
                  <c:v>136</c:v>
                </c:pt>
                <c:pt idx="297">
                  <c:v>139.04</c:v>
                </c:pt>
                <c:pt idx="298">
                  <c:v>139.44999999999999</c:v>
                </c:pt>
                <c:pt idx="299">
                  <c:v>138.55009999999999</c:v>
                </c:pt>
                <c:pt idx="300">
                  <c:v>139.5</c:v>
                </c:pt>
                <c:pt idx="301">
                  <c:v>139.75989999999999</c:v>
                </c:pt>
                <c:pt idx="302">
                  <c:v>137.97989999999999</c:v>
                </c:pt>
                <c:pt idx="303">
                  <c:v>135.09989999999999</c:v>
                </c:pt>
                <c:pt idx="304">
                  <c:v>136.52000000000001</c:v>
                </c:pt>
                <c:pt idx="305">
                  <c:v>133.63990000000001</c:v>
                </c:pt>
                <c:pt idx="306">
                  <c:v>134.65</c:v>
                </c:pt>
                <c:pt idx="307">
                  <c:v>134.41990000000001</c:v>
                </c:pt>
                <c:pt idx="308">
                  <c:v>136.4</c:v>
                </c:pt>
                <c:pt idx="309">
                  <c:v>136.66</c:v>
                </c:pt>
                <c:pt idx="310">
                  <c:v>136</c:v>
                </c:pt>
                <c:pt idx="311">
                  <c:v>135.10990000000001</c:v>
                </c:pt>
                <c:pt idx="312">
                  <c:v>136.22</c:v>
                </c:pt>
                <c:pt idx="313">
                  <c:v>136.44</c:v>
                </c:pt>
                <c:pt idx="314">
                  <c:v>138.03989999999999</c:v>
                </c:pt>
                <c:pt idx="315">
                  <c:v>140.96</c:v>
                </c:pt>
                <c:pt idx="316">
                  <c:v>140.26</c:v>
                </c:pt>
                <c:pt idx="317">
                  <c:v>140.25</c:v>
                </c:pt>
                <c:pt idx="318">
                  <c:v>143.96</c:v>
                </c:pt>
                <c:pt idx="319">
                  <c:v>140.94990000000001</c:v>
                </c:pt>
                <c:pt idx="320">
                  <c:v>138.66</c:v>
                </c:pt>
                <c:pt idx="321">
                  <c:v>143.4</c:v>
                </c:pt>
                <c:pt idx="322">
                  <c:v>143.625</c:v>
                </c:pt>
                <c:pt idx="323">
                  <c:v>141.19990000000001</c:v>
                </c:pt>
                <c:pt idx="324">
                  <c:v>140.00989999999999</c:v>
                </c:pt>
                <c:pt idx="325">
                  <c:v>136.46</c:v>
                </c:pt>
                <c:pt idx="326">
                  <c:v>133.68</c:v>
                </c:pt>
                <c:pt idx="327">
                  <c:v>129.5</c:v>
                </c:pt>
                <c:pt idx="328">
                  <c:v>131.72</c:v>
                </c:pt>
                <c:pt idx="329">
                  <c:v>130.65</c:v>
                </c:pt>
                <c:pt idx="330">
                  <c:v>129.81989999999999</c:v>
                </c:pt>
                <c:pt idx="331">
                  <c:v>129.36000000000001</c:v>
                </c:pt>
                <c:pt idx="332">
                  <c:v>128</c:v>
                </c:pt>
                <c:pt idx="333">
                  <c:v>127.8</c:v>
                </c:pt>
                <c:pt idx="334">
                  <c:v>127.08</c:v>
                </c:pt>
                <c:pt idx="335">
                  <c:v>128.4</c:v>
                </c:pt>
                <c:pt idx="336">
                  <c:v>125.92</c:v>
                </c:pt>
                <c:pt idx="337">
                  <c:v>128.69999999999999</c:v>
                </c:pt>
                <c:pt idx="338">
                  <c:v>128.01</c:v>
                </c:pt>
                <c:pt idx="339">
                  <c:v>136.25</c:v>
                </c:pt>
                <c:pt idx="340">
                  <c:v>139.28</c:v>
                </c:pt>
                <c:pt idx="341">
                  <c:v>139.28</c:v>
                </c:pt>
                <c:pt idx="342">
                  <c:v>137.25</c:v>
                </c:pt>
                <c:pt idx="343">
                  <c:v>140.78</c:v>
                </c:pt>
                <c:pt idx="344">
                  <c:v>137.94</c:v>
                </c:pt>
                <c:pt idx="345">
                  <c:v>136.4</c:v>
                </c:pt>
                <c:pt idx="346">
                  <c:v>140.52000000000001</c:v>
                </c:pt>
                <c:pt idx="347">
                  <c:v>140.04</c:v>
                </c:pt>
                <c:pt idx="348">
                  <c:v>134.74</c:v>
                </c:pt>
                <c:pt idx="349">
                  <c:v>133.83000000000001</c:v>
                </c:pt>
                <c:pt idx="350">
                  <c:v>135.32</c:v>
                </c:pt>
                <c:pt idx="351">
                  <c:v>129.22</c:v>
                </c:pt>
                <c:pt idx="352">
                  <c:v>128.6</c:v>
                </c:pt>
                <c:pt idx="353">
                  <c:v>131.56</c:v>
                </c:pt>
                <c:pt idx="354">
                  <c:v>130</c:v>
                </c:pt>
                <c:pt idx="355">
                  <c:v>130.19999999999999</c:v>
                </c:pt>
                <c:pt idx="356">
                  <c:v>128.9</c:v>
                </c:pt>
                <c:pt idx="357">
                  <c:v>127.63</c:v>
                </c:pt>
                <c:pt idx="358">
                  <c:v>127.34990000000001</c:v>
                </c:pt>
                <c:pt idx="359">
                  <c:v>129.84</c:v>
                </c:pt>
                <c:pt idx="360">
                  <c:v>129.25</c:v>
                </c:pt>
                <c:pt idx="361">
                  <c:v>131.24</c:v>
                </c:pt>
                <c:pt idx="362">
                  <c:v>127.84</c:v>
                </c:pt>
                <c:pt idx="363">
                  <c:v>130.06</c:v>
                </c:pt>
                <c:pt idx="364">
                  <c:v>130.55500000000001</c:v>
                </c:pt>
                <c:pt idx="365">
                  <c:v>133.12</c:v>
                </c:pt>
                <c:pt idx="366">
                  <c:v>134.74</c:v>
                </c:pt>
                <c:pt idx="367">
                  <c:v>135.56</c:v>
                </c:pt>
                <c:pt idx="368">
                  <c:v>133.78</c:v>
                </c:pt>
                <c:pt idx="369">
                  <c:v>136.69999999999999</c:v>
                </c:pt>
                <c:pt idx="370">
                  <c:v>137.3425</c:v>
                </c:pt>
                <c:pt idx="371">
                  <c:v>138.68</c:v>
                </c:pt>
                <c:pt idx="372">
                  <c:v>136.30000000000001</c:v>
                </c:pt>
                <c:pt idx="373">
                  <c:v>139.30000000000001</c:v>
                </c:pt>
                <c:pt idx="374">
                  <c:v>140.16</c:v>
                </c:pt>
                <c:pt idx="375">
                  <c:v>137.5</c:v>
                </c:pt>
                <c:pt idx="376">
                  <c:v>141.44999999999999</c:v>
                </c:pt>
                <c:pt idx="377">
                  <c:v>142.84989999999999</c:v>
                </c:pt>
                <c:pt idx="378">
                  <c:v>142.84989999999999</c:v>
                </c:pt>
                <c:pt idx="379">
                  <c:v>144.76</c:v>
                </c:pt>
                <c:pt idx="380">
                  <c:v>142.75</c:v>
                </c:pt>
                <c:pt idx="381">
                  <c:v>147.25</c:v>
                </c:pt>
                <c:pt idx="382">
                  <c:v>149.65</c:v>
                </c:pt>
                <c:pt idx="383">
                  <c:v>146.08000000000001</c:v>
                </c:pt>
                <c:pt idx="384">
                  <c:v>146.78</c:v>
                </c:pt>
                <c:pt idx="385">
                  <c:v>148.88</c:v>
                </c:pt>
                <c:pt idx="386">
                  <c:v>147.78</c:v>
                </c:pt>
                <c:pt idx="387">
                  <c:v>147.60990000000001</c:v>
                </c:pt>
                <c:pt idx="388">
                  <c:v>151.74</c:v>
                </c:pt>
                <c:pt idx="389">
                  <c:v>153.1</c:v>
                </c:pt>
                <c:pt idx="390">
                  <c:v>151</c:v>
                </c:pt>
                <c:pt idx="391">
                  <c:v>147.15</c:v>
                </c:pt>
                <c:pt idx="392">
                  <c:v>146</c:v>
                </c:pt>
                <c:pt idx="393">
                  <c:v>146.55000000000001</c:v>
                </c:pt>
                <c:pt idx="394">
                  <c:v>146.31</c:v>
                </c:pt>
                <c:pt idx="395">
                  <c:v>146.15</c:v>
                </c:pt>
                <c:pt idx="396">
                  <c:v>151.30000000000001</c:v>
                </c:pt>
                <c:pt idx="397">
                  <c:v>150.5</c:v>
                </c:pt>
                <c:pt idx="398">
                  <c:v>148.5</c:v>
                </c:pt>
                <c:pt idx="399">
                  <c:v>147.05009999999999</c:v>
                </c:pt>
                <c:pt idx="400">
                  <c:v>149.09989999999999</c:v>
                </c:pt>
                <c:pt idx="401">
                  <c:v>151</c:v>
                </c:pt>
                <c:pt idx="402">
                  <c:v>150.63999999999999</c:v>
                </c:pt>
                <c:pt idx="403">
                  <c:v>145.80009999999999</c:v>
                </c:pt>
                <c:pt idx="404">
                  <c:v>149.44990000000001</c:v>
                </c:pt>
                <c:pt idx="405">
                  <c:v>151.19999999999999</c:v>
                </c:pt>
                <c:pt idx="406">
                  <c:v>147.19999999999999</c:v>
                </c:pt>
                <c:pt idx="407">
                  <c:v>146.44</c:v>
                </c:pt>
                <c:pt idx="408">
                  <c:v>150.96</c:v>
                </c:pt>
                <c:pt idx="409">
                  <c:v>147.9</c:v>
                </c:pt>
                <c:pt idx="410">
                  <c:v>147.94</c:v>
                </c:pt>
                <c:pt idx="411">
                  <c:v>143.75</c:v>
                </c:pt>
                <c:pt idx="412">
                  <c:v>145.26</c:v>
                </c:pt>
                <c:pt idx="413">
                  <c:v>144.55000000000001</c:v>
                </c:pt>
                <c:pt idx="414">
                  <c:v>141.13990000000001</c:v>
                </c:pt>
                <c:pt idx="415">
                  <c:v>146.08000000000001</c:v>
                </c:pt>
                <c:pt idx="416">
                  <c:v>147.69999999999999</c:v>
                </c:pt>
                <c:pt idx="417">
                  <c:v>147.12</c:v>
                </c:pt>
                <c:pt idx="418">
                  <c:v>145.1875</c:v>
                </c:pt>
                <c:pt idx="419">
                  <c:v>145.44999999999999</c:v>
                </c:pt>
                <c:pt idx="420">
                  <c:v>146.9</c:v>
                </c:pt>
                <c:pt idx="421">
                  <c:v>144.5</c:v>
                </c:pt>
                <c:pt idx="422">
                  <c:v>149.30000000000001</c:v>
                </c:pt>
                <c:pt idx="423">
                  <c:v>148.86000000000001</c:v>
                </c:pt>
                <c:pt idx="424">
                  <c:v>149.5</c:v>
                </c:pt>
                <c:pt idx="425">
                  <c:v>146.875</c:v>
                </c:pt>
                <c:pt idx="426">
                  <c:v>149.25</c:v>
                </c:pt>
                <c:pt idx="427">
                  <c:v>149.51</c:v>
                </c:pt>
                <c:pt idx="428">
                  <c:v>149.25</c:v>
                </c:pt>
                <c:pt idx="429">
                  <c:v>148.66</c:v>
                </c:pt>
                <c:pt idx="430">
                  <c:v>146.68</c:v>
                </c:pt>
                <c:pt idx="431">
                  <c:v>146.15</c:v>
                </c:pt>
                <c:pt idx="432">
                  <c:v>142.75</c:v>
                </c:pt>
                <c:pt idx="433">
                  <c:v>142.75</c:v>
                </c:pt>
                <c:pt idx="434">
                  <c:v>140.4</c:v>
                </c:pt>
                <c:pt idx="435">
                  <c:v>142.91</c:v>
                </c:pt>
                <c:pt idx="436">
                  <c:v>143.9</c:v>
                </c:pt>
                <c:pt idx="437">
                  <c:v>133.23500000000001</c:v>
                </c:pt>
                <c:pt idx="438">
                  <c:v>134</c:v>
                </c:pt>
                <c:pt idx="439">
                  <c:v>132.44</c:v>
                </c:pt>
                <c:pt idx="440">
                  <c:v>127.75</c:v>
                </c:pt>
                <c:pt idx="441">
                  <c:v>131.25</c:v>
                </c:pt>
                <c:pt idx="442">
                  <c:v>131.25</c:v>
                </c:pt>
                <c:pt idx="443">
                  <c:v>134.32</c:v>
                </c:pt>
                <c:pt idx="444">
                  <c:v>133.59989999999999</c:v>
                </c:pt>
                <c:pt idx="445">
                  <c:v>138.62</c:v>
                </c:pt>
                <c:pt idx="446">
                  <c:v>135.78</c:v>
                </c:pt>
                <c:pt idx="447">
                  <c:v>134.44999999999999</c:v>
                </c:pt>
                <c:pt idx="448">
                  <c:v>137.06</c:v>
                </c:pt>
                <c:pt idx="449">
                  <c:v>138</c:v>
                </c:pt>
                <c:pt idx="450">
                  <c:v>136.91990000000001</c:v>
                </c:pt>
                <c:pt idx="451">
                  <c:v>139.28</c:v>
                </c:pt>
                <c:pt idx="452">
                  <c:v>137.09989999999999</c:v>
                </c:pt>
                <c:pt idx="453">
                  <c:v>140.5</c:v>
                </c:pt>
                <c:pt idx="454">
                  <c:v>140.44999999999999</c:v>
                </c:pt>
                <c:pt idx="455">
                  <c:v>140.84</c:v>
                </c:pt>
                <c:pt idx="456">
                  <c:v>144.82</c:v>
                </c:pt>
                <c:pt idx="457">
                  <c:v>142.85</c:v>
                </c:pt>
                <c:pt idx="458">
                  <c:v>139.125</c:v>
                </c:pt>
                <c:pt idx="459">
                  <c:v>139.01</c:v>
                </c:pt>
                <c:pt idx="460">
                  <c:v>140.24</c:v>
                </c:pt>
                <c:pt idx="461">
                  <c:v>141.28</c:v>
                </c:pt>
                <c:pt idx="462">
                  <c:v>141.35</c:v>
                </c:pt>
                <c:pt idx="463">
                  <c:v>141.35</c:v>
                </c:pt>
                <c:pt idx="464">
                  <c:v>137.94999999999999</c:v>
                </c:pt>
                <c:pt idx="465">
                  <c:v>141.52000000000001</c:v>
                </c:pt>
                <c:pt idx="466">
                  <c:v>143.19999999999999</c:v>
                </c:pt>
                <c:pt idx="467">
                  <c:v>137.56</c:v>
                </c:pt>
                <c:pt idx="468">
                  <c:v>137.56</c:v>
                </c:pt>
                <c:pt idx="469">
                  <c:v>137.47489999999999</c:v>
                </c:pt>
                <c:pt idx="470">
                  <c:v>136.03</c:v>
                </c:pt>
                <c:pt idx="471">
                  <c:v>136.94999999999999</c:v>
                </c:pt>
                <c:pt idx="472">
                  <c:v>135.80000000000001</c:v>
                </c:pt>
                <c:pt idx="473">
                  <c:v>139.35</c:v>
                </c:pt>
                <c:pt idx="474">
                  <c:v>136</c:v>
                </c:pt>
                <c:pt idx="475">
                  <c:v>135.971</c:v>
                </c:pt>
                <c:pt idx="476">
                  <c:v>136.63999999999999</c:v>
                </c:pt>
                <c:pt idx="477">
                  <c:v>139.1</c:v>
                </c:pt>
                <c:pt idx="478">
                  <c:v>136.72499999999999</c:v>
                </c:pt>
                <c:pt idx="479">
                  <c:v>134.03989999999999</c:v>
                </c:pt>
                <c:pt idx="480">
                  <c:v>136</c:v>
                </c:pt>
                <c:pt idx="481">
                  <c:v>133.9</c:v>
                </c:pt>
                <c:pt idx="482">
                  <c:v>133.9</c:v>
                </c:pt>
                <c:pt idx="483">
                  <c:v>134.68</c:v>
                </c:pt>
                <c:pt idx="484">
                  <c:v>135.69999999999999</c:v>
                </c:pt>
                <c:pt idx="485">
                  <c:v>135.69999999999999</c:v>
                </c:pt>
                <c:pt idx="486">
                  <c:v>132.22499999999999</c:v>
                </c:pt>
                <c:pt idx="487">
                  <c:v>130.08000000000001</c:v>
                </c:pt>
                <c:pt idx="488">
                  <c:v>133</c:v>
                </c:pt>
                <c:pt idx="489">
                  <c:v>138.28</c:v>
                </c:pt>
                <c:pt idx="490">
                  <c:v>131.45490000000001</c:v>
                </c:pt>
                <c:pt idx="491">
                  <c:v>130.67500000000001</c:v>
                </c:pt>
                <c:pt idx="492">
                  <c:v>136.34</c:v>
                </c:pt>
                <c:pt idx="493">
                  <c:v>133.94999999999999</c:v>
                </c:pt>
                <c:pt idx="494">
                  <c:v>137.93</c:v>
                </c:pt>
                <c:pt idx="495">
                  <c:v>136.99</c:v>
                </c:pt>
                <c:pt idx="496">
                  <c:v>134.94990000000001</c:v>
                </c:pt>
                <c:pt idx="497">
                  <c:v>133.16</c:v>
                </c:pt>
                <c:pt idx="498">
                  <c:v>136.15</c:v>
                </c:pt>
                <c:pt idx="499">
                  <c:v>135.05000000000001</c:v>
                </c:pt>
                <c:pt idx="500">
                  <c:v>133.1</c:v>
                </c:pt>
                <c:pt idx="501">
                  <c:v>132.93</c:v>
                </c:pt>
                <c:pt idx="502">
                  <c:v>134.15</c:v>
                </c:pt>
                <c:pt idx="503">
                  <c:v>134.9</c:v>
                </c:pt>
                <c:pt idx="504">
                  <c:v>133.47989999999999</c:v>
                </c:pt>
                <c:pt idx="505">
                  <c:v>134.13999999999999</c:v>
                </c:pt>
                <c:pt idx="506">
                  <c:v>134.38</c:v>
                </c:pt>
                <c:pt idx="507">
                  <c:v>133.97200000000001</c:v>
                </c:pt>
                <c:pt idx="508">
                  <c:v>135.5</c:v>
                </c:pt>
                <c:pt idx="509">
                  <c:v>135.5</c:v>
                </c:pt>
                <c:pt idx="510">
                  <c:v>134.16</c:v>
                </c:pt>
                <c:pt idx="511">
                  <c:v>137.05000000000001</c:v>
                </c:pt>
                <c:pt idx="512">
                  <c:v>130.88999999999999</c:v>
                </c:pt>
                <c:pt idx="513">
                  <c:v>127.58</c:v>
                </c:pt>
                <c:pt idx="514">
                  <c:v>127.86</c:v>
                </c:pt>
                <c:pt idx="515">
                  <c:v>123.75</c:v>
                </c:pt>
                <c:pt idx="516">
                  <c:v>127.15</c:v>
                </c:pt>
                <c:pt idx="517">
                  <c:v>126.44499999999999</c:v>
                </c:pt>
                <c:pt idx="518">
                  <c:v>125.27500000000001</c:v>
                </c:pt>
                <c:pt idx="519">
                  <c:v>121.45</c:v>
                </c:pt>
                <c:pt idx="520">
                  <c:v>123.97499999999999</c:v>
                </c:pt>
                <c:pt idx="521">
                  <c:v>122.7599</c:v>
                </c:pt>
                <c:pt idx="522">
                  <c:v>128.58000000000001</c:v>
                </c:pt>
                <c:pt idx="523">
                  <c:v>126.8199</c:v>
                </c:pt>
                <c:pt idx="524">
                  <c:v>126.3</c:v>
                </c:pt>
                <c:pt idx="525">
                  <c:v>126.8199</c:v>
                </c:pt>
                <c:pt idx="526">
                  <c:v>125.25</c:v>
                </c:pt>
                <c:pt idx="527">
                  <c:v>125.08</c:v>
                </c:pt>
                <c:pt idx="528">
                  <c:v>126.87</c:v>
                </c:pt>
                <c:pt idx="529">
                  <c:v>124.285</c:v>
                </c:pt>
                <c:pt idx="530">
                  <c:v>124.75</c:v>
                </c:pt>
                <c:pt idx="531">
                  <c:v>125.8</c:v>
                </c:pt>
                <c:pt idx="532">
                  <c:v>125.16</c:v>
                </c:pt>
                <c:pt idx="533">
                  <c:v>125.15</c:v>
                </c:pt>
                <c:pt idx="534">
                  <c:v>128</c:v>
                </c:pt>
                <c:pt idx="535">
                  <c:v>126.14</c:v>
                </c:pt>
                <c:pt idx="536">
                  <c:v>125.642</c:v>
                </c:pt>
                <c:pt idx="537">
                  <c:v>126.54</c:v>
                </c:pt>
                <c:pt idx="538">
                  <c:v>128.55000000000001</c:v>
                </c:pt>
                <c:pt idx="539">
                  <c:v>128.76</c:v>
                </c:pt>
                <c:pt idx="540">
                  <c:v>124.9599</c:v>
                </c:pt>
                <c:pt idx="541">
                  <c:v>126.8199</c:v>
                </c:pt>
                <c:pt idx="542">
                  <c:v>128.5</c:v>
                </c:pt>
                <c:pt idx="543">
                  <c:v>125</c:v>
                </c:pt>
                <c:pt idx="544">
                  <c:v>128.52000000000001</c:v>
                </c:pt>
                <c:pt idx="545">
                  <c:v>125.75</c:v>
                </c:pt>
                <c:pt idx="546">
                  <c:v>125.5</c:v>
                </c:pt>
                <c:pt idx="547">
                  <c:v>125.4</c:v>
                </c:pt>
                <c:pt idx="548">
                  <c:v>125.06</c:v>
                </c:pt>
                <c:pt idx="549">
                  <c:v>125.2</c:v>
                </c:pt>
                <c:pt idx="550">
                  <c:v>126.48</c:v>
                </c:pt>
                <c:pt idx="551">
                  <c:v>129.25989999999999</c:v>
                </c:pt>
                <c:pt idx="552">
                  <c:v>132.495</c:v>
                </c:pt>
                <c:pt idx="553">
                  <c:v>131.28</c:v>
                </c:pt>
                <c:pt idx="554">
                  <c:v>128</c:v>
                </c:pt>
                <c:pt idx="555">
                  <c:v>132.88</c:v>
                </c:pt>
                <c:pt idx="556">
                  <c:v>131.125</c:v>
                </c:pt>
                <c:pt idx="557">
                  <c:v>130.5</c:v>
                </c:pt>
                <c:pt idx="558">
                  <c:v>130.9</c:v>
                </c:pt>
                <c:pt idx="559">
                  <c:v>134.4</c:v>
                </c:pt>
                <c:pt idx="560">
                  <c:v>133.09989999999999</c:v>
                </c:pt>
                <c:pt idx="561">
                  <c:v>136.32</c:v>
                </c:pt>
                <c:pt idx="562">
                  <c:v>134.44999999999999</c:v>
                </c:pt>
                <c:pt idx="563">
                  <c:v>132.81229999999999</c:v>
                </c:pt>
                <c:pt idx="564">
                  <c:v>138.46</c:v>
                </c:pt>
                <c:pt idx="565">
                  <c:v>137.05000000000001</c:v>
                </c:pt>
                <c:pt idx="566">
                  <c:v>135.66</c:v>
                </c:pt>
                <c:pt idx="567">
                  <c:v>139.5</c:v>
                </c:pt>
                <c:pt idx="568">
                  <c:v>139.56</c:v>
                </c:pt>
                <c:pt idx="569">
                  <c:v>137.22489999999999</c:v>
                </c:pt>
                <c:pt idx="570">
                  <c:v>137.02000000000001</c:v>
                </c:pt>
                <c:pt idx="571">
                  <c:v>139.76</c:v>
                </c:pt>
                <c:pt idx="572">
                  <c:v>132.96</c:v>
                </c:pt>
                <c:pt idx="573">
                  <c:v>134</c:v>
                </c:pt>
                <c:pt idx="574">
                  <c:v>132.25</c:v>
                </c:pt>
                <c:pt idx="575">
                  <c:v>131.80000000000001</c:v>
                </c:pt>
                <c:pt idx="576">
                  <c:v>136.28</c:v>
                </c:pt>
                <c:pt idx="577">
                  <c:v>134.9</c:v>
                </c:pt>
                <c:pt idx="578">
                  <c:v>131.91990000000001</c:v>
                </c:pt>
                <c:pt idx="579">
                  <c:v>132.03989999999999</c:v>
                </c:pt>
                <c:pt idx="580">
                  <c:v>131.75</c:v>
                </c:pt>
                <c:pt idx="581">
                  <c:v>132.47989999999999</c:v>
                </c:pt>
                <c:pt idx="582">
                  <c:v>131.25</c:v>
                </c:pt>
                <c:pt idx="583">
                  <c:v>132.4</c:v>
                </c:pt>
                <c:pt idx="584">
                  <c:v>132.12</c:v>
                </c:pt>
                <c:pt idx="585">
                  <c:v>131.9</c:v>
                </c:pt>
                <c:pt idx="586">
                  <c:v>128.04</c:v>
                </c:pt>
                <c:pt idx="587">
                  <c:v>133.84</c:v>
                </c:pt>
                <c:pt idx="588">
                  <c:v>133.34</c:v>
                </c:pt>
                <c:pt idx="589">
                  <c:v>125</c:v>
                </c:pt>
                <c:pt idx="590">
                  <c:v>123.5</c:v>
                </c:pt>
                <c:pt idx="591">
                  <c:v>120.6649</c:v>
                </c:pt>
                <c:pt idx="592">
                  <c:v>123.5</c:v>
                </c:pt>
                <c:pt idx="593">
                  <c:v>121.8</c:v>
                </c:pt>
                <c:pt idx="594">
                  <c:v>124</c:v>
                </c:pt>
                <c:pt idx="595">
                  <c:v>127.38</c:v>
                </c:pt>
                <c:pt idx="596">
                  <c:v>128.5</c:v>
                </c:pt>
                <c:pt idx="597">
                  <c:v>127</c:v>
                </c:pt>
                <c:pt idx="598">
                  <c:v>126.4684</c:v>
                </c:pt>
                <c:pt idx="599">
                  <c:v>129.15</c:v>
                </c:pt>
                <c:pt idx="600">
                  <c:v>129.99</c:v>
                </c:pt>
                <c:pt idx="601">
                  <c:v>131</c:v>
                </c:pt>
                <c:pt idx="602">
                  <c:v>131</c:v>
                </c:pt>
                <c:pt idx="603">
                  <c:v>126.625</c:v>
                </c:pt>
                <c:pt idx="604">
                  <c:v>130</c:v>
                </c:pt>
                <c:pt idx="605">
                  <c:v>129.65</c:v>
                </c:pt>
                <c:pt idx="606">
                  <c:v>126</c:v>
                </c:pt>
                <c:pt idx="607">
                  <c:v>128.9</c:v>
                </c:pt>
                <c:pt idx="608">
                  <c:v>129.25</c:v>
                </c:pt>
                <c:pt idx="609">
                  <c:v>131.125</c:v>
                </c:pt>
                <c:pt idx="610">
                  <c:v>133.375</c:v>
                </c:pt>
                <c:pt idx="611">
                  <c:v>133.31989999999999</c:v>
                </c:pt>
                <c:pt idx="612">
                  <c:v>136.4</c:v>
                </c:pt>
                <c:pt idx="613">
                  <c:v>134.125</c:v>
                </c:pt>
                <c:pt idx="614">
                  <c:v>131.41990000000001</c:v>
                </c:pt>
                <c:pt idx="615">
                  <c:v>130.91</c:v>
                </c:pt>
                <c:pt idx="616">
                  <c:v>129.94</c:v>
                </c:pt>
                <c:pt idx="617">
                  <c:v>130.99</c:v>
                </c:pt>
                <c:pt idx="618">
                  <c:v>131</c:v>
                </c:pt>
                <c:pt idx="619">
                  <c:v>132.37</c:v>
                </c:pt>
                <c:pt idx="620">
                  <c:v>133.22</c:v>
                </c:pt>
                <c:pt idx="621">
                  <c:v>130.55000000000001</c:v>
                </c:pt>
                <c:pt idx="622">
                  <c:v>134.70490000000001</c:v>
                </c:pt>
                <c:pt idx="623">
                  <c:v>136.96</c:v>
                </c:pt>
                <c:pt idx="624">
                  <c:v>135.80000000000001</c:v>
                </c:pt>
                <c:pt idx="625">
                  <c:v>131.66</c:v>
                </c:pt>
                <c:pt idx="626">
                  <c:v>131.76490000000001</c:v>
                </c:pt>
                <c:pt idx="627">
                  <c:v>137.35</c:v>
                </c:pt>
                <c:pt idx="628">
                  <c:v>133.22</c:v>
                </c:pt>
                <c:pt idx="629">
                  <c:v>136.63999999999999</c:v>
                </c:pt>
                <c:pt idx="630">
                  <c:v>134.75989999999999</c:v>
                </c:pt>
                <c:pt idx="631">
                  <c:v>136.25</c:v>
                </c:pt>
                <c:pt idx="632">
                  <c:v>136.5</c:v>
                </c:pt>
                <c:pt idx="633">
                  <c:v>138.88</c:v>
                </c:pt>
                <c:pt idx="634">
                  <c:v>135.94</c:v>
                </c:pt>
                <c:pt idx="635">
                  <c:v>135.30500000000001</c:v>
                </c:pt>
                <c:pt idx="636">
                  <c:v>140.15</c:v>
                </c:pt>
                <c:pt idx="637">
                  <c:v>138.24</c:v>
                </c:pt>
                <c:pt idx="638">
                  <c:v>136.19999999999999</c:v>
                </c:pt>
                <c:pt idx="639">
                  <c:v>138.72999999999999</c:v>
                </c:pt>
                <c:pt idx="640">
                  <c:v>140.30000000000001</c:v>
                </c:pt>
                <c:pt idx="641">
                  <c:v>135.35</c:v>
                </c:pt>
                <c:pt idx="642">
                  <c:v>146.0549</c:v>
                </c:pt>
                <c:pt idx="643">
                  <c:v>145.1</c:v>
                </c:pt>
                <c:pt idx="644">
                  <c:v>146.25</c:v>
                </c:pt>
                <c:pt idx="645">
                  <c:v>151</c:v>
                </c:pt>
                <c:pt idx="646">
                  <c:v>151.024</c:v>
                </c:pt>
                <c:pt idx="647">
                  <c:v>153.47999999999999</c:v>
                </c:pt>
                <c:pt idx="648">
                  <c:v>149.245</c:v>
                </c:pt>
                <c:pt idx="649">
                  <c:v>148.22999999999999</c:v>
                </c:pt>
                <c:pt idx="650">
                  <c:v>146.65</c:v>
                </c:pt>
                <c:pt idx="651">
                  <c:v>152.4</c:v>
                </c:pt>
                <c:pt idx="652">
                  <c:v>152.33000000000001</c:v>
                </c:pt>
                <c:pt idx="653">
                  <c:v>156.00729999999999</c:v>
                </c:pt>
                <c:pt idx="654">
                  <c:v>155.84</c:v>
                </c:pt>
                <c:pt idx="655">
                  <c:v>152.87989999999999</c:v>
                </c:pt>
                <c:pt idx="656">
                  <c:v>153</c:v>
                </c:pt>
                <c:pt idx="657">
                  <c:v>155.72</c:v>
                </c:pt>
                <c:pt idx="658">
                  <c:v>155.26</c:v>
                </c:pt>
                <c:pt idx="659">
                  <c:v>154.61000000000001</c:v>
                </c:pt>
                <c:pt idx="660">
                  <c:v>159.06</c:v>
                </c:pt>
                <c:pt idx="661">
                  <c:v>158.74</c:v>
                </c:pt>
                <c:pt idx="662">
                  <c:v>159.36000000000001</c:v>
                </c:pt>
                <c:pt idx="663">
                  <c:v>159.12</c:v>
                </c:pt>
                <c:pt idx="664">
                  <c:v>158.5</c:v>
                </c:pt>
                <c:pt idx="665">
                  <c:v>146.19999999999999</c:v>
                </c:pt>
                <c:pt idx="666">
                  <c:v>146.19999999999999</c:v>
                </c:pt>
                <c:pt idx="667">
                  <c:v>153.78</c:v>
                </c:pt>
                <c:pt idx="668">
                  <c:v>158.43</c:v>
                </c:pt>
                <c:pt idx="669">
                  <c:v>156.35</c:v>
                </c:pt>
                <c:pt idx="670">
                  <c:v>160.1</c:v>
                </c:pt>
                <c:pt idx="671">
                  <c:v>159.96</c:v>
                </c:pt>
                <c:pt idx="672">
                  <c:v>159.96</c:v>
                </c:pt>
                <c:pt idx="673">
                  <c:v>159.37989999999999</c:v>
                </c:pt>
                <c:pt idx="674">
                  <c:v>161</c:v>
                </c:pt>
                <c:pt idx="675">
                  <c:v>160.44999999999999</c:v>
                </c:pt>
                <c:pt idx="676">
                  <c:v>160.44999999999999</c:v>
                </c:pt>
                <c:pt idx="677">
                  <c:v>160.41999999999999</c:v>
                </c:pt>
                <c:pt idx="678">
                  <c:v>160.41999999999999</c:v>
                </c:pt>
                <c:pt idx="679">
                  <c:v>158.80000000000001</c:v>
                </c:pt>
                <c:pt idx="680">
                  <c:v>152</c:v>
                </c:pt>
                <c:pt idx="681">
                  <c:v>152</c:v>
                </c:pt>
                <c:pt idx="682">
                  <c:v>152.11000000000001</c:v>
                </c:pt>
                <c:pt idx="683">
                  <c:v>157.87989999999999</c:v>
                </c:pt>
                <c:pt idx="684">
                  <c:v>157.87989999999999</c:v>
                </c:pt>
                <c:pt idx="685">
                  <c:v>158.63999999999999</c:v>
                </c:pt>
                <c:pt idx="686">
                  <c:v>156.26750000000001</c:v>
                </c:pt>
                <c:pt idx="687">
                  <c:v>157.5</c:v>
                </c:pt>
                <c:pt idx="688">
                  <c:v>154.72</c:v>
                </c:pt>
                <c:pt idx="689">
                  <c:v>147.15</c:v>
                </c:pt>
                <c:pt idx="690">
                  <c:v>148.69999999999999</c:v>
                </c:pt>
                <c:pt idx="691">
                  <c:v>157</c:v>
                </c:pt>
                <c:pt idx="692">
                  <c:v>154.35</c:v>
                </c:pt>
                <c:pt idx="693">
                  <c:v>153.86000000000001</c:v>
                </c:pt>
                <c:pt idx="694">
                  <c:v>153.41</c:v>
                </c:pt>
                <c:pt idx="695">
                  <c:v>153.41</c:v>
                </c:pt>
                <c:pt idx="696">
                  <c:v>156.13990000000001</c:v>
                </c:pt>
                <c:pt idx="697">
                  <c:v>156.18</c:v>
                </c:pt>
                <c:pt idx="698">
                  <c:v>156.18</c:v>
                </c:pt>
                <c:pt idx="699">
                  <c:v>154.33029999999999</c:v>
                </c:pt>
                <c:pt idx="700">
                  <c:v>154.30000000000001</c:v>
                </c:pt>
                <c:pt idx="701">
                  <c:v>157.85</c:v>
                </c:pt>
                <c:pt idx="702">
                  <c:v>159.85</c:v>
                </c:pt>
                <c:pt idx="703">
                  <c:v>157.25</c:v>
                </c:pt>
                <c:pt idx="704">
                  <c:v>155.47999999999999</c:v>
                </c:pt>
                <c:pt idx="705">
                  <c:v>159.465</c:v>
                </c:pt>
                <c:pt idx="706">
                  <c:v>156.28</c:v>
                </c:pt>
                <c:pt idx="707">
                  <c:v>156.28</c:v>
                </c:pt>
                <c:pt idx="708">
                  <c:v>156.35</c:v>
                </c:pt>
                <c:pt idx="709">
                  <c:v>160.6</c:v>
                </c:pt>
                <c:pt idx="710">
                  <c:v>164.02</c:v>
                </c:pt>
                <c:pt idx="711">
                  <c:v>156.88</c:v>
                </c:pt>
                <c:pt idx="712">
                  <c:v>152.94999999999999</c:v>
                </c:pt>
                <c:pt idx="713">
                  <c:v>159.75989999999999</c:v>
                </c:pt>
                <c:pt idx="714">
                  <c:v>165.6</c:v>
                </c:pt>
                <c:pt idx="715">
                  <c:v>165.6</c:v>
                </c:pt>
                <c:pt idx="716">
                  <c:v>160.7099</c:v>
                </c:pt>
                <c:pt idx="717">
                  <c:v>163.56</c:v>
                </c:pt>
                <c:pt idx="718">
                  <c:v>166</c:v>
                </c:pt>
                <c:pt idx="719">
                  <c:v>167</c:v>
                </c:pt>
                <c:pt idx="720">
                  <c:v>169.9</c:v>
                </c:pt>
                <c:pt idx="721">
                  <c:v>164.41300000000001</c:v>
                </c:pt>
                <c:pt idx="722">
                  <c:v>169.25</c:v>
                </c:pt>
                <c:pt idx="723">
                  <c:v>169.25</c:v>
                </c:pt>
                <c:pt idx="724">
                  <c:v>169.5</c:v>
                </c:pt>
                <c:pt idx="725">
                  <c:v>169.55</c:v>
                </c:pt>
                <c:pt idx="726">
                  <c:v>174.9</c:v>
                </c:pt>
                <c:pt idx="727">
                  <c:v>171</c:v>
                </c:pt>
                <c:pt idx="728">
                  <c:v>173.625</c:v>
                </c:pt>
                <c:pt idx="729">
                  <c:v>172.01990000000001</c:v>
                </c:pt>
                <c:pt idx="730">
                  <c:v>175</c:v>
                </c:pt>
                <c:pt idx="731">
                  <c:v>172.8</c:v>
                </c:pt>
                <c:pt idx="732">
                  <c:v>169.78</c:v>
                </c:pt>
                <c:pt idx="733">
                  <c:v>164.76</c:v>
                </c:pt>
                <c:pt idx="734">
                  <c:v>168.97499999999999</c:v>
                </c:pt>
                <c:pt idx="735">
                  <c:v>160.08000000000001</c:v>
                </c:pt>
                <c:pt idx="736">
                  <c:v>160.24</c:v>
                </c:pt>
                <c:pt idx="737">
                  <c:v>160.24</c:v>
                </c:pt>
                <c:pt idx="738">
                  <c:v>156.37989999999999</c:v>
                </c:pt>
                <c:pt idx="739">
                  <c:v>158.13999999999999</c:v>
                </c:pt>
                <c:pt idx="740">
                  <c:v>157</c:v>
                </c:pt>
                <c:pt idx="741">
                  <c:v>157.80160000000001</c:v>
                </c:pt>
                <c:pt idx="742">
                  <c:v>163.97</c:v>
                </c:pt>
                <c:pt idx="743">
                  <c:v>157.73269999999999</c:v>
                </c:pt>
                <c:pt idx="744">
                  <c:v>155.13990000000001</c:v>
                </c:pt>
                <c:pt idx="745">
                  <c:v>155.13990000000001</c:v>
                </c:pt>
                <c:pt idx="746">
                  <c:v>149.34</c:v>
                </c:pt>
                <c:pt idx="747">
                  <c:v>153.30000000000001</c:v>
                </c:pt>
                <c:pt idx="748">
                  <c:v>153.30000000000001</c:v>
                </c:pt>
                <c:pt idx="749">
                  <c:v>154.46</c:v>
                </c:pt>
                <c:pt idx="750">
                  <c:v>154.46</c:v>
                </c:pt>
                <c:pt idx="751">
                  <c:v>155.52000000000001</c:v>
                </c:pt>
                <c:pt idx="752">
                  <c:v>158.94</c:v>
                </c:pt>
                <c:pt idx="753">
                  <c:v>152.80000000000001</c:v>
                </c:pt>
                <c:pt idx="754">
                  <c:v>152.66</c:v>
                </c:pt>
                <c:pt idx="755">
                  <c:v>155.72</c:v>
                </c:pt>
                <c:pt idx="756">
                  <c:v>148.65</c:v>
                </c:pt>
                <c:pt idx="757">
                  <c:v>148.65</c:v>
                </c:pt>
                <c:pt idx="758">
                  <c:v>147.37</c:v>
                </c:pt>
                <c:pt idx="759">
                  <c:v>147.37</c:v>
                </c:pt>
                <c:pt idx="760">
                  <c:v>147.37</c:v>
                </c:pt>
                <c:pt idx="761">
                  <c:v>153.69990000000001</c:v>
                </c:pt>
                <c:pt idx="762">
                  <c:v>153.69990000000001</c:v>
                </c:pt>
                <c:pt idx="763">
                  <c:v>154.52000000000001</c:v>
                </c:pt>
                <c:pt idx="764">
                  <c:v>157.88</c:v>
                </c:pt>
                <c:pt idx="765">
                  <c:v>154.636</c:v>
                </c:pt>
                <c:pt idx="766">
                  <c:v>156.4</c:v>
                </c:pt>
                <c:pt idx="767">
                  <c:v>152.33500000000001</c:v>
                </c:pt>
                <c:pt idx="768">
                  <c:v>151.69999999999999</c:v>
                </c:pt>
                <c:pt idx="769">
                  <c:v>148.6</c:v>
                </c:pt>
                <c:pt idx="770">
                  <c:v>148.6</c:v>
                </c:pt>
                <c:pt idx="771">
                  <c:v>149.65</c:v>
                </c:pt>
                <c:pt idx="772">
                  <c:v>149.5</c:v>
                </c:pt>
                <c:pt idx="773">
                  <c:v>141.9</c:v>
                </c:pt>
                <c:pt idx="774">
                  <c:v>142.85</c:v>
                </c:pt>
                <c:pt idx="775">
                  <c:v>142.43270000000001</c:v>
                </c:pt>
                <c:pt idx="776">
                  <c:v>131.03989999999999</c:v>
                </c:pt>
                <c:pt idx="777">
                  <c:v>126.5399</c:v>
                </c:pt>
                <c:pt idx="778">
                  <c:v>126.55500000000001</c:v>
                </c:pt>
                <c:pt idx="779">
                  <c:v>127.74</c:v>
                </c:pt>
                <c:pt idx="780">
                  <c:v>126.8</c:v>
                </c:pt>
                <c:pt idx="781">
                  <c:v>128.41489999999999</c:v>
                </c:pt>
                <c:pt idx="782">
                  <c:v>129.19990000000001</c:v>
                </c:pt>
                <c:pt idx="783">
                  <c:v>130.24</c:v>
                </c:pt>
                <c:pt idx="784">
                  <c:v>127.96</c:v>
                </c:pt>
                <c:pt idx="785">
                  <c:v>125.46</c:v>
                </c:pt>
                <c:pt idx="786">
                  <c:v>126.02</c:v>
                </c:pt>
                <c:pt idx="787">
                  <c:v>124.7</c:v>
                </c:pt>
                <c:pt idx="788">
                  <c:v>126.06</c:v>
                </c:pt>
                <c:pt idx="789">
                  <c:v>133.93</c:v>
                </c:pt>
                <c:pt idx="790">
                  <c:v>131.47489999999999</c:v>
                </c:pt>
                <c:pt idx="791">
                  <c:v>131.36000000000001</c:v>
                </c:pt>
                <c:pt idx="792">
                  <c:v>134.69999999999999</c:v>
                </c:pt>
                <c:pt idx="793">
                  <c:v>136.5</c:v>
                </c:pt>
                <c:pt idx="794">
                  <c:v>135.62</c:v>
                </c:pt>
                <c:pt idx="795">
                  <c:v>134.59989999999999</c:v>
                </c:pt>
                <c:pt idx="796">
                  <c:v>130.35</c:v>
                </c:pt>
                <c:pt idx="797">
                  <c:v>133.52000000000001</c:v>
                </c:pt>
                <c:pt idx="798">
                  <c:v>134.86000000000001</c:v>
                </c:pt>
                <c:pt idx="799">
                  <c:v>136.25989999999999</c:v>
                </c:pt>
                <c:pt idx="800">
                  <c:v>134.09989999999999</c:v>
                </c:pt>
                <c:pt idx="801">
                  <c:v>138.1</c:v>
                </c:pt>
                <c:pt idx="802">
                  <c:v>132.41990000000001</c:v>
                </c:pt>
                <c:pt idx="803">
                  <c:v>131.74</c:v>
                </c:pt>
                <c:pt idx="804">
                  <c:v>131.69990000000001</c:v>
                </c:pt>
                <c:pt idx="805">
                  <c:v>133.4</c:v>
                </c:pt>
                <c:pt idx="806">
                  <c:v>129.5752</c:v>
                </c:pt>
                <c:pt idx="807">
                  <c:v>127.96</c:v>
                </c:pt>
                <c:pt idx="808">
                  <c:v>132.65</c:v>
                </c:pt>
                <c:pt idx="809">
                  <c:v>130.91999999999999</c:v>
                </c:pt>
                <c:pt idx="810">
                  <c:v>131.12</c:v>
                </c:pt>
                <c:pt idx="811">
                  <c:v>134.66</c:v>
                </c:pt>
                <c:pt idx="812">
                  <c:v>132</c:v>
                </c:pt>
                <c:pt idx="813">
                  <c:v>130.19</c:v>
                </c:pt>
                <c:pt idx="814">
                  <c:v>130</c:v>
                </c:pt>
                <c:pt idx="815">
                  <c:v>133.91999999999999</c:v>
                </c:pt>
                <c:pt idx="816">
                  <c:v>131.25</c:v>
                </c:pt>
                <c:pt idx="817">
                  <c:v>130.38</c:v>
                </c:pt>
                <c:pt idx="818">
                  <c:v>131.88</c:v>
                </c:pt>
                <c:pt idx="819">
                  <c:v>132.66</c:v>
                </c:pt>
                <c:pt idx="820">
                  <c:v>135.5</c:v>
                </c:pt>
                <c:pt idx="821">
                  <c:v>131.27430000000001</c:v>
                </c:pt>
                <c:pt idx="822">
                  <c:v>132.52000000000001</c:v>
                </c:pt>
                <c:pt idx="823">
                  <c:v>129.75989999999999</c:v>
                </c:pt>
                <c:pt idx="824">
                  <c:v>132.13</c:v>
                </c:pt>
                <c:pt idx="825">
                  <c:v>134.97999999999999</c:v>
                </c:pt>
                <c:pt idx="826">
                  <c:v>135.79</c:v>
                </c:pt>
                <c:pt idx="827">
                  <c:v>138.06</c:v>
                </c:pt>
                <c:pt idx="828">
                  <c:v>135.53989999999999</c:v>
                </c:pt>
                <c:pt idx="829">
                  <c:v>137.946</c:v>
                </c:pt>
                <c:pt idx="830">
                  <c:v>138.91999999999999</c:v>
                </c:pt>
                <c:pt idx="831">
                  <c:v>137.21</c:v>
                </c:pt>
                <c:pt idx="832">
                  <c:v>139.31989999999999</c:v>
                </c:pt>
                <c:pt idx="833">
                  <c:v>141.03989999999999</c:v>
                </c:pt>
                <c:pt idx="834">
                  <c:v>140.72</c:v>
                </c:pt>
                <c:pt idx="835">
                  <c:v>141.9</c:v>
                </c:pt>
                <c:pt idx="836">
                  <c:v>139.54</c:v>
                </c:pt>
                <c:pt idx="837">
                  <c:v>134.66999999999999</c:v>
                </c:pt>
                <c:pt idx="838">
                  <c:v>151.5</c:v>
                </c:pt>
                <c:pt idx="839">
                  <c:v>142.84989999999999</c:v>
                </c:pt>
                <c:pt idx="840">
                  <c:v>149.16</c:v>
                </c:pt>
                <c:pt idx="841">
                  <c:v>142.077</c:v>
                </c:pt>
                <c:pt idx="842">
                  <c:v>146.43</c:v>
                </c:pt>
                <c:pt idx="843">
                  <c:v>148.935</c:v>
                </c:pt>
                <c:pt idx="844">
                  <c:v>148.71</c:v>
                </c:pt>
                <c:pt idx="845">
                  <c:v>147.94489999999999</c:v>
                </c:pt>
                <c:pt idx="846">
                  <c:v>144.82990000000001</c:v>
                </c:pt>
                <c:pt idx="847">
                  <c:v>145.47499999999999</c:v>
                </c:pt>
                <c:pt idx="848">
                  <c:v>142.4</c:v>
                </c:pt>
                <c:pt idx="849">
                  <c:v>148.01</c:v>
                </c:pt>
                <c:pt idx="850">
                  <c:v>151.21</c:v>
                </c:pt>
                <c:pt idx="851">
                  <c:v>155.65</c:v>
                </c:pt>
                <c:pt idx="852">
                  <c:v>150.46</c:v>
                </c:pt>
                <c:pt idx="853">
                  <c:v>150.46</c:v>
                </c:pt>
                <c:pt idx="854">
                  <c:v>151.16</c:v>
                </c:pt>
                <c:pt idx="855">
                  <c:v>153.16</c:v>
                </c:pt>
                <c:pt idx="856">
                  <c:v>157.58000000000001</c:v>
                </c:pt>
                <c:pt idx="857">
                  <c:v>149.25</c:v>
                </c:pt>
                <c:pt idx="858">
                  <c:v>149.25</c:v>
                </c:pt>
                <c:pt idx="859">
                  <c:v>154.22</c:v>
                </c:pt>
                <c:pt idx="860">
                  <c:v>154.22</c:v>
                </c:pt>
                <c:pt idx="861">
                  <c:v>149.4</c:v>
                </c:pt>
                <c:pt idx="862">
                  <c:v>154.46</c:v>
                </c:pt>
                <c:pt idx="863">
                  <c:v>153.56</c:v>
                </c:pt>
                <c:pt idx="864">
                  <c:v>154.97999999999999</c:v>
                </c:pt>
                <c:pt idx="865">
                  <c:v>153.21</c:v>
                </c:pt>
                <c:pt idx="866">
                  <c:v>154.19999999999999</c:v>
                </c:pt>
                <c:pt idx="867">
                  <c:v>154.63999999999999</c:v>
                </c:pt>
                <c:pt idx="868">
                  <c:v>153.41999999999999</c:v>
                </c:pt>
                <c:pt idx="869">
                  <c:v>143.4135</c:v>
                </c:pt>
                <c:pt idx="870">
                  <c:v>147.55000000000001</c:v>
                </c:pt>
                <c:pt idx="871">
                  <c:v>143.4</c:v>
                </c:pt>
                <c:pt idx="872">
                  <c:v>140.1</c:v>
                </c:pt>
                <c:pt idx="873">
                  <c:v>147.47</c:v>
                </c:pt>
                <c:pt idx="874">
                  <c:v>147.36000000000001</c:v>
                </c:pt>
                <c:pt idx="875">
                  <c:v>148.12</c:v>
                </c:pt>
                <c:pt idx="876">
                  <c:v>147.375</c:v>
                </c:pt>
                <c:pt idx="877">
                  <c:v>150.84</c:v>
                </c:pt>
                <c:pt idx="878">
                  <c:v>136.63990000000001</c:v>
                </c:pt>
                <c:pt idx="879">
                  <c:v>129.91489999999999</c:v>
                </c:pt>
                <c:pt idx="880">
                  <c:v>132.4</c:v>
                </c:pt>
                <c:pt idx="881">
                  <c:v>129.16</c:v>
                </c:pt>
                <c:pt idx="882">
                  <c:v>128.91</c:v>
                </c:pt>
                <c:pt idx="883">
                  <c:v>132.68</c:v>
                </c:pt>
                <c:pt idx="884">
                  <c:v>131.31</c:v>
                </c:pt>
                <c:pt idx="885">
                  <c:v>134.22</c:v>
                </c:pt>
                <c:pt idx="886">
                  <c:v>134.08000000000001</c:v>
                </c:pt>
                <c:pt idx="887">
                  <c:v>139.80000000000001</c:v>
                </c:pt>
                <c:pt idx="888">
                  <c:v>132.38</c:v>
                </c:pt>
                <c:pt idx="889">
                  <c:v>129.15</c:v>
                </c:pt>
                <c:pt idx="890">
                  <c:v>135.75</c:v>
                </c:pt>
                <c:pt idx="891">
                  <c:v>137.24</c:v>
                </c:pt>
                <c:pt idx="892">
                  <c:v>134.75</c:v>
                </c:pt>
                <c:pt idx="893">
                  <c:v>138.75989999999999</c:v>
                </c:pt>
                <c:pt idx="894">
                  <c:v>144.94</c:v>
                </c:pt>
                <c:pt idx="895">
                  <c:v>145.63999999999999</c:v>
                </c:pt>
                <c:pt idx="896">
                  <c:v>140.63</c:v>
                </c:pt>
                <c:pt idx="897">
                  <c:v>146.74</c:v>
                </c:pt>
                <c:pt idx="898">
                  <c:v>145.96</c:v>
                </c:pt>
                <c:pt idx="899">
                  <c:v>138.94</c:v>
                </c:pt>
                <c:pt idx="900">
                  <c:v>138.66</c:v>
                </c:pt>
                <c:pt idx="901">
                  <c:v>134.09989999999999</c:v>
                </c:pt>
                <c:pt idx="902">
                  <c:v>135.22</c:v>
                </c:pt>
                <c:pt idx="903">
                  <c:v>135.36000000000001</c:v>
                </c:pt>
                <c:pt idx="904">
                  <c:v>135.36000000000001</c:v>
                </c:pt>
                <c:pt idx="905">
                  <c:v>135.36000000000001</c:v>
                </c:pt>
                <c:pt idx="906">
                  <c:v>135.88</c:v>
                </c:pt>
                <c:pt idx="907">
                  <c:v>134.46</c:v>
                </c:pt>
                <c:pt idx="908">
                  <c:v>141</c:v>
                </c:pt>
                <c:pt idx="909">
                  <c:v>138.68</c:v>
                </c:pt>
                <c:pt idx="910">
                  <c:v>138.24</c:v>
                </c:pt>
                <c:pt idx="911">
                  <c:v>141.12</c:v>
                </c:pt>
                <c:pt idx="912">
                  <c:v>143.25</c:v>
                </c:pt>
                <c:pt idx="913">
                  <c:v>143.97499999999999</c:v>
                </c:pt>
                <c:pt idx="914">
                  <c:v>143.97499999999999</c:v>
                </c:pt>
                <c:pt idx="915">
                  <c:v>143.1</c:v>
                </c:pt>
                <c:pt idx="916">
                  <c:v>141.5</c:v>
                </c:pt>
                <c:pt idx="917">
                  <c:v>142.5</c:v>
                </c:pt>
                <c:pt idx="918">
                  <c:v>142.47999999999999</c:v>
                </c:pt>
                <c:pt idx="919">
                  <c:v>145.625</c:v>
                </c:pt>
                <c:pt idx="920">
                  <c:v>142.75</c:v>
                </c:pt>
                <c:pt idx="921">
                  <c:v>144.31989999999999</c:v>
                </c:pt>
                <c:pt idx="922">
                  <c:v>146.52000000000001</c:v>
                </c:pt>
                <c:pt idx="923">
                  <c:v>146.625</c:v>
                </c:pt>
                <c:pt idx="924">
                  <c:v>148.215</c:v>
                </c:pt>
                <c:pt idx="925">
                  <c:v>150.10489999999999</c:v>
                </c:pt>
                <c:pt idx="926">
                  <c:v>148.03989999999999</c:v>
                </c:pt>
                <c:pt idx="927">
                  <c:v>148.35</c:v>
                </c:pt>
                <c:pt idx="928">
                  <c:v>140.97</c:v>
                </c:pt>
                <c:pt idx="929">
                  <c:v>143.6</c:v>
                </c:pt>
                <c:pt idx="930">
                  <c:v>139.6901</c:v>
                </c:pt>
                <c:pt idx="931">
                  <c:v>142.01</c:v>
                </c:pt>
                <c:pt idx="932">
                  <c:v>142.01</c:v>
                </c:pt>
                <c:pt idx="933">
                  <c:v>146.19999999999999</c:v>
                </c:pt>
                <c:pt idx="934">
                  <c:v>139.92500000000001</c:v>
                </c:pt>
                <c:pt idx="935">
                  <c:v>138.18</c:v>
                </c:pt>
                <c:pt idx="936">
                  <c:v>138.18</c:v>
                </c:pt>
                <c:pt idx="937">
                  <c:v>139.71</c:v>
                </c:pt>
                <c:pt idx="938">
                  <c:v>143.88</c:v>
                </c:pt>
                <c:pt idx="939">
                  <c:v>140.685</c:v>
                </c:pt>
                <c:pt idx="940">
                  <c:v>142.63</c:v>
                </c:pt>
                <c:pt idx="941">
                  <c:v>140.15</c:v>
                </c:pt>
                <c:pt idx="942">
                  <c:v>141.4</c:v>
                </c:pt>
                <c:pt idx="943">
                  <c:v>141.4</c:v>
                </c:pt>
                <c:pt idx="944">
                  <c:v>140.25989999999999</c:v>
                </c:pt>
                <c:pt idx="945">
                  <c:v>143.15</c:v>
                </c:pt>
                <c:pt idx="946">
                  <c:v>140.4</c:v>
                </c:pt>
                <c:pt idx="947">
                  <c:v>142.02000000000001</c:v>
                </c:pt>
                <c:pt idx="948">
                  <c:v>142.02000000000001</c:v>
                </c:pt>
                <c:pt idx="949">
                  <c:v>142.02000000000001</c:v>
                </c:pt>
                <c:pt idx="950">
                  <c:v>139.69999999999999</c:v>
                </c:pt>
                <c:pt idx="951">
                  <c:v>141.9</c:v>
                </c:pt>
                <c:pt idx="952">
                  <c:v>147.30000000000001</c:v>
                </c:pt>
                <c:pt idx="953">
                  <c:v>146.91999999999999</c:v>
                </c:pt>
                <c:pt idx="954">
                  <c:v>146.91999999999999</c:v>
                </c:pt>
                <c:pt idx="955">
                  <c:v>144.1</c:v>
                </c:pt>
                <c:pt idx="956">
                  <c:v>150.47999999999999</c:v>
                </c:pt>
                <c:pt idx="957">
                  <c:v>155.66999999999999</c:v>
                </c:pt>
                <c:pt idx="958">
                  <c:v>147.38999999999999</c:v>
                </c:pt>
                <c:pt idx="959">
                  <c:v>147.5</c:v>
                </c:pt>
                <c:pt idx="960">
                  <c:v>150.32</c:v>
                </c:pt>
                <c:pt idx="961">
                  <c:v>150.29</c:v>
                </c:pt>
                <c:pt idx="962">
                  <c:v>148.68</c:v>
                </c:pt>
                <c:pt idx="963">
                  <c:v>147.23500000000001</c:v>
                </c:pt>
                <c:pt idx="964">
                  <c:v>141.77199999999999</c:v>
                </c:pt>
                <c:pt idx="965">
                  <c:v>146.12</c:v>
                </c:pt>
                <c:pt idx="966">
                  <c:v>148.28</c:v>
                </c:pt>
                <c:pt idx="967">
                  <c:v>154.30000000000001</c:v>
                </c:pt>
                <c:pt idx="968">
                  <c:v>155.75</c:v>
                </c:pt>
                <c:pt idx="969">
                  <c:v>155.5</c:v>
                </c:pt>
                <c:pt idx="970">
                  <c:v>160.46</c:v>
                </c:pt>
                <c:pt idx="971">
                  <c:v>160.46</c:v>
                </c:pt>
                <c:pt idx="972">
                  <c:v>157.80000000000001</c:v>
                </c:pt>
                <c:pt idx="973">
                  <c:v>157.80000000000001</c:v>
                </c:pt>
                <c:pt idx="974">
                  <c:v>157.09</c:v>
                </c:pt>
                <c:pt idx="975">
                  <c:v>162.97999999999999</c:v>
                </c:pt>
                <c:pt idx="976">
                  <c:v>160.30000000000001</c:v>
                </c:pt>
                <c:pt idx="977">
                  <c:v>160.65</c:v>
                </c:pt>
                <c:pt idx="978">
                  <c:v>158.19990000000001</c:v>
                </c:pt>
                <c:pt idx="979">
                  <c:v>161.13</c:v>
                </c:pt>
                <c:pt idx="980">
                  <c:v>160.66</c:v>
                </c:pt>
                <c:pt idx="981">
                  <c:v>162.25989999999999</c:v>
                </c:pt>
                <c:pt idx="982">
                  <c:v>162</c:v>
                </c:pt>
                <c:pt idx="983">
                  <c:v>164.5</c:v>
                </c:pt>
                <c:pt idx="984">
                  <c:v>164.5</c:v>
                </c:pt>
                <c:pt idx="985">
                  <c:v>160.53989999999999</c:v>
                </c:pt>
                <c:pt idx="986">
                  <c:v>160.13990000000001</c:v>
                </c:pt>
                <c:pt idx="987">
                  <c:v>162</c:v>
                </c:pt>
                <c:pt idx="988">
                  <c:v>159.56</c:v>
                </c:pt>
                <c:pt idx="989">
                  <c:v>154.58000000000001</c:v>
                </c:pt>
                <c:pt idx="990">
                  <c:v>153.00280000000001</c:v>
                </c:pt>
                <c:pt idx="991">
                  <c:v>156.02500000000001</c:v>
                </c:pt>
                <c:pt idx="992">
                  <c:v>153.38499999999999</c:v>
                </c:pt>
                <c:pt idx="993">
                  <c:v>154.38</c:v>
                </c:pt>
                <c:pt idx="994">
                  <c:v>156.82</c:v>
                </c:pt>
                <c:pt idx="995">
                  <c:v>150.74</c:v>
                </c:pt>
                <c:pt idx="996">
                  <c:v>149.03989999999999</c:v>
                </c:pt>
                <c:pt idx="997">
                  <c:v>149.75</c:v>
                </c:pt>
                <c:pt idx="998">
                  <c:v>146.16</c:v>
                </c:pt>
                <c:pt idx="999">
                  <c:v>146.09989999999999</c:v>
                </c:pt>
                <c:pt idx="1000">
                  <c:v>149.5</c:v>
                </c:pt>
                <c:pt idx="1001">
                  <c:v>162.55500000000001</c:v>
                </c:pt>
                <c:pt idx="1002">
                  <c:v>164.67500000000001</c:v>
                </c:pt>
                <c:pt idx="1003">
                  <c:v>170.51</c:v>
                </c:pt>
                <c:pt idx="1004">
                  <c:v>172.3</c:v>
                </c:pt>
                <c:pt idx="1005">
                  <c:v>170</c:v>
                </c:pt>
                <c:pt idx="1006">
                  <c:v>172.1</c:v>
                </c:pt>
                <c:pt idx="1007">
                  <c:v>169.85</c:v>
                </c:pt>
                <c:pt idx="1008">
                  <c:v>169.33529999999999</c:v>
                </c:pt>
                <c:pt idx="1009">
                  <c:v>169.33529999999999</c:v>
                </c:pt>
                <c:pt idx="1010">
                  <c:v>169.1</c:v>
                </c:pt>
                <c:pt idx="1011">
                  <c:v>168.065</c:v>
                </c:pt>
                <c:pt idx="1012">
                  <c:v>169.12</c:v>
                </c:pt>
                <c:pt idx="1013">
                  <c:v>170.88</c:v>
                </c:pt>
                <c:pt idx="1014">
                  <c:v>166.97989999999999</c:v>
                </c:pt>
                <c:pt idx="1015">
                  <c:v>168.28</c:v>
                </c:pt>
                <c:pt idx="1016">
                  <c:v>168.28</c:v>
                </c:pt>
                <c:pt idx="1017">
                  <c:v>168.24</c:v>
                </c:pt>
                <c:pt idx="1018">
                  <c:v>163.75</c:v>
                </c:pt>
                <c:pt idx="1019">
                  <c:v>163.99</c:v>
                </c:pt>
                <c:pt idx="1020">
                  <c:v>165.58</c:v>
                </c:pt>
                <c:pt idx="1021">
                  <c:v>163.67500000000001</c:v>
                </c:pt>
                <c:pt idx="1022">
                  <c:v>163.67500000000001</c:v>
                </c:pt>
                <c:pt idx="1023">
                  <c:v>163.67500000000001</c:v>
                </c:pt>
                <c:pt idx="1024">
                  <c:v>161.9</c:v>
                </c:pt>
                <c:pt idx="1025">
                  <c:v>165.26</c:v>
                </c:pt>
                <c:pt idx="1026">
                  <c:v>165.26</c:v>
                </c:pt>
                <c:pt idx="1027">
                  <c:v>169</c:v>
                </c:pt>
                <c:pt idx="1028">
                  <c:v>166.17</c:v>
                </c:pt>
                <c:pt idx="1029">
                  <c:v>174.9</c:v>
                </c:pt>
                <c:pt idx="1030">
                  <c:v>175.2</c:v>
                </c:pt>
                <c:pt idx="1031">
                  <c:v>175.66</c:v>
                </c:pt>
                <c:pt idx="1032">
                  <c:v>177.5</c:v>
                </c:pt>
                <c:pt idx="1033">
                  <c:v>174.82490000000001</c:v>
                </c:pt>
                <c:pt idx="1034">
                  <c:v>175.245</c:v>
                </c:pt>
                <c:pt idx="1035">
                  <c:v>175.20490000000001</c:v>
                </c:pt>
                <c:pt idx="1036">
                  <c:v>179.82</c:v>
                </c:pt>
                <c:pt idx="1037">
                  <c:v>177.85</c:v>
                </c:pt>
                <c:pt idx="1038">
                  <c:v>182.58</c:v>
                </c:pt>
                <c:pt idx="1039">
                  <c:v>182.7</c:v>
                </c:pt>
                <c:pt idx="1040">
                  <c:v>187.72</c:v>
                </c:pt>
                <c:pt idx="1041">
                  <c:v>188.5</c:v>
                </c:pt>
                <c:pt idx="1042">
                  <c:v>183.74</c:v>
                </c:pt>
                <c:pt idx="1043">
                  <c:v>180.35</c:v>
                </c:pt>
                <c:pt idx="1044">
                  <c:v>179.09989999999999</c:v>
                </c:pt>
                <c:pt idx="1045">
                  <c:v>183.27500000000001</c:v>
                </c:pt>
                <c:pt idx="1046">
                  <c:v>183.27500000000001</c:v>
                </c:pt>
                <c:pt idx="1047">
                  <c:v>179.48750000000001</c:v>
                </c:pt>
                <c:pt idx="1048">
                  <c:v>180.94</c:v>
                </c:pt>
                <c:pt idx="1049">
                  <c:v>179.09989999999999</c:v>
                </c:pt>
                <c:pt idx="1050">
                  <c:v>181.92</c:v>
                </c:pt>
                <c:pt idx="1051">
                  <c:v>181.92</c:v>
                </c:pt>
                <c:pt idx="1052">
                  <c:v>181.92</c:v>
                </c:pt>
                <c:pt idx="1053">
                  <c:v>183.86</c:v>
                </c:pt>
                <c:pt idx="1054">
                  <c:v>183.86</c:v>
                </c:pt>
                <c:pt idx="1055">
                  <c:v>184.75</c:v>
                </c:pt>
                <c:pt idx="1056">
                  <c:v>180.53989999999999</c:v>
                </c:pt>
                <c:pt idx="1057">
                  <c:v>181.23</c:v>
                </c:pt>
                <c:pt idx="1058">
                  <c:v>180.75</c:v>
                </c:pt>
                <c:pt idx="1059">
                  <c:v>183</c:v>
                </c:pt>
                <c:pt idx="1060">
                  <c:v>186.4</c:v>
                </c:pt>
                <c:pt idx="1061">
                  <c:v>181.27500000000001</c:v>
                </c:pt>
                <c:pt idx="1062">
                  <c:v>187.06</c:v>
                </c:pt>
                <c:pt idx="1063">
                  <c:v>180.85</c:v>
                </c:pt>
                <c:pt idx="1064">
                  <c:v>175.5</c:v>
                </c:pt>
                <c:pt idx="1065">
                  <c:v>182.67500000000001</c:v>
                </c:pt>
                <c:pt idx="1066">
                  <c:v>179.05699999999999</c:v>
                </c:pt>
                <c:pt idx="1067">
                  <c:v>190.49</c:v>
                </c:pt>
                <c:pt idx="1068">
                  <c:v>190.77500000000001</c:v>
                </c:pt>
                <c:pt idx="1069">
                  <c:v>188.5</c:v>
                </c:pt>
                <c:pt idx="1070">
                  <c:v>190.98500000000001</c:v>
                </c:pt>
                <c:pt idx="1071">
                  <c:v>185.47989999999999</c:v>
                </c:pt>
                <c:pt idx="1072">
                  <c:v>188.66</c:v>
                </c:pt>
                <c:pt idx="1073">
                  <c:v>190.23</c:v>
                </c:pt>
                <c:pt idx="1074">
                  <c:v>188.83500000000001</c:v>
                </c:pt>
                <c:pt idx="1075">
                  <c:v>191.125</c:v>
                </c:pt>
                <c:pt idx="1076">
                  <c:v>183.2</c:v>
                </c:pt>
                <c:pt idx="1077">
                  <c:v>175</c:v>
                </c:pt>
                <c:pt idx="1078">
                  <c:v>179.5</c:v>
                </c:pt>
                <c:pt idx="1079">
                  <c:v>177.5</c:v>
                </c:pt>
                <c:pt idx="1080">
                  <c:v>179.05</c:v>
                </c:pt>
                <c:pt idx="1081">
                  <c:v>188.065</c:v>
                </c:pt>
                <c:pt idx="1082">
                  <c:v>187.8</c:v>
                </c:pt>
                <c:pt idx="1083">
                  <c:v>183.17</c:v>
                </c:pt>
                <c:pt idx="1084">
                  <c:v>187.1</c:v>
                </c:pt>
                <c:pt idx="1085">
                  <c:v>188.41</c:v>
                </c:pt>
                <c:pt idx="1086">
                  <c:v>184.32</c:v>
                </c:pt>
                <c:pt idx="1087">
                  <c:v>187.45</c:v>
                </c:pt>
                <c:pt idx="1088">
                  <c:v>187.16</c:v>
                </c:pt>
                <c:pt idx="1089">
                  <c:v>193.03</c:v>
                </c:pt>
                <c:pt idx="1090">
                  <c:v>188.01</c:v>
                </c:pt>
                <c:pt idx="1091">
                  <c:v>193.4</c:v>
                </c:pt>
                <c:pt idx="1092">
                  <c:v>204.76</c:v>
                </c:pt>
                <c:pt idx="1093">
                  <c:v>204.52</c:v>
                </c:pt>
                <c:pt idx="1094">
                  <c:v>205.55</c:v>
                </c:pt>
                <c:pt idx="1095">
                  <c:v>209.48</c:v>
                </c:pt>
                <c:pt idx="1096">
                  <c:v>208.67</c:v>
                </c:pt>
                <c:pt idx="1097">
                  <c:v>208.62</c:v>
                </c:pt>
                <c:pt idx="1098">
                  <c:v>204.2</c:v>
                </c:pt>
                <c:pt idx="1099">
                  <c:v>204.94</c:v>
                </c:pt>
                <c:pt idx="1100">
                  <c:v>206.61</c:v>
                </c:pt>
                <c:pt idx="1101">
                  <c:v>205.79</c:v>
                </c:pt>
                <c:pt idx="1102">
                  <c:v>203.98</c:v>
                </c:pt>
                <c:pt idx="1103">
                  <c:v>208.45</c:v>
                </c:pt>
                <c:pt idx="1104">
                  <c:v>203.73</c:v>
                </c:pt>
                <c:pt idx="1105">
                  <c:v>201.76</c:v>
                </c:pt>
                <c:pt idx="1106">
                  <c:v>201.53</c:v>
                </c:pt>
                <c:pt idx="1107">
                  <c:v>197.52</c:v>
                </c:pt>
                <c:pt idx="1108">
                  <c:v>194.22</c:v>
                </c:pt>
                <c:pt idx="1109">
                  <c:v>194.95</c:v>
                </c:pt>
                <c:pt idx="1110">
                  <c:v>194.99</c:v>
                </c:pt>
                <c:pt idx="1111">
                  <c:v>193.31</c:v>
                </c:pt>
                <c:pt idx="1112">
                  <c:v>192.5</c:v>
                </c:pt>
                <c:pt idx="1113">
                  <c:v>189.9</c:v>
                </c:pt>
                <c:pt idx="1114">
                  <c:v>192.01</c:v>
                </c:pt>
                <c:pt idx="1115">
                  <c:v>191.29</c:v>
                </c:pt>
                <c:pt idx="1116">
                  <c:v>188.42</c:v>
                </c:pt>
                <c:pt idx="1117">
                  <c:v>188.93</c:v>
                </c:pt>
                <c:pt idx="1118">
                  <c:v>183.6</c:v>
                </c:pt>
                <c:pt idx="1119">
                  <c:v>184.07</c:v>
                </c:pt>
                <c:pt idx="1120">
                  <c:v>185.78</c:v>
                </c:pt>
                <c:pt idx="1121">
                  <c:v>187.14</c:v>
                </c:pt>
                <c:pt idx="1122">
                  <c:v>183.4</c:v>
                </c:pt>
                <c:pt idx="1123">
                  <c:v>188.42</c:v>
                </c:pt>
                <c:pt idx="1124">
                  <c:v>193.88</c:v>
                </c:pt>
                <c:pt idx="1125">
                  <c:v>197.22</c:v>
                </c:pt>
                <c:pt idx="1126">
                  <c:v>200.73</c:v>
                </c:pt>
                <c:pt idx="1127">
                  <c:v>203.49</c:v>
                </c:pt>
                <c:pt idx="1128">
                  <c:v>202.83</c:v>
                </c:pt>
                <c:pt idx="1129">
                  <c:v>200.81</c:v>
                </c:pt>
                <c:pt idx="1130">
                  <c:v>204.27</c:v>
                </c:pt>
                <c:pt idx="1131">
                  <c:v>204.99</c:v>
                </c:pt>
                <c:pt idx="1132">
                  <c:v>204.03</c:v>
                </c:pt>
                <c:pt idx="1133">
                  <c:v>202.24</c:v>
                </c:pt>
                <c:pt idx="1134">
                  <c:v>204.38</c:v>
                </c:pt>
                <c:pt idx="1135">
                  <c:v>201.21</c:v>
                </c:pt>
                <c:pt idx="1136">
                  <c:v>200.47</c:v>
                </c:pt>
                <c:pt idx="1137">
                  <c:v>204.8</c:v>
                </c:pt>
                <c:pt idx="1138">
                  <c:v>200.69</c:v>
                </c:pt>
                <c:pt idx="1139">
                  <c:v>195.78</c:v>
                </c:pt>
                <c:pt idx="1140">
                  <c:v>194.81</c:v>
                </c:pt>
                <c:pt idx="1141">
                  <c:v>192.3</c:v>
                </c:pt>
                <c:pt idx="1142">
                  <c:v>189.75</c:v>
                </c:pt>
                <c:pt idx="1143">
                  <c:v>187.51</c:v>
                </c:pt>
                <c:pt idx="1144">
                  <c:v>186.68</c:v>
                </c:pt>
                <c:pt idx="1145">
                  <c:v>185.2</c:v>
                </c:pt>
                <c:pt idx="1146">
                  <c:v>187.37</c:v>
                </c:pt>
                <c:pt idx="1147">
                  <c:v>184.74</c:v>
                </c:pt>
                <c:pt idx="1148">
                  <c:v>183.46</c:v>
                </c:pt>
                <c:pt idx="1149">
                  <c:v>181.24</c:v>
                </c:pt>
                <c:pt idx="1150">
                  <c:v>184.92</c:v>
                </c:pt>
                <c:pt idx="1151">
                  <c:v>182.52</c:v>
                </c:pt>
                <c:pt idx="1152">
                  <c:v>182.85</c:v>
                </c:pt>
                <c:pt idx="1153">
                  <c:v>181.86</c:v>
                </c:pt>
                <c:pt idx="1154">
                  <c:v>184.54</c:v>
                </c:pt>
                <c:pt idx="1155">
                  <c:v>187.72</c:v>
                </c:pt>
                <c:pt idx="1156">
                  <c:v>184.96</c:v>
                </c:pt>
                <c:pt idx="1157">
                  <c:v>181.58</c:v>
                </c:pt>
                <c:pt idx="1158">
                  <c:v>183.92</c:v>
                </c:pt>
                <c:pt idx="1159">
                  <c:v>184.64</c:v>
                </c:pt>
                <c:pt idx="1160">
                  <c:v>187.46</c:v>
                </c:pt>
                <c:pt idx="1161">
                  <c:v>189.75</c:v>
                </c:pt>
                <c:pt idx="1162">
                  <c:v>187.03</c:v>
                </c:pt>
                <c:pt idx="1163">
                  <c:v>187.19</c:v>
                </c:pt>
                <c:pt idx="1164">
                  <c:v>185.65</c:v>
                </c:pt>
                <c:pt idx="1165">
                  <c:v>185.33</c:v>
                </c:pt>
                <c:pt idx="1166">
                  <c:v>185.67</c:v>
                </c:pt>
                <c:pt idx="1167">
                  <c:v>179.71</c:v>
                </c:pt>
                <c:pt idx="1168">
                  <c:v>177.45</c:v>
                </c:pt>
                <c:pt idx="1169">
                  <c:v>176.28</c:v>
                </c:pt>
                <c:pt idx="1170">
                  <c:v>181.8</c:v>
                </c:pt>
                <c:pt idx="1171">
                  <c:v>185.95</c:v>
                </c:pt>
                <c:pt idx="1172">
                  <c:v>181.55</c:v>
                </c:pt>
                <c:pt idx="1173">
                  <c:v>183.43</c:v>
                </c:pt>
                <c:pt idx="1174">
                  <c:v>178.96</c:v>
                </c:pt>
                <c:pt idx="1175">
                  <c:v>182.28</c:v>
                </c:pt>
                <c:pt idx="1176">
                  <c:v>178.75</c:v>
                </c:pt>
                <c:pt idx="1177">
                  <c:v>177.27</c:v>
                </c:pt>
                <c:pt idx="1178">
                  <c:v>178.71</c:v>
                </c:pt>
                <c:pt idx="1179">
                  <c:v>177.89</c:v>
                </c:pt>
                <c:pt idx="1180">
                  <c:v>174.93</c:v>
                </c:pt>
                <c:pt idx="1181">
                  <c:v>176.43</c:v>
                </c:pt>
                <c:pt idx="1182">
                  <c:v>181.02</c:v>
                </c:pt>
                <c:pt idx="1183">
                  <c:v>183.02</c:v>
                </c:pt>
                <c:pt idx="1184">
                  <c:v>185.68</c:v>
                </c:pt>
                <c:pt idx="1185">
                  <c:v>188.41</c:v>
                </c:pt>
                <c:pt idx="1186">
                  <c:v>190.95</c:v>
                </c:pt>
                <c:pt idx="1187">
                  <c:v>189.62</c:v>
                </c:pt>
                <c:pt idx="1188">
                  <c:v>183.86</c:v>
                </c:pt>
                <c:pt idx="1189">
                  <c:v>195.15</c:v>
                </c:pt>
                <c:pt idx="1190">
                  <c:v>190.16</c:v>
                </c:pt>
                <c:pt idx="1191">
                  <c:v>193.12</c:v>
                </c:pt>
                <c:pt idx="1192">
                  <c:v>189.28</c:v>
                </c:pt>
                <c:pt idx="1193">
                  <c:v>178.49</c:v>
                </c:pt>
                <c:pt idx="1194">
                  <c:v>171.61</c:v>
                </c:pt>
                <c:pt idx="1195">
                  <c:v>169.47</c:v>
                </c:pt>
                <c:pt idx="1196">
                  <c:v>164.5</c:v>
                </c:pt>
                <c:pt idx="1197">
                  <c:v>168.37</c:v>
                </c:pt>
                <c:pt idx="1198">
                  <c:v>169.29</c:v>
                </c:pt>
                <c:pt idx="1199">
                  <c:v>168.9</c:v>
                </c:pt>
                <c:pt idx="1200">
                  <c:v>164.52</c:v>
                </c:pt>
                <c:pt idx="1201">
                  <c:v>169.34</c:v>
                </c:pt>
                <c:pt idx="1202">
                  <c:v>169.73</c:v>
                </c:pt>
                <c:pt idx="1203">
                  <c:v>168.27</c:v>
                </c:pt>
                <c:pt idx="1204">
                  <c:v>169.26</c:v>
                </c:pt>
                <c:pt idx="1205">
                  <c:v>169.64</c:v>
                </c:pt>
                <c:pt idx="1206">
                  <c:v>172.48</c:v>
                </c:pt>
                <c:pt idx="1207">
                  <c:v>173.3</c:v>
                </c:pt>
                <c:pt idx="1208">
                  <c:v>171.34</c:v>
                </c:pt>
                <c:pt idx="1209">
                  <c:v>169.64</c:v>
                </c:pt>
                <c:pt idx="1210">
                  <c:v>157.97</c:v>
                </c:pt>
                <c:pt idx="1211">
                  <c:v>155.62</c:v>
                </c:pt>
                <c:pt idx="1212">
                  <c:v>161.5</c:v>
                </c:pt>
                <c:pt idx="1213">
                  <c:v>161.07</c:v>
                </c:pt>
                <c:pt idx="1214">
                  <c:v>161.41999999999999</c:v>
                </c:pt>
                <c:pt idx="1215">
                  <c:v>161.91</c:v>
                </c:pt>
                <c:pt idx="1216">
                  <c:v>158.75</c:v>
                </c:pt>
                <c:pt idx="1217">
                  <c:v>158.5</c:v>
                </c:pt>
                <c:pt idx="1218">
                  <c:v>157.24</c:v>
                </c:pt>
                <c:pt idx="1219">
                  <c:v>156.44999999999999</c:v>
                </c:pt>
                <c:pt idx="1220">
                  <c:v>156.88999999999999</c:v>
                </c:pt>
                <c:pt idx="1221">
                  <c:v>160.1</c:v>
                </c:pt>
                <c:pt idx="1222">
                  <c:v>164.95</c:v>
                </c:pt>
                <c:pt idx="1223">
                  <c:v>164.49</c:v>
                </c:pt>
                <c:pt idx="1224">
                  <c:v>165.98</c:v>
                </c:pt>
                <c:pt idx="1225">
                  <c:v>166.71</c:v>
                </c:pt>
                <c:pt idx="1226">
                  <c:v>169.66</c:v>
                </c:pt>
                <c:pt idx="1227">
                  <c:v>166.27</c:v>
                </c:pt>
                <c:pt idx="1228">
                  <c:v>164.52</c:v>
                </c:pt>
                <c:pt idx="1229">
                  <c:v>162.69999999999999</c:v>
                </c:pt>
                <c:pt idx="1230">
                  <c:v>162.13</c:v>
                </c:pt>
                <c:pt idx="1231">
                  <c:v>162.47</c:v>
                </c:pt>
                <c:pt idx="1232">
                  <c:v>161.63</c:v>
                </c:pt>
                <c:pt idx="1233">
                  <c:v>164.77</c:v>
                </c:pt>
                <c:pt idx="1234">
                  <c:v>162.69999999999999</c:v>
                </c:pt>
                <c:pt idx="1235">
                  <c:v>160.04</c:v>
                </c:pt>
                <c:pt idx="1236">
                  <c:v>156.94</c:v>
                </c:pt>
                <c:pt idx="1237">
                  <c:v>159.63999999999999</c:v>
                </c:pt>
                <c:pt idx="1238">
                  <c:v>160.16999999999999</c:v>
                </c:pt>
                <c:pt idx="1239">
                  <c:v>163.78</c:v>
                </c:pt>
                <c:pt idx="1240">
                  <c:v>161.85</c:v>
                </c:pt>
                <c:pt idx="1241">
                  <c:v>162.88999999999999</c:v>
                </c:pt>
                <c:pt idx="1242">
                  <c:v>166.14</c:v>
                </c:pt>
                <c:pt idx="1243">
                  <c:v>166.08</c:v>
                </c:pt>
                <c:pt idx="1244">
                  <c:v>168.1</c:v>
                </c:pt>
                <c:pt idx="1245">
                  <c:v>168.37</c:v>
                </c:pt>
                <c:pt idx="1246">
                  <c:v>163.33000000000001</c:v>
                </c:pt>
                <c:pt idx="1247">
                  <c:v>164.56</c:v>
                </c:pt>
                <c:pt idx="1248">
                  <c:v>166.58</c:v>
                </c:pt>
                <c:pt idx="1249">
                  <c:v>166.15</c:v>
                </c:pt>
                <c:pt idx="1250">
                  <c:v>164.21</c:v>
                </c:pt>
                <c:pt idx="1251">
                  <c:v>161.47</c:v>
                </c:pt>
                <c:pt idx="1252">
                  <c:v>157.69999999999999</c:v>
                </c:pt>
                <c:pt idx="1253">
                  <c:v>156.9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FE-4E77-9AAF-A6248B427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7796991"/>
        <c:axId val="829360271"/>
      </c:lineChart>
      <c:dateAx>
        <c:axId val="89779699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829360271"/>
        <c:crosses val="autoZero"/>
        <c:auto val="0"/>
        <c:lblOffset val="100"/>
        <c:baseTimeUnit val="days"/>
      </c:dateAx>
      <c:valAx>
        <c:axId val="829360271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897796991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60-4A4C-884F-D7BC32A5F88B}"/>
            </c:ext>
          </c:extLst>
        </c:ser>
        <c:ser>
          <c:idx val="1"/>
          <c:order val="1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60-4A4C-884F-D7BC32A5F88B}"/>
            </c:ext>
          </c:extLst>
        </c:ser>
        <c:ser>
          <c:idx val="2"/>
          <c:order val="2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60-4A4C-884F-D7BC32A5F88B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60-4A4C-884F-D7BC32A5F88B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660-4A4C-884F-D7BC32A5F88B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660-4A4C-884F-D7BC32A5F88B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660-4A4C-884F-D7BC32A5F88B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60-4A4C-884F-D7BC32A5F88B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660-4A4C-884F-D7BC32A5F88B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660-4A4C-884F-D7BC32A5F88B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660-4A4C-884F-D7BC32A5F88B}"/>
            </c:ext>
          </c:extLst>
        </c:ser>
        <c:ser>
          <c:idx val="11"/>
          <c:order val="11"/>
          <c:tx>
            <c:v>AZN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660-4A4C-884F-D7BC32A5F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6865872"/>
        <c:axId val="1399526000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60-4A4C-884F-D7BC32A5F88B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60-4A4C-884F-D7BC32A5F88B}"/>
            </c:ext>
          </c:extLst>
        </c:ser>
        <c:ser>
          <c:idx val="14"/>
          <c:order val="14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60-4A4C-884F-D7BC32A5F88B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60-4A4C-884F-D7BC32A5F88B}"/>
            </c:ext>
          </c:extLst>
        </c:ser>
        <c:ser>
          <c:idx val="16"/>
          <c:order val="16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60-4A4C-884F-D7BC32A5F88B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660-4A4C-884F-D7BC32A5F88B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6660-4A4C-884F-D7BC32A5F88B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6660-4A4C-884F-D7BC32A5F88B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6660-4A4C-884F-D7BC32A5F88B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6660-4A4C-884F-D7BC32A5F88B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6660-4A4C-884F-D7BC32A5F88B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6660-4A4C-884F-D7BC32A5F88B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6660-4A4C-884F-D7BC32A5F88B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6660-4A4C-884F-D7BC32A5F88B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6660-4A4C-884F-D7BC32A5F88B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6660-4A4C-884F-D7BC32A5F88B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6660-4A4C-884F-D7BC32A5F88B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6660-4A4C-884F-D7BC32A5F88B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6660-4A4C-884F-D7BC32A5F88B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660-4A4C-884F-D7BC32A5F88B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660-4A4C-884F-D7BC32A5F88B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660-4A4C-884F-D7BC32A5F88B}"/>
            </c:ext>
          </c:extLst>
        </c:ser>
        <c:ser>
          <c:idx val="34"/>
          <c:order val="34"/>
          <c:tx>
            <c:v>AZN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660-4A4C-884F-D7BC32A5F88B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6660-4A4C-884F-D7BC32A5F88B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660-4A4C-884F-D7BC32A5F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865872"/>
        <c:axId val="1399526000"/>
      </c:scatterChart>
      <c:dateAx>
        <c:axId val="1506865872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399526000"/>
        <c:crosses val="autoZero"/>
        <c:auto val="0"/>
        <c:lblOffset val="100"/>
        <c:baseTimeUnit val="days"/>
      </c:dateAx>
      <c:valAx>
        <c:axId val="1399526000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506865872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AZN Price Chart">
          <a:extLst>
            <a:ext uri="{FF2B5EF4-FFF2-40B4-BE49-F238E27FC236}">
              <a16:creationId xmlns:a16="http://schemas.microsoft.com/office/drawing/2014/main" id="{4A941FC7-46B5-5E32-651D-CA0C0E58C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68CE8073-E497-3528-A660-218E2CBFAF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EACA6-94CC-4565-87D5-4A7DB8ED4DE5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121.87</v>
      </c>
      <c r="C5" s="5">
        <v>121.95</v>
      </c>
      <c r="D5" s="5">
        <v>119.0501</v>
      </c>
      <c r="E5" s="5">
        <v>121</v>
      </c>
      <c r="F5" s="6">
        <v>2005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120.27</v>
      </c>
      <c r="C6" s="5">
        <v>120.27</v>
      </c>
      <c r="D6" s="5">
        <v>120.27</v>
      </c>
      <c r="E6" s="5">
        <v>120.27</v>
      </c>
      <c r="F6" s="6">
        <v>997</v>
      </c>
    </row>
    <row r="7" spans="1:10" ht="15" x14ac:dyDescent="0.25">
      <c r="A7" s="4">
        <v>44476</v>
      </c>
      <c r="B7" s="5">
        <v>119.85</v>
      </c>
      <c r="C7" s="5">
        <v>121.98</v>
      </c>
      <c r="D7" s="5">
        <v>119.85</v>
      </c>
      <c r="E7" s="5">
        <v>121.98</v>
      </c>
      <c r="F7" s="6">
        <v>1617</v>
      </c>
      <c r="H7" s="8" t="s">
        <v>13</v>
      </c>
    </row>
    <row r="8" spans="1:10" x14ac:dyDescent="0.2">
      <c r="A8" s="4">
        <v>44477</v>
      </c>
      <c r="B8" s="5">
        <v>121</v>
      </c>
      <c r="C8" s="5">
        <v>123.83</v>
      </c>
      <c r="D8" s="5">
        <v>120.38</v>
      </c>
      <c r="E8" s="5">
        <v>123.83</v>
      </c>
      <c r="F8" s="6">
        <v>1569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122</v>
      </c>
      <c r="C9" s="5">
        <v>123.4924</v>
      </c>
      <c r="D9" s="5">
        <v>122</v>
      </c>
      <c r="E9" s="5">
        <v>123.4924</v>
      </c>
      <c r="F9" s="6">
        <v>1651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120.6317</v>
      </c>
      <c r="C10" s="5">
        <v>122.92</v>
      </c>
      <c r="D10" s="5">
        <v>118.65</v>
      </c>
      <c r="E10" s="5">
        <v>122.92</v>
      </c>
      <c r="F10" s="6">
        <v>8996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119.09</v>
      </c>
      <c r="C11" s="5">
        <v>119.09</v>
      </c>
      <c r="D11" s="5">
        <v>119.09</v>
      </c>
      <c r="E11" s="5">
        <v>119.09</v>
      </c>
      <c r="F11" s="6">
        <v>983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122.92</v>
      </c>
      <c r="C12" s="5">
        <v>122.92</v>
      </c>
      <c r="D12" s="5">
        <v>119.14</v>
      </c>
      <c r="E12" s="5">
        <v>121</v>
      </c>
      <c r="F12" s="6">
        <v>1834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121.32</v>
      </c>
      <c r="C13" s="5">
        <v>121.4</v>
      </c>
      <c r="D13" s="5">
        <v>118.58</v>
      </c>
      <c r="E13" s="5">
        <v>118.58</v>
      </c>
      <c r="F13" s="6">
        <v>1816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117.25</v>
      </c>
      <c r="C14" s="5">
        <v>120.12</v>
      </c>
      <c r="D14" s="5">
        <v>117.25</v>
      </c>
      <c r="E14" s="5">
        <v>120.12</v>
      </c>
      <c r="F14" s="6">
        <v>3833</v>
      </c>
      <c r="H14" s="10" t="s">
        <v>20</v>
      </c>
      <c r="I14" s="13">
        <f ca="1">IF($I$11="OK",INDEX(PxClose,I9),"")</f>
        <v>121</v>
      </c>
    </row>
    <row r="15" spans="1:10" x14ac:dyDescent="0.2">
      <c r="A15" s="4">
        <v>44488</v>
      </c>
      <c r="B15" s="5">
        <v>118</v>
      </c>
      <c r="C15" s="5">
        <v>121.46</v>
      </c>
      <c r="D15" s="5">
        <v>118</v>
      </c>
      <c r="E15" s="5">
        <v>119.37</v>
      </c>
      <c r="F15" s="6">
        <v>1645</v>
      </c>
      <c r="H15" s="10" t="s">
        <v>21</v>
      </c>
      <c r="I15" s="13">
        <f ca="1">IF($I$11="OK",INDEX(PxClose,I10),"")</f>
        <v>156.9</v>
      </c>
    </row>
    <row r="16" spans="1:10" x14ac:dyDescent="0.2">
      <c r="A16" s="4">
        <v>44489</v>
      </c>
      <c r="B16" s="5">
        <v>118.95</v>
      </c>
      <c r="C16" s="5">
        <v>122</v>
      </c>
      <c r="D16" s="5">
        <v>118.95</v>
      </c>
      <c r="E16" s="5">
        <v>122</v>
      </c>
      <c r="F16" s="6">
        <v>1782</v>
      </c>
      <c r="H16" s="14" t="s">
        <v>22</v>
      </c>
      <c r="I16" s="15">
        <f ca="1">IF($I$11="OK",I15/I14-1,"")</f>
        <v>0.2966942148760332</v>
      </c>
    </row>
    <row r="17" spans="1:8" x14ac:dyDescent="0.2">
      <c r="A17" s="4">
        <v>44490</v>
      </c>
      <c r="B17" s="5">
        <v>121.57</v>
      </c>
      <c r="C17" s="5">
        <v>122.4</v>
      </c>
      <c r="D17" s="5">
        <v>121.57</v>
      </c>
      <c r="E17" s="5">
        <v>122.4</v>
      </c>
      <c r="F17" s="6">
        <v>1741</v>
      </c>
    </row>
    <row r="18" spans="1:8" ht="15.75" x14ac:dyDescent="0.25">
      <c r="A18" s="4">
        <v>44491</v>
      </c>
      <c r="B18" s="5">
        <v>123.51</v>
      </c>
      <c r="C18" s="5">
        <v>124</v>
      </c>
      <c r="D18" s="5">
        <v>122.85</v>
      </c>
      <c r="E18" s="5">
        <v>123.77500000000001</v>
      </c>
      <c r="F18" s="6">
        <v>4814</v>
      </c>
      <c r="H18" s="1" t="str">
        <f ca="1">IF($I$11&lt;&gt;"OK",$I$11,"AZN "&amp;IF(I16&gt;=0,"rose ","fell ")&amp;TEXT(ABS(I16),"0.0%")&amp;" from "&amp;TEXT(I14,"$#,##0.00")&amp;" on "&amp;TEXT(I12,"mmm d, yyyy")&amp;" to "&amp;TEXT(I15,"$#,##0.00")&amp;" on "&amp;TEXT(I13,"mmm d, yyyy")&amp;".")</f>
        <v>AZN rose 29.7% from $121.00 on Oct 5, 2021 to $156.90 on Oct 2, 2026.</v>
      </c>
    </row>
    <row r="19" spans="1:8" x14ac:dyDescent="0.2">
      <c r="A19" s="4">
        <v>44494</v>
      </c>
      <c r="B19" s="5">
        <v>125.575</v>
      </c>
      <c r="C19" s="5">
        <v>125.575</v>
      </c>
      <c r="D19" s="5">
        <v>124.82</v>
      </c>
      <c r="E19" s="5">
        <v>124.82</v>
      </c>
      <c r="F19" s="6">
        <v>841</v>
      </c>
    </row>
    <row r="20" spans="1:8" x14ac:dyDescent="0.2">
      <c r="A20" s="4">
        <v>44495</v>
      </c>
      <c r="B20" s="5">
        <v>125.37</v>
      </c>
      <c r="C20" s="5">
        <v>125.37</v>
      </c>
      <c r="D20" s="5">
        <v>123.13</v>
      </c>
      <c r="E20" s="5">
        <v>123.13</v>
      </c>
      <c r="F20" s="6">
        <v>922</v>
      </c>
    </row>
    <row r="21" spans="1:8" x14ac:dyDescent="0.2">
      <c r="A21" s="4">
        <v>44496</v>
      </c>
      <c r="B21" s="5">
        <v>122.3</v>
      </c>
      <c r="C21" s="5">
        <v>124.42</v>
      </c>
      <c r="D21" s="5">
        <v>122.3</v>
      </c>
      <c r="E21" s="5">
        <v>122.81</v>
      </c>
      <c r="F21" s="6">
        <v>1962</v>
      </c>
    </row>
    <row r="22" spans="1:8" x14ac:dyDescent="0.2">
      <c r="A22" s="4">
        <v>44497</v>
      </c>
      <c r="B22" s="5">
        <v>125.45</v>
      </c>
      <c r="C22" s="5">
        <v>127.25</v>
      </c>
      <c r="D22" s="5">
        <v>123.45</v>
      </c>
      <c r="E22" s="5">
        <v>127.25</v>
      </c>
      <c r="F22" s="6">
        <v>3192</v>
      </c>
    </row>
    <row r="23" spans="1:8" x14ac:dyDescent="0.2">
      <c r="A23" s="4">
        <v>44498</v>
      </c>
      <c r="B23" s="5">
        <v>123.48</v>
      </c>
      <c r="C23" s="5">
        <v>125.82</v>
      </c>
      <c r="D23" s="5">
        <v>123.48</v>
      </c>
      <c r="E23" s="5">
        <v>125.27500000000001</v>
      </c>
      <c r="F23" s="6">
        <v>2626</v>
      </c>
    </row>
    <row r="24" spans="1:8" x14ac:dyDescent="0.2">
      <c r="A24" s="4">
        <v>44501</v>
      </c>
      <c r="B24" s="5">
        <v>125.12</v>
      </c>
      <c r="C24" s="5">
        <v>127.25</v>
      </c>
      <c r="D24" s="5">
        <v>125.12</v>
      </c>
      <c r="E24" s="5">
        <v>127.17</v>
      </c>
      <c r="F24" s="6">
        <v>2099</v>
      </c>
    </row>
    <row r="25" spans="1:8" x14ac:dyDescent="0.2">
      <c r="A25" s="4">
        <v>44502</v>
      </c>
      <c r="B25" s="5">
        <v>127.25</v>
      </c>
      <c r="C25" s="5">
        <v>130.4</v>
      </c>
      <c r="D25" s="5">
        <v>126.45</v>
      </c>
      <c r="E25" s="5">
        <v>126.45</v>
      </c>
      <c r="F25" s="6">
        <v>1906</v>
      </c>
    </row>
    <row r="26" spans="1:8" x14ac:dyDescent="0.2">
      <c r="A26" s="4">
        <v>44503</v>
      </c>
      <c r="B26" s="5">
        <v>128.91999999999999</v>
      </c>
      <c r="C26" s="5">
        <v>129</v>
      </c>
      <c r="D26" s="5">
        <v>125.35</v>
      </c>
      <c r="E26" s="5">
        <v>129</v>
      </c>
      <c r="F26" s="6">
        <v>1563</v>
      </c>
    </row>
    <row r="27" spans="1:8" x14ac:dyDescent="0.2">
      <c r="A27" s="4">
        <v>44504</v>
      </c>
      <c r="B27" s="5">
        <v>129.16999999999999</v>
      </c>
      <c r="C27" s="5">
        <v>129.91999999999999</v>
      </c>
      <c r="D27" s="5">
        <v>129.16999999999999</v>
      </c>
      <c r="E27" s="5">
        <v>129.91999999999999</v>
      </c>
      <c r="F27" s="6">
        <v>1571</v>
      </c>
    </row>
    <row r="28" spans="1:8" x14ac:dyDescent="0.2">
      <c r="A28" s="4">
        <v>44505</v>
      </c>
      <c r="B28" s="5">
        <v>124.2</v>
      </c>
      <c r="C28" s="5">
        <v>125.47</v>
      </c>
      <c r="D28" s="5">
        <v>124.2</v>
      </c>
      <c r="E28" s="5">
        <v>125.47</v>
      </c>
      <c r="F28" s="6">
        <v>1754</v>
      </c>
    </row>
    <row r="29" spans="1:8" x14ac:dyDescent="0.2">
      <c r="A29" s="4">
        <v>44508</v>
      </c>
      <c r="B29" s="5">
        <v>126.25</v>
      </c>
      <c r="C29" s="5">
        <v>128.44999999999999</v>
      </c>
      <c r="D29" s="5">
        <v>126.25</v>
      </c>
      <c r="E29" s="5">
        <v>128.37</v>
      </c>
      <c r="F29" s="6">
        <v>1346</v>
      </c>
    </row>
    <row r="30" spans="1:8" x14ac:dyDescent="0.2">
      <c r="A30" s="4">
        <v>44509</v>
      </c>
      <c r="B30" s="5">
        <v>126.42</v>
      </c>
      <c r="C30" s="5">
        <v>126.42</v>
      </c>
      <c r="D30" s="5">
        <v>125.5638</v>
      </c>
      <c r="E30" s="5">
        <v>126.42</v>
      </c>
      <c r="F30" s="6">
        <v>827</v>
      </c>
    </row>
    <row r="31" spans="1:8" x14ac:dyDescent="0.2">
      <c r="A31" s="4">
        <v>44510</v>
      </c>
      <c r="B31" s="5">
        <v>125.33</v>
      </c>
      <c r="C31" s="5">
        <v>126.9</v>
      </c>
      <c r="D31" s="5">
        <v>124.33</v>
      </c>
      <c r="E31" s="5">
        <v>126.77</v>
      </c>
      <c r="F31" s="6">
        <v>2580</v>
      </c>
    </row>
    <row r="32" spans="1:8" x14ac:dyDescent="0.2">
      <c r="A32" s="4">
        <v>44511</v>
      </c>
      <c r="B32" s="5">
        <v>125.625</v>
      </c>
      <c r="C32" s="5">
        <v>126.92</v>
      </c>
      <c r="D32" s="5">
        <v>124.2501</v>
      </c>
      <c r="E32" s="5">
        <v>126.92</v>
      </c>
      <c r="F32" s="6">
        <v>3700</v>
      </c>
    </row>
    <row r="33" spans="1:23" x14ac:dyDescent="0.2">
      <c r="A33" s="4">
        <v>44512</v>
      </c>
      <c r="B33" s="5">
        <v>119.75</v>
      </c>
      <c r="C33" s="5">
        <v>119.86</v>
      </c>
      <c r="D33" s="5">
        <v>117.36</v>
      </c>
      <c r="E33" s="5">
        <v>118.39</v>
      </c>
      <c r="F33" s="6">
        <v>3101</v>
      </c>
    </row>
    <row r="34" spans="1:23" x14ac:dyDescent="0.2">
      <c r="A34" s="4">
        <v>44515</v>
      </c>
      <c r="B34" s="5">
        <v>120.92</v>
      </c>
      <c r="C34" s="5">
        <v>123.13</v>
      </c>
      <c r="D34" s="5">
        <v>120.92</v>
      </c>
      <c r="E34" s="5">
        <v>123.13</v>
      </c>
      <c r="F34" s="6">
        <v>822</v>
      </c>
    </row>
    <row r="35" spans="1:23" x14ac:dyDescent="0.2">
      <c r="A35" s="4">
        <v>44516</v>
      </c>
      <c r="B35" s="5">
        <v>114.8</v>
      </c>
      <c r="C35" s="5">
        <v>116.81</v>
      </c>
      <c r="D35" s="5">
        <v>114.8</v>
      </c>
      <c r="E35" s="5">
        <v>116.81</v>
      </c>
      <c r="F35" s="6">
        <v>1716</v>
      </c>
    </row>
    <row r="36" spans="1:23" x14ac:dyDescent="0.2">
      <c r="A36" s="4">
        <v>44517</v>
      </c>
      <c r="B36" s="5">
        <v>112.59</v>
      </c>
      <c r="C36" s="5">
        <v>117.92</v>
      </c>
      <c r="D36" s="5">
        <v>112.59</v>
      </c>
      <c r="E36" s="5">
        <v>115.94</v>
      </c>
      <c r="F36" s="6">
        <v>928</v>
      </c>
    </row>
    <row r="37" spans="1:23" x14ac:dyDescent="0.2">
      <c r="A37" s="4">
        <v>44518</v>
      </c>
      <c r="B37" s="5">
        <v>111.01</v>
      </c>
      <c r="C37" s="5">
        <v>114.67</v>
      </c>
      <c r="D37" s="5">
        <v>111.01</v>
      </c>
      <c r="E37" s="5">
        <v>112.42</v>
      </c>
      <c r="F37" s="6">
        <v>2426</v>
      </c>
    </row>
    <row r="38" spans="1:23" x14ac:dyDescent="0.2">
      <c r="A38" s="4">
        <v>44519</v>
      </c>
      <c r="B38" s="5">
        <v>115.42</v>
      </c>
      <c r="C38" s="5">
        <v>115.42</v>
      </c>
      <c r="D38" s="5">
        <v>112.33</v>
      </c>
      <c r="E38" s="5">
        <v>112.6</v>
      </c>
      <c r="F38" s="6">
        <v>5275</v>
      </c>
    </row>
    <row r="39" spans="1:23" x14ac:dyDescent="0.2">
      <c r="A39" s="4">
        <v>44522</v>
      </c>
      <c r="B39" s="5">
        <v>114.32</v>
      </c>
      <c r="C39" s="5">
        <v>114.32</v>
      </c>
      <c r="D39" s="5">
        <v>112.63</v>
      </c>
      <c r="E39" s="5">
        <v>114.21</v>
      </c>
      <c r="F39" s="6">
        <v>1793</v>
      </c>
    </row>
    <row r="40" spans="1:23" x14ac:dyDescent="0.2">
      <c r="A40" s="4">
        <v>44523</v>
      </c>
      <c r="B40" s="5">
        <v>112.33</v>
      </c>
      <c r="C40" s="5">
        <v>113.82</v>
      </c>
      <c r="D40" s="5">
        <v>112.25</v>
      </c>
      <c r="E40" s="5">
        <v>112.25</v>
      </c>
      <c r="F40" s="6">
        <v>2327</v>
      </c>
    </row>
    <row r="41" spans="1:23" x14ac:dyDescent="0.2">
      <c r="A41" s="4">
        <v>44524</v>
      </c>
      <c r="B41" s="5">
        <v>112.23</v>
      </c>
      <c r="C41" s="5">
        <v>113.72</v>
      </c>
      <c r="D41" s="5">
        <v>112.08</v>
      </c>
      <c r="E41" s="5">
        <v>113.72</v>
      </c>
      <c r="F41" s="6">
        <v>1203</v>
      </c>
    </row>
    <row r="42" spans="1:23" x14ac:dyDescent="0.2">
      <c r="A42" s="4">
        <v>44526</v>
      </c>
      <c r="B42" s="5">
        <v>115.92</v>
      </c>
      <c r="C42" s="5">
        <v>115.92</v>
      </c>
      <c r="D42" s="5">
        <v>112.355</v>
      </c>
      <c r="E42" s="5">
        <v>112.355</v>
      </c>
      <c r="F42" s="6">
        <v>1231</v>
      </c>
    </row>
    <row r="43" spans="1:23" x14ac:dyDescent="0.2">
      <c r="A43" s="4">
        <v>44529</v>
      </c>
      <c r="B43" s="5">
        <v>112.35</v>
      </c>
      <c r="C43" s="5">
        <v>112.35</v>
      </c>
      <c r="D43" s="5">
        <v>112.35</v>
      </c>
      <c r="E43" s="5">
        <v>112.35</v>
      </c>
      <c r="F43" s="6">
        <v>997</v>
      </c>
    </row>
    <row r="44" spans="1:23" x14ac:dyDescent="0.2">
      <c r="A44" s="4">
        <v>44530</v>
      </c>
      <c r="B44" s="5">
        <v>111.57</v>
      </c>
      <c r="C44" s="5">
        <v>111.65</v>
      </c>
      <c r="D44" s="5">
        <v>107.33</v>
      </c>
      <c r="E44" s="5">
        <v>111.57</v>
      </c>
      <c r="F44" s="6">
        <v>1614</v>
      </c>
    </row>
    <row r="45" spans="1:23" x14ac:dyDescent="0.2">
      <c r="A45" s="4">
        <v>44531</v>
      </c>
      <c r="B45" s="5">
        <v>110.92</v>
      </c>
      <c r="C45" s="5">
        <v>113.17</v>
      </c>
      <c r="D45" s="5">
        <v>109.35</v>
      </c>
      <c r="E45" s="5">
        <v>109.35</v>
      </c>
      <c r="F45" s="6">
        <v>3531</v>
      </c>
    </row>
    <row r="46" spans="1:23" ht="15.75" x14ac:dyDescent="0.25">
      <c r="A46" s="4">
        <v>44532</v>
      </c>
      <c r="B46" s="5">
        <v>108.83</v>
      </c>
      <c r="C46" s="5">
        <v>111.67</v>
      </c>
      <c r="D46" s="5">
        <v>108.7</v>
      </c>
      <c r="E46" s="5">
        <v>111.42</v>
      </c>
      <c r="F46" s="6">
        <v>2311</v>
      </c>
      <c r="U46" s="1" t="s">
        <v>49</v>
      </c>
    </row>
    <row r="47" spans="1:23" x14ac:dyDescent="0.2">
      <c r="A47" s="4">
        <v>44533</v>
      </c>
      <c r="B47" s="5">
        <v>106.47</v>
      </c>
      <c r="C47" s="5">
        <v>109.66</v>
      </c>
      <c r="D47" s="5">
        <v>106.39</v>
      </c>
      <c r="E47" s="5">
        <v>109.66</v>
      </c>
      <c r="F47" s="6">
        <v>3574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113.92</v>
      </c>
      <c r="C48" s="5">
        <v>113.92</v>
      </c>
      <c r="D48" s="5">
        <v>109.36</v>
      </c>
      <c r="E48" s="5">
        <v>110.93</v>
      </c>
      <c r="F48" s="6">
        <v>3156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111.39</v>
      </c>
      <c r="C49" s="5">
        <v>111.39</v>
      </c>
      <c r="D49" s="5">
        <v>106.74</v>
      </c>
      <c r="E49" s="5">
        <v>108.63</v>
      </c>
      <c r="F49" s="6">
        <v>153071</v>
      </c>
      <c r="U49" s="23" t="s">
        <v>52</v>
      </c>
      <c r="V49" s="24">
        <f ca="1">IF($I$11="OK",INDEX('Peer Data'!$O$5:$O$1258,$I$10),"")</f>
        <v>0.2966942148760332</v>
      </c>
      <c r="W49" s="25">
        <f ca="1">IF($I$11="OK",RANK(V49,$V$49:$V$60),"")</f>
        <v>6</v>
      </c>
    </row>
    <row r="50" spans="1:23" x14ac:dyDescent="0.2">
      <c r="A50" s="4">
        <v>44538</v>
      </c>
      <c r="B50" s="5">
        <v>106.45</v>
      </c>
      <c r="C50" s="5">
        <v>112.47</v>
      </c>
      <c r="D50" s="5">
        <v>106.45</v>
      </c>
      <c r="E50" s="5">
        <v>112.47</v>
      </c>
      <c r="F50" s="6">
        <v>5768</v>
      </c>
      <c r="U50" s="26" t="s">
        <v>53</v>
      </c>
      <c r="V50" s="27">
        <f ca="1">IF($I$11="OK",INDEX('Peer Data'!$P$5:$P$1258,$I$10),"")</f>
        <v>0.78110587727043646</v>
      </c>
      <c r="W50" s="28">
        <f ca="1">IF($I$11="OK",RANK(V50,$V$49:$V$60),"")</f>
        <v>3</v>
      </c>
    </row>
    <row r="51" spans="1:23" x14ac:dyDescent="0.2">
      <c r="A51" s="4">
        <v>44539</v>
      </c>
      <c r="B51" s="5">
        <v>110.93</v>
      </c>
      <c r="C51" s="5">
        <v>111.97</v>
      </c>
      <c r="D51" s="5">
        <v>108</v>
      </c>
      <c r="E51" s="5">
        <v>109.25</v>
      </c>
      <c r="F51" s="6">
        <v>3148</v>
      </c>
      <c r="U51" s="26" t="s">
        <v>54</v>
      </c>
      <c r="V51" s="27">
        <f ca="1">IF($I$11="OK",INDEX('Peer Data'!$Q$5:$Q$1258,$I$10),"")</f>
        <v>-1.5593929879644142E-2</v>
      </c>
      <c r="W51" s="28">
        <f ca="1">IF($I$11="OK",RANK(V51,$V$49:$V$60),"")</f>
        <v>9</v>
      </c>
    </row>
    <row r="52" spans="1:23" x14ac:dyDescent="0.2">
      <c r="A52" s="4">
        <v>44540</v>
      </c>
      <c r="B52" s="5">
        <v>106.38</v>
      </c>
      <c r="C52" s="5">
        <v>110.43</v>
      </c>
      <c r="D52" s="5">
        <v>106.3</v>
      </c>
      <c r="E52" s="5">
        <v>110.43</v>
      </c>
      <c r="F52" s="6">
        <v>3677</v>
      </c>
      <c r="U52" s="26" t="s">
        <v>55</v>
      </c>
      <c r="V52" s="27">
        <f ca="1">IF($I$11="OK",INDEX('Peer Data'!$R$5:$R$1258,$I$10),"")</f>
        <v>0.11884368308351179</v>
      </c>
      <c r="W52" s="28">
        <f ca="1">IF($I$11="OK",RANK(V52,$V$49:$V$60),"")</f>
        <v>7</v>
      </c>
    </row>
    <row r="53" spans="1:23" x14ac:dyDescent="0.2">
      <c r="A53" s="4">
        <v>44543</v>
      </c>
      <c r="B53" s="5">
        <v>105.96</v>
      </c>
      <c r="C53" s="5">
        <v>111.44</v>
      </c>
      <c r="D53" s="5">
        <v>105.26</v>
      </c>
      <c r="E53" s="5">
        <v>107.28</v>
      </c>
      <c r="F53" s="6">
        <v>4436</v>
      </c>
      <c r="U53" s="26" t="s">
        <v>56</v>
      </c>
      <c r="V53" s="27">
        <f ca="1">IF($I$11="OK",INDEX('Peer Data'!$S$5:$S$1258,$I$10),"")</f>
        <v>-0.17384105960264895</v>
      </c>
      <c r="W53" s="28">
        <f ca="1">IF($I$11="OK",RANK(V53,$V$49:$V$60),"")</f>
        <v>11</v>
      </c>
    </row>
    <row r="54" spans="1:23" x14ac:dyDescent="0.2">
      <c r="A54" s="4">
        <v>44544</v>
      </c>
      <c r="B54" s="5">
        <v>105.74</v>
      </c>
      <c r="C54" s="5">
        <v>111.89</v>
      </c>
      <c r="D54" s="5">
        <v>105.74</v>
      </c>
      <c r="E54" s="5">
        <v>107.76</v>
      </c>
      <c r="F54" s="6">
        <v>20506</v>
      </c>
      <c r="U54" s="26" t="s">
        <v>57</v>
      </c>
      <c r="V54" s="27">
        <f ca="1">IF($I$11="OK",INDEX('Peer Data'!$T$5:$T$1258,$I$10),"")</f>
        <v>-2.6535253980288109E-2</v>
      </c>
      <c r="W54" s="28">
        <f ca="1">IF($I$11="OK",RANK(V54,$V$49:$V$60),"")</f>
        <v>10</v>
      </c>
    </row>
    <row r="55" spans="1:23" x14ac:dyDescent="0.2">
      <c r="A55" s="4">
        <v>44545</v>
      </c>
      <c r="B55" s="5">
        <v>106.74</v>
      </c>
      <c r="C55" s="5">
        <v>111.11</v>
      </c>
      <c r="D55" s="5">
        <v>106.66</v>
      </c>
      <c r="E55" s="5">
        <v>110.34</v>
      </c>
      <c r="F55" s="6">
        <v>5078</v>
      </c>
      <c r="U55" s="26" t="s">
        <v>58</v>
      </c>
      <c r="V55" s="27">
        <f ca="1">IF($I$11="OK",INDEX('Peer Data'!$U$5:$U$1258,$I$10),"")</f>
        <v>0.76838235294117663</v>
      </c>
      <c r="W55" s="28">
        <f ca="1">IF($I$11="OK",RANK(V55,$V$49:$V$60),"")</f>
        <v>4</v>
      </c>
    </row>
    <row r="56" spans="1:23" x14ac:dyDescent="0.2">
      <c r="A56" s="4">
        <v>44546</v>
      </c>
      <c r="B56" s="5">
        <v>112</v>
      </c>
      <c r="C56" s="5">
        <v>113.92</v>
      </c>
      <c r="D56" s="5">
        <v>111.72</v>
      </c>
      <c r="E56" s="5">
        <v>113.92</v>
      </c>
      <c r="F56" s="6">
        <v>4647</v>
      </c>
      <c r="U56" s="26" t="s">
        <v>59</v>
      </c>
      <c r="V56" s="27">
        <f ca="1">IF($I$11="OK",INDEX('Peer Data'!$V$5:$V$1258,$I$10),"")</f>
        <v>-0.34310018903591677</v>
      </c>
      <c r="W56" s="28">
        <f ca="1">IF($I$11="OK",RANK(V56,$V$49:$V$60),"")</f>
        <v>12</v>
      </c>
    </row>
    <row r="57" spans="1:23" x14ac:dyDescent="0.2">
      <c r="A57" s="4">
        <v>44547</v>
      </c>
      <c r="B57" s="5">
        <v>112.13</v>
      </c>
      <c r="C57" s="5">
        <v>112.13</v>
      </c>
      <c r="D57" s="5">
        <v>111.4</v>
      </c>
      <c r="E57" s="5">
        <v>111.4</v>
      </c>
      <c r="F57" s="6">
        <v>1906</v>
      </c>
      <c r="U57" s="26" t="s">
        <v>60</v>
      </c>
      <c r="V57" s="27">
        <f ca="1">IF($I$11="OK",INDEX('Peer Data'!$W$5:$W$1258,$I$10),"")</f>
        <v>3.9489022647555529</v>
      </c>
      <c r="W57" s="28">
        <f ca="1">IF($I$11="OK",RANK(V57,$V$49:$V$60),"")</f>
        <v>1</v>
      </c>
    </row>
    <row r="58" spans="1:23" x14ac:dyDescent="0.2">
      <c r="A58" s="4">
        <v>44550</v>
      </c>
      <c r="B58" s="5">
        <v>113</v>
      </c>
      <c r="C58" s="5">
        <v>113.16</v>
      </c>
      <c r="D58" s="5">
        <v>109.48</v>
      </c>
      <c r="E58" s="5">
        <v>109.56</v>
      </c>
      <c r="F58" s="6">
        <v>3469</v>
      </c>
      <c r="U58" s="26" t="s">
        <v>61</v>
      </c>
      <c r="V58" s="27">
        <f ca="1">IF($I$11="OK",INDEX('Peer Data'!$X$5:$X$1258,$I$10),"")</f>
        <v>3.3812341504649179E-2</v>
      </c>
      <c r="W58" s="28">
        <f ca="1">IF($I$11="OK",RANK(V58,$V$49:$V$60),"")</f>
        <v>8</v>
      </c>
    </row>
    <row r="59" spans="1:23" x14ac:dyDescent="0.2">
      <c r="A59" s="4">
        <v>44551</v>
      </c>
      <c r="B59" s="5">
        <v>113.42</v>
      </c>
      <c r="C59" s="5">
        <v>116</v>
      </c>
      <c r="D59" s="5">
        <v>110.74</v>
      </c>
      <c r="E59" s="5">
        <v>116</v>
      </c>
      <c r="F59" s="6">
        <v>3580</v>
      </c>
      <c r="U59" s="26" t="s">
        <v>62</v>
      </c>
      <c r="V59" s="27">
        <f ca="1">IF($I$11="OK",INDEX('Peer Data'!$Y$5:$Y$1258,$I$10),"")</f>
        <v>0.60439904749968631</v>
      </c>
      <c r="W59" s="28">
        <f ca="1">IF($I$11="OK",RANK(V59,$V$49:$V$60),"")</f>
        <v>5</v>
      </c>
    </row>
    <row r="60" spans="1:23" x14ac:dyDescent="0.2">
      <c r="A60" s="4">
        <v>44552</v>
      </c>
      <c r="B60" s="5">
        <v>110.45</v>
      </c>
      <c r="C60" s="5">
        <v>115.87</v>
      </c>
      <c r="D60" s="5">
        <v>110.45</v>
      </c>
      <c r="E60" s="5">
        <v>115.87</v>
      </c>
      <c r="F60" s="6">
        <v>5196</v>
      </c>
      <c r="U60" s="29" t="s">
        <v>63</v>
      </c>
      <c r="V60" s="30">
        <f ca="1">IF($I$11="OK",INDEX('Peer Data'!$Z$5:$Z$1258,$I$10),"")</f>
        <v>1.3999634736553737</v>
      </c>
      <c r="W60" s="31">
        <f ca="1">IF($I$11="OK",RANK(V60,$V$49:$V$60),"")</f>
        <v>2</v>
      </c>
    </row>
    <row r="61" spans="1:23" x14ac:dyDescent="0.2">
      <c r="A61" s="4">
        <v>44553</v>
      </c>
      <c r="B61" s="5">
        <v>115.92</v>
      </c>
      <c r="C61" s="5">
        <v>115.92</v>
      </c>
      <c r="D61" s="5">
        <v>113.53</v>
      </c>
      <c r="E61" s="5">
        <v>115</v>
      </c>
      <c r="F61" s="6">
        <v>2293</v>
      </c>
    </row>
    <row r="62" spans="1:23" x14ac:dyDescent="0.2">
      <c r="A62" s="4">
        <v>44557</v>
      </c>
      <c r="B62" s="5">
        <v>114.92</v>
      </c>
      <c r="C62" s="5">
        <v>115.92</v>
      </c>
      <c r="D62" s="5">
        <v>114.08</v>
      </c>
      <c r="E62" s="5">
        <v>115</v>
      </c>
      <c r="F62" s="6">
        <v>4886</v>
      </c>
    </row>
    <row r="63" spans="1:23" x14ac:dyDescent="0.2">
      <c r="A63" s="4">
        <v>44558</v>
      </c>
      <c r="B63" s="5">
        <v>115</v>
      </c>
      <c r="C63" s="5">
        <v>117.49</v>
      </c>
      <c r="D63" s="5">
        <v>113.08</v>
      </c>
      <c r="E63" s="5">
        <v>117.15</v>
      </c>
      <c r="F63" s="6">
        <v>1718</v>
      </c>
    </row>
    <row r="64" spans="1:23" x14ac:dyDescent="0.2">
      <c r="A64" s="4">
        <v>44559</v>
      </c>
      <c r="B64" s="5">
        <v>114.93</v>
      </c>
      <c r="C64" s="5">
        <v>119.85</v>
      </c>
      <c r="D64" s="5">
        <v>114.93</v>
      </c>
      <c r="E64" s="5">
        <v>116.13</v>
      </c>
      <c r="F64" s="6">
        <v>1899</v>
      </c>
    </row>
    <row r="65" spans="1:6" x14ac:dyDescent="0.2">
      <c r="A65" s="4">
        <v>44560</v>
      </c>
      <c r="B65" s="5">
        <v>118.1</v>
      </c>
      <c r="C65" s="5">
        <v>118.1</v>
      </c>
      <c r="D65" s="5">
        <v>117.1</v>
      </c>
      <c r="E65" s="5">
        <v>118</v>
      </c>
      <c r="F65" s="6">
        <v>2978</v>
      </c>
    </row>
    <row r="66" spans="1:6" x14ac:dyDescent="0.2">
      <c r="A66" s="4">
        <v>44561</v>
      </c>
      <c r="B66" s="5">
        <v>119.92</v>
      </c>
      <c r="C66" s="5">
        <v>119.92</v>
      </c>
      <c r="D66" s="5">
        <v>115.8501</v>
      </c>
      <c r="E66" s="5">
        <v>115.8501</v>
      </c>
      <c r="F66" s="6">
        <v>755</v>
      </c>
    </row>
    <row r="67" spans="1:6" x14ac:dyDescent="0.2">
      <c r="A67" s="4">
        <v>44564</v>
      </c>
      <c r="B67" s="5">
        <v>118.74</v>
      </c>
      <c r="C67" s="5">
        <v>120</v>
      </c>
      <c r="D67" s="5">
        <v>115.785</v>
      </c>
      <c r="E67" s="5">
        <v>115.785</v>
      </c>
      <c r="F67" s="6">
        <v>4129</v>
      </c>
    </row>
    <row r="68" spans="1:6" x14ac:dyDescent="0.2">
      <c r="A68" s="4">
        <v>44565</v>
      </c>
      <c r="B68" s="5">
        <v>115.92</v>
      </c>
      <c r="C68" s="5">
        <v>115.92</v>
      </c>
      <c r="D68" s="5">
        <v>113.2801</v>
      </c>
      <c r="E68" s="5">
        <v>115.66</v>
      </c>
      <c r="F68" s="6">
        <v>1859</v>
      </c>
    </row>
    <row r="69" spans="1:6" x14ac:dyDescent="0.2">
      <c r="A69" s="4">
        <v>44566</v>
      </c>
      <c r="B69" s="5">
        <v>117.37</v>
      </c>
      <c r="C69" s="5">
        <v>117.37</v>
      </c>
      <c r="D69" s="5">
        <v>113.08</v>
      </c>
      <c r="E69" s="5">
        <v>113.5</v>
      </c>
      <c r="F69" s="6">
        <v>2184</v>
      </c>
    </row>
    <row r="70" spans="1:6" x14ac:dyDescent="0.2">
      <c r="A70" s="4">
        <v>44567</v>
      </c>
      <c r="B70" s="5">
        <v>113</v>
      </c>
      <c r="C70" s="5">
        <v>116.4</v>
      </c>
      <c r="D70" s="5">
        <v>113</v>
      </c>
      <c r="E70" s="5">
        <v>114.7</v>
      </c>
      <c r="F70" s="6">
        <v>3403</v>
      </c>
    </row>
    <row r="71" spans="1:6" x14ac:dyDescent="0.2">
      <c r="A71" s="4">
        <v>44568</v>
      </c>
      <c r="B71" s="5">
        <v>112.4</v>
      </c>
      <c r="C71" s="5">
        <v>115.28</v>
      </c>
      <c r="D71" s="5">
        <v>112.4</v>
      </c>
      <c r="E71" s="5">
        <v>112.73</v>
      </c>
      <c r="F71" s="6">
        <v>1684</v>
      </c>
    </row>
    <row r="72" spans="1:6" x14ac:dyDescent="0.2">
      <c r="A72" s="4">
        <v>44571</v>
      </c>
      <c r="B72" s="5">
        <v>113.16</v>
      </c>
      <c r="C72" s="5">
        <v>115.5</v>
      </c>
      <c r="D72" s="5">
        <v>112.82</v>
      </c>
      <c r="E72" s="5">
        <v>115.02</v>
      </c>
      <c r="F72" s="6">
        <v>179144</v>
      </c>
    </row>
    <row r="73" spans="1:6" x14ac:dyDescent="0.2">
      <c r="A73" s="4">
        <v>44572</v>
      </c>
      <c r="B73" s="5">
        <v>112</v>
      </c>
      <c r="C73" s="5">
        <v>115.51</v>
      </c>
      <c r="D73" s="5">
        <v>112</v>
      </c>
      <c r="E73" s="5">
        <v>115.51</v>
      </c>
      <c r="F73" s="6">
        <v>2274</v>
      </c>
    </row>
    <row r="74" spans="1:6" x14ac:dyDescent="0.2">
      <c r="A74" s="4">
        <v>44573</v>
      </c>
      <c r="B74" s="5">
        <v>115.51</v>
      </c>
      <c r="C74" s="5">
        <v>116.39</v>
      </c>
      <c r="D74" s="5">
        <v>115.32</v>
      </c>
      <c r="E74" s="5">
        <v>115.32</v>
      </c>
      <c r="F74" s="6">
        <v>1711</v>
      </c>
    </row>
    <row r="75" spans="1:6" x14ac:dyDescent="0.2">
      <c r="A75" s="4">
        <v>44574</v>
      </c>
      <c r="B75" s="5">
        <v>117.82</v>
      </c>
      <c r="C75" s="5">
        <v>117.9</v>
      </c>
      <c r="D75" s="5">
        <v>116.77</v>
      </c>
      <c r="E75" s="5">
        <v>117.2</v>
      </c>
      <c r="F75" s="6">
        <v>3319</v>
      </c>
    </row>
    <row r="76" spans="1:6" x14ac:dyDescent="0.2">
      <c r="A76" s="4">
        <v>44575</v>
      </c>
      <c r="B76" s="5">
        <v>116.95</v>
      </c>
      <c r="C76" s="5">
        <v>118.1</v>
      </c>
      <c r="D76" s="5">
        <v>115.22</v>
      </c>
      <c r="E76" s="5">
        <v>118.1</v>
      </c>
      <c r="F76" s="6">
        <v>2397</v>
      </c>
    </row>
    <row r="77" spans="1:6" x14ac:dyDescent="0.2">
      <c r="A77" s="4">
        <v>44579</v>
      </c>
      <c r="B77" s="5">
        <v>117.75</v>
      </c>
      <c r="C77" s="5">
        <v>120.42</v>
      </c>
      <c r="D77" s="5">
        <v>117.48</v>
      </c>
      <c r="E77" s="5">
        <v>119</v>
      </c>
      <c r="F77" s="6">
        <v>8595</v>
      </c>
    </row>
    <row r="78" spans="1:6" x14ac:dyDescent="0.2">
      <c r="A78" s="4">
        <v>44580</v>
      </c>
      <c r="B78" s="5">
        <v>118.685</v>
      </c>
      <c r="C78" s="5">
        <v>119.67</v>
      </c>
      <c r="D78" s="5">
        <v>118.685</v>
      </c>
      <c r="E78" s="5">
        <v>119.67</v>
      </c>
      <c r="F78" s="6">
        <v>1297</v>
      </c>
    </row>
    <row r="79" spans="1:6" x14ac:dyDescent="0.2">
      <c r="A79" s="4">
        <v>44581</v>
      </c>
      <c r="B79" s="5">
        <v>120.4</v>
      </c>
      <c r="C79" s="5">
        <v>121.21</v>
      </c>
      <c r="D79" s="5">
        <v>118.93</v>
      </c>
      <c r="E79" s="5">
        <v>121.21</v>
      </c>
      <c r="F79" s="6">
        <v>6898</v>
      </c>
    </row>
    <row r="80" spans="1:6" x14ac:dyDescent="0.2">
      <c r="A80" s="4">
        <v>44582</v>
      </c>
      <c r="B80" s="5">
        <v>120.82</v>
      </c>
      <c r="C80" s="5">
        <v>120.82</v>
      </c>
      <c r="D80" s="5">
        <v>117.4</v>
      </c>
      <c r="E80" s="5">
        <v>120.82</v>
      </c>
      <c r="F80" s="6">
        <v>1859</v>
      </c>
    </row>
    <row r="81" spans="1:6" x14ac:dyDescent="0.2">
      <c r="A81" s="4">
        <v>44585</v>
      </c>
      <c r="B81" s="5">
        <v>115.125</v>
      </c>
      <c r="C81" s="5">
        <v>116</v>
      </c>
      <c r="D81" s="5">
        <v>110.91</v>
      </c>
      <c r="E81" s="5">
        <v>112.36</v>
      </c>
      <c r="F81" s="6">
        <v>9468</v>
      </c>
    </row>
    <row r="82" spans="1:6" x14ac:dyDescent="0.2">
      <c r="A82" s="4">
        <v>44586</v>
      </c>
      <c r="B82" s="5">
        <v>109.25</v>
      </c>
      <c r="C82" s="5">
        <v>115.92</v>
      </c>
      <c r="D82" s="5">
        <v>109.25</v>
      </c>
      <c r="E82" s="5">
        <v>113.35</v>
      </c>
      <c r="F82" s="6">
        <v>4102</v>
      </c>
    </row>
    <row r="83" spans="1:6" x14ac:dyDescent="0.2">
      <c r="A83" s="4">
        <v>44587</v>
      </c>
      <c r="B83" s="5">
        <v>116.72</v>
      </c>
      <c r="C83" s="5">
        <v>116.8</v>
      </c>
      <c r="D83" s="5">
        <v>114.53149999999999</v>
      </c>
      <c r="E83" s="5">
        <v>116.8</v>
      </c>
      <c r="F83" s="6">
        <v>3741</v>
      </c>
    </row>
    <row r="84" spans="1:6" x14ac:dyDescent="0.2">
      <c r="A84" s="4">
        <v>44588</v>
      </c>
      <c r="B84" s="5">
        <v>118.85</v>
      </c>
      <c r="C84" s="5">
        <v>120.5</v>
      </c>
      <c r="D84" s="5">
        <v>116.55</v>
      </c>
      <c r="E84" s="5">
        <v>120.5</v>
      </c>
      <c r="F84" s="6">
        <v>6652</v>
      </c>
    </row>
    <row r="85" spans="1:6" x14ac:dyDescent="0.2">
      <c r="A85" s="4">
        <v>44589</v>
      </c>
      <c r="B85" s="5">
        <v>120.76</v>
      </c>
      <c r="C85" s="5">
        <v>120.76</v>
      </c>
      <c r="D85" s="5">
        <v>116.25</v>
      </c>
      <c r="E85" s="5">
        <v>116.25</v>
      </c>
      <c r="F85" s="6">
        <v>1838</v>
      </c>
    </row>
    <row r="86" spans="1:6" x14ac:dyDescent="0.2">
      <c r="A86" s="4">
        <v>44592</v>
      </c>
      <c r="B86" s="5">
        <v>117.74</v>
      </c>
      <c r="C86" s="5">
        <v>117.74</v>
      </c>
      <c r="D86" s="5">
        <v>114.63</v>
      </c>
      <c r="E86" s="5">
        <v>117.02</v>
      </c>
      <c r="F86" s="6">
        <v>2502</v>
      </c>
    </row>
    <row r="87" spans="1:6" x14ac:dyDescent="0.2">
      <c r="A87" s="4">
        <v>44593</v>
      </c>
      <c r="B87" s="5">
        <v>115.82</v>
      </c>
      <c r="C87" s="5">
        <v>116.5</v>
      </c>
      <c r="D87" s="5">
        <v>113.53</v>
      </c>
      <c r="E87" s="5">
        <v>116.5</v>
      </c>
      <c r="F87" s="6">
        <v>2498</v>
      </c>
    </row>
    <row r="88" spans="1:6" x14ac:dyDescent="0.2">
      <c r="A88" s="4">
        <v>44594</v>
      </c>
      <c r="B88" s="5">
        <v>116.42</v>
      </c>
      <c r="C88" s="5">
        <v>117.68</v>
      </c>
      <c r="D88" s="5">
        <v>114.03</v>
      </c>
      <c r="E88" s="5">
        <v>117.68</v>
      </c>
      <c r="F88" s="6">
        <v>4065</v>
      </c>
    </row>
    <row r="89" spans="1:6" x14ac:dyDescent="0.2">
      <c r="A89" s="4">
        <v>44595</v>
      </c>
      <c r="B89" s="5">
        <v>113.86</v>
      </c>
      <c r="C89" s="5">
        <v>116.92</v>
      </c>
      <c r="D89" s="5">
        <v>113.86</v>
      </c>
      <c r="E89" s="5">
        <v>116.92</v>
      </c>
      <c r="F89" s="6">
        <v>960</v>
      </c>
    </row>
    <row r="90" spans="1:6" x14ac:dyDescent="0.2">
      <c r="A90" s="4">
        <v>44596</v>
      </c>
      <c r="B90" s="5">
        <v>110.285</v>
      </c>
      <c r="C90" s="5">
        <v>115.23</v>
      </c>
      <c r="D90" s="5">
        <v>108.62</v>
      </c>
      <c r="E90" s="5">
        <v>110.53</v>
      </c>
      <c r="F90" s="6">
        <v>3147</v>
      </c>
    </row>
    <row r="91" spans="1:6" x14ac:dyDescent="0.2">
      <c r="A91" s="4">
        <v>44599</v>
      </c>
      <c r="B91" s="5">
        <v>113.5</v>
      </c>
      <c r="C91" s="5">
        <v>114.07</v>
      </c>
      <c r="D91" s="5">
        <v>111</v>
      </c>
      <c r="E91" s="5">
        <v>111.5</v>
      </c>
      <c r="F91" s="6">
        <v>18499</v>
      </c>
    </row>
    <row r="92" spans="1:6" x14ac:dyDescent="0.2">
      <c r="A92" s="4">
        <v>44600</v>
      </c>
      <c r="B92" s="5">
        <v>111.005</v>
      </c>
      <c r="C92" s="5">
        <v>113.87</v>
      </c>
      <c r="D92" s="5">
        <v>109.2701</v>
      </c>
      <c r="E92" s="5">
        <v>112.87</v>
      </c>
      <c r="F92" s="6">
        <v>3064</v>
      </c>
    </row>
    <row r="93" spans="1:6" x14ac:dyDescent="0.2">
      <c r="A93" s="4">
        <v>44601</v>
      </c>
      <c r="B93" s="5">
        <v>114</v>
      </c>
      <c r="C93" s="5">
        <v>114.52</v>
      </c>
      <c r="D93" s="5">
        <v>111.68</v>
      </c>
      <c r="E93" s="5">
        <v>114.52</v>
      </c>
      <c r="F93" s="6">
        <v>1381</v>
      </c>
    </row>
    <row r="94" spans="1:6" x14ac:dyDescent="0.2">
      <c r="A94" s="4">
        <v>44602</v>
      </c>
      <c r="B94" s="5">
        <v>114.12</v>
      </c>
      <c r="C94" s="5">
        <v>119.42</v>
      </c>
      <c r="D94" s="5">
        <v>114.12</v>
      </c>
      <c r="E94" s="5">
        <v>115.751</v>
      </c>
      <c r="F94" s="6">
        <v>2326</v>
      </c>
    </row>
    <row r="95" spans="1:6" x14ac:dyDescent="0.2">
      <c r="A95" s="4">
        <v>44603</v>
      </c>
      <c r="B95" s="5">
        <v>116.82</v>
      </c>
      <c r="C95" s="5">
        <v>117.42</v>
      </c>
      <c r="D95" s="5">
        <v>113</v>
      </c>
      <c r="E95" s="5">
        <v>114.15</v>
      </c>
      <c r="F95" s="6">
        <v>1592</v>
      </c>
    </row>
    <row r="96" spans="1:6" x14ac:dyDescent="0.2">
      <c r="A96" s="4">
        <v>44606</v>
      </c>
      <c r="B96" s="5">
        <v>114.44</v>
      </c>
      <c r="C96" s="5">
        <v>114.75</v>
      </c>
      <c r="D96" s="5">
        <v>111.355</v>
      </c>
      <c r="E96" s="5">
        <v>111.36</v>
      </c>
      <c r="F96" s="6">
        <v>3542</v>
      </c>
    </row>
    <row r="97" spans="1:6" x14ac:dyDescent="0.2">
      <c r="A97" s="4">
        <v>44607</v>
      </c>
      <c r="B97" s="5">
        <v>116.05</v>
      </c>
      <c r="C97" s="5">
        <v>121.21</v>
      </c>
      <c r="D97" s="5">
        <v>116.05</v>
      </c>
      <c r="E97" s="5">
        <v>117.12</v>
      </c>
      <c r="F97" s="6">
        <v>2514</v>
      </c>
    </row>
    <row r="98" spans="1:6" x14ac:dyDescent="0.2">
      <c r="A98" s="4">
        <v>44608</v>
      </c>
      <c r="B98" s="5">
        <v>121.21</v>
      </c>
      <c r="C98" s="5">
        <v>122.92</v>
      </c>
      <c r="D98" s="5">
        <v>120</v>
      </c>
      <c r="E98" s="5">
        <v>120.87</v>
      </c>
      <c r="F98" s="6">
        <v>3020</v>
      </c>
    </row>
    <row r="99" spans="1:6" x14ac:dyDescent="0.2">
      <c r="A99" s="4">
        <v>44609</v>
      </c>
      <c r="B99" s="5">
        <v>122.22</v>
      </c>
      <c r="C99" s="5">
        <v>122.42</v>
      </c>
      <c r="D99" s="5">
        <v>122.22</v>
      </c>
      <c r="E99" s="5">
        <v>122.4</v>
      </c>
      <c r="F99" s="6">
        <v>2574</v>
      </c>
    </row>
    <row r="100" spans="1:6" x14ac:dyDescent="0.2">
      <c r="A100" s="4">
        <v>44610</v>
      </c>
      <c r="B100" s="5">
        <v>121.62</v>
      </c>
      <c r="C100" s="5">
        <v>121.62</v>
      </c>
      <c r="D100" s="5">
        <v>117.98</v>
      </c>
      <c r="E100" s="5">
        <v>117.98</v>
      </c>
      <c r="F100" s="6">
        <v>1131</v>
      </c>
    </row>
    <row r="101" spans="1:6" x14ac:dyDescent="0.2">
      <c r="A101" s="4">
        <v>44614</v>
      </c>
      <c r="B101" s="5">
        <v>120</v>
      </c>
      <c r="C101" s="5">
        <v>123.12</v>
      </c>
      <c r="D101" s="5">
        <v>120</v>
      </c>
      <c r="E101" s="5">
        <v>120.3</v>
      </c>
      <c r="F101" s="6">
        <v>1540</v>
      </c>
    </row>
    <row r="102" spans="1:6" x14ac:dyDescent="0.2">
      <c r="A102" s="4">
        <v>44615</v>
      </c>
      <c r="B102" s="5">
        <v>122.32</v>
      </c>
      <c r="C102" s="5">
        <v>122.32</v>
      </c>
      <c r="D102" s="5">
        <v>119</v>
      </c>
      <c r="E102" s="5">
        <v>120.97</v>
      </c>
      <c r="F102" s="6">
        <v>1258</v>
      </c>
    </row>
    <row r="103" spans="1:6" x14ac:dyDescent="0.2">
      <c r="A103" s="4">
        <v>44616</v>
      </c>
      <c r="B103" s="5">
        <v>112.25</v>
      </c>
      <c r="C103" s="5">
        <v>117.17</v>
      </c>
      <c r="D103" s="5">
        <v>112.08</v>
      </c>
      <c r="E103" s="5">
        <v>115.95</v>
      </c>
      <c r="F103" s="6">
        <v>2837</v>
      </c>
    </row>
    <row r="104" spans="1:6" x14ac:dyDescent="0.2">
      <c r="A104" s="4">
        <v>44617</v>
      </c>
      <c r="B104" s="5">
        <v>117.25</v>
      </c>
      <c r="C104" s="5">
        <v>122.25</v>
      </c>
      <c r="D104" s="5">
        <v>117.25</v>
      </c>
      <c r="E104" s="5">
        <v>121.27</v>
      </c>
      <c r="F104" s="6">
        <v>3100</v>
      </c>
    </row>
    <row r="105" spans="1:6" x14ac:dyDescent="0.2">
      <c r="A105" s="4">
        <v>44620</v>
      </c>
      <c r="B105" s="5">
        <v>121.92</v>
      </c>
      <c r="C105" s="5">
        <v>122</v>
      </c>
      <c r="D105" s="5">
        <v>117.23</v>
      </c>
      <c r="E105" s="5">
        <v>117.23</v>
      </c>
      <c r="F105" s="6">
        <v>1387</v>
      </c>
    </row>
    <row r="106" spans="1:6" x14ac:dyDescent="0.2">
      <c r="A106" s="4">
        <v>44621</v>
      </c>
      <c r="B106" s="5">
        <v>122.6</v>
      </c>
      <c r="C106" s="5">
        <v>125.2</v>
      </c>
      <c r="D106" s="5">
        <v>121.37</v>
      </c>
      <c r="E106" s="5">
        <v>122</v>
      </c>
      <c r="F106" s="6">
        <v>2203</v>
      </c>
    </row>
    <row r="107" spans="1:6" x14ac:dyDescent="0.2">
      <c r="A107" s="4">
        <v>44622</v>
      </c>
      <c r="B107" s="5">
        <v>122.45</v>
      </c>
      <c r="C107" s="5">
        <v>124.92</v>
      </c>
      <c r="D107" s="5">
        <v>122.45</v>
      </c>
      <c r="E107" s="5">
        <v>124.92</v>
      </c>
      <c r="F107" s="6">
        <v>902</v>
      </c>
    </row>
    <row r="108" spans="1:6" x14ac:dyDescent="0.2">
      <c r="A108" s="4">
        <v>44623</v>
      </c>
      <c r="B108" s="5">
        <v>118.35</v>
      </c>
      <c r="C108" s="5">
        <v>118.35</v>
      </c>
      <c r="D108" s="5">
        <v>118.35</v>
      </c>
      <c r="E108" s="5">
        <v>118.35</v>
      </c>
      <c r="F108" s="6">
        <v>1256</v>
      </c>
    </row>
    <row r="109" spans="1:6" x14ac:dyDescent="0.2">
      <c r="A109" s="4">
        <v>44624</v>
      </c>
      <c r="B109" s="5">
        <v>117.82</v>
      </c>
      <c r="C109" s="5">
        <v>117.82</v>
      </c>
      <c r="D109" s="5">
        <v>113.2401</v>
      </c>
      <c r="E109" s="5">
        <v>113.2401</v>
      </c>
      <c r="F109" s="6">
        <v>2738</v>
      </c>
    </row>
    <row r="110" spans="1:6" x14ac:dyDescent="0.2">
      <c r="A110" s="4">
        <v>44627</v>
      </c>
      <c r="B110" s="5">
        <v>116.37</v>
      </c>
      <c r="C110" s="5">
        <v>116.37</v>
      </c>
      <c r="D110" s="5">
        <v>112.26</v>
      </c>
      <c r="E110" s="5">
        <v>114.27</v>
      </c>
      <c r="F110" s="6">
        <v>2024</v>
      </c>
    </row>
    <row r="111" spans="1:6" x14ac:dyDescent="0.2">
      <c r="A111" s="4">
        <v>44628</v>
      </c>
      <c r="B111" s="5">
        <v>111.88</v>
      </c>
      <c r="C111" s="5">
        <v>117.51</v>
      </c>
      <c r="D111" s="5">
        <v>111.8</v>
      </c>
      <c r="E111" s="5">
        <v>112.83</v>
      </c>
      <c r="F111" s="6">
        <v>6196</v>
      </c>
    </row>
    <row r="112" spans="1:6" x14ac:dyDescent="0.2">
      <c r="A112" s="4">
        <v>44629</v>
      </c>
      <c r="B112" s="5">
        <v>113.19</v>
      </c>
      <c r="C112" s="5">
        <v>121.92</v>
      </c>
      <c r="D112" s="5">
        <v>113.19</v>
      </c>
      <c r="E112" s="5">
        <v>119.3</v>
      </c>
      <c r="F112" s="6">
        <v>4534</v>
      </c>
    </row>
    <row r="113" spans="1:6" x14ac:dyDescent="0.2">
      <c r="A113" s="4">
        <v>44630</v>
      </c>
      <c r="B113" s="5">
        <v>122.42</v>
      </c>
      <c r="C113" s="5">
        <v>122.42</v>
      </c>
      <c r="D113" s="5">
        <v>122.42</v>
      </c>
      <c r="E113" s="5">
        <v>122.42</v>
      </c>
      <c r="F113" s="6">
        <v>1451</v>
      </c>
    </row>
    <row r="114" spans="1:6" x14ac:dyDescent="0.2">
      <c r="A114" s="4">
        <v>44631</v>
      </c>
      <c r="B114" s="5">
        <v>119.58499999999999</v>
      </c>
      <c r="C114" s="5">
        <v>122.34</v>
      </c>
      <c r="D114" s="5">
        <v>119.58499999999999</v>
      </c>
      <c r="E114" s="5">
        <v>119.85</v>
      </c>
      <c r="F114" s="6">
        <v>5844</v>
      </c>
    </row>
    <row r="115" spans="1:6" x14ac:dyDescent="0.2">
      <c r="A115" s="4">
        <v>44634</v>
      </c>
      <c r="B115" s="5">
        <v>122.42</v>
      </c>
      <c r="C115" s="5">
        <v>122.42</v>
      </c>
      <c r="D115" s="5">
        <v>120.73</v>
      </c>
      <c r="E115" s="5">
        <v>120.73</v>
      </c>
      <c r="F115" s="6">
        <v>2012</v>
      </c>
    </row>
    <row r="116" spans="1:6" x14ac:dyDescent="0.2">
      <c r="A116" s="4">
        <v>44635</v>
      </c>
      <c r="B116" s="5">
        <v>123.67</v>
      </c>
      <c r="C116" s="5">
        <v>123.67</v>
      </c>
      <c r="D116" s="5">
        <v>119.53</v>
      </c>
      <c r="E116" s="5">
        <v>121.32</v>
      </c>
      <c r="F116" s="6">
        <v>1854</v>
      </c>
    </row>
    <row r="117" spans="1:6" x14ac:dyDescent="0.2">
      <c r="A117" s="4">
        <v>44636</v>
      </c>
      <c r="B117" s="5">
        <v>121.33</v>
      </c>
      <c r="C117" s="5">
        <v>124.92</v>
      </c>
      <c r="D117" s="5">
        <v>121.33</v>
      </c>
      <c r="E117" s="5">
        <v>121.33</v>
      </c>
      <c r="F117" s="6">
        <v>1109</v>
      </c>
    </row>
    <row r="118" spans="1:6" x14ac:dyDescent="0.2">
      <c r="A118" s="4">
        <v>44637</v>
      </c>
      <c r="B118" s="5">
        <v>124</v>
      </c>
      <c r="C118" s="5">
        <v>127.9</v>
      </c>
      <c r="D118" s="5">
        <v>124</v>
      </c>
      <c r="E118" s="5">
        <v>124.08</v>
      </c>
      <c r="F118" s="6">
        <v>2715</v>
      </c>
    </row>
    <row r="119" spans="1:6" x14ac:dyDescent="0.2">
      <c r="A119" s="4">
        <v>44638</v>
      </c>
      <c r="B119" s="5">
        <v>128.35</v>
      </c>
      <c r="C119" s="5">
        <v>128.35</v>
      </c>
      <c r="D119" s="5">
        <v>122.38</v>
      </c>
      <c r="E119" s="5">
        <v>127.92</v>
      </c>
      <c r="F119" s="6">
        <v>2893</v>
      </c>
    </row>
    <row r="120" spans="1:6" x14ac:dyDescent="0.2">
      <c r="A120" s="4">
        <v>44641</v>
      </c>
      <c r="B120" s="5">
        <v>127.92</v>
      </c>
      <c r="C120" s="5">
        <v>128</v>
      </c>
      <c r="D120" s="5">
        <v>121.79</v>
      </c>
      <c r="E120" s="5">
        <v>121.79</v>
      </c>
      <c r="F120" s="6">
        <v>2612</v>
      </c>
    </row>
    <row r="121" spans="1:6" x14ac:dyDescent="0.2">
      <c r="A121" s="4">
        <v>44642</v>
      </c>
      <c r="B121" s="5">
        <v>125.3</v>
      </c>
      <c r="C121" s="5">
        <v>127.92</v>
      </c>
      <c r="D121" s="5">
        <v>125.3</v>
      </c>
      <c r="E121" s="5">
        <v>127.92</v>
      </c>
      <c r="F121" s="6">
        <v>1663</v>
      </c>
    </row>
    <row r="122" spans="1:6" x14ac:dyDescent="0.2">
      <c r="A122" s="4">
        <v>44643</v>
      </c>
      <c r="B122" s="5">
        <v>122.1</v>
      </c>
      <c r="C122" s="5">
        <v>129.77000000000001</v>
      </c>
      <c r="D122" s="5">
        <v>122.1</v>
      </c>
      <c r="E122" s="5">
        <v>129.77000000000001</v>
      </c>
      <c r="F122" s="6">
        <v>2699</v>
      </c>
    </row>
    <row r="123" spans="1:6" x14ac:dyDescent="0.2">
      <c r="A123" s="4">
        <v>44644</v>
      </c>
      <c r="B123" s="5">
        <v>124.4101</v>
      </c>
      <c r="C123" s="5">
        <v>133.91999999999999</v>
      </c>
      <c r="D123" s="5">
        <v>124.4101</v>
      </c>
      <c r="E123" s="5">
        <v>133.91999999999999</v>
      </c>
      <c r="F123" s="6">
        <v>2505</v>
      </c>
    </row>
    <row r="124" spans="1:6" x14ac:dyDescent="0.2">
      <c r="A124" s="4">
        <v>44645</v>
      </c>
      <c r="B124" s="5">
        <v>125.15</v>
      </c>
      <c r="C124" s="5">
        <v>134.91999999999999</v>
      </c>
      <c r="D124" s="5">
        <v>125.15</v>
      </c>
      <c r="E124" s="5">
        <v>134.61000000000001</v>
      </c>
      <c r="F124" s="6">
        <v>2759</v>
      </c>
    </row>
    <row r="125" spans="1:6" x14ac:dyDescent="0.2">
      <c r="A125" s="4">
        <v>44648</v>
      </c>
      <c r="B125" s="5">
        <v>133.43</v>
      </c>
      <c r="C125" s="5">
        <v>133.43</v>
      </c>
      <c r="D125" s="5">
        <v>133.43</v>
      </c>
      <c r="E125" s="5">
        <v>133.43</v>
      </c>
      <c r="F125" s="6">
        <v>884</v>
      </c>
    </row>
    <row r="126" spans="1:6" x14ac:dyDescent="0.2">
      <c r="A126" s="4">
        <v>44649</v>
      </c>
      <c r="B126" s="5">
        <v>136.11000000000001</v>
      </c>
      <c r="C126" s="5">
        <v>136.11000000000001</v>
      </c>
      <c r="D126" s="5">
        <v>136.11000000000001</v>
      </c>
      <c r="E126" s="5">
        <v>136.11000000000001</v>
      </c>
      <c r="F126" s="6">
        <v>760</v>
      </c>
    </row>
    <row r="127" spans="1:6" x14ac:dyDescent="0.2">
      <c r="A127" s="4">
        <v>44650</v>
      </c>
      <c r="B127" s="5">
        <v>129</v>
      </c>
      <c r="C127" s="5">
        <v>137</v>
      </c>
      <c r="D127" s="5">
        <v>129</v>
      </c>
      <c r="E127" s="5">
        <v>131.46</v>
      </c>
      <c r="F127" s="6">
        <v>4798</v>
      </c>
    </row>
    <row r="128" spans="1:6" x14ac:dyDescent="0.2">
      <c r="A128" s="4">
        <v>44651</v>
      </c>
      <c r="B128" s="5">
        <v>136.9</v>
      </c>
      <c r="C128" s="5">
        <v>136.97999999999999</v>
      </c>
      <c r="D128" s="5">
        <v>134.63</v>
      </c>
      <c r="E128" s="5">
        <v>134.63</v>
      </c>
      <c r="F128" s="6">
        <v>1080</v>
      </c>
    </row>
    <row r="129" spans="1:6" x14ac:dyDescent="0.2">
      <c r="A129" s="4">
        <v>44652</v>
      </c>
      <c r="B129" s="5">
        <v>129.19999999999999</v>
      </c>
      <c r="C129" s="5">
        <v>133.51</v>
      </c>
      <c r="D129" s="5">
        <v>129.12</v>
      </c>
      <c r="E129" s="5">
        <v>133.25</v>
      </c>
      <c r="F129" s="6">
        <v>1490</v>
      </c>
    </row>
    <row r="130" spans="1:6" x14ac:dyDescent="0.2">
      <c r="A130" s="4">
        <v>44655</v>
      </c>
      <c r="B130" s="5">
        <v>136.27000000000001</v>
      </c>
      <c r="C130" s="5">
        <v>136.35</v>
      </c>
      <c r="D130" s="5">
        <v>136.27000000000001</v>
      </c>
      <c r="E130" s="5">
        <v>136.27000000000001</v>
      </c>
      <c r="F130" s="6">
        <v>1098</v>
      </c>
    </row>
    <row r="131" spans="1:6" x14ac:dyDescent="0.2">
      <c r="A131" s="4">
        <v>44656</v>
      </c>
      <c r="B131" s="5">
        <v>134.94999999999999</v>
      </c>
      <c r="C131" s="5">
        <v>134.94999999999999</v>
      </c>
      <c r="D131" s="5">
        <v>133.61000000000001</v>
      </c>
      <c r="E131" s="5">
        <v>133.61000000000001</v>
      </c>
      <c r="F131" s="6">
        <v>1615</v>
      </c>
    </row>
    <row r="132" spans="1:6" x14ac:dyDescent="0.2">
      <c r="A132" s="4">
        <v>44657</v>
      </c>
      <c r="B132" s="5">
        <v>136.85</v>
      </c>
      <c r="C132" s="5">
        <v>137.91999999999999</v>
      </c>
      <c r="D132" s="5">
        <v>136.60570000000001</v>
      </c>
      <c r="E132" s="5">
        <v>137.62</v>
      </c>
      <c r="F132" s="6">
        <v>4927</v>
      </c>
    </row>
    <row r="133" spans="1:6" x14ac:dyDescent="0.2">
      <c r="A133" s="4">
        <v>44658</v>
      </c>
      <c r="B133" s="5">
        <v>139.62</v>
      </c>
      <c r="C133" s="5">
        <v>140.26</v>
      </c>
      <c r="D133" s="5">
        <v>138.12</v>
      </c>
      <c r="E133" s="5">
        <v>139.88999999999999</v>
      </c>
      <c r="F133" s="6">
        <v>2825</v>
      </c>
    </row>
    <row r="134" spans="1:6" x14ac:dyDescent="0.2">
      <c r="A134" s="4">
        <v>44659</v>
      </c>
      <c r="B134" s="5">
        <v>143.82</v>
      </c>
      <c r="C134" s="5">
        <v>143.9</v>
      </c>
      <c r="D134" s="5">
        <v>140.91999999999999</v>
      </c>
      <c r="E134" s="5">
        <v>140.91999999999999</v>
      </c>
      <c r="F134" s="6">
        <v>1360</v>
      </c>
    </row>
    <row r="135" spans="1:6" x14ac:dyDescent="0.2">
      <c r="A135" s="4">
        <v>44662</v>
      </c>
      <c r="B135" s="5">
        <v>137.94999999999999</v>
      </c>
      <c r="C135" s="5">
        <v>137.94999999999999</v>
      </c>
      <c r="D135" s="5">
        <v>137.94999999999999</v>
      </c>
      <c r="E135" s="5">
        <v>137.94999999999999</v>
      </c>
      <c r="F135" s="6">
        <v>1039</v>
      </c>
    </row>
    <row r="136" spans="1:6" x14ac:dyDescent="0.2">
      <c r="A136" s="4">
        <v>44663</v>
      </c>
      <c r="B136" s="5">
        <v>136.76</v>
      </c>
      <c r="C136" s="5">
        <v>138.41999999999999</v>
      </c>
      <c r="D136" s="5">
        <v>135.1</v>
      </c>
      <c r="E136" s="5">
        <v>138.41999999999999</v>
      </c>
      <c r="F136" s="6">
        <v>1496</v>
      </c>
    </row>
    <row r="137" spans="1:6" x14ac:dyDescent="0.2">
      <c r="A137" s="4">
        <v>44664</v>
      </c>
      <c r="B137" s="5">
        <v>134</v>
      </c>
      <c r="C137" s="5">
        <v>138.32</v>
      </c>
      <c r="D137" s="5">
        <v>134</v>
      </c>
      <c r="E137" s="5">
        <v>134.72</v>
      </c>
      <c r="F137" s="6">
        <v>2232</v>
      </c>
    </row>
    <row r="138" spans="1:6" x14ac:dyDescent="0.2">
      <c r="A138" s="4">
        <v>44665</v>
      </c>
      <c r="B138" s="5">
        <v>141.41999999999999</v>
      </c>
      <c r="C138" s="5">
        <v>141.5</v>
      </c>
      <c r="D138" s="5">
        <v>134</v>
      </c>
      <c r="E138" s="5">
        <v>134</v>
      </c>
      <c r="F138" s="6">
        <v>2401</v>
      </c>
    </row>
    <row r="139" spans="1:6" x14ac:dyDescent="0.2">
      <c r="A139" s="4">
        <v>44669</v>
      </c>
      <c r="B139" s="5">
        <v>143.57</v>
      </c>
      <c r="C139" s="5">
        <v>143.57</v>
      </c>
      <c r="D139" s="5">
        <v>135.12</v>
      </c>
      <c r="E139" s="5">
        <v>141.57</v>
      </c>
      <c r="F139" s="6">
        <v>1964</v>
      </c>
    </row>
    <row r="140" spans="1:6" x14ac:dyDescent="0.2">
      <c r="A140" s="4">
        <v>44670</v>
      </c>
      <c r="B140" s="5">
        <v>135.69999999999999</v>
      </c>
      <c r="C140" s="5">
        <v>138.72</v>
      </c>
      <c r="D140" s="5">
        <v>135.08000000000001</v>
      </c>
      <c r="E140" s="5">
        <v>135.08000000000001</v>
      </c>
      <c r="F140" s="6">
        <v>1607</v>
      </c>
    </row>
    <row r="141" spans="1:6" x14ac:dyDescent="0.2">
      <c r="A141" s="4">
        <v>44671</v>
      </c>
      <c r="B141" s="5">
        <v>137.32</v>
      </c>
      <c r="C141" s="5">
        <v>137.91999999999999</v>
      </c>
      <c r="D141" s="5">
        <v>136.62</v>
      </c>
      <c r="E141" s="5">
        <v>136.83000000000001</v>
      </c>
      <c r="F141" s="6">
        <v>2558</v>
      </c>
    </row>
    <row r="142" spans="1:6" x14ac:dyDescent="0.2">
      <c r="A142" s="4">
        <v>44672</v>
      </c>
      <c r="B142" s="5">
        <v>135.46</v>
      </c>
      <c r="C142" s="5">
        <v>135.46</v>
      </c>
      <c r="D142" s="5">
        <v>135.38</v>
      </c>
      <c r="E142" s="5">
        <v>135.38</v>
      </c>
      <c r="F142" s="6">
        <v>2092</v>
      </c>
    </row>
    <row r="143" spans="1:6" x14ac:dyDescent="0.2">
      <c r="A143" s="4">
        <v>44673</v>
      </c>
      <c r="B143" s="5">
        <v>131.6</v>
      </c>
      <c r="C143" s="5">
        <v>134.66999999999999</v>
      </c>
      <c r="D143" s="5">
        <v>131.6</v>
      </c>
      <c r="E143" s="5">
        <v>134.66999999999999</v>
      </c>
      <c r="F143" s="6">
        <v>1170</v>
      </c>
    </row>
    <row r="144" spans="1:6" x14ac:dyDescent="0.2">
      <c r="A144" s="4">
        <v>44676</v>
      </c>
      <c r="B144" s="5">
        <v>132</v>
      </c>
      <c r="C144" s="5">
        <v>132</v>
      </c>
      <c r="D144" s="5">
        <v>128.87</v>
      </c>
      <c r="E144" s="5">
        <v>129.33000000000001</v>
      </c>
      <c r="F144" s="6">
        <v>1218</v>
      </c>
    </row>
    <row r="145" spans="1:6" x14ac:dyDescent="0.2">
      <c r="A145" s="4">
        <v>44677</v>
      </c>
      <c r="B145" s="5">
        <v>133.32</v>
      </c>
      <c r="C145" s="5">
        <v>133.32</v>
      </c>
      <c r="D145" s="5">
        <v>129.46</v>
      </c>
      <c r="E145" s="5">
        <v>129.46</v>
      </c>
      <c r="F145" s="6">
        <v>1779</v>
      </c>
    </row>
    <row r="146" spans="1:6" x14ac:dyDescent="0.2">
      <c r="A146" s="4">
        <v>44678</v>
      </c>
      <c r="B146" s="5">
        <v>133.91999999999999</v>
      </c>
      <c r="C146" s="5">
        <v>133.91999999999999</v>
      </c>
      <c r="D146" s="5">
        <v>129.33000000000001</v>
      </c>
      <c r="E146" s="5">
        <v>129.33000000000001</v>
      </c>
      <c r="F146" s="6">
        <v>1651</v>
      </c>
    </row>
    <row r="147" spans="1:6" x14ac:dyDescent="0.2">
      <c r="A147" s="4">
        <v>44679</v>
      </c>
      <c r="B147" s="5">
        <v>132.31</v>
      </c>
      <c r="C147" s="5">
        <v>132.31</v>
      </c>
      <c r="D147" s="5">
        <v>129.75</v>
      </c>
      <c r="E147" s="5">
        <v>129.83000000000001</v>
      </c>
      <c r="F147" s="6">
        <v>2041</v>
      </c>
    </row>
    <row r="148" spans="1:6" x14ac:dyDescent="0.2">
      <c r="A148" s="4">
        <v>44680</v>
      </c>
      <c r="B148" s="5">
        <v>135.12</v>
      </c>
      <c r="C148" s="5">
        <v>135.16999999999999</v>
      </c>
      <c r="D148" s="5">
        <v>132.33000000000001</v>
      </c>
      <c r="E148" s="5">
        <v>132.33000000000001</v>
      </c>
      <c r="F148" s="6">
        <v>2497</v>
      </c>
    </row>
    <row r="149" spans="1:6" x14ac:dyDescent="0.2">
      <c r="A149" s="4">
        <v>44683</v>
      </c>
      <c r="B149" s="5">
        <v>130.08000000000001</v>
      </c>
      <c r="C149" s="5">
        <v>130.08000000000001</v>
      </c>
      <c r="D149" s="5">
        <v>130</v>
      </c>
      <c r="E149" s="5">
        <v>130</v>
      </c>
      <c r="F149" s="6">
        <v>1582</v>
      </c>
    </row>
    <row r="150" spans="1:6" x14ac:dyDescent="0.2">
      <c r="A150" s="4">
        <v>44684</v>
      </c>
      <c r="B150" s="5">
        <v>134.04</v>
      </c>
      <c r="C150" s="5">
        <v>135.22999999999999</v>
      </c>
      <c r="D150" s="5">
        <v>130.08000000000001</v>
      </c>
      <c r="E150" s="5">
        <v>130.08000000000001</v>
      </c>
      <c r="F150" s="6">
        <v>1784</v>
      </c>
    </row>
    <row r="151" spans="1:6" x14ac:dyDescent="0.2">
      <c r="A151" s="4">
        <v>44685</v>
      </c>
      <c r="B151" s="5">
        <v>134.32</v>
      </c>
      <c r="C151" s="5">
        <v>134.32</v>
      </c>
      <c r="D151" s="5">
        <v>129.25</v>
      </c>
      <c r="E151" s="5">
        <v>129.25</v>
      </c>
      <c r="F151" s="6">
        <v>4181</v>
      </c>
    </row>
    <row r="152" spans="1:6" x14ac:dyDescent="0.2">
      <c r="A152" s="4">
        <v>44686</v>
      </c>
      <c r="B152" s="5">
        <v>128.13999999999999</v>
      </c>
      <c r="C152" s="5">
        <v>130.155</v>
      </c>
      <c r="D152" s="5">
        <v>127.52</v>
      </c>
      <c r="E152" s="5">
        <v>127.6</v>
      </c>
      <c r="F152" s="6">
        <v>1681</v>
      </c>
    </row>
    <row r="153" spans="1:6" x14ac:dyDescent="0.2">
      <c r="A153" s="4">
        <v>44687</v>
      </c>
      <c r="B153" s="5">
        <v>124.08</v>
      </c>
      <c r="C153" s="5">
        <v>129.32</v>
      </c>
      <c r="D153" s="5">
        <v>124.08</v>
      </c>
      <c r="E153" s="5">
        <v>125.58</v>
      </c>
      <c r="F153" s="6">
        <v>2191</v>
      </c>
    </row>
    <row r="154" spans="1:6" x14ac:dyDescent="0.2">
      <c r="A154" s="4">
        <v>44690</v>
      </c>
      <c r="B154" s="5">
        <v>126.62</v>
      </c>
      <c r="C154" s="5">
        <v>127.1</v>
      </c>
      <c r="D154" s="5">
        <v>121.45</v>
      </c>
      <c r="E154" s="5">
        <v>121.53</v>
      </c>
      <c r="F154" s="6">
        <v>2102</v>
      </c>
    </row>
    <row r="155" spans="1:6" x14ac:dyDescent="0.2">
      <c r="A155" s="4">
        <v>44691</v>
      </c>
      <c r="B155" s="5">
        <v>123.08</v>
      </c>
      <c r="C155" s="5">
        <v>128.66999999999999</v>
      </c>
      <c r="D155" s="5">
        <v>123</v>
      </c>
      <c r="E155" s="5">
        <v>123.75</v>
      </c>
      <c r="F155" s="6">
        <v>3329</v>
      </c>
    </row>
    <row r="156" spans="1:6" x14ac:dyDescent="0.2">
      <c r="A156" s="4">
        <v>44692</v>
      </c>
      <c r="B156" s="5">
        <v>122.04</v>
      </c>
      <c r="C156" s="5">
        <v>122.875</v>
      </c>
      <c r="D156" s="5">
        <v>121</v>
      </c>
      <c r="E156" s="5">
        <v>122.7</v>
      </c>
      <c r="F156" s="6">
        <v>4104</v>
      </c>
    </row>
    <row r="157" spans="1:6" x14ac:dyDescent="0.2">
      <c r="A157" s="4">
        <v>44693</v>
      </c>
      <c r="B157" s="5">
        <v>120</v>
      </c>
      <c r="C157" s="5">
        <v>123.92</v>
      </c>
      <c r="D157" s="5">
        <v>120</v>
      </c>
      <c r="E157" s="5">
        <v>120.72</v>
      </c>
      <c r="F157" s="6">
        <v>4015</v>
      </c>
    </row>
    <row r="158" spans="1:6" x14ac:dyDescent="0.2">
      <c r="A158" s="4">
        <v>44694</v>
      </c>
      <c r="B158" s="5">
        <v>124.065</v>
      </c>
      <c r="C158" s="5">
        <v>125.92</v>
      </c>
      <c r="D158" s="5">
        <v>123.25</v>
      </c>
      <c r="E158" s="5">
        <v>125.82</v>
      </c>
      <c r="F158" s="6">
        <v>6231</v>
      </c>
    </row>
    <row r="159" spans="1:6" x14ac:dyDescent="0.2">
      <c r="A159" s="4">
        <v>44697</v>
      </c>
      <c r="B159" s="5">
        <v>128</v>
      </c>
      <c r="C159" s="5">
        <v>129.1</v>
      </c>
      <c r="D159" s="5">
        <v>123.5</v>
      </c>
      <c r="E159" s="5">
        <v>126.58</v>
      </c>
      <c r="F159" s="6">
        <v>10563</v>
      </c>
    </row>
    <row r="160" spans="1:6" x14ac:dyDescent="0.2">
      <c r="A160" s="4">
        <v>44698</v>
      </c>
      <c r="B160" s="5">
        <v>131.91999999999999</v>
      </c>
      <c r="C160" s="5">
        <v>131.91999999999999</v>
      </c>
      <c r="D160" s="5">
        <v>129.22</v>
      </c>
      <c r="E160" s="5">
        <v>129.22</v>
      </c>
      <c r="F160" s="6">
        <v>1631</v>
      </c>
    </row>
    <row r="161" spans="1:6" x14ac:dyDescent="0.2">
      <c r="A161" s="4">
        <v>44699</v>
      </c>
      <c r="B161" s="5">
        <v>128.91999999999999</v>
      </c>
      <c r="C161" s="5">
        <v>128.91999999999999</v>
      </c>
      <c r="D161" s="5">
        <v>125.41</v>
      </c>
      <c r="E161" s="5">
        <v>125.49</v>
      </c>
      <c r="F161" s="6">
        <v>3827</v>
      </c>
    </row>
    <row r="162" spans="1:6" x14ac:dyDescent="0.2">
      <c r="A162" s="4">
        <v>44700</v>
      </c>
      <c r="B162" s="5">
        <v>122.09010000000001</v>
      </c>
      <c r="C162" s="5">
        <v>125.9</v>
      </c>
      <c r="D162" s="5">
        <v>122.09010000000001</v>
      </c>
      <c r="E162" s="5">
        <v>125.9</v>
      </c>
      <c r="F162" s="6">
        <v>2112</v>
      </c>
    </row>
    <row r="163" spans="1:6" x14ac:dyDescent="0.2">
      <c r="A163" s="4">
        <v>44701</v>
      </c>
      <c r="B163" s="5">
        <v>125.93</v>
      </c>
      <c r="C163" s="5">
        <v>128.32</v>
      </c>
      <c r="D163" s="5">
        <v>125.93</v>
      </c>
      <c r="E163" s="5">
        <v>127.06</v>
      </c>
      <c r="F163" s="6">
        <v>2455</v>
      </c>
    </row>
    <row r="164" spans="1:6" x14ac:dyDescent="0.2">
      <c r="A164" s="4">
        <v>44704</v>
      </c>
      <c r="B164" s="5">
        <v>133.5</v>
      </c>
      <c r="C164" s="5">
        <v>133.87</v>
      </c>
      <c r="D164" s="5">
        <v>131.08000000000001</v>
      </c>
      <c r="E164" s="5">
        <v>131.08000000000001</v>
      </c>
      <c r="F164" s="6">
        <v>1637</v>
      </c>
    </row>
    <row r="165" spans="1:6" x14ac:dyDescent="0.2">
      <c r="A165" s="4">
        <v>44705</v>
      </c>
      <c r="B165" s="5">
        <v>130.80000000000001</v>
      </c>
      <c r="C165" s="5">
        <v>134.12</v>
      </c>
      <c r="D165" s="5">
        <v>130.72</v>
      </c>
      <c r="E165" s="5">
        <v>132.46</v>
      </c>
      <c r="F165" s="6">
        <v>18430</v>
      </c>
    </row>
    <row r="166" spans="1:6" x14ac:dyDescent="0.2">
      <c r="A166" s="4">
        <v>44706</v>
      </c>
      <c r="B166" s="5">
        <v>130.58000000000001</v>
      </c>
      <c r="C166" s="5">
        <v>134.13999999999999</v>
      </c>
      <c r="D166" s="5">
        <v>130.5</v>
      </c>
      <c r="E166" s="5">
        <v>134.13999999999999</v>
      </c>
      <c r="F166" s="6">
        <v>1430</v>
      </c>
    </row>
    <row r="167" spans="1:6" x14ac:dyDescent="0.2">
      <c r="A167" s="4">
        <v>44707</v>
      </c>
      <c r="B167" s="5">
        <v>131.03</v>
      </c>
      <c r="C167" s="5">
        <v>135.22999999999999</v>
      </c>
      <c r="D167" s="5">
        <v>130.0001</v>
      </c>
      <c r="E167" s="5">
        <v>134.12</v>
      </c>
      <c r="F167" s="6">
        <v>2720</v>
      </c>
    </row>
    <row r="168" spans="1:6" x14ac:dyDescent="0.2">
      <c r="A168" s="4">
        <v>44708</v>
      </c>
      <c r="B168" s="5">
        <v>131.08000000000001</v>
      </c>
      <c r="C168" s="5">
        <v>134.27000000000001</v>
      </c>
      <c r="D168" s="5">
        <v>130.75</v>
      </c>
      <c r="E168" s="5">
        <v>130.75</v>
      </c>
      <c r="F168" s="6">
        <v>1119</v>
      </c>
    </row>
    <row r="169" spans="1:6" x14ac:dyDescent="0.2">
      <c r="A169" s="4">
        <v>44712</v>
      </c>
      <c r="B169" s="5">
        <v>133.77000000000001</v>
      </c>
      <c r="C169" s="5">
        <v>133.77000000000001</v>
      </c>
      <c r="D169" s="5">
        <v>129.26</v>
      </c>
      <c r="E169" s="5">
        <v>129.26</v>
      </c>
      <c r="F169" s="6">
        <v>4638</v>
      </c>
    </row>
    <row r="170" spans="1:6" x14ac:dyDescent="0.2">
      <c r="A170" s="4">
        <v>44713</v>
      </c>
      <c r="B170" s="5">
        <v>127.53</v>
      </c>
      <c r="C170" s="5">
        <v>132.13999999999999</v>
      </c>
      <c r="D170" s="5">
        <v>127.53</v>
      </c>
      <c r="E170" s="5">
        <v>132.13999999999999</v>
      </c>
      <c r="F170" s="6">
        <v>648</v>
      </c>
    </row>
    <row r="171" spans="1:6" x14ac:dyDescent="0.2">
      <c r="A171" s="4">
        <v>44714</v>
      </c>
      <c r="B171" s="5">
        <v>133.41999999999999</v>
      </c>
      <c r="C171" s="5">
        <v>133.66999999999999</v>
      </c>
      <c r="D171" s="5">
        <v>128.58000000000001</v>
      </c>
      <c r="E171" s="5">
        <v>128.72</v>
      </c>
      <c r="F171" s="6">
        <v>1902</v>
      </c>
    </row>
    <row r="172" spans="1:6" x14ac:dyDescent="0.2">
      <c r="A172" s="4">
        <v>44715</v>
      </c>
      <c r="B172" s="5">
        <v>128.21</v>
      </c>
      <c r="C172" s="5">
        <v>133.4</v>
      </c>
      <c r="D172" s="5">
        <v>126.4</v>
      </c>
      <c r="E172" s="5">
        <v>126.48</v>
      </c>
      <c r="F172" s="6">
        <v>1984</v>
      </c>
    </row>
    <row r="173" spans="1:6" x14ac:dyDescent="0.2">
      <c r="A173" s="4">
        <v>44718</v>
      </c>
      <c r="B173" s="5">
        <v>126.58</v>
      </c>
      <c r="C173" s="5">
        <v>129.91999999999999</v>
      </c>
      <c r="D173" s="5">
        <v>125.6</v>
      </c>
      <c r="E173" s="5">
        <v>125.6</v>
      </c>
      <c r="F173" s="6">
        <v>1246</v>
      </c>
    </row>
    <row r="174" spans="1:6" x14ac:dyDescent="0.2">
      <c r="A174" s="4">
        <v>44719</v>
      </c>
      <c r="B174" s="5">
        <v>131.66999999999999</v>
      </c>
      <c r="C174" s="5">
        <v>131.66999999999999</v>
      </c>
      <c r="D174" s="5">
        <v>125.08</v>
      </c>
      <c r="E174" s="5">
        <v>125.08</v>
      </c>
      <c r="F174" s="6">
        <v>6046</v>
      </c>
    </row>
    <row r="175" spans="1:6" x14ac:dyDescent="0.2">
      <c r="A175" s="4">
        <v>44720</v>
      </c>
      <c r="B175" s="5">
        <v>125.08</v>
      </c>
      <c r="C175" s="5">
        <v>125.08</v>
      </c>
      <c r="D175" s="5">
        <v>125.08</v>
      </c>
      <c r="E175" s="5">
        <v>125.08</v>
      </c>
      <c r="F175" s="6"/>
    </row>
    <row r="176" spans="1:6" x14ac:dyDescent="0.2">
      <c r="A176" s="4">
        <v>44721</v>
      </c>
      <c r="B176" s="5">
        <v>123.28</v>
      </c>
      <c r="C176" s="5">
        <v>123.28</v>
      </c>
      <c r="D176" s="5">
        <v>123.28</v>
      </c>
      <c r="E176" s="5">
        <v>123.28</v>
      </c>
      <c r="F176" s="6">
        <v>1521</v>
      </c>
    </row>
    <row r="177" spans="1:6" x14ac:dyDescent="0.2">
      <c r="A177" s="4">
        <v>44722</v>
      </c>
      <c r="B177" s="5">
        <v>120.13</v>
      </c>
      <c r="C177" s="5">
        <v>122.99</v>
      </c>
      <c r="D177" s="5">
        <v>120.1</v>
      </c>
      <c r="E177" s="5">
        <v>122.99</v>
      </c>
      <c r="F177" s="6">
        <v>1168</v>
      </c>
    </row>
    <row r="178" spans="1:6" x14ac:dyDescent="0.2">
      <c r="A178" s="4">
        <v>44725</v>
      </c>
      <c r="B178" s="5">
        <v>115.53</v>
      </c>
      <c r="C178" s="5">
        <v>115.61</v>
      </c>
      <c r="D178" s="5">
        <v>115.53</v>
      </c>
      <c r="E178" s="5">
        <v>115.61</v>
      </c>
      <c r="F178" s="6">
        <v>1217</v>
      </c>
    </row>
    <row r="179" spans="1:6" x14ac:dyDescent="0.2">
      <c r="A179" s="4">
        <v>44726</v>
      </c>
      <c r="B179" s="5">
        <v>113.33</v>
      </c>
      <c r="C179" s="5">
        <v>118.22</v>
      </c>
      <c r="D179" s="5">
        <v>113.33</v>
      </c>
      <c r="E179" s="5">
        <v>114.42100000000001</v>
      </c>
      <c r="F179" s="6">
        <v>3308</v>
      </c>
    </row>
    <row r="180" spans="1:6" x14ac:dyDescent="0.2">
      <c r="A180" s="4">
        <v>44727</v>
      </c>
      <c r="B180" s="5">
        <v>123.17</v>
      </c>
      <c r="C180" s="5">
        <v>123.17</v>
      </c>
      <c r="D180" s="5">
        <v>114.8</v>
      </c>
      <c r="E180" s="5">
        <v>115.9</v>
      </c>
      <c r="F180" s="6">
        <v>4030</v>
      </c>
    </row>
    <row r="181" spans="1:6" x14ac:dyDescent="0.2">
      <c r="A181" s="4">
        <v>44728</v>
      </c>
      <c r="B181" s="5">
        <v>117.91</v>
      </c>
      <c r="C181" s="5">
        <v>118.75</v>
      </c>
      <c r="D181" s="5">
        <v>117.75</v>
      </c>
      <c r="E181" s="5">
        <v>118.75</v>
      </c>
      <c r="F181" s="6">
        <v>3466</v>
      </c>
    </row>
    <row r="182" spans="1:6" x14ac:dyDescent="0.2">
      <c r="A182" s="4">
        <v>44729</v>
      </c>
      <c r="B182" s="5">
        <v>121</v>
      </c>
      <c r="C182" s="5">
        <v>121</v>
      </c>
      <c r="D182" s="5">
        <v>116.75</v>
      </c>
      <c r="E182" s="5">
        <v>120.22</v>
      </c>
      <c r="F182" s="6">
        <v>2212</v>
      </c>
    </row>
    <row r="183" spans="1:6" x14ac:dyDescent="0.2">
      <c r="A183" s="4">
        <v>44733</v>
      </c>
      <c r="B183" s="5">
        <v>127.84</v>
      </c>
      <c r="C183" s="5">
        <v>127.84</v>
      </c>
      <c r="D183" s="5">
        <v>121.61</v>
      </c>
      <c r="E183" s="5">
        <v>121.9</v>
      </c>
      <c r="F183" s="6">
        <v>2367</v>
      </c>
    </row>
    <row r="184" spans="1:6" x14ac:dyDescent="0.2">
      <c r="A184" s="4">
        <v>44734</v>
      </c>
      <c r="B184" s="5">
        <v>121.16</v>
      </c>
      <c r="C184" s="5">
        <v>125.4</v>
      </c>
      <c r="D184" s="5">
        <v>121.16</v>
      </c>
      <c r="E184" s="5">
        <v>125.4</v>
      </c>
      <c r="F184" s="6">
        <v>1786</v>
      </c>
    </row>
    <row r="185" spans="1:6" x14ac:dyDescent="0.2">
      <c r="A185" s="4">
        <v>44735</v>
      </c>
      <c r="B185" s="5">
        <v>122.27</v>
      </c>
      <c r="C185" s="5">
        <v>129.69</v>
      </c>
      <c r="D185" s="5">
        <v>122.27</v>
      </c>
      <c r="E185" s="5">
        <v>126.7</v>
      </c>
      <c r="F185" s="6">
        <v>1443</v>
      </c>
    </row>
    <row r="186" spans="1:6" x14ac:dyDescent="0.2">
      <c r="A186" s="4">
        <v>44736</v>
      </c>
      <c r="B186" s="5">
        <v>127.51</v>
      </c>
      <c r="C186" s="5">
        <v>132.84</v>
      </c>
      <c r="D186" s="5">
        <v>127.51</v>
      </c>
      <c r="E186" s="5">
        <v>129.21</v>
      </c>
      <c r="F186" s="6">
        <v>1589</v>
      </c>
    </row>
    <row r="187" spans="1:6" x14ac:dyDescent="0.2">
      <c r="A187" s="4">
        <v>44739</v>
      </c>
      <c r="B187" s="5">
        <v>127.21</v>
      </c>
      <c r="C187" s="5">
        <v>132.84</v>
      </c>
      <c r="D187" s="5">
        <v>127.21</v>
      </c>
      <c r="E187" s="5">
        <v>127.2501</v>
      </c>
      <c r="F187" s="6">
        <v>4422</v>
      </c>
    </row>
    <row r="188" spans="1:6" x14ac:dyDescent="0.2">
      <c r="A188" s="4">
        <v>44740</v>
      </c>
      <c r="B188" s="5">
        <v>130.26</v>
      </c>
      <c r="C188" s="5">
        <v>132.69</v>
      </c>
      <c r="D188" s="5">
        <v>130.26</v>
      </c>
      <c r="E188" s="5">
        <v>131.69999999999999</v>
      </c>
      <c r="F188" s="6">
        <v>15257</v>
      </c>
    </row>
    <row r="189" spans="1:6" x14ac:dyDescent="0.2">
      <c r="A189" s="4">
        <v>44741</v>
      </c>
      <c r="B189" s="5">
        <v>133</v>
      </c>
      <c r="C189" s="5">
        <v>133.34</v>
      </c>
      <c r="D189" s="5">
        <v>128.02000000000001</v>
      </c>
      <c r="E189" s="5">
        <v>131</v>
      </c>
      <c r="F189" s="6">
        <v>2742</v>
      </c>
    </row>
    <row r="190" spans="1:6" x14ac:dyDescent="0.2">
      <c r="A190" s="4">
        <v>44742</v>
      </c>
      <c r="B190" s="5">
        <v>131.34</v>
      </c>
      <c r="C190" s="5">
        <v>131.34</v>
      </c>
      <c r="D190" s="5">
        <v>127.58</v>
      </c>
      <c r="E190" s="5">
        <v>128.91</v>
      </c>
      <c r="F190" s="6">
        <v>2329</v>
      </c>
    </row>
    <row r="191" spans="1:6" x14ac:dyDescent="0.2">
      <c r="A191" s="4">
        <v>44743</v>
      </c>
      <c r="B191" s="5">
        <v>123.91</v>
      </c>
      <c r="C191" s="5">
        <v>131.59</v>
      </c>
      <c r="D191" s="5">
        <v>123.91</v>
      </c>
      <c r="E191" s="5">
        <v>130.75</v>
      </c>
      <c r="F191" s="6">
        <v>1791</v>
      </c>
    </row>
    <row r="192" spans="1:6" x14ac:dyDescent="0.2">
      <c r="A192" s="4">
        <v>44747</v>
      </c>
      <c r="B192" s="5">
        <v>123.45</v>
      </c>
      <c r="C192" s="5">
        <v>130.34</v>
      </c>
      <c r="D192" s="5">
        <v>123.45</v>
      </c>
      <c r="E192" s="5">
        <v>124.68</v>
      </c>
      <c r="F192" s="6">
        <v>2203</v>
      </c>
    </row>
    <row r="193" spans="1:6" x14ac:dyDescent="0.2">
      <c r="A193" s="4">
        <v>44748</v>
      </c>
      <c r="B193" s="5">
        <v>136.35</v>
      </c>
      <c r="C193" s="5">
        <v>136.35</v>
      </c>
      <c r="D193" s="5">
        <v>130.16</v>
      </c>
      <c r="E193" s="5">
        <v>130.16</v>
      </c>
      <c r="F193" s="6">
        <v>802</v>
      </c>
    </row>
    <row r="194" spans="1:6" x14ac:dyDescent="0.2">
      <c r="A194" s="4">
        <v>44749</v>
      </c>
      <c r="B194" s="5">
        <v>129.41</v>
      </c>
      <c r="C194" s="5">
        <v>131.67500000000001</v>
      </c>
      <c r="D194" s="5">
        <v>129.41</v>
      </c>
      <c r="E194" s="5">
        <v>131.67500000000001</v>
      </c>
      <c r="F194" s="6">
        <v>965</v>
      </c>
    </row>
    <row r="195" spans="1:6" x14ac:dyDescent="0.2">
      <c r="A195" s="4">
        <v>44750</v>
      </c>
      <c r="B195" s="5">
        <v>133.5</v>
      </c>
      <c r="C195" s="5">
        <v>133.5</v>
      </c>
      <c r="D195" s="5">
        <v>130.5</v>
      </c>
      <c r="E195" s="5">
        <v>130.5</v>
      </c>
      <c r="F195" s="6">
        <v>3072</v>
      </c>
    </row>
    <row r="196" spans="1:6" x14ac:dyDescent="0.2">
      <c r="A196" s="4">
        <v>44753</v>
      </c>
      <c r="B196" s="5">
        <v>129.75</v>
      </c>
      <c r="C196" s="5">
        <v>131.21</v>
      </c>
      <c r="D196" s="5">
        <v>129.75</v>
      </c>
      <c r="E196" s="5">
        <v>131.21</v>
      </c>
      <c r="F196" s="6">
        <v>1382</v>
      </c>
    </row>
    <row r="197" spans="1:6" x14ac:dyDescent="0.2">
      <c r="A197" s="4">
        <v>44754</v>
      </c>
      <c r="B197" s="5">
        <v>133.46100000000001</v>
      </c>
      <c r="C197" s="5">
        <v>133.46100000000001</v>
      </c>
      <c r="D197" s="5">
        <v>130.82</v>
      </c>
      <c r="E197" s="5">
        <v>132</v>
      </c>
      <c r="F197" s="6">
        <v>3240</v>
      </c>
    </row>
    <row r="198" spans="1:6" x14ac:dyDescent="0.2">
      <c r="A198" s="4">
        <v>44755</v>
      </c>
      <c r="B198" s="5">
        <v>131.32900000000001</v>
      </c>
      <c r="C198" s="5">
        <v>131.32900000000001</v>
      </c>
      <c r="D198" s="5">
        <v>129.38</v>
      </c>
      <c r="E198" s="5">
        <v>129.97999999999999</v>
      </c>
      <c r="F198" s="6">
        <v>4319</v>
      </c>
    </row>
    <row r="199" spans="1:6" x14ac:dyDescent="0.2">
      <c r="A199" s="4">
        <v>44756</v>
      </c>
      <c r="B199" s="5">
        <v>127.26</v>
      </c>
      <c r="C199" s="5">
        <v>129.32</v>
      </c>
      <c r="D199" s="5">
        <v>127.26</v>
      </c>
      <c r="E199" s="5">
        <v>129.32</v>
      </c>
      <c r="F199" s="6">
        <v>1062</v>
      </c>
    </row>
    <row r="200" spans="1:6" x14ac:dyDescent="0.2">
      <c r="A200" s="4">
        <v>44757</v>
      </c>
      <c r="B200" s="5">
        <v>127.45</v>
      </c>
      <c r="C200" s="5">
        <v>131.9</v>
      </c>
      <c r="D200" s="5">
        <v>127.45</v>
      </c>
      <c r="E200" s="5">
        <v>131.26</v>
      </c>
      <c r="F200" s="6">
        <v>1815</v>
      </c>
    </row>
    <row r="201" spans="1:6" x14ac:dyDescent="0.2">
      <c r="A201" s="4">
        <v>44760</v>
      </c>
      <c r="B201" s="5">
        <v>129.86000000000001</v>
      </c>
      <c r="C201" s="5">
        <v>139.15</v>
      </c>
      <c r="D201" s="5">
        <v>129.86000000000001</v>
      </c>
      <c r="E201" s="5">
        <v>133.9</v>
      </c>
      <c r="F201" s="6">
        <v>2745</v>
      </c>
    </row>
    <row r="202" spans="1:6" x14ac:dyDescent="0.2">
      <c r="A202" s="4">
        <v>44761</v>
      </c>
      <c r="B202" s="5">
        <v>133</v>
      </c>
      <c r="C202" s="5">
        <v>135.625</v>
      </c>
      <c r="D202" s="5">
        <v>133</v>
      </c>
      <c r="E202" s="5">
        <v>134.55000000000001</v>
      </c>
      <c r="F202" s="6">
        <v>2252</v>
      </c>
    </row>
    <row r="203" spans="1:6" x14ac:dyDescent="0.2">
      <c r="A203" s="4">
        <v>44762</v>
      </c>
      <c r="B203" s="5">
        <v>129.91</v>
      </c>
      <c r="C203" s="5">
        <v>129.91</v>
      </c>
      <c r="D203" s="5">
        <v>129.91</v>
      </c>
      <c r="E203" s="5">
        <v>129.91</v>
      </c>
      <c r="F203" s="6">
        <v>569</v>
      </c>
    </row>
    <row r="204" spans="1:6" x14ac:dyDescent="0.2">
      <c r="A204" s="4">
        <v>44763</v>
      </c>
      <c r="B204" s="5">
        <v>130.1</v>
      </c>
      <c r="C204" s="5">
        <v>130.1</v>
      </c>
      <c r="D204" s="5">
        <v>124.48</v>
      </c>
      <c r="E204" s="5">
        <v>125.55</v>
      </c>
      <c r="F204" s="6">
        <v>815</v>
      </c>
    </row>
    <row r="205" spans="1:6" x14ac:dyDescent="0.2">
      <c r="A205" s="4">
        <v>44764</v>
      </c>
      <c r="B205" s="5">
        <v>129.26</v>
      </c>
      <c r="C205" s="5">
        <v>129.62</v>
      </c>
      <c r="D205" s="5">
        <v>128.64009999999999</v>
      </c>
      <c r="E205" s="5">
        <v>128.64009999999999</v>
      </c>
      <c r="F205" s="6">
        <v>14064</v>
      </c>
    </row>
    <row r="206" spans="1:6" x14ac:dyDescent="0.2">
      <c r="A206" s="4">
        <v>44767</v>
      </c>
      <c r="B206" s="5">
        <v>133.59</v>
      </c>
      <c r="C206" s="5">
        <v>133.59</v>
      </c>
      <c r="D206" s="5">
        <v>129.06</v>
      </c>
      <c r="E206" s="5">
        <v>129.06</v>
      </c>
      <c r="F206" s="6">
        <v>782</v>
      </c>
    </row>
    <row r="207" spans="1:6" x14ac:dyDescent="0.2">
      <c r="A207" s="4">
        <v>44768</v>
      </c>
      <c r="B207" s="5">
        <v>133.44</v>
      </c>
      <c r="C207" s="5">
        <v>134</v>
      </c>
      <c r="D207" s="5">
        <v>131.30000000000001</v>
      </c>
      <c r="E207" s="5">
        <v>131.30000000000001</v>
      </c>
      <c r="F207" s="6">
        <v>1347</v>
      </c>
    </row>
    <row r="208" spans="1:6" x14ac:dyDescent="0.2">
      <c r="A208" s="4">
        <v>44769</v>
      </c>
      <c r="B208" s="5">
        <v>131.06</v>
      </c>
      <c r="C208" s="5">
        <v>134.29</v>
      </c>
      <c r="D208" s="5">
        <v>130.9</v>
      </c>
      <c r="E208" s="5">
        <v>134.29</v>
      </c>
      <c r="F208" s="6">
        <v>1546</v>
      </c>
    </row>
    <row r="209" spans="1:6" x14ac:dyDescent="0.2">
      <c r="A209" s="4">
        <v>44770</v>
      </c>
      <c r="B209" s="5">
        <v>134.13</v>
      </c>
      <c r="C209" s="5">
        <v>134.13</v>
      </c>
      <c r="D209" s="5">
        <v>131.1</v>
      </c>
      <c r="E209" s="5">
        <v>131.1</v>
      </c>
      <c r="F209" s="6">
        <v>1036</v>
      </c>
    </row>
    <row r="210" spans="1:6" x14ac:dyDescent="0.2">
      <c r="A210" s="4">
        <v>44771</v>
      </c>
      <c r="B210" s="5">
        <v>129.16</v>
      </c>
      <c r="C210" s="5">
        <v>132.80000000000001</v>
      </c>
      <c r="D210" s="5">
        <v>129.16</v>
      </c>
      <c r="E210" s="5">
        <v>130.72</v>
      </c>
      <c r="F210" s="6">
        <v>4663</v>
      </c>
    </row>
    <row r="211" spans="1:6" x14ac:dyDescent="0.2">
      <c r="A211" s="4">
        <v>44774</v>
      </c>
      <c r="B211" s="5">
        <v>133.84</v>
      </c>
      <c r="C211" s="5">
        <v>133.84</v>
      </c>
      <c r="D211" s="5">
        <v>131.755</v>
      </c>
      <c r="E211" s="5">
        <v>132.63999999999999</v>
      </c>
      <c r="F211" s="6">
        <v>2435</v>
      </c>
    </row>
    <row r="212" spans="1:6" x14ac:dyDescent="0.2">
      <c r="A212" s="4">
        <v>44775</v>
      </c>
      <c r="B212" s="5">
        <v>133.84</v>
      </c>
      <c r="C212" s="5">
        <v>133.84</v>
      </c>
      <c r="D212" s="5">
        <v>130.30000000000001</v>
      </c>
      <c r="E212" s="5">
        <v>130.30000000000001</v>
      </c>
      <c r="F212" s="6">
        <v>1175</v>
      </c>
    </row>
    <row r="213" spans="1:6" x14ac:dyDescent="0.2">
      <c r="A213" s="4">
        <v>44776</v>
      </c>
      <c r="B213" s="5">
        <v>130.30000000000001</v>
      </c>
      <c r="C213" s="5">
        <v>130.30000000000001</v>
      </c>
      <c r="D213" s="5">
        <v>130.30000000000001</v>
      </c>
      <c r="E213" s="5">
        <v>130.30000000000001</v>
      </c>
      <c r="F213" s="6"/>
    </row>
    <row r="214" spans="1:6" x14ac:dyDescent="0.2">
      <c r="A214" s="4">
        <v>44777</v>
      </c>
      <c r="B214" s="5">
        <v>133.59</v>
      </c>
      <c r="C214" s="5">
        <v>133.59</v>
      </c>
      <c r="D214" s="5">
        <v>129.16</v>
      </c>
      <c r="E214" s="5">
        <v>133.34</v>
      </c>
      <c r="F214" s="6">
        <v>976</v>
      </c>
    </row>
    <row r="215" spans="1:6" x14ac:dyDescent="0.2">
      <c r="A215" s="4">
        <v>44778</v>
      </c>
      <c r="B215" s="5">
        <v>134.13</v>
      </c>
      <c r="C215" s="5">
        <v>134.13</v>
      </c>
      <c r="D215" s="5">
        <v>128.16</v>
      </c>
      <c r="E215" s="5">
        <v>128.16</v>
      </c>
      <c r="F215" s="6">
        <v>1269</v>
      </c>
    </row>
    <row r="216" spans="1:6" x14ac:dyDescent="0.2">
      <c r="A216" s="4">
        <v>44781</v>
      </c>
      <c r="B216" s="5">
        <v>133.34</v>
      </c>
      <c r="C216" s="5">
        <v>133.34</v>
      </c>
      <c r="D216" s="5">
        <v>133.34</v>
      </c>
      <c r="E216" s="5">
        <v>133.34</v>
      </c>
      <c r="F216" s="6">
        <v>747</v>
      </c>
    </row>
    <row r="217" spans="1:6" x14ac:dyDescent="0.2">
      <c r="A217" s="4">
        <v>44782</v>
      </c>
      <c r="B217" s="5">
        <v>128.16</v>
      </c>
      <c r="C217" s="5">
        <v>128.16</v>
      </c>
      <c r="D217" s="5">
        <v>128.16</v>
      </c>
      <c r="E217" s="5">
        <v>128.16</v>
      </c>
      <c r="F217" s="6">
        <v>570</v>
      </c>
    </row>
    <row r="218" spans="1:6" x14ac:dyDescent="0.2">
      <c r="A218" s="4">
        <v>44783</v>
      </c>
      <c r="B218" s="5">
        <v>133.97139999999999</v>
      </c>
      <c r="C218" s="5">
        <v>133.97139999999999</v>
      </c>
      <c r="D218" s="5">
        <v>132.43</v>
      </c>
      <c r="E218" s="5">
        <v>132.43</v>
      </c>
      <c r="F218" s="6">
        <v>2589</v>
      </c>
    </row>
    <row r="219" spans="1:6" x14ac:dyDescent="0.2">
      <c r="A219" s="4">
        <v>44784</v>
      </c>
      <c r="B219" s="5">
        <v>132.34</v>
      </c>
      <c r="C219" s="5">
        <v>132.5</v>
      </c>
      <c r="D219" s="5">
        <v>127.39</v>
      </c>
      <c r="E219" s="5">
        <v>128.51499999999999</v>
      </c>
      <c r="F219" s="6">
        <v>1722</v>
      </c>
    </row>
    <row r="220" spans="1:6" x14ac:dyDescent="0.2">
      <c r="A220" s="4">
        <v>44785</v>
      </c>
      <c r="B220" s="5">
        <v>133.59</v>
      </c>
      <c r="C220" s="5">
        <v>133.59</v>
      </c>
      <c r="D220" s="5">
        <v>127.39</v>
      </c>
      <c r="E220" s="5">
        <v>127.39</v>
      </c>
      <c r="F220" s="6">
        <v>663</v>
      </c>
    </row>
    <row r="221" spans="1:6" x14ac:dyDescent="0.2">
      <c r="A221" s="4">
        <v>44788</v>
      </c>
      <c r="B221" s="5">
        <v>131.66</v>
      </c>
      <c r="C221" s="5">
        <v>131.66</v>
      </c>
      <c r="D221" s="5">
        <v>131.5</v>
      </c>
      <c r="E221" s="5">
        <v>131.54499999999999</v>
      </c>
      <c r="F221" s="6">
        <v>1216</v>
      </c>
    </row>
    <row r="222" spans="1:6" x14ac:dyDescent="0.2">
      <c r="A222" s="4">
        <v>44789</v>
      </c>
      <c r="B222" s="5">
        <v>128.16</v>
      </c>
      <c r="C222" s="5">
        <v>134.13</v>
      </c>
      <c r="D222" s="5">
        <v>128.16</v>
      </c>
      <c r="E222" s="5">
        <v>134.13</v>
      </c>
      <c r="F222" s="6">
        <v>901</v>
      </c>
    </row>
    <row r="223" spans="1:6" x14ac:dyDescent="0.2">
      <c r="A223" s="4">
        <v>44790</v>
      </c>
      <c r="B223" s="5">
        <v>134.13</v>
      </c>
      <c r="C223" s="5">
        <v>134.13</v>
      </c>
      <c r="D223" s="5">
        <v>134.13</v>
      </c>
      <c r="E223" s="5">
        <v>134.13</v>
      </c>
      <c r="F223" s="6">
        <v>725</v>
      </c>
    </row>
    <row r="224" spans="1:6" x14ac:dyDescent="0.2">
      <c r="A224" s="4">
        <v>44791</v>
      </c>
      <c r="B224" s="5">
        <v>129.25</v>
      </c>
      <c r="C224" s="5">
        <v>130.16999999999999</v>
      </c>
      <c r="D224" s="5">
        <v>129.25</v>
      </c>
      <c r="E224" s="5">
        <v>130.16999999999999</v>
      </c>
      <c r="F224" s="6">
        <v>870</v>
      </c>
    </row>
    <row r="225" spans="1:6" x14ac:dyDescent="0.2">
      <c r="A225" s="4">
        <v>44792</v>
      </c>
      <c r="B225" s="5">
        <v>134.13</v>
      </c>
      <c r="C225" s="5">
        <v>134.29</v>
      </c>
      <c r="D225" s="5">
        <v>130.65</v>
      </c>
      <c r="E225" s="5">
        <v>131.15</v>
      </c>
      <c r="F225" s="6">
        <v>1231</v>
      </c>
    </row>
    <row r="226" spans="1:6" x14ac:dyDescent="0.2">
      <c r="A226" s="4">
        <v>44795</v>
      </c>
      <c r="B226" s="5">
        <v>134.29</v>
      </c>
      <c r="C226" s="5">
        <v>135.75</v>
      </c>
      <c r="D226" s="5">
        <v>133.86000000000001</v>
      </c>
      <c r="E226" s="5">
        <v>135.75</v>
      </c>
      <c r="F226" s="6">
        <v>1860</v>
      </c>
    </row>
    <row r="227" spans="1:6" x14ac:dyDescent="0.2">
      <c r="A227" s="4">
        <v>44796</v>
      </c>
      <c r="B227" s="5">
        <v>133</v>
      </c>
      <c r="C227" s="5">
        <v>133</v>
      </c>
      <c r="D227" s="5">
        <v>133</v>
      </c>
      <c r="E227" s="5">
        <v>133</v>
      </c>
      <c r="F227" s="6">
        <v>1364</v>
      </c>
    </row>
    <row r="228" spans="1:6" x14ac:dyDescent="0.2">
      <c r="A228" s="4">
        <v>44797</v>
      </c>
      <c r="B228" s="5">
        <v>133.02500000000001</v>
      </c>
      <c r="C228" s="5">
        <v>133.02500000000001</v>
      </c>
      <c r="D228" s="5">
        <v>128.01</v>
      </c>
      <c r="E228" s="5">
        <v>128.01</v>
      </c>
      <c r="F228" s="6">
        <v>1082</v>
      </c>
    </row>
    <row r="229" spans="1:6" x14ac:dyDescent="0.2">
      <c r="A229" s="4">
        <v>44798</v>
      </c>
      <c r="B229" s="5">
        <v>128.01</v>
      </c>
      <c r="C229" s="5">
        <v>128.01</v>
      </c>
      <c r="D229" s="5">
        <v>128.01</v>
      </c>
      <c r="E229" s="5">
        <v>128.01</v>
      </c>
      <c r="F229" s="6"/>
    </row>
    <row r="230" spans="1:6" x14ac:dyDescent="0.2">
      <c r="A230" s="4">
        <v>44799</v>
      </c>
      <c r="B230" s="5">
        <v>132.19999999999999</v>
      </c>
      <c r="C230" s="5">
        <v>132.19999999999999</v>
      </c>
      <c r="D230" s="5">
        <v>131.44</v>
      </c>
      <c r="E230" s="5">
        <v>131.44</v>
      </c>
      <c r="F230" s="6">
        <v>1043</v>
      </c>
    </row>
    <row r="231" spans="1:6" x14ac:dyDescent="0.2">
      <c r="A231" s="4">
        <v>44802</v>
      </c>
      <c r="B231" s="5">
        <v>126.25</v>
      </c>
      <c r="C231" s="5">
        <v>139.15</v>
      </c>
      <c r="D231" s="5">
        <v>126.25</v>
      </c>
      <c r="E231" s="5">
        <v>128.75</v>
      </c>
      <c r="F231" s="6">
        <v>1976</v>
      </c>
    </row>
    <row r="232" spans="1:6" x14ac:dyDescent="0.2">
      <c r="A232" s="4">
        <v>44803</v>
      </c>
      <c r="B232" s="5">
        <v>130.02269999999999</v>
      </c>
      <c r="C232" s="5">
        <v>130.02269999999999</v>
      </c>
      <c r="D232" s="5">
        <v>125.77</v>
      </c>
      <c r="E232" s="5">
        <v>125.77</v>
      </c>
      <c r="F232" s="6">
        <v>2448</v>
      </c>
    </row>
    <row r="233" spans="1:6" x14ac:dyDescent="0.2">
      <c r="A233" s="4">
        <v>44804</v>
      </c>
      <c r="B233" s="5">
        <v>125</v>
      </c>
      <c r="C233" s="5">
        <v>126.44</v>
      </c>
      <c r="D233" s="5">
        <v>123.78</v>
      </c>
      <c r="E233" s="5">
        <v>124.44</v>
      </c>
      <c r="F233" s="6">
        <v>1717</v>
      </c>
    </row>
    <row r="234" spans="1:6" x14ac:dyDescent="0.2">
      <c r="A234" s="4">
        <v>44805</v>
      </c>
      <c r="B234" s="5">
        <v>118.06</v>
      </c>
      <c r="C234" s="5">
        <v>122</v>
      </c>
      <c r="D234" s="5">
        <v>118.06</v>
      </c>
      <c r="E234" s="5">
        <v>118.06</v>
      </c>
      <c r="F234" s="6">
        <v>1714</v>
      </c>
    </row>
    <row r="235" spans="1:6" x14ac:dyDescent="0.2">
      <c r="A235" s="4">
        <v>44806</v>
      </c>
      <c r="B235" s="5">
        <v>118.16</v>
      </c>
      <c r="C235" s="5">
        <v>126.59</v>
      </c>
      <c r="D235" s="5">
        <v>118.16</v>
      </c>
      <c r="E235" s="5">
        <v>126.59</v>
      </c>
      <c r="F235" s="6">
        <v>1947</v>
      </c>
    </row>
    <row r="236" spans="1:6" x14ac:dyDescent="0.2">
      <c r="A236" s="4">
        <v>44810</v>
      </c>
      <c r="B236" s="5">
        <v>117.01</v>
      </c>
      <c r="C236" s="5">
        <v>117.01</v>
      </c>
      <c r="D236" s="5">
        <v>117.01</v>
      </c>
      <c r="E236" s="5">
        <v>117.01</v>
      </c>
      <c r="F236" s="6">
        <v>462</v>
      </c>
    </row>
    <row r="237" spans="1:6" x14ac:dyDescent="0.2">
      <c r="A237" s="4">
        <v>44811</v>
      </c>
      <c r="B237" s="5">
        <v>113.76</v>
      </c>
      <c r="C237" s="5">
        <v>113.76</v>
      </c>
      <c r="D237" s="5">
        <v>113.6</v>
      </c>
      <c r="E237" s="5">
        <v>113.76</v>
      </c>
      <c r="F237" s="6">
        <v>1046</v>
      </c>
    </row>
    <row r="238" spans="1:6" x14ac:dyDescent="0.2">
      <c r="A238" s="4">
        <v>44812</v>
      </c>
      <c r="B238" s="5">
        <v>120.7</v>
      </c>
      <c r="C238" s="5">
        <v>120.86</v>
      </c>
      <c r="D238" s="5">
        <v>118.96</v>
      </c>
      <c r="E238" s="5">
        <v>118.96</v>
      </c>
      <c r="F238" s="6">
        <v>1235</v>
      </c>
    </row>
    <row r="239" spans="1:6" x14ac:dyDescent="0.2">
      <c r="A239" s="4">
        <v>44813</v>
      </c>
      <c r="B239" s="5">
        <v>125.82</v>
      </c>
      <c r="C239" s="5">
        <v>125.82</v>
      </c>
      <c r="D239" s="5">
        <v>118.21</v>
      </c>
      <c r="E239" s="5">
        <v>122.71</v>
      </c>
      <c r="F239" s="6">
        <v>1702</v>
      </c>
    </row>
    <row r="240" spans="1:6" x14ac:dyDescent="0.2">
      <c r="A240" s="4">
        <v>44816</v>
      </c>
      <c r="B240" s="5">
        <v>122.5</v>
      </c>
      <c r="C240" s="5">
        <v>126.04</v>
      </c>
      <c r="D240" s="5">
        <v>118.91</v>
      </c>
      <c r="E240" s="5">
        <v>118.91</v>
      </c>
      <c r="F240" s="6">
        <v>1484</v>
      </c>
    </row>
    <row r="241" spans="1:6" x14ac:dyDescent="0.2">
      <c r="A241" s="4">
        <v>44817</v>
      </c>
      <c r="B241" s="5">
        <v>117.46</v>
      </c>
      <c r="C241" s="5">
        <v>117.46</v>
      </c>
      <c r="D241" s="5">
        <v>117.46</v>
      </c>
      <c r="E241" s="5">
        <v>117.46</v>
      </c>
      <c r="F241" s="6">
        <v>643</v>
      </c>
    </row>
    <row r="242" spans="1:6" x14ac:dyDescent="0.2">
      <c r="A242" s="4">
        <v>44818</v>
      </c>
      <c r="B242" s="5">
        <v>116.81</v>
      </c>
      <c r="C242" s="5">
        <v>116.81</v>
      </c>
      <c r="D242" s="5">
        <v>116.37</v>
      </c>
      <c r="E242" s="5">
        <v>116.37</v>
      </c>
      <c r="F242" s="6">
        <v>619</v>
      </c>
    </row>
    <row r="243" spans="1:6" x14ac:dyDescent="0.2">
      <c r="A243" s="4">
        <v>44819</v>
      </c>
      <c r="B243" s="5">
        <v>117.5</v>
      </c>
      <c r="C243" s="5">
        <v>117.5</v>
      </c>
      <c r="D243" s="5">
        <v>112.65</v>
      </c>
      <c r="E243" s="5">
        <v>112.81</v>
      </c>
      <c r="F243" s="6">
        <v>2481</v>
      </c>
    </row>
    <row r="244" spans="1:6" x14ac:dyDescent="0.2">
      <c r="A244" s="4">
        <v>44820</v>
      </c>
      <c r="B244" s="5">
        <v>112.45</v>
      </c>
      <c r="C244" s="5">
        <v>121.99</v>
      </c>
      <c r="D244" s="5">
        <v>112.45</v>
      </c>
      <c r="E244" s="5">
        <v>113</v>
      </c>
      <c r="F244" s="6">
        <v>5861</v>
      </c>
    </row>
    <row r="245" spans="1:6" x14ac:dyDescent="0.2">
      <c r="A245" s="4">
        <v>44823</v>
      </c>
      <c r="B245" s="5">
        <v>114.84</v>
      </c>
      <c r="C245" s="5">
        <v>115</v>
      </c>
      <c r="D245" s="5">
        <v>110.96</v>
      </c>
      <c r="E245" s="5">
        <v>110.96</v>
      </c>
      <c r="F245" s="6">
        <v>4938</v>
      </c>
    </row>
    <row r="246" spans="1:6" x14ac:dyDescent="0.2">
      <c r="A246" s="4">
        <v>44824</v>
      </c>
      <c r="B246" s="5">
        <v>110.58</v>
      </c>
      <c r="C246" s="5">
        <v>117.92</v>
      </c>
      <c r="D246" s="5">
        <v>110.42</v>
      </c>
      <c r="E246" s="5">
        <v>110.51</v>
      </c>
      <c r="F246" s="6">
        <v>1709</v>
      </c>
    </row>
    <row r="247" spans="1:6" x14ac:dyDescent="0.2">
      <c r="A247" s="4">
        <v>44825</v>
      </c>
      <c r="B247" s="5">
        <v>111.3</v>
      </c>
      <c r="C247" s="5">
        <v>116.05</v>
      </c>
      <c r="D247" s="5">
        <v>111.3</v>
      </c>
      <c r="E247" s="5">
        <v>114.155</v>
      </c>
      <c r="F247" s="6">
        <v>1811</v>
      </c>
    </row>
    <row r="248" spans="1:6" x14ac:dyDescent="0.2">
      <c r="A248" s="4">
        <v>44826</v>
      </c>
      <c r="B248" s="5">
        <v>111.7</v>
      </c>
      <c r="C248" s="5">
        <v>111.7</v>
      </c>
      <c r="D248" s="5">
        <v>111.6</v>
      </c>
      <c r="E248" s="5">
        <v>111.6</v>
      </c>
      <c r="F248" s="6">
        <v>1613</v>
      </c>
    </row>
    <row r="249" spans="1:6" x14ac:dyDescent="0.2">
      <c r="A249" s="4">
        <v>44827</v>
      </c>
      <c r="B249" s="5">
        <v>109.5</v>
      </c>
      <c r="C249" s="5">
        <v>109.9757</v>
      </c>
      <c r="D249" s="5">
        <v>108.06</v>
      </c>
      <c r="E249" s="5">
        <v>108.35</v>
      </c>
      <c r="F249" s="6">
        <v>8354</v>
      </c>
    </row>
    <row r="250" spans="1:6" x14ac:dyDescent="0.2">
      <c r="A250" s="4">
        <v>44830</v>
      </c>
      <c r="B250" s="5">
        <v>107.1</v>
      </c>
      <c r="C250" s="5">
        <v>107.1</v>
      </c>
      <c r="D250" s="5">
        <v>104.5</v>
      </c>
      <c r="E250" s="5">
        <v>104.5</v>
      </c>
      <c r="F250" s="6">
        <v>6379</v>
      </c>
    </row>
    <row r="251" spans="1:6" x14ac:dyDescent="0.2">
      <c r="A251" s="4">
        <v>44831</v>
      </c>
      <c r="B251" s="5">
        <v>106.25</v>
      </c>
      <c r="C251" s="5">
        <v>106.6</v>
      </c>
      <c r="D251" s="5">
        <v>106.25</v>
      </c>
      <c r="E251" s="5">
        <v>106.5</v>
      </c>
      <c r="F251" s="6">
        <v>4030</v>
      </c>
    </row>
    <row r="252" spans="1:6" x14ac:dyDescent="0.2">
      <c r="A252" s="4">
        <v>44832</v>
      </c>
      <c r="B252" s="5">
        <v>109</v>
      </c>
      <c r="C252" s="5">
        <v>109</v>
      </c>
      <c r="D252" s="5">
        <v>108.2</v>
      </c>
      <c r="E252" s="5">
        <v>108.26</v>
      </c>
      <c r="F252" s="6">
        <v>4244</v>
      </c>
    </row>
    <row r="253" spans="1:6" x14ac:dyDescent="0.2">
      <c r="A253" s="4">
        <v>44833</v>
      </c>
      <c r="B253" s="5">
        <v>106</v>
      </c>
      <c r="C253" s="5">
        <v>109.99</v>
      </c>
      <c r="D253" s="5">
        <v>106</v>
      </c>
      <c r="E253" s="5">
        <v>109</v>
      </c>
      <c r="F253" s="6">
        <v>11219</v>
      </c>
    </row>
    <row r="254" spans="1:6" x14ac:dyDescent="0.2">
      <c r="A254" s="4">
        <v>44834</v>
      </c>
      <c r="B254" s="5">
        <v>109.1</v>
      </c>
      <c r="C254" s="5">
        <v>112.25</v>
      </c>
      <c r="D254" s="5">
        <v>107.1</v>
      </c>
      <c r="E254" s="5">
        <v>107.1</v>
      </c>
      <c r="F254" s="6">
        <v>3022</v>
      </c>
    </row>
    <row r="255" spans="1:6" x14ac:dyDescent="0.2">
      <c r="A255" s="4">
        <v>44837</v>
      </c>
      <c r="B255" s="5">
        <v>109.55</v>
      </c>
      <c r="C255" s="5">
        <v>111.25</v>
      </c>
      <c r="D255" s="5">
        <v>109.55</v>
      </c>
      <c r="E255" s="5">
        <v>111.25</v>
      </c>
      <c r="F255" s="6">
        <v>2966</v>
      </c>
    </row>
    <row r="256" spans="1:6" x14ac:dyDescent="0.2">
      <c r="A256" s="4">
        <v>44838</v>
      </c>
      <c r="B256" s="5">
        <v>111.75</v>
      </c>
      <c r="C256" s="5">
        <v>114</v>
      </c>
      <c r="D256" s="5">
        <v>111.75</v>
      </c>
      <c r="E256" s="5">
        <v>113</v>
      </c>
      <c r="F256" s="6">
        <v>1691</v>
      </c>
    </row>
    <row r="257" spans="1:6" x14ac:dyDescent="0.2">
      <c r="A257" s="4">
        <v>44839</v>
      </c>
      <c r="B257" s="5">
        <v>111.6</v>
      </c>
      <c r="C257" s="5">
        <v>113.62</v>
      </c>
      <c r="D257" s="5">
        <v>111.6</v>
      </c>
      <c r="E257" s="5">
        <v>112.14</v>
      </c>
      <c r="F257" s="6">
        <v>3654</v>
      </c>
    </row>
    <row r="258" spans="1:6" x14ac:dyDescent="0.2">
      <c r="A258" s="4">
        <v>44840</v>
      </c>
      <c r="B258" s="5">
        <v>110</v>
      </c>
      <c r="C258" s="5">
        <v>111.34</v>
      </c>
      <c r="D258" s="5">
        <v>108.96</v>
      </c>
      <c r="E258" s="5">
        <v>109.12</v>
      </c>
      <c r="F258" s="6">
        <v>5091</v>
      </c>
    </row>
    <row r="259" spans="1:6" x14ac:dyDescent="0.2">
      <c r="A259" s="4">
        <v>44841</v>
      </c>
      <c r="B259" s="5">
        <v>109.2</v>
      </c>
      <c r="C259" s="5">
        <v>110.2</v>
      </c>
      <c r="D259" s="5">
        <v>109.2</v>
      </c>
      <c r="E259" s="5">
        <v>109.5</v>
      </c>
      <c r="F259" s="6">
        <v>2539</v>
      </c>
    </row>
    <row r="260" spans="1:6" x14ac:dyDescent="0.2">
      <c r="A260" s="4">
        <v>44844</v>
      </c>
      <c r="B260" s="5">
        <v>108.36</v>
      </c>
      <c r="C260" s="5">
        <v>110.6</v>
      </c>
      <c r="D260" s="5">
        <v>108.36</v>
      </c>
      <c r="E260" s="5">
        <v>110.6</v>
      </c>
      <c r="F260" s="6">
        <v>1074</v>
      </c>
    </row>
    <row r="261" spans="1:6" x14ac:dyDescent="0.2">
      <c r="A261" s="4">
        <v>44845</v>
      </c>
      <c r="B261" s="5">
        <v>105.26</v>
      </c>
      <c r="C261" s="5">
        <v>111.35</v>
      </c>
      <c r="D261" s="5">
        <v>105.26</v>
      </c>
      <c r="E261" s="5">
        <v>109.16</v>
      </c>
      <c r="F261" s="6">
        <v>2542</v>
      </c>
    </row>
    <row r="262" spans="1:6" x14ac:dyDescent="0.2">
      <c r="A262" s="4">
        <v>44846</v>
      </c>
      <c r="B262" s="5">
        <v>109</v>
      </c>
      <c r="C262" s="5">
        <v>109.66</v>
      </c>
      <c r="D262" s="5">
        <v>109</v>
      </c>
      <c r="E262" s="5">
        <v>109.1</v>
      </c>
      <c r="F262" s="6">
        <v>2164</v>
      </c>
    </row>
    <row r="263" spans="1:6" x14ac:dyDescent="0.2">
      <c r="A263" s="4">
        <v>44847</v>
      </c>
      <c r="B263" s="5">
        <v>109.3</v>
      </c>
      <c r="C263" s="5">
        <v>109.78</v>
      </c>
      <c r="D263" s="5">
        <v>107.6</v>
      </c>
      <c r="E263" s="5">
        <v>107.6</v>
      </c>
      <c r="F263" s="6">
        <v>1822</v>
      </c>
    </row>
    <row r="264" spans="1:6" x14ac:dyDescent="0.2">
      <c r="A264" s="4">
        <v>44848</v>
      </c>
      <c r="B264" s="5">
        <v>109.7</v>
      </c>
      <c r="C264" s="5">
        <v>111.35</v>
      </c>
      <c r="D264" s="5">
        <v>109.0599</v>
      </c>
      <c r="E264" s="5">
        <v>111.35</v>
      </c>
      <c r="F264" s="6">
        <v>2380</v>
      </c>
    </row>
    <row r="265" spans="1:6" x14ac:dyDescent="0.2">
      <c r="A265" s="4">
        <v>44851</v>
      </c>
      <c r="B265" s="5">
        <v>111.96</v>
      </c>
      <c r="C265" s="5">
        <v>114.3</v>
      </c>
      <c r="D265" s="5">
        <v>111.96</v>
      </c>
      <c r="E265" s="5">
        <v>114.3</v>
      </c>
      <c r="F265" s="6">
        <v>1553</v>
      </c>
    </row>
    <row r="266" spans="1:6" x14ac:dyDescent="0.2">
      <c r="A266" s="4">
        <v>44852</v>
      </c>
      <c r="B266" s="5">
        <v>113.33750000000001</v>
      </c>
      <c r="C266" s="5">
        <v>113.33750000000001</v>
      </c>
      <c r="D266" s="5">
        <v>109.88</v>
      </c>
      <c r="E266" s="5">
        <v>109.88</v>
      </c>
      <c r="F266" s="6">
        <v>1201</v>
      </c>
    </row>
    <row r="267" spans="1:6" x14ac:dyDescent="0.2">
      <c r="A267" s="4">
        <v>44853</v>
      </c>
      <c r="B267" s="5">
        <v>108.55</v>
      </c>
      <c r="C267" s="5">
        <v>112.5</v>
      </c>
      <c r="D267" s="5">
        <v>108.25</v>
      </c>
      <c r="E267" s="5">
        <v>108.25</v>
      </c>
      <c r="F267" s="6">
        <v>4693</v>
      </c>
    </row>
    <row r="268" spans="1:6" x14ac:dyDescent="0.2">
      <c r="A268" s="4">
        <v>44854</v>
      </c>
      <c r="B268" s="5">
        <v>106.72</v>
      </c>
      <c r="C268" s="5">
        <v>109.88</v>
      </c>
      <c r="D268" s="5">
        <v>106.0625</v>
      </c>
      <c r="E268" s="5">
        <v>109.88</v>
      </c>
      <c r="F268" s="6">
        <v>1670</v>
      </c>
    </row>
    <row r="269" spans="1:6" x14ac:dyDescent="0.2">
      <c r="A269" s="4">
        <v>44855</v>
      </c>
      <c r="B269" s="5">
        <v>107.25</v>
      </c>
      <c r="C269" s="5">
        <v>109.9</v>
      </c>
      <c r="D269" s="5">
        <v>105.5</v>
      </c>
      <c r="E269" s="5">
        <v>109.9</v>
      </c>
      <c r="F269" s="6">
        <v>3904</v>
      </c>
    </row>
    <row r="270" spans="1:6" x14ac:dyDescent="0.2">
      <c r="A270" s="4">
        <v>44858</v>
      </c>
      <c r="B270" s="5">
        <v>110</v>
      </c>
      <c r="C270" s="5">
        <v>112.02</v>
      </c>
      <c r="D270" s="5">
        <v>106.01</v>
      </c>
      <c r="E270" s="5">
        <v>108.96</v>
      </c>
      <c r="F270" s="6">
        <v>6730</v>
      </c>
    </row>
    <row r="271" spans="1:6" x14ac:dyDescent="0.2">
      <c r="A271" s="4">
        <v>44859</v>
      </c>
      <c r="B271" s="5">
        <v>110.75</v>
      </c>
      <c r="C271" s="5">
        <v>112.02</v>
      </c>
      <c r="D271" s="5">
        <v>110.75</v>
      </c>
      <c r="E271" s="5">
        <v>111.1999</v>
      </c>
      <c r="F271" s="6">
        <v>2233</v>
      </c>
    </row>
    <row r="272" spans="1:6" x14ac:dyDescent="0.2">
      <c r="A272" s="4">
        <v>44860</v>
      </c>
      <c r="B272" s="5">
        <v>111.3</v>
      </c>
      <c r="C272" s="5">
        <v>114.47499999999999</v>
      </c>
      <c r="D272" s="5">
        <v>111.3</v>
      </c>
      <c r="E272" s="5">
        <v>114.47499999999999</v>
      </c>
      <c r="F272" s="6">
        <v>2130</v>
      </c>
    </row>
    <row r="273" spans="1:6" x14ac:dyDescent="0.2">
      <c r="A273" s="4">
        <v>44861</v>
      </c>
      <c r="B273" s="5">
        <v>116.16</v>
      </c>
      <c r="C273" s="5">
        <v>116.4</v>
      </c>
      <c r="D273" s="5">
        <v>113.8</v>
      </c>
      <c r="E273" s="5">
        <v>115.35</v>
      </c>
      <c r="F273" s="6">
        <v>5511</v>
      </c>
    </row>
    <row r="274" spans="1:6" x14ac:dyDescent="0.2">
      <c r="A274" s="4">
        <v>44862</v>
      </c>
      <c r="B274" s="5">
        <v>116.85</v>
      </c>
      <c r="C274" s="5">
        <v>118.9</v>
      </c>
      <c r="D274" s="5">
        <v>114.4</v>
      </c>
      <c r="E274" s="5">
        <v>114.4</v>
      </c>
      <c r="F274" s="6">
        <v>5649</v>
      </c>
    </row>
    <row r="275" spans="1:6" x14ac:dyDescent="0.2">
      <c r="A275" s="4">
        <v>44865</v>
      </c>
      <c r="B275" s="5">
        <v>116.35</v>
      </c>
      <c r="C275" s="5">
        <v>119.04</v>
      </c>
      <c r="D275" s="5">
        <v>116.06</v>
      </c>
      <c r="E275" s="5">
        <v>116.44</v>
      </c>
      <c r="F275" s="6">
        <v>5395</v>
      </c>
    </row>
    <row r="276" spans="1:6" x14ac:dyDescent="0.2">
      <c r="A276" s="4">
        <v>44866</v>
      </c>
      <c r="B276" s="5">
        <v>118.6</v>
      </c>
      <c r="C276" s="5">
        <v>120.66</v>
      </c>
      <c r="D276" s="5">
        <v>116.71</v>
      </c>
      <c r="E276" s="5">
        <v>118.1</v>
      </c>
      <c r="F276" s="6">
        <v>1462</v>
      </c>
    </row>
    <row r="277" spans="1:6" x14ac:dyDescent="0.2">
      <c r="A277" s="4">
        <v>44867</v>
      </c>
      <c r="B277" s="5">
        <v>119.04</v>
      </c>
      <c r="C277" s="5">
        <v>120.7705</v>
      </c>
      <c r="D277" s="5">
        <v>119.04</v>
      </c>
      <c r="E277" s="5">
        <v>120</v>
      </c>
      <c r="F277" s="6">
        <v>2061</v>
      </c>
    </row>
    <row r="278" spans="1:6" x14ac:dyDescent="0.2">
      <c r="A278" s="4">
        <v>44868</v>
      </c>
      <c r="B278" s="5">
        <v>117.2</v>
      </c>
      <c r="C278" s="5">
        <v>120.95</v>
      </c>
      <c r="D278" s="5">
        <v>117.2</v>
      </c>
      <c r="E278" s="5">
        <v>120.95</v>
      </c>
      <c r="F278" s="6">
        <v>5713</v>
      </c>
    </row>
    <row r="279" spans="1:6" x14ac:dyDescent="0.2">
      <c r="A279" s="4">
        <v>44869</v>
      </c>
      <c r="B279" s="5">
        <v>119.72</v>
      </c>
      <c r="C279" s="5">
        <v>122.92</v>
      </c>
      <c r="D279" s="5">
        <v>117.66</v>
      </c>
      <c r="E279" s="5">
        <v>119.94</v>
      </c>
      <c r="F279" s="6">
        <v>2171</v>
      </c>
    </row>
    <row r="280" spans="1:6" x14ac:dyDescent="0.2">
      <c r="A280" s="4">
        <v>44872</v>
      </c>
      <c r="B280" s="5">
        <v>123.04</v>
      </c>
      <c r="C280" s="5">
        <v>123.04</v>
      </c>
      <c r="D280" s="5">
        <v>120.22</v>
      </c>
      <c r="E280" s="5">
        <v>120.22</v>
      </c>
      <c r="F280" s="6">
        <v>4576</v>
      </c>
    </row>
    <row r="281" spans="1:6" x14ac:dyDescent="0.2">
      <c r="A281" s="4">
        <v>44873</v>
      </c>
      <c r="B281" s="5">
        <v>123.21</v>
      </c>
      <c r="C281" s="5">
        <v>123.21</v>
      </c>
      <c r="D281" s="5">
        <v>121.24</v>
      </c>
      <c r="E281" s="5">
        <v>121.24</v>
      </c>
      <c r="F281" s="6">
        <v>1001</v>
      </c>
    </row>
    <row r="282" spans="1:6" x14ac:dyDescent="0.2">
      <c r="A282" s="4">
        <v>44874</v>
      </c>
      <c r="B282" s="5">
        <v>121.54</v>
      </c>
      <c r="C282" s="5">
        <v>123.54</v>
      </c>
      <c r="D282" s="5">
        <v>120.5</v>
      </c>
      <c r="E282" s="5">
        <v>120.5</v>
      </c>
      <c r="F282" s="6">
        <v>3073</v>
      </c>
    </row>
    <row r="283" spans="1:6" x14ac:dyDescent="0.2">
      <c r="A283" s="4">
        <v>44875</v>
      </c>
      <c r="B283" s="5">
        <v>128</v>
      </c>
      <c r="C283" s="5">
        <v>132</v>
      </c>
      <c r="D283" s="5">
        <v>127.28</v>
      </c>
      <c r="E283" s="5">
        <v>127.28</v>
      </c>
      <c r="F283" s="6">
        <v>6391</v>
      </c>
    </row>
    <row r="284" spans="1:6" x14ac:dyDescent="0.2">
      <c r="A284" s="4">
        <v>44876</v>
      </c>
      <c r="B284" s="5">
        <v>129.465</v>
      </c>
      <c r="C284" s="5">
        <v>129.465</v>
      </c>
      <c r="D284" s="5">
        <v>123.1</v>
      </c>
      <c r="E284" s="5">
        <v>123.85</v>
      </c>
      <c r="F284" s="6">
        <v>2391</v>
      </c>
    </row>
    <row r="285" spans="1:6" x14ac:dyDescent="0.2">
      <c r="A285" s="4">
        <v>44879</v>
      </c>
      <c r="B285" s="5">
        <v>128.97999999999999</v>
      </c>
      <c r="C285" s="5">
        <v>129.5</v>
      </c>
      <c r="D285" s="5">
        <v>126.38</v>
      </c>
      <c r="E285" s="5">
        <v>126.44</v>
      </c>
      <c r="F285" s="6">
        <v>2016</v>
      </c>
    </row>
    <row r="286" spans="1:6" x14ac:dyDescent="0.2">
      <c r="A286" s="4">
        <v>44880</v>
      </c>
      <c r="B286" s="5">
        <v>128.24</v>
      </c>
      <c r="C286" s="5">
        <v>128.24</v>
      </c>
      <c r="D286" s="5">
        <v>125.94</v>
      </c>
      <c r="E286" s="5">
        <v>125.94</v>
      </c>
      <c r="F286" s="6">
        <v>666</v>
      </c>
    </row>
    <row r="287" spans="1:6" x14ac:dyDescent="0.2">
      <c r="A287" s="4">
        <v>44881</v>
      </c>
      <c r="B287" s="5">
        <v>128.82</v>
      </c>
      <c r="C287" s="5">
        <v>128.82</v>
      </c>
      <c r="D287" s="5">
        <v>125.66</v>
      </c>
      <c r="E287" s="5">
        <v>126.2</v>
      </c>
      <c r="F287" s="6">
        <v>2334</v>
      </c>
    </row>
    <row r="288" spans="1:6" x14ac:dyDescent="0.2">
      <c r="A288" s="4">
        <v>44882</v>
      </c>
      <c r="B288" s="5">
        <v>126</v>
      </c>
      <c r="C288" s="5">
        <v>126.4599</v>
      </c>
      <c r="D288" s="5">
        <v>125.25</v>
      </c>
      <c r="E288" s="5">
        <v>126.4599</v>
      </c>
      <c r="F288" s="6">
        <v>1965</v>
      </c>
    </row>
    <row r="289" spans="1:6" x14ac:dyDescent="0.2">
      <c r="A289" s="4">
        <v>44883</v>
      </c>
      <c r="B289" s="5">
        <v>131.15</v>
      </c>
      <c r="C289" s="5">
        <v>131.15</v>
      </c>
      <c r="D289" s="5">
        <v>127.9</v>
      </c>
      <c r="E289" s="5">
        <v>127.9</v>
      </c>
      <c r="F289" s="6">
        <v>1788</v>
      </c>
    </row>
    <row r="290" spans="1:6" x14ac:dyDescent="0.2">
      <c r="A290" s="4">
        <v>44886</v>
      </c>
      <c r="B290" s="5">
        <v>131.85</v>
      </c>
      <c r="C290" s="5">
        <v>131.85</v>
      </c>
      <c r="D290" s="5">
        <v>129.75989999999999</v>
      </c>
      <c r="E290" s="5">
        <v>129.75989999999999</v>
      </c>
      <c r="F290" s="6">
        <v>2289</v>
      </c>
    </row>
    <row r="291" spans="1:6" x14ac:dyDescent="0.2">
      <c r="A291" s="4">
        <v>44887</v>
      </c>
      <c r="B291" s="5">
        <v>130</v>
      </c>
      <c r="C291" s="5">
        <v>131</v>
      </c>
      <c r="D291" s="5">
        <v>130</v>
      </c>
      <c r="E291" s="5">
        <v>130.125</v>
      </c>
      <c r="F291" s="6">
        <v>3144</v>
      </c>
    </row>
    <row r="292" spans="1:6" x14ac:dyDescent="0.2">
      <c r="A292" s="4">
        <v>44888</v>
      </c>
      <c r="B292" s="5">
        <v>132</v>
      </c>
      <c r="C292" s="5">
        <v>133.32</v>
      </c>
      <c r="D292" s="5">
        <v>130.56</v>
      </c>
      <c r="E292" s="5">
        <v>130.56</v>
      </c>
      <c r="F292" s="6">
        <v>1641</v>
      </c>
    </row>
    <row r="293" spans="1:6" x14ac:dyDescent="0.2">
      <c r="A293" s="4">
        <v>44890</v>
      </c>
      <c r="B293" s="5">
        <v>132.94</v>
      </c>
      <c r="C293" s="5">
        <v>133.25</v>
      </c>
      <c r="D293" s="5">
        <v>132.94</v>
      </c>
      <c r="E293" s="5">
        <v>133.25</v>
      </c>
      <c r="F293" s="6">
        <v>1802</v>
      </c>
    </row>
    <row r="294" spans="1:6" x14ac:dyDescent="0.2">
      <c r="A294" s="4">
        <v>44893</v>
      </c>
      <c r="B294" s="5">
        <v>132.75</v>
      </c>
      <c r="C294" s="5">
        <v>134.19999999999999</v>
      </c>
      <c r="D294" s="5">
        <v>131.46</v>
      </c>
      <c r="E294" s="5">
        <v>133.9</v>
      </c>
      <c r="F294" s="6">
        <v>2069</v>
      </c>
    </row>
    <row r="295" spans="1:6" x14ac:dyDescent="0.2">
      <c r="A295" s="4">
        <v>44894</v>
      </c>
      <c r="B295" s="5">
        <v>131.31</v>
      </c>
      <c r="C295" s="5">
        <v>131.31</v>
      </c>
      <c r="D295" s="5">
        <v>131.31</v>
      </c>
      <c r="E295" s="5">
        <v>131.31</v>
      </c>
      <c r="F295" s="6">
        <v>669</v>
      </c>
    </row>
    <row r="296" spans="1:6" x14ac:dyDescent="0.2">
      <c r="A296" s="4">
        <v>44895</v>
      </c>
      <c r="B296" s="5">
        <v>132.1</v>
      </c>
      <c r="C296" s="5">
        <v>132.1</v>
      </c>
      <c r="D296" s="5">
        <v>132.1</v>
      </c>
      <c r="E296" s="5">
        <v>132.1</v>
      </c>
      <c r="F296" s="6">
        <v>5004</v>
      </c>
    </row>
    <row r="297" spans="1:6" x14ac:dyDescent="0.2">
      <c r="A297" s="4">
        <v>44896</v>
      </c>
      <c r="B297" s="5">
        <v>136.52000000000001</v>
      </c>
      <c r="C297" s="5">
        <v>138.25</v>
      </c>
      <c r="D297" s="5">
        <v>136.52000000000001</v>
      </c>
      <c r="E297" s="5">
        <v>138.25</v>
      </c>
      <c r="F297" s="6">
        <v>1912</v>
      </c>
    </row>
    <row r="298" spans="1:6" x14ac:dyDescent="0.2">
      <c r="A298" s="4">
        <v>44897</v>
      </c>
      <c r="B298" s="5">
        <v>137.4</v>
      </c>
      <c r="C298" s="5">
        <v>137.51</v>
      </c>
      <c r="D298" s="5">
        <v>136.75</v>
      </c>
      <c r="E298" s="5">
        <v>137</v>
      </c>
      <c r="F298" s="6">
        <v>3078</v>
      </c>
    </row>
    <row r="299" spans="1:6" x14ac:dyDescent="0.2">
      <c r="A299" s="4">
        <v>44900</v>
      </c>
      <c r="B299" s="5">
        <v>137.65</v>
      </c>
      <c r="C299" s="5">
        <v>138.19999999999999</v>
      </c>
      <c r="D299" s="5">
        <v>136.55000000000001</v>
      </c>
      <c r="E299" s="5">
        <v>136.75</v>
      </c>
      <c r="F299" s="6">
        <v>5027</v>
      </c>
    </row>
    <row r="300" spans="1:6" x14ac:dyDescent="0.2">
      <c r="A300" s="4">
        <v>44901</v>
      </c>
      <c r="B300" s="5">
        <v>136.75</v>
      </c>
      <c r="C300" s="5">
        <v>136.75</v>
      </c>
      <c r="D300" s="5">
        <v>136.75</v>
      </c>
      <c r="E300" s="5">
        <v>136.75</v>
      </c>
      <c r="F300" s="6"/>
    </row>
    <row r="301" spans="1:6" x14ac:dyDescent="0.2">
      <c r="A301" s="4">
        <v>44902</v>
      </c>
      <c r="B301" s="5">
        <v>135.97989999999999</v>
      </c>
      <c r="C301" s="5">
        <v>136.81</v>
      </c>
      <c r="D301" s="5">
        <v>135.97989999999999</v>
      </c>
      <c r="E301" s="5">
        <v>136</v>
      </c>
      <c r="F301" s="6">
        <v>1311</v>
      </c>
    </row>
    <row r="302" spans="1:6" x14ac:dyDescent="0.2">
      <c r="A302" s="4">
        <v>44903</v>
      </c>
      <c r="B302" s="5">
        <v>139.04</v>
      </c>
      <c r="C302" s="5">
        <v>139.04</v>
      </c>
      <c r="D302" s="5">
        <v>139.04</v>
      </c>
      <c r="E302" s="5">
        <v>139.04</v>
      </c>
      <c r="F302" s="6">
        <v>596</v>
      </c>
    </row>
    <row r="303" spans="1:6" x14ac:dyDescent="0.2">
      <c r="A303" s="4">
        <v>44904</v>
      </c>
      <c r="B303" s="5">
        <v>140.15</v>
      </c>
      <c r="C303" s="5">
        <v>140.4</v>
      </c>
      <c r="D303" s="5">
        <v>138.96</v>
      </c>
      <c r="E303" s="5">
        <v>139.44999999999999</v>
      </c>
      <c r="F303" s="6">
        <v>1485</v>
      </c>
    </row>
    <row r="304" spans="1:6" x14ac:dyDescent="0.2">
      <c r="A304" s="4">
        <v>44907</v>
      </c>
      <c r="B304" s="5">
        <v>139.5</v>
      </c>
      <c r="C304" s="5">
        <v>139.85</v>
      </c>
      <c r="D304" s="5">
        <v>138.55009999999999</v>
      </c>
      <c r="E304" s="5">
        <v>138.55009999999999</v>
      </c>
      <c r="F304" s="6">
        <v>2483</v>
      </c>
    </row>
    <row r="305" spans="1:6" x14ac:dyDescent="0.2">
      <c r="A305" s="4">
        <v>44908</v>
      </c>
      <c r="B305" s="5">
        <v>139.5</v>
      </c>
      <c r="C305" s="5">
        <v>139.5</v>
      </c>
      <c r="D305" s="5">
        <v>139.5</v>
      </c>
      <c r="E305" s="5">
        <v>139.5</v>
      </c>
      <c r="F305" s="6">
        <v>1325</v>
      </c>
    </row>
    <row r="306" spans="1:6" x14ac:dyDescent="0.2">
      <c r="A306" s="4">
        <v>44909</v>
      </c>
      <c r="B306" s="5">
        <v>137.26</v>
      </c>
      <c r="C306" s="5">
        <v>139.75989999999999</v>
      </c>
      <c r="D306" s="5">
        <v>137.26</v>
      </c>
      <c r="E306" s="5">
        <v>139.75989999999999</v>
      </c>
      <c r="F306" s="6">
        <v>3426</v>
      </c>
    </row>
    <row r="307" spans="1:6" x14ac:dyDescent="0.2">
      <c r="A307" s="4">
        <v>44910</v>
      </c>
      <c r="B307" s="5">
        <v>139.96</v>
      </c>
      <c r="C307" s="5">
        <v>140.52000000000001</v>
      </c>
      <c r="D307" s="5">
        <v>137.97989999999999</v>
      </c>
      <c r="E307" s="5">
        <v>137.97989999999999</v>
      </c>
      <c r="F307" s="6">
        <v>2505</v>
      </c>
    </row>
    <row r="308" spans="1:6" x14ac:dyDescent="0.2">
      <c r="A308" s="4">
        <v>44911</v>
      </c>
      <c r="B308" s="5">
        <v>135.4375</v>
      </c>
      <c r="C308" s="5">
        <v>135.5</v>
      </c>
      <c r="D308" s="5">
        <v>135.09989999999999</v>
      </c>
      <c r="E308" s="5">
        <v>135.09989999999999</v>
      </c>
      <c r="F308" s="6">
        <v>1493</v>
      </c>
    </row>
    <row r="309" spans="1:6" x14ac:dyDescent="0.2">
      <c r="A309" s="4">
        <v>44914</v>
      </c>
      <c r="B309" s="5">
        <v>136.44</v>
      </c>
      <c r="C309" s="5">
        <v>136.52000000000001</v>
      </c>
      <c r="D309" s="5">
        <v>134.18</v>
      </c>
      <c r="E309" s="5">
        <v>136.52000000000001</v>
      </c>
      <c r="F309" s="6">
        <v>2482</v>
      </c>
    </row>
    <row r="310" spans="1:6" x14ac:dyDescent="0.2">
      <c r="A310" s="4">
        <v>44915</v>
      </c>
      <c r="B310" s="5">
        <v>136.30000000000001</v>
      </c>
      <c r="C310" s="5">
        <v>136.30000000000001</v>
      </c>
      <c r="D310" s="5">
        <v>133.63990000000001</v>
      </c>
      <c r="E310" s="5">
        <v>133.63990000000001</v>
      </c>
      <c r="F310" s="6">
        <v>711</v>
      </c>
    </row>
    <row r="311" spans="1:6" x14ac:dyDescent="0.2">
      <c r="A311" s="4">
        <v>44916</v>
      </c>
      <c r="B311" s="5">
        <v>137.16</v>
      </c>
      <c r="C311" s="5">
        <v>137.30000000000001</v>
      </c>
      <c r="D311" s="5">
        <v>134.65</v>
      </c>
      <c r="E311" s="5">
        <v>134.65</v>
      </c>
      <c r="F311" s="6">
        <v>1393</v>
      </c>
    </row>
    <row r="312" spans="1:6" x14ac:dyDescent="0.2">
      <c r="A312" s="4">
        <v>44917</v>
      </c>
      <c r="B312" s="5">
        <v>134.41990000000001</v>
      </c>
      <c r="C312" s="5">
        <v>134.41990000000001</v>
      </c>
      <c r="D312" s="5">
        <v>134.41990000000001</v>
      </c>
      <c r="E312" s="5">
        <v>134.41990000000001</v>
      </c>
      <c r="F312" s="6">
        <v>674</v>
      </c>
    </row>
    <row r="313" spans="1:6" x14ac:dyDescent="0.2">
      <c r="A313" s="4">
        <v>44918</v>
      </c>
      <c r="B313" s="5">
        <v>135.46</v>
      </c>
      <c r="C313" s="5">
        <v>136.4</v>
      </c>
      <c r="D313" s="5">
        <v>135.46</v>
      </c>
      <c r="E313" s="5">
        <v>136.4</v>
      </c>
      <c r="F313" s="6">
        <v>2514</v>
      </c>
    </row>
    <row r="314" spans="1:6" x14ac:dyDescent="0.2">
      <c r="A314" s="4">
        <v>44922</v>
      </c>
      <c r="B314" s="5">
        <v>136.66</v>
      </c>
      <c r="C314" s="5">
        <v>136.66</v>
      </c>
      <c r="D314" s="5">
        <v>136.66</v>
      </c>
      <c r="E314" s="5">
        <v>136.66</v>
      </c>
      <c r="F314" s="6">
        <v>748</v>
      </c>
    </row>
    <row r="315" spans="1:6" x14ac:dyDescent="0.2">
      <c r="A315" s="4">
        <v>44923</v>
      </c>
      <c r="B315" s="5">
        <v>135.16</v>
      </c>
      <c r="C315" s="5">
        <v>138</v>
      </c>
      <c r="D315" s="5">
        <v>135.16</v>
      </c>
      <c r="E315" s="5">
        <v>136</v>
      </c>
      <c r="F315" s="6">
        <v>639</v>
      </c>
    </row>
    <row r="316" spans="1:6" x14ac:dyDescent="0.2">
      <c r="A316" s="4">
        <v>44924</v>
      </c>
      <c r="B316" s="5">
        <v>135.75</v>
      </c>
      <c r="C316" s="5">
        <v>135.75</v>
      </c>
      <c r="D316" s="5">
        <v>135.10990000000001</v>
      </c>
      <c r="E316" s="5">
        <v>135.10990000000001</v>
      </c>
      <c r="F316" s="6">
        <v>1983</v>
      </c>
    </row>
    <row r="317" spans="1:6" x14ac:dyDescent="0.2">
      <c r="A317" s="4">
        <v>44925</v>
      </c>
      <c r="B317" s="5">
        <v>136.5625</v>
      </c>
      <c r="C317" s="5">
        <v>136.5625</v>
      </c>
      <c r="D317" s="5">
        <v>136.18</v>
      </c>
      <c r="E317" s="5">
        <v>136.22</v>
      </c>
      <c r="F317" s="6">
        <v>1414</v>
      </c>
    </row>
    <row r="318" spans="1:6" x14ac:dyDescent="0.2">
      <c r="A318" s="4">
        <v>44929</v>
      </c>
      <c r="B318" s="5">
        <v>136.44</v>
      </c>
      <c r="C318" s="5">
        <v>136.44</v>
      </c>
      <c r="D318" s="5">
        <v>136.44</v>
      </c>
      <c r="E318" s="5">
        <v>136.44</v>
      </c>
      <c r="F318" s="6">
        <v>629</v>
      </c>
    </row>
    <row r="319" spans="1:6" x14ac:dyDescent="0.2">
      <c r="A319" s="4">
        <v>44930</v>
      </c>
      <c r="B319" s="5">
        <v>138.75</v>
      </c>
      <c r="C319" s="5">
        <v>141.25</v>
      </c>
      <c r="D319" s="5">
        <v>138.03989999999999</v>
      </c>
      <c r="E319" s="5">
        <v>138.03989999999999</v>
      </c>
      <c r="F319" s="6">
        <v>1442</v>
      </c>
    </row>
    <row r="320" spans="1:6" x14ac:dyDescent="0.2">
      <c r="A320" s="4">
        <v>44931</v>
      </c>
      <c r="B320" s="5">
        <v>136.75</v>
      </c>
      <c r="C320" s="5">
        <v>140.96</v>
      </c>
      <c r="D320" s="5">
        <v>136.75</v>
      </c>
      <c r="E320" s="5">
        <v>140.96</v>
      </c>
      <c r="F320" s="6">
        <v>4184</v>
      </c>
    </row>
    <row r="321" spans="1:6" x14ac:dyDescent="0.2">
      <c r="A321" s="4">
        <v>44932</v>
      </c>
      <c r="B321" s="5">
        <v>140.55000000000001</v>
      </c>
      <c r="C321" s="5">
        <v>140.55000000000001</v>
      </c>
      <c r="D321" s="5">
        <v>140</v>
      </c>
      <c r="E321" s="5">
        <v>140.26</v>
      </c>
      <c r="F321" s="6">
        <v>3351</v>
      </c>
    </row>
    <row r="322" spans="1:6" x14ac:dyDescent="0.2">
      <c r="A322" s="4">
        <v>44935</v>
      </c>
      <c r="B322" s="5">
        <v>140.25</v>
      </c>
      <c r="C322" s="5">
        <v>140.25</v>
      </c>
      <c r="D322" s="5">
        <v>140.25</v>
      </c>
      <c r="E322" s="5">
        <v>140.25</v>
      </c>
      <c r="F322" s="6">
        <v>664</v>
      </c>
    </row>
    <row r="323" spans="1:6" x14ac:dyDescent="0.2">
      <c r="A323" s="4">
        <v>44936</v>
      </c>
      <c r="B323" s="5">
        <v>144.5</v>
      </c>
      <c r="C323" s="5">
        <v>144.5</v>
      </c>
      <c r="D323" s="5">
        <v>143.25</v>
      </c>
      <c r="E323" s="5">
        <v>143.96</v>
      </c>
      <c r="F323" s="6">
        <v>1987</v>
      </c>
    </row>
    <row r="324" spans="1:6" x14ac:dyDescent="0.2">
      <c r="A324" s="4">
        <v>44937</v>
      </c>
      <c r="B324" s="5">
        <v>142.12</v>
      </c>
      <c r="C324" s="5">
        <v>142.12</v>
      </c>
      <c r="D324" s="5">
        <v>140.94990000000001</v>
      </c>
      <c r="E324" s="5">
        <v>140.94990000000001</v>
      </c>
      <c r="F324" s="6">
        <v>1624</v>
      </c>
    </row>
    <row r="325" spans="1:6" x14ac:dyDescent="0.2">
      <c r="A325" s="4">
        <v>44938</v>
      </c>
      <c r="B325" s="5">
        <v>138.66</v>
      </c>
      <c r="C325" s="5">
        <v>138.66</v>
      </c>
      <c r="D325" s="5">
        <v>138.66</v>
      </c>
      <c r="E325" s="5">
        <v>138.66</v>
      </c>
      <c r="F325" s="6">
        <v>587</v>
      </c>
    </row>
    <row r="326" spans="1:6" x14ac:dyDescent="0.2">
      <c r="A326" s="4">
        <v>44939</v>
      </c>
      <c r="B326" s="5">
        <v>142.5</v>
      </c>
      <c r="C326" s="5">
        <v>143.4</v>
      </c>
      <c r="D326" s="5">
        <v>139.05000000000001</v>
      </c>
      <c r="E326" s="5">
        <v>143.4</v>
      </c>
      <c r="F326" s="6">
        <v>2603</v>
      </c>
    </row>
    <row r="327" spans="1:6" x14ac:dyDescent="0.2">
      <c r="A327" s="4">
        <v>44943</v>
      </c>
      <c r="B327" s="5">
        <v>142.05000000000001</v>
      </c>
      <c r="C327" s="5">
        <v>143.625</v>
      </c>
      <c r="D327" s="5">
        <v>142</v>
      </c>
      <c r="E327" s="5">
        <v>143.625</v>
      </c>
      <c r="F327" s="6">
        <v>1099</v>
      </c>
    </row>
    <row r="328" spans="1:6" x14ac:dyDescent="0.2">
      <c r="A328" s="4">
        <v>44944</v>
      </c>
      <c r="B328" s="5">
        <v>141.96</v>
      </c>
      <c r="C328" s="5">
        <v>144.26</v>
      </c>
      <c r="D328" s="5">
        <v>141.19990000000001</v>
      </c>
      <c r="E328" s="5">
        <v>141.19990000000001</v>
      </c>
      <c r="F328" s="6">
        <v>1348</v>
      </c>
    </row>
    <row r="329" spans="1:6" x14ac:dyDescent="0.2">
      <c r="A329" s="4">
        <v>44945</v>
      </c>
      <c r="B329" s="5">
        <v>143.28</v>
      </c>
      <c r="C329" s="5">
        <v>143.32</v>
      </c>
      <c r="D329" s="5">
        <v>140.00989999999999</v>
      </c>
      <c r="E329" s="5">
        <v>140.00989999999999</v>
      </c>
      <c r="F329" s="6">
        <v>1538</v>
      </c>
    </row>
    <row r="330" spans="1:6" x14ac:dyDescent="0.2">
      <c r="A330" s="4">
        <v>44946</v>
      </c>
      <c r="B330" s="5">
        <v>138.25</v>
      </c>
      <c r="C330" s="5">
        <v>139.32</v>
      </c>
      <c r="D330" s="5">
        <v>136.46</v>
      </c>
      <c r="E330" s="5">
        <v>136.46</v>
      </c>
      <c r="F330" s="6">
        <v>1537</v>
      </c>
    </row>
    <row r="331" spans="1:6" x14ac:dyDescent="0.2">
      <c r="A331" s="4">
        <v>44949</v>
      </c>
      <c r="B331" s="5">
        <v>136.69999999999999</v>
      </c>
      <c r="C331" s="5">
        <v>137.86000000000001</v>
      </c>
      <c r="D331" s="5">
        <v>133.68</v>
      </c>
      <c r="E331" s="5">
        <v>133.68</v>
      </c>
      <c r="F331" s="6">
        <v>1415</v>
      </c>
    </row>
    <row r="332" spans="1:6" x14ac:dyDescent="0.2">
      <c r="A332" s="4">
        <v>44950</v>
      </c>
      <c r="B332" s="5">
        <v>129.5</v>
      </c>
      <c r="C332" s="5">
        <v>129.5</v>
      </c>
      <c r="D332" s="5">
        <v>129.5</v>
      </c>
      <c r="E332" s="5">
        <v>129.5</v>
      </c>
      <c r="F332" s="6">
        <v>571</v>
      </c>
    </row>
    <row r="333" spans="1:6" x14ac:dyDescent="0.2">
      <c r="A333" s="4">
        <v>44951</v>
      </c>
      <c r="B333" s="5">
        <v>133.65</v>
      </c>
      <c r="C333" s="5">
        <v>134.5</v>
      </c>
      <c r="D333" s="5">
        <v>131.69990000000001</v>
      </c>
      <c r="E333" s="5">
        <v>131.72</v>
      </c>
      <c r="F333" s="6">
        <v>2234</v>
      </c>
    </row>
    <row r="334" spans="1:6" x14ac:dyDescent="0.2">
      <c r="A334" s="4">
        <v>44952</v>
      </c>
      <c r="B334" s="5">
        <v>133.28</v>
      </c>
      <c r="C334" s="5">
        <v>133.28</v>
      </c>
      <c r="D334" s="5">
        <v>130.65</v>
      </c>
      <c r="E334" s="5">
        <v>130.65</v>
      </c>
      <c r="F334" s="6">
        <v>2080</v>
      </c>
    </row>
    <row r="335" spans="1:6" x14ac:dyDescent="0.2">
      <c r="A335" s="4">
        <v>44953</v>
      </c>
      <c r="B335" s="5">
        <v>130.25</v>
      </c>
      <c r="C335" s="5">
        <v>130.4</v>
      </c>
      <c r="D335" s="5">
        <v>129.81989999999999</v>
      </c>
      <c r="E335" s="5">
        <v>129.81989999999999</v>
      </c>
      <c r="F335" s="6">
        <v>1332</v>
      </c>
    </row>
    <row r="336" spans="1:6" x14ac:dyDescent="0.2">
      <c r="A336" s="4">
        <v>44956</v>
      </c>
      <c r="B336" s="5">
        <v>131.24</v>
      </c>
      <c r="C336" s="5">
        <v>134.1</v>
      </c>
      <c r="D336" s="5">
        <v>129.36000000000001</v>
      </c>
      <c r="E336" s="5">
        <v>129.36000000000001</v>
      </c>
      <c r="F336" s="6">
        <v>2227</v>
      </c>
    </row>
    <row r="337" spans="1:6" x14ac:dyDescent="0.2">
      <c r="A337" s="4">
        <v>44957</v>
      </c>
      <c r="B337" s="5">
        <v>128</v>
      </c>
      <c r="C337" s="5">
        <v>128</v>
      </c>
      <c r="D337" s="5">
        <v>128</v>
      </c>
      <c r="E337" s="5">
        <v>128</v>
      </c>
      <c r="F337" s="6">
        <v>328</v>
      </c>
    </row>
    <row r="338" spans="1:6" x14ac:dyDescent="0.2">
      <c r="A338" s="4">
        <v>44958</v>
      </c>
      <c r="B338" s="5">
        <v>126.84</v>
      </c>
      <c r="C338" s="5">
        <v>127.8</v>
      </c>
      <c r="D338" s="5">
        <v>126.65</v>
      </c>
      <c r="E338" s="5">
        <v>127.8</v>
      </c>
      <c r="F338" s="6">
        <v>2304</v>
      </c>
    </row>
    <row r="339" spans="1:6" x14ac:dyDescent="0.2">
      <c r="A339" s="4">
        <v>44959</v>
      </c>
      <c r="B339" s="5">
        <v>124.86</v>
      </c>
      <c r="C339" s="5">
        <v>127.5</v>
      </c>
      <c r="D339" s="5">
        <v>124.72</v>
      </c>
      <c r="E339" s="5">
        <v>127.08</v>
      </c>
      <c r="F339" s="6">
        <v>3006</v>
      </c>
    </row>
    <row r="340" spans="1:6" x14ac:dyDescent="0.2">
      <c r="A340" s="4">
        <v>44960</v>
      </c>
      <c r="B340" s="5">
        <v>126.28</v>
      </c>
      <c r="C340" s="5">
        <v>129</v>
      </c>
      <c r="D340" s="5">
        <v>126.28</v>
      </c>
      <c r="E340" s="5">
        <v>128.4</v>
      </c>
      <c r="F340" s="6">
        <v>2166</v>
      </c>
    </row>
    <row r="341" spans="1:6" x14ac:dyDescent="0.2">
      <c r="A341" s="4">
        <v>44963</v>
      </c>
      <c r="B341" s="5">
        <v>125.78</v>
      </c>
      <c r="C341" s="5">
        <v>126.36</v>
      </c>
      <c r="D341" s="5">
        <v>125.76</v>
      </c>
      <c r="E341" s="5">
        <v>125.92</v>
      </c>
      <c r="F341" s="6">
        <v>1469</v>
      </c>
    </row>
    <row r="342" spans="1:6" x14ac:dyDescent="0.2">
      <c r="A342" s="4">
        <v>44964</v>
      </c>
      <c r="B342" s="5">
        <v>128.69999999999999</v>
      </c>
      <c r="C342" s="5">
        <v>128.69999999999999</v>
      </c>
      <c r="D342" s="5">
        <v>128.69999999999999</v>
      </c>
      <c r="E342" s="5">
        <v>128.69999999999999</v>
      </c>
      <c r="F342" s="6">
        <v>584</v>
      </c>
    </row>
    <row r="343" spans="1:6" x14ac:dyDescent="0.2">
      <c r="A343" s="4">
        <v>44965</v>
      </c>
      <c r="B343" s="5">
        <v>128.63990000000001</v>
      </c>
      <c r="C343" s="5">
        <v>128.63990000000001</v>
      </c>
      <c r="D343" s="5">
        <v>128.01</v>
      </c>
      <c r="E343" s="5">
        <v>128.01</v>
      </c>
      <c r="F343" s="6">
        <v>2138</v>
      </c>
    </row>
    <row r="344" spans="1:6" x14ac:dyDescent="0.2">
      <c r="A344" s="4">
        <v>44966</v>
      </c>
      <c r="B344" s="5">
        <v>135.78</v>
      </c>
      <c r="C344" s="5">
        <v>138.15</v>
      </c>
      <c r="D344" s="5">
        <v>135.78</v>
      </c>
      <c r="E344" s="5">
        <v>136.25</v>
      </c>
      <c r="F344" s="6">
        <v>1065</v>
      </c>
    </row>
    <row r="345" spans="1:6" x14ac:dyDescent="0.2">
      <c r="A345" s="4">
        <v>44967</v>
      </c>
      <c r="B345" s="5">
        <v>138.52000000000001</v>
      </c>
      <c r="C345" s="5">
        <v>139.28</v>
      </c>
      <c r="D345" s="5">
        <v>138.52000000000001</v>
      </c>
      <c r="E345" s="5">
        <v>139.28</v>
      </c>
      <c r="F345" s="6">
        <v>1969</v>
      </c>
    </row>
    <row r="346" spans="1:6" x14ac:dyDescent="0.2">
      <c r="A346" s="4">
        <v>44970</v>
      </c>
      <c r="B346" s="5">
        <v>139.28</v>
      </c>
      <c r="C346" s="5">
        <v>139.28</v>
      </c>
      <c r="D346" s="5">
        <v>139.28</v>
      </c>
      <c r="E346" s="5">
        <v>139.28</v>
      </c>
      <c r="F346" s="6"/>
    </row>
    <row r="347" spans="1:6" x14ac:dyDescent="0.2">
      <c r="A347" s="4">
        <v>44971</v>
      </c>
      <c r="B347" s="5">
        <v>139.88</v>
      </c>
      <c r="C347" s="5">
        <v>142</v>
      </c>
      <c r="D347" s="5">
        <v>137.25</v>
      </c>
      <c r="E347" s="5">
        <v>137.25</v>
      </c>
      <c r="F347" s="6">
        <v>1459</v>
      </c>
    </row>
    <row r="348" spans="1:6" x14ac:dyDescent="0.2">
      <c r="A348" s="4">
        <v>44972</v>
      </c>
      <c r="B348" s="5">
        <v>138.16</v>
      </c>
      <c r="C348" s="5">
        <v>140.78</v>
      </c>
      <c r="D348" s="5">
        <v>138.16</v>
      </c>
      <c r="E348" s="5">
        <v>140.78</v>
      </c>
      <c r="F348" s="6">
        <v>1035</v>
      </c>
    </row>
    <row r="349" spans="1:6" x14ac:dyDescent="0.2">
      <c r="A349" s="4">
        <v>44973</v>
      </c>
      <c r="B349" s="5">
        <v>136.74</v>
      </c>
      <c r="C349" s="5">
        <v>137.94</v>
      </c>
      <c r="D349" s="5">
        <v>134.58000000000001</v>
      </c>
      <c r="E349" s="5">
        <v>137.94</v>
      </c>
      <c r="F349" s="6">
        <v>1731</v>
      </c>
    </row>
    <row r="350" spans="1:6" x14ac:dyDescent="0.2">
      <c r="A350" s="4">
        <v>44974</v>
      </c>
      <c r="B350" s="5">
        <v>138.75</v>
      </c>
      <c r="C350" s="5">
        <v>139.05000000000001</v>
      </c>
      <c r="D350" s="5">
        <v>136.4</v>
      </c>
      <c r="E350" s="5">
        <v>136.4</v>
      </c>
      <c r="F350" s="6">
        <v>4485</v>
      </c>
    </row>
    <row r="351" spans="1:6" x14ac:dyDescent="0.2">
      <c r="A351" s="4">
        <v>44978</v>
      </c>
      <c r="B351" s="5">
        <v>139.16999999999999</v>
      </c>
      <c r="C351" s="5">
        <v>140.52000000000001</v>
      </c>
      <c r="D351" s="5">
        <v>137.5</v>
      </c>
      <c r="E351" s="5">
        <v>140.52000000000001</v>
      </c>
      <c r="F351" s="6">
        <v>1286</v>
      </c>
    </row>
    <row r="352" spans="1:6" x14ac:dyDescent="0.2">
      <c r="A352" s="4">
        <v>44979</v>
      </c>
      <c r="B352" s="5">
        <v>139.84</v>
      </c>
      <c r="C352" s="5">
        <v>140.04</v>
      </c>
      <c r="D352" s="5">
        <v>137.81989999999999</v>
      </c>
      <c r="E352" s="5">
        <v>140.04</v>
      </c>
      <c r="F352" s="6">
        <v>768</v>
      </c>
    </row>
    <row r="353" spans="1:6" x14ac:dyDescent="0.2">
      <c r="A353" s="4">
        <v>44980</v>
      </c>
      <c r="B353" s="5">
        <v>136.13999999999999</v>
      </c>
      <c r="C353" s="5">
        <v>136.13999999999999</v>
      </c>
      <c r="D353" s="5">
        <v>134.74</v>
      </c>
      <c r="E353" s="5">
        <v>134.74</v>
      </c>
      <c r="F353" s="6">
        <v>776</v>
      </c>
    </row>
    <row r="354" spans="1:6" x14ac:dyDescent="0.2">
      <c r="A354" s="4">
        <v>44981</v>
      </c>
      <c r="B354" s="5">
        <v>133.05000000000001</v>
      </c>
      <c r="C354" s="5">
        <v>133.83000000000001</v>
      </c>
      <c r="D354" s="5">
        <v>133.05000000000001</v>
      </c>
      <c r="E354" s="5">
        <v>133.83000000000001</v>
      </c>
      <c r="F354" s="6">
        <v>1432</v>
      </c>
    </row>
    <row r="355" spans="1:6" x14ac:dyDescent="0.2">
      <c r="A355" s="4">
        <v>44984</v>
      </c>
      <c r="B355" s="5">
        <v>134.63999999999999</v>
      </c>
      <c r="C355" s="5">
        <v>135.32</v>
      </c>
      <c r="D355" s="5">
        <v>132.74</v>
      </c>
      <c r="E355" s="5">
        <v>135.32</v>
      </c>
      <c r="F355" s="6">
        <v>1106</v>
      </c>
    </row>
    <row r="356" spans="1:6" x14ac:dyDescent="0.2">
      <c r="A356" s="4">
        <v>44985</v>
      </c>
      <c r="B356" s="5">
        <v>130.85</v>
      </c>
      <c r="C356" s="5">
        <v>130.85</v>
      </c>
      <c r="D356" s="5">
        <v>129.22</v>
      </c>
      <c r="E356" s="5">
        <v>129.22</v>
      </c>
      <c r="F356" s="6">
        <v>736</v>
      </c>
    </row>
    <row r="357" spans="1:6" x14ac:dyDescent="0.2">
      <c r="A357" s="4">
        <v>44986</v>
      </c>
      <c r="B357" s="5">
        <v>128.26</v>
      </c>
      <c r="C357" s="5">
        <v>131.18</v>
      </c>
      <c r="D357" s="5">
        <v>128.26</v>
      </c>
      <c r="E357" s="5">
        <v>128.6</v>
      </c>
      <c r="F357" s="6">
        <v>3065</v>
      </c>
    </row>
    <row r="358" spans="1:6" x14ac:dyDescent="0.2">
      <c r="A358" s="4">
        <v>44987</v>
      </c>
      <c r="B358" s="5">
        <v>129.69999999999999</v>
      </c>
      <c r="C358" s="5">
        <v>131.56</v>
      </c>
      <c r="D358" s="5">
        <v>129.16</v>
      </c>
      <c r="E358" s="5">
        <v>131.56</v>
      </c>
      <c r="F358" s="6">
        <v>9086</v>
      </c>
    </row>
    <row r="359" spans="1:6" x14ac:dyDescent="0.2">
      <c r="A359" s="4">
        <v>44988</v>
      </c>
      <c r="B359" s="5">
        <v>130.25</v>
      </c>
      <c r="C359" s="5">
        <v>131.19999999999999</v>
      </c>
      <c r="D359" s="5">
        <v>130</v>
      </c>
      <c r="E359" s="5">
        <v>130</v>
      </c>
      <c r="F359" s="6">
        <v>1716</v>
      </c>
    </row>
    <row r="360" spans="1:6" x14ac:dyDescent="0.2">
      <c r="A360" s="4">
        <v>44991</v>
      </c>
      <c r="B360" s="5">
        <v>130.28</v>
      </c>
      <c r="C360" s="5">
        <v>132.15</v>
      </c>
      <c r="D360" s="5">
        <v>126.5</v>
      </c>
      <c r="E360" s="5">
        <v>130.19999999999999</v>
      </c>
      <c r="F360" s="6">
        <v>2469</v>
      </c>
    </row>
    <row r="361" spans="1:6" x14ac:dyDescent="0.2">
      <c r="A361" s="4">
        <v>44992</v>
      </c>
      <c r="B361" s="5">
        <v>126.85</v>
      </c>
      <c r="C361" s="5">
        <v>128.9</v>
      </c>
      <c r="D361" s="5">
        <v>126.85</v>
      </c>
      <c r="E361" s="5">
        <v>128.9</v>
      </c>
      <c r="F361" s="6">
        <v>1397</v>
      </c>
    </row>
    <row r="362" spans="1:6" x14ac:dyDescent="0.2">
      <c r="A362" s="4">
        <v>44993</v>
      </c>
      <c r="B362" s="5">
        <v>128.78</v>
      </c>
      <c r="C362" s="5">
        <v>128.78</v>
      </c>
      <c r="D362" s="5">
        <v>127.63</v>
      </c>
      <c r="E362" s="5">
        <v>127.63</v>
      </c>
      <c r="F362" s="6">
        <v>948</v>
      </c>
    </row>
    <row r="363" spans="1:6" x14ac:dyDescent="0.2">
      <c r="A363" s="4">
        <v>44994</v>
      </c>
      <c r="B363" s="5">
        <v>130.38</v>
      </c>
      <c r="C363" s="5">
        <v>130.38</v>
      </c>
      <c r="D363" s="5">
        <v>127.34990000000001</v>
      </c>
      <c r="E363" s="5">
        <v>127.34990000000001</v>
      </c>
      <c r="F363" s="6">
        <v>1011</v>
      </c>
    </row>
    <row r="364" spans="1:6" x14ac:dyDescent="0.2">
      <c r="A364" s="4">
        <v>44995</v>
      </c>
      <c r="B364" s="5">
        <v>128.4</v>
      </c>
      <c r="C364" s="5">
        <v>129.84</v>
      </c>
      <c r="D364" s="5">
        <v>128.4</v>
      </c>
      <c r="E364" s="5">
        <v>129.84</v>
      </c>
      <c r="F364" s="6">
        <v>780</v>
      </c>
    </row>
    <row r="365" spans="1:6" x14ac:dyDescent="0.2">
      <c r="A365" s="4">
        <v>44998</v>
      </c>
      <c r="B365" s="5">
        <v>129.86000000000001</v>
      </c>
      <c r="C365" s="5">
        <v>130.9</v>
      </c>
      <c r="D365" s="5">
        <v>129.25</v>
      </c>
      <c r="E365" s="5">
        <v>129.25</v>
      </c>
      <c r="F365" s="6">
        <v>1766</v>
      </c>
    </row>
    <row r="366" spans="1:6" x14ac:dyDescent="0.2">
      <c r="A366" s="4">
        <v>44999</v>
      </c>
      <c r="B366" s="5">
        <v>128.56</v>
      </c>
      <c r="C366" s="5">
        <v>131.24</v>
      </c>
      <c r="D366" s="5">
        <v>128</v>
      </c>
      <c r="E366" s="5">
        <v>131.24</v>
      </c>
      <c r="F366" s="6">
        <v>1787</v>
      </c>
    </row>
    <row r="367" spans="1:6" x14ac:dyDescent="0.2">
      <c r="A367" s="4">
        <v>45000</v>
      </c>
      <c r="B367" s="5">
        <v>127.12</v>
      </c>
      <c r="C367" s="5">
        <v>127.84</v>
      </c>
      <c r="D367" s="5">
        <v>127.12</v>
      </c>
      <c r="E367" s="5">
        <v>127.84</v>
      </c>
      <c r="F367" s="6">
        <v>13640</v>
      </c>
    </row>
    <row r="368" spans="1:6" x14ac:dyDescent="0.2">
      <c r="A368" s="4">
        <v>45001</v>
      </c>
      <c r="B368" s="5">
        <v>128.81989999999999</v>
      </c>
      <c r="C368" s="5">
        <v>130.285</v>
      </c>
      <c r="D368" s="5">
        <v>128.81989999999999</v>
      </c>
      <c r="E368" s="5">
        <v>130.06</v>
      </c>
      <c r="F368" s="6">
        <v>1929</v>
      </c>
    </row>
    <row r="369" spans="1:6" x14ac:dyDescent="0.2">
      <c r="A369" s="4">
        <v>45002</v>
      </c>
      <c r="B369" s="5">
        <v>130.55500000000001</v>
      </c>
      <c r="C369" s="5">
        <v>130.55500000000001</v>
      </c>
      <c r="D369" s="5">
        <v>130.55500000000001</v>
      </c>
      <c r="E369" s="5">
        <v>130.55500000000001</v>
      </c>
      <c r="F369" s="6">
        <v>1401</v>
      </c>
    </row>
    <row r="370" spans="1:6" x14ac:dyDescent="0.2">
      <c r="A370" s="4">
        <v>45005</v>
      </c>
      <c r="B370" s="5">
        <v>133.12</v>
      </c>
      <c r="C370" s="5">
        <v>133.12</v>
      </c>
      <c r="D370" s="5">
        <v>133.12</v>
      </c>
      <c r="E370" s="5">
        <v>133.12</v>
      </c>
      <c r="F370" s="6">
        <v>500</v>
      </c>
    </row>
    <row r="371" spans="1:6" x14ac:dyDescent="0.2">
      <c r="A371" s="4">
        <v>45006</v>
      </c>
      <c r="B371" s="5">
        <v>131.96</v>
      </c>
      <c r="C371" s="5">
        <v>134.74</v>
      </c>
      <c r="D371" s="5">
        <v>131.72</v>
      </c>
      <c r="E371" s="5">
        <v>134.74</v>
      </c>
      <c r="F371" s="6">
        <v>1119</v>
      </c>
    </row>
    <row r="372" spans="1:6" x14ac:dyDescent="0.2">
      <c r="A372" s="4">
        <v>45007</v>
      </c>
      <c r="B372" s="5">
        <v>135.44</v>
      </c>
      <c r="C372" s="5">
        <v>135.56</v>
      </c>
      <c r="D372" s="5">
        <v>135.44</v>
      </c>
      <c r="E372" s="5">
        <v>135.56</v>
      </c>
      <c r="F372" s="6">
        <v>796</v>
      </c>
    </row>
    <row r="373" spans="1:6" x14ac:dyDescent="0.2">
      <c r="A373" s="4">
        <v>45008</v>
      </c>
      <c r="B373" s="5">
        <v>133.1</v>
      </c>
      <c r="C373" s="5">
        <v>133.78</v>
      </c>
      <c r="D373" s="5">
        <v>133.1</v>
      </c>
      <c r="E373" s="5">
        <v>133.78</v>
      </c>
      <c r="F373" s="6">
        <v>4724</v>
      </c>
    </row>
    <row r="374" spans="1:6" x14ac:dyDescent="0.2">
      <c r="A374" s="4">
        <v>45009</v>
      </c>
      <c r="B374" s="5">
        <v>137.85</v>
      </c>
      <c r="C374" s="5">
        <v>137.85</v>
      </c>
      <c r="D374" s="5">
        <v>133.44</v>
      </c>
      <c r="E374" s="5">
        <v>136.69999999999999</v>
      </c>
      <c r="F374" s="6">
        <v>5340</v>
      </c>
    </row>
    <row r="375" spans="1:6" x14ac:dyDescent="0.2">
      <c r="A375" s="4">
        <v>45012</v>
      </c>
      <c r="B375" s="5">
        <v>137.44999999999999</v>
      </c>
      <c r="C375" s="5">
        <v>139.46</v>
      </c>
      <c r="D375" s="5">
        <v>137.3425</v>
      </c>
      <c r="E375" s="5">
        <v>137.3425</v>
      </c>
      <c r="F375" s="6">
        <v>1098</v>
      </c>
    </row>
    <row r="376" spans="1:6" x14ac:dyDescent="0.2">
      <c r="A376" s="4">
        <v>45013</v>
      </c>
      <c r="B376" s="5">
        <v>137.65</v>
      </c>
      <c r="C376" s="5">
        <v>138.68</v>
      </c>
      <c r="D376" s="5">
        <v>135.97989999999999</v>
      </c>
      <c r="E376" s="5">
        <v>138.68</v>
      </c>
      <c r="F376" s="6">
        <v>868</v>
      </c>
    </row>
    <row r="377" spans="1:6" x14ac:dyDescent="0.2">
      <c r="A377" s="4">
        <v>45014</v>
      </c>
      <c r="B377" s="5">
        <v>138.19999999999999</v>
      </c>
      <c r="C377" s="5">
        <v>138.19999999999999</v>
      </c>
      <c r="D377" s="5">
        <v>136.19990000000001</v>
      </c>
      <c r="E377" s="5">
        <v>136.30000000000001</v>
      </c>
      <c r="F377" s="6">
        <v>811</v>
      </c>
    </row>
    <row r="378" spans="1:6" x14ac:dyDescent="0.2">
      <c r="A378" s="4">
        <v>45015</v>
      </c>
      <c r="B378" s="5">
        <v>139.30000000000001</v>
      </c>
      <c r="C378" s="5">
        <v>139.30000000000001</v>
      </c>
      <c r="D378" s="5">
        <v>139.30000000000001</v>
      </c>
      <c r="E378" s="5">
        <v>139.30000000000001</v>
      </c>
      <c r="F378" s="6">
        <v>687</v>
      </c>
    </row>
    <row r="379" spans="1:6" x14ac:dyDescent="0.2">
      <c r="A379" s="4">
        <v>45016</v>
      </c>
      <c r="B379" s="5">
        <v>140.16</v>
      </c>
      <c r="C379" s="5">
        <v>140.16</v>
      </c>
      <c r="D379" s="5">
        <v>140.16</v>
      </c>
      <c r="E379" s="5">
        <v>140.16</v>
      </c>
      <c r="F379" s="6">
        <v>702</v>
      </c>
    </row>
    <row r="380" spans="1:6" x14ac:dyDescent="0.2">
      <c r="A380" s="4">
        <v>45019</v>
      </c>
      <c r="B380" s="5">
        <v>140.9</v>
      </c>
      <c r="C380" s="5">
        <v>140.9</v>
      </c>
      <c r="D380" s="5">
        <v>137.5</v>
      </c>
      <c r="E380" s="5">
        <v>137.5</v>
      </c>
      <c r="F380" s="6">
        <v>1384</v>
      </c>
    </row>
    <row r="381" spans="1:6" x14ac:dyDescent="0.2">
      <c r="A381" s="4">
        <v>45020</v>
      </c>
      <c r="B381" s="5">
        <v>141.85</v>
      </c>
      <c r="C381" s="5">
        <v>141.85</v>
      </c>
      <c r="D381" s="5">
        <v>139.38</v>
      </c>
      <c r="E381" s="5">
        <v>141.44999999999999</v>
      </c>
      <c r="F381" s="6">
        <v>5695</v>
      </c>
    </row>
    <row r="382" spans="1:6" x14ac:dyDescent="0.2">
      <c r="A382" s="4">
        <v>45021</v>
      </c>
      <c r="B382" s="5">
        <v>145.1</v>
      </c>
      <c r="C382" s="5">
        <v>145.1</v>
      </c>
      <c r="D382" s="5">
        <v>142.84989999999999</v>
      </c>
      <c r="E382" s="5">
        <v>142.84989999999999</v>
      </c>
      <c r="F382" s="6">
        <v>2393</v>
      </c>
    </row>
    <row r="383" spans="1:6" x14ac:dyDescent="0.2">
      <c r="A383" s="4">
        <v>45022</v>
      </c>
      <c r="B383" s="5">
        <v>142.84989999999999</v>
      </c>
      <c r="C383" s="5">
        <v>142.84989999999999</v>
      </c>
      <c r="D383" s="5">
        <v>142.84989999999999</v>
      </c>
      <c r="E383" s="5">
        <v>142.84989999999999</v>
      </c>
      <c r="F383" s="6"/>
    </row>
    <row r="384" spans="1:6" x14ac:dyDescent="0.2">
      <c r="A384" s="4">
        <v>45026</v>
      </c>
      <c r="B384" s="5">
        <v>143</v>
      </c>
      <c r="C384" s="5">
        <v>144.76</v>
      </c>
      <c r="D384" s="5">
        <v>142.30000000000001</v>
      </c>
      <c r="E384" s="5">
        <v>144.76</v>
      </c>
      <c r="F384" s="6">
        <v>1843</v>
      </c>
    </row>
    <row r="385" spans="1:6" x14ac:dyDescent="0.2">
      <c r="A385" s="4">
        <v>45027</v>
      </c>
      <c r="B385" s="5">
        <v>145.74</v>
      </c>
      <c r="C385" s="5">
        <v>145.74</v>
      </c>
      <c r="D385" s="5">
        <v>142.25</v>
      </c>
      <c r="E385" s="5">
        <v>142.75</v>
      </c>
      <c r="F385" s="6">
        <v>4888</v>
      </c>
    </row>
    <row r="386" spans="1:6" x14ac:dyDescent="0.2">
      <c r="A386" s="4">
        <v>45028</v>
      </c>
      <c r="B386" s="5">
        <v>150.46680000000001</v>
      </c>
      <c r="C386" s="5">
        <v>150.46680000000001</v>
      </c>
      <c r="D386" s="5">
        <v>147.25</v>
      </c>
      <c r="E386" s="5">
        <v>147.25</v>
      </c>
      <c r="F386" s="6">
        <v>7273</v>
      </c>
    </row>
    <row r="387" spans="1:6" x14ac:dyDescent="0.2">
      <c r="A387" s="4">
        <v>45029</v>
      </c>
      <c r="B387" s="5">
        <v>147.25</v>
      </c>
      <c r="C387" s="5">
        <v>149.65</v>
      </c>
      <c r="D387" s="5">
        <v>147.25</v>
      </c>
      <c r="E387" s="5">
        <v>149.65</v>
      </c>
      <c r="F387" s="6">
        <v>4902</v>
      </c>
    </row>
    <row r="388" spans="1:6" x14ac:dyDescent="0.2">
      <c r="A388" s="4">
        <v>45030</v>
      </c>
      <c r="B388" s="5">
        <v>146.08000000000001</v>
      </c>
      <c r="C388" s="5">
        <v>146.08000000000001</v>
      </c>
      <c r="D388" s="5">
        <v>146.08000000000001</v>
      </c>
      <c r="E388" s="5">
        <v>146.08000000000001</v>
      </c>
      <c r="F388" s="6">
        <v>549</v>
      </c>
    </row>
    <row r="389" spans="1:6" x14ac:dyDescent="0.2">
      <c r="A389" s="4">
        <v>45033</v>
      </c>
      <c r="B389" s="5">
        <v>146.77000000000001</v>
      </c>
      <c r="C389" s="5">
        <v>146.81</v>
      </c>
      <c r="D389" s="5">
        <v>144.76949999999999</v>
      </c>
      <c r="E389" s="5">
        <v>146.78</v>
      </c>
      <c r="F389" s="6">
        <v>85745</v>
      </c>
    </row>
    <row r="390" spans="1:6" x14ac:dyDescent="0.2">
      <c r="A390" s="4">
        <v>45034</v>
      </c>
      <c r="B390" s="5">
        <v>150.19999999999999</v>
      </c>
      <c r="C390" s="5">
        <v>151.25</v>
      </c>
      <c r="D390" s="5">
        <v>148.88</v>
      </c>
      <c r="E390" s="5">
        <v>148.88</v>
      </c>
      <c r="F390" s="6">
        <v>6024</v>
      </c>
    </row>
    <row r="391" spans="1:6" x14ac:dyDescent="0.2">
      <c r="A391" s="4">
        <v>45035</v>
      </c>
      <c r="B391" s="5">
        <v>147.69999999999999</v>
      </c>
      <c r="C391" s="5">
        <v>150.74</v>
      </c>
      <c r="D391" s="5">
        <v>145.4</v>
      </c>
      <c r="E391" s="5">
        <v>147.78</v>
      </c>
      <c r="F391" s="6">
        <v>4608</v>
      </c>
    </row>
    <row r="392" spans="1:6" x14ac:dyDescent="0.2">
      <c r="A392" s="4">
        <v>45036</v>
      </c>
      <c r="B392" s="5">
        <v>148.4</v>
      </c>
      <c r="C392" s="5">
        <v>148.4</v>
      </c>
      <c r="D392" s="5">
        <v>146.75</v>
      </c>
      <c r="E392" s="5">
        <v>147.60990000000001</v>
      </c>
      <c r="F392" s="6">
        <v>1742</v>
      </c>
    </row>
    <row r="393" spans="1:6" x14ac:dyDescent="0.2">
      <c r="A393" s="4">
        <v>45037</v>
      </c>
      <c r="B393" s="5">
        <v>151.74</v>
      </c>
      <c r="C393" s="5">
        <v>151.74</v>
      </c>
      <c r="D393" s="5">
        <v>151.74</v>
      </c>
      <c r="E393" s="5">
        <v>151.74</v>
      </c>
      <c r="F393" s="6">
        <v>752</v>
      </c>
    </row>
    <row r="394" spans="1:6" x14ac:dyDescent="0.2">
      <c r="A394" s="4">
        <v>45040</v>
      </c>
      <c r="B394" s="5">
        <v>152.24</v>
      </c>
      <c r="C394" s="5">
        <v>153.1</v>
      </c>
      <c r="D394" s="5">
        <v>152.24</v>
      </c>
      <c r="E394" s="5">
        <v>153.1</v>
      </c>
      <c r="F394" s="6">
        <v>1959</v>
      </c>
    </row>
    <row r="395" spans="1:6" x14ac:dyDescent="0.2">
      <c r="A395" s="4">
        <v>45041</v>
      </c>
      <c r="B395" s="5">
        <v>150</v>
      </c>
      <c r="C395" s="5">
        <v>151</v>
      </c>
      <c r="D395" s="5">
        <v>150</v>
      </c>
      <c r="E395" s="5">
        <v>151</v>
      </c>
      <c r="F395" s="6">
        <v>2730</v>
      </c>
    </row>
    <row r="396" spans="1:6" x14ac:dyDescent="0.2">
      <c r="A396" s="4">
        <v>45042</v>
      </c>
      <c r="B396" s="5">
        <v>148.19999999999999</v>
      </c>
      <c r="C396" s="5">
        <v>148.19999999999999</v>
      </c>
      <c r="D396" s="5">
        <v>147.15</v>
      </c>
      <c r="E396" s="5">
        <v>147.15</v>
      </c>
      <c r="F396" s="6">
        <v>1044</v>
      </c>
    </row>
    <row r="397" spans="1:6" x14ac:dyDescent="0.2">
      <c r="A397" s="4">
        <v>45043</v>
      </c>
      <c r="B397" s="5">
        <v>146</v>
      </c>
      <c r="C397" s="5">
        <v>146</v>
      </c>
      <c r="D397" s="5">
        <v>146</v>
      </c>
      <c r="E397" s="5">
        <v>146</v>
      </c>
      <c r="F397" s="6">
        <v>2107</v>
      </c>
    </row>
    <row r="398" spans="1:6" x14ac:dyDescent="0.2">
      <c r="A398" s="4">
        <v>45044</v>
      </c>
      <c r="B398" s="5">
        <v>145.4</v>
      </c>
      <c r="C398" s="5">
        <v>146.55000000000001</v>
      </c>
      <c r="D398" s="5">
        <v>145.4</v>
      </c>
      <c r="E398" s="5">
        <v>146.55000000000001</v>
      </c>
      <c r="F398" s="6">
        <v>1364</v>
      </c>
    </row>
    <row r="399" spans="1:6" x14ac:dyDescent="0.2">
      <c r="A399" s="4">
        <v>45047</v>
      </c>
      <c r="B399" s="5">
        <v>144.255</v>
      </c>
      <c r="C399" s="5">
        <v>147</v>
      </c>
      <c r="D399" s="5">
        <v>144.255</v>
      </c>
      <c r="E399" s="5">
        <v>146.31</v>
      </c>
      <c r="F399" s="6">
        <v>2771</v>
      </c>
    </row>
    <row r="400" spans="1:6" x14ac:dyDescent="0.2">
      <c r="A400" s="4">
        <v>45048</v>
      </c>
      <c r="B400" s="5">
        <v>146.80000000000001</v>
      </c>
      <c r="C400" s="5">
        <v>146.80000000000001</v>
      </c>
      <c r="D400" s="5">
        <v>145.78989999999999</v>
      </c>
      <c r="E400" s="5">
        <v>146.15</v>
      </c>
      <c r="F400" s="6">
        <v>3137</v>
      </c>
    </row>
    <row r="401" spans="1:6" x14ac:dyDescent="0.2">
      <c r="A401" s="4">
        <v>45049</v>
      </c>
      <c r="B401" s="5">
        <v>151.30000000000001</v>
      </c>
      <c r="C401" s="5">
        <v>151.30000000000001</v>
      </c>
      <c r="D401" s="5">
        <v>151.30000000000001</v>
      </c>
      <c r="E401" s="5">
        <v>151.30000000000001</v>
      </c>
      <c r="F401" s="6">
        <v>1216</v>
      </c>
    </row>
    <row r="402" spans="1:6" x14ac:dyDescent="0.2">
      <c r="A402" s="4">
        <v>45050</v>
      </c>
      <c r="B402" s="5">
        <v>150.06</v>
      </c>
      <c r="C402" s="5">
        <v>150.5</v>
      </c>
      <c r="D402" s="5">
        <v>150.06</v>
      </c>
      <c r="E402" s="5">
        <v>150.5</v>
      </c>
      <c r="F402" s="6">
        <v>1805</v>
      </c>
    </row>
    <row r="403" spans="1:6" x14ac:dyDescent="0.2">
      <c r="A403" s="4">
        <v>45051</v>
      </c>
      <c r="B403" s="5">
        <v>148.25</v>
      </c>
      <c r="C403" s="5">
        <v>152.06</v>
      </c>
      <c r="D403" s="5">
        <v>148.25</v>
      </c>
      <c r="E403" s="5">
        <v>148.5</v>
      </c>
      <c r="F403" s="6">
        <v>2830</v>
      </c>
    </row>
    <row r="404" spans="1:6" x14ac:dyDescent="0.2">
      <c r="A404" s="4">
        <v>45054</v>
      </c>
      <c r="B404" s="5">
        <v>149.62</v>
      </c>
      <c r="C404" s="5">
        <v>149.74</v>
      </c>
      <c r="D404" s="5">
        <v>147.05009999999999</v>
      </c>
      <c r="E404" s="5">
        <v>147.05009999999999</v>
      </c>
      <c r="F404" s="6">
        <v>899</v>
      </c>
    </row>
    <row r="405" spans="1:6" x14ac:dyDescent="0.2">
      <c r="A405" s="4">
        <v>45055</v>
      </c>
      <c r="B405" s="5">
        <v>146.5</v>
      </c>
      <c r="C405" s="5">
        <v>150.94</v>
      </c>
      <c r="D405" s="5">
        <v>146.5</v>
      </c>
      <c r="E405" s="5">
        <v>149.09989999999999</v>
      </c>
      <c r="F405" s="6">
        <v>1136</v>
      </c>
    </row>
    <row r="406" spans="1:6" x14ac:dyDescent="0.2">
      <c r="A406" s="4">
        <v>45056</v>
      </c>
      <c r="B406" s="5">
        <v>150.04</v>
      </c>
      <c r="C406" s="5">
        <v>151</v>
      </c>
      <c r="D406" s="5">
        <v>149.82</v>
      </c>
      <c r="E406" s="5">
        <v>151</v>
      </c>
      <c r="F406" s="6">
        <v>1257</v>
      </c>
    </row>
    <row r="407" spans="1:6" x14ac:dyDescent="0.2">
      <c r="A407" s="4">
        <v>45057</v>
      </c>
      <c r="B407" s="5">
        <v>151</v>
      </c>
      <c r="C407" s="5">
        <v>151</v>
      </c>
      <c r="D407" s="5">
        <v>146.25</v>
      </c>
      <c r="E407" s="5">
        <v>150.63999999999999</v>
      </c>
      <c r="F407" s="6">
        <v>4432</v>
      </c>
    </row>
    <row r="408" spans="1:6" x14ac:dyDescent="0.2">
      <c r="A408" s="4">
        <v>45058</v>
      </c>
      <c r="B408" s="5">
        <v>150.69999999999999</v>
      </c>
      <c r="C408" s="5">
        <v>150.69999999999999</v>
      </c>
      <c r="D408" s="5">
        <v>145.80009999999999</v>
      </c>
      <c r="E408" s="5">
        <v>145.80009999999999</v>
      </c>
      <c r="F408" s="6">
        <v>1665</v>
      </c>
    </row>
    <row r="409" spans="1:6" x14ac:dyDescent="0.2">
      <c r="A409" s="4">
        <v>45061</v>
      </c>
      <c r="B409" s="5">
        <v>150.34</v>
      </c>
      <c r="C409" s="5">
        <v>150.34</v>
      </c>
      <c r="D409" s="5">
        <v>149.44990000000001</v>
      </c>
      <c r="E409" s="5">
        <v>149.44990000000001</v>
      </c>
      <c r="F409" s="6">
        <v>887</v>
      </c>
    </row>
    <row r="410" spans="1:6" x14ac:dyDescent="0.2">
      <c r="A410" s="4">
        <v>45062</v>
      </c>
      <c r="B410" s="5">
        <v>151.19999999999999</v>
      </c>
      <c r="C410" s="5">
        <v>151.19999999999999</v>
      </c>
      <c r="D410" s="5">
        <v>151.19999999999999</v>
      </c>
      <c r="E410" s="5">
        <v>151.19999999999999</v>
      </c>
      <c r="F410" s="6">
        <v>711</v>
      </c>
    </row>
    <row r="411" spans="1:6" x14ac:dyDescent="0.2">
      <c r="A411" s="4">
        <v>45063</v>
      </c>
      <c r="B411" s="5">
        <v>149.19999999999999</v>
      </c>
      <c r="C411" s="5">
        <v>150.57</v>
      </c>
      <c r="D411" s="5">
        <v>147.19999999999999</v>
      </c>
      <c r="E411" s="5">
        <v>147.19999999999999</v>
      </c>
      <c r="F411" s="6">
        <v>1079</v>
      </c>
    </row>
    <row r="412" spans="1:6" x14ac:dyDescent="0.2">
      <c r="A412" s="4">
        <v>45064</v>
      </c>
      <c r="B412" s="5">
        <v>149.88</v>
      </c>
      <c r="C412" s="5">
        <v>149.88</v>
      </c>
      <c r="D412" s="5">
        <v>146.44</v>
      </c>
      <c r="E412" s="5">
        <v>146.44</v>
      </c>
      <c r="F412" s="6">
        <v>1248</v>
      </c>
    </row>
    <row r="413" spans="1:6" x14ac:dyDescent="0.2">
      <c r="A413" s="4">
        <v>45065</v>
      </c>
      <c r="B413" s="5">
        <v>150.1</v>
      </c>
      <c r="C413" s="5">
        <v>150.96</v>
      </c>
      <c r="D413" s="5">
        <v>150.1</v>
      </c>
      <c r="E413" s="5">
        <v>150.96</v>
      </c>
      <c r="F413" s="6">
        <v>1195</v>
      </c>
    </row>
    <row r="414" spans="1:6" x14ac:dyDescent="0.2">
      <c r="A414" s="4">
        <v>45068</v>
      </c>
      <c r="B414" s="5">
        <v>147.9</v>
      </c>
      <c r="C414" s="5">
        <v>147.9</v>
      </c>
      <c r="D414" s="5">
        <v>147.9</v>
      </c>
      <c r="E414" s="5">
        <v>147.9</v>
      </c>
      <c r="F414" s="6">
        <v>1069</v>
      </c>
    </row>
    <row r="415" spans="1:6" x14ac:dyDescent="0.2">
      <c r="A415" s="4">
        <v>45069</v>
      </c>
      <c r="B415" s="5">
        <v>148.94</v>
      </c>
      <c r="C415" s="5">
        <v>150.76</v>
      </c>
      <c r="D415" s="5">
        <v>147.94</v>
      </c>
      <c r="E415" s="5">
        <v>147.94</v>
      </c>
      <c r="F415" s="6">
        <v>71186</v>
      </c>
    </row>
    <row r="416" spans="1:6" x14ac:dyDescent="0.2">
      <c r="A416" s="4">
        <v>45070</v>
      </c>
      <c r="B416" s="5">
        <v>146.16</v>
      </c>
      <c r="C416" s="5">
        <v>146.16</v>
      </c>
      <c r="D416" s="5">
        <v>143.75</v>
      </c>
      <c r="E416" s="5">
        <v>143.75</v>
      </c>
      <c r="F416" s="6">
        <v>15787</v>
      </c>
    </row>
    <row r="417" spans="1:6" x14ac:dyDescent="0.2">
      <c r="A417" s="4">
        <v>45071</v>
      </c>
      <c r="B417" s="5">
        <v>144</v>
      </c>
      <c r="C417" s="5">
        <v>145.26</v>
      </c>
      <c r="D417" s="5">
        <v>141.97499999999999</v>
      </c>
      <c r="E417" s="5">
        <v>145.26</v>
      </c>
      <c r="F417" s="6">
        <v>1265</v>
      </c>
    </row>
    <row r="418" spans="1:6" x14ac:dyDescent="0.2">
      <c r="A418" s="4">
        <v>45072</v>
      </c>
      <c r="B418" s="5">
        <v>144.58000000000001</v>
      </c>
      <c r="C418" s="5">
        <v>144.58000000000001</v>
      </c>
      <c r="D418" s="5">
        <v>144.55000000000001</v>
      </c>
      <c r="E418" s="5">
        <v>144.55000000000001</v>
      </c>
      <c r="F418" s="6">
        <v>649</v>
      </c>
    </row>
    <row r="419" spans="1:6" x14ac:dyDescent="0.2">
      <c r="A419" s="4">
        <v>45076</v>
      </c>
      <c r="B419" s="5">
        <v>144.06</v>
      </c>
      <c r="C419" s="5">
        <v>144.36000000000001</v>
      </c>
      <c r="D419" s="5">
        <v>141.13990000000001</v>
      </c>
      <c r="E419" s="5">
        <v>141.13990000000001</v>
      </c>
      <c r="F419" s="6">
        <v>834</v>
      </c>
    </row>
    <row r="420" spans="1:6" x14ac:dyDescent="0.2">
      <c r="A420" s="4">
        <v>45077</v>
      </c>
      <c r="B420" s="5">
        <v>143.18</v>
      </c>
      <c r="C420" s="5">
        <v>146.08000000000001</v>
      </c>
      <c r="D420" s="5">
        <v>143.18</v>
      </c>
      <c r="E420" s="5">
        <v>146.08000000000001</v>
      </c>
      <c r="F420" s="6">
        <v>681</v>
      </c>
    </row>
    <row r="421" spans="1:6" x14ac:dyDescent="0.2">
      <c r="A421" s="4">
        <v>45078</v>
      </c>
      <c r="B421" s="5">
        <v>145.38</v>
      </c>
      <c r="C421" s="5">
        <v>147.69999999999999</v>
      </c>
      <c r="D421" s="5">
        <v>144.68</v>
      </c>
      <c r="E421" s="5">
        <v>147.69999999999999</v>
      </c>
      <c r="F421" s="6">
        <v>1257</v>
      </c>
    </row>
    <row r="422" spans="1:6" x14ac:dyDescent="0.2">
      <c r="A422" s="4">
        <v>45079</v>
      </c>
      <c r="B422" s="5">
        <v>146.6</v>
      </c>
      <c r="C422" s="5">
        <v>148.65</v>
      </c>
      <c r="D422" s="5">
        <v>146.6</v>
      </c>
      <c r="E422" s="5">
        <v>147.12</v>
      </c>
      <c r="F422" s="6">
        <v>1411</v>
      </c>
    </row>
    <row r="423" spans="1:6" x14ac:dyDescent="0.2">
      <c r="A423" s="4">
        <v>45082</v>
      </c>
      <c r="B423" s="5">
        <v>146.94990000000001</v>
      </c>
      <c r="C423" s="5">
        <v>146.94990000000001</v>
      </c>
      <c r="D423" s="5">
        <v>145.1875</v>
      </c>
      <c r="E423" s="5">
        <v>145.1875</v>
      </c>
      <c r="F423" s="6">
        <v>1034</v>
      </c>
    </row>
    <row r="424" spans="1:6" x14ac:dyDescent="0.2">
      <c r="A424" s="4">
        <v>45083</v>
      </c>
      <c r="B424" s="5">
        <v>146.9</v>
      </c>
      <c r="C424" s="5">
        <v>147.44999999999999</v>
      </c>
      <c r="D424" s="5">
        <v>145.44999999999999</v>
      </c>
      <c r="E424" s="5">
        <v>145.44999999999999</v>
      </c>
      <c r="F424" s="6">
        <v>1348</v>
      </c>
    </row>
    <row r="425" spans="1:6" x14ac:dyDescent="0.2">
      <c r="A425" s="4">
        <v>45084</v>
      </c>
      <c r="B425" s="5">
        <v>147.19999999999999</v>
      </c>
      <c r="C425" s="5">
        <v>147.285</v>
      </c>
      <c r="D425" s="5">
        <v>146.9</v>
      </c>
      <c r="E425" s="5">
        <v>146.9</v>
      </c>
      <c r="F425" s="6">
        <v>1739</v>
      </c>
    </row>
    <row r="426" spans="1:6" x14ac:dyDescent="0.2">
      <c r="A426" s="4">
        <v>45085</v>
      </c>
      <c r="B426" s="5">
        <v>147</v>
      </c>
      <c r="C426" s="5">
        <v>147</v>
      </c>
      <c r="D426" s="5">
        <v>144.5</v>
      </c>
      <c r="E426" s="5">
        <v>144.5</v>
      </c>
      <c r="F426" s="6">
        <v>9733</v>
      </c>
    </row>
    <row r="427" spans="1:6" x14ac:dyDescent="0.2">
      <c r="A427" s="4">
        <v>45086</v>
      </c>
      <c r="B427" s="5">
        <v>149.85</v>
      </c>
      <c r="C427" s="5">
        <v>149.85</v>
      </c>
      <c r="D427" s="5">
        <v>149.30000000000001</v>
      </c>
      <c r="E427" s="5">
        <v>149.30000000000001</v>
      </c>
      <c r="F427" s="6">
        <v>7564</v>
      </c>
    </row>
    <row r="428" spans="1:6" x14ac:dyDescent="0.2">
      <c r="A428" s="4">
        <v>45089</v>
      </c>
      <c r="B428" s="5">
        <v>148.1</v>
      </c>
      <c r="C428" s="5">
        <v>148.86000000000001</v>
      </c>
      <c r="D428" s="5">
        <v>145.80260000000001</v>
      </c>
      <c r="E428" s="5">
        <v>148.86000000000001</v>
      </c>
      <c r="F428" s="6">
        <v>1331</v>
      </c>
    </row>
    <row r="429" spans="1:6" x14ac:dyDescent="0.2">
      <c r="A429" s="4">
        <v>45090</v>
      </c>
      <c r="B429" s="5">
        <v>147.94990000000001</v>
      </c>
      <c r="C429" s="5">
        <v>149.5</v>
      </c>
      <c r="D429" s="5">
        <v>147.94990000000001</v>
      </c>
      <c r="E429" s="5">
        <v>149.5</v>
      </c>
      <c r="F429" s="6">
        <v>1077</v>
      </c>
    </row>
    <row r="430" spans="1:6" x14ac:dyDescent="0.2">
      <c r="A430" s="4">
        <v>45091</v>
      </c>
      <c r="B430" s="5">
        <v>146.875</v>
      </c>
      <c r="C430" s="5">
        <v>146.875</v>
      </c>
      <c r="D430" s="5">
        <v>146.875</v>
      </c>
      <c r="E430" s="5">
        <v>146.875</v>
      </c>
      <c r="F430" s="6">
        <v>346</v>
      </c>
    </row>
    <row r="431" spans="1:6" x14ac:dyDescent="0.2">
      <c r="A431" s="4">
        <v>45092</v>
      </c>
      <c r="B431" s="5">
        <v>148.30000000000001</v>
      </c>
      <c r="C431" s="5">
        <v>149.25</v>
      </c>
      <c r="D431" s="5">
        <v>148.30000000000001</v>
      </c>
      <c r="E431" s="5">
        <v>149.25</v>
      </c>
      <c r="F431" s="6">
        <v>2971</v>
      </c>
    </row>
    <row r="432" spans="1:6" x14ac:dyDescent="0.2">
      <c r="A432" s="4">
        <v>45093</v>
      </c>
      <c r="B432" s="5">
        <v>151.125</v>
      </c>
      <c r="C432" s="5">
        <v>151.125</v>
      </c>
      <c r="D432" s="5">
        <v>149.25989999999999</v>
      </c>
      <c r="E432" s="5">
        <v>149.51</v>
      </c>
      <c r="F432" s="6">
        <v>1022</v>
      </c>
    </row>
    <row r="433" spans="1:6" x14ac:dyDescent="0.2">
      <c r="A433" s="4">
        <v>45097</v>
      </c>
      <c r="B433" s="5">
        <v>149.25</v>
      </c>
      <c r="C433" s="5">
        <v>149.25</v>
      </c>
      <c r="D433" s="5">
        <v>149.25</v>
      </c>
      <c r="E433" s="5">
        <v>149.25</v>
      </c>
      <c r="F433" s="6">
        <v>991</v>
      </c>
    </row>
    <row r="434" spans="1:6" x14ac:dyDescent="0.2">
      <c r="A434" s="4">
        <v>45098</v>
      </c>
      <c r="B434" s="5">
        <v>148.66</v>
      </c>
      <c r="C434" s="5">
        <v>148.66</v>
      </c>
      <c r="D434" s="5">
        <v>148.66</v>
      </c>
      <c r="E434" s="5">
        <v>148.66</v>
      </c>
      <c r="F434" s="6">
        <v>635</v>
      </c>
    </row>
    <row r="435" spans="1:6" x14ac:dyDescent="0.2">
      <c r="A435" s="4">
        <v>45099</v>
      </c>
      <c r="B435" s="5">
        <v>146.18</v>
      </c>
      <c r="C435" s="5">
        <v>149.32</v>
      </c>
      <c r="D435" s="5">
        <v>146.18</v>
      </c>
      <c r="E435" s="5">
        <v>146.68</v>
      </c>
      <c r="F435" s="6">
        <v>700</v>
      </c>
    </row>
    <row r="436" spans="1:6" x14ac:dyDescent="0.2">
      <c r="A436" s="4">
        <v>45100</v>
      </c>
      <c r="B436" s="5">
        <v>146.55000000000001</v>
      </c>
      <c r="C436" s="5">
        <v>146.55000000000001</v>
      </c>
      <c r="D436" s="5">
        <v>146.15</v>
      </c>
      <c r="E436" s="5">
        <v>146.15</v>
      </c>
      <c r="F436" s="6">
        <v>1303</v>
      </c>
    </row>
    <row r="437" spans="1:6" x14ac:dyDescent="0.2">
      <c r="A437" s="4">
        <v>45103</v>
      </c>
      <c r="B437" s="5">
        <v>144.74</v>
      </c>
      <c r="C437" s="5">
        <v>144.74</v>
      </c>
      <c r="D437" s="5">
        <v>142.75</v>
      </c>
      <c r="E437" s="5">
        <v>142.75</v>
      </c>
      <c r="F437" s="6">
        <v>1433</v>
      </c>
    </row>
    <row r="438" spans="1:6" x14ac:dyDescent="0.2">
      <c r="A438" s="4">
        <v>45104</v>
      </c>
      <c r="B438" s="5">
        <v>142.75</v>
      </c>
      <c r="C438" s="5">
        <v>142.75</v>
      </c>
      <c r="D438" s="5">
        <v>142.75</v>
      </c>
      <c r="E438" s="5">
        <v>142.75</v>
      </c>
      <c r="F438" s="6"/>
    </row>
    <row r="439" spans="1:6" x14ac:dyDescent="0.2">
      <c r="A439" s="4">
        <v>45105</v>
      </c>
      <c r="B439" s="5">
        <v>143.80000000000001</v>
      </c>
      <c r="C439" s="5">
        <v>143.80000000000001</v>
      </c>
      <c r="D439" s="5">
        <v>140.4</v>
      </c>
      <c r="E439" s="5">
        <v>140.4</v>
      </c>
      <c r="F439" s="6">
        <v>753</v>
      </c>
    </row>
    <row r="440" spans="1:6" x14ac:dyDescent="0.2">
      <c r="A440" s="4">
        <v>45106</v>
      </c>
      <c r="B440" s="5">
        <v>141.88999999999999</v>
      </c>
      <c r="C440" s="5">
        <v>142.91</v>
      </c>
      <c r="D440" s="5">
        <v>141.88999999999999</v>
      </c>
      <c r="E440" s="5">
        <v>142.91</v>
      </c>
      <c r="F440" s="6">
        <v>2868</v>
      </c>
    </row>
    <row r="441" spans="1:6" x14ac:dyDescent="0.2">
      <c r="A441" s="4">
        <v>45107</v>
      </c>
      <c r="B441" s="5">
        <v>143.9</v>
      </c>
      <c r="C441" s="5">
        <v>143.9</v>
      </c>
      <c r="D441" s="5">
        <v>143.9</v>
      </c>
      <c r="E441" s="5">
        <v>143.9</v>
      </c>
      <c r="F441" s="6">
        <v>483</v>
      </c>
    </row>
    <row r="442" spans="1:6" x14ac:dyDescent="0.2">
      <c r="A442" s="4">
        <v>45110</v>
      </c>
      <c r="B442" s="5">
        <v>129.9</v>
      </c>
      <c r="C442" s="5">
        <v>134</v>
      </c>
      <c r="D442" s="5">
        <v>129.72</v>
      </c>
      <c r="E442" s="5">
        <v>133.23500000000001</v>
      </c>
      <c r="F442" s="6">
        <v>2402</v>
      </c>
    </row>
    <row r="443" spans="1:6" x14ac:dyDescent="0.2">
      <c r="A443" s="4">
        <v>45112</v>
      </c>
      <c r="B443" s="5">
        <v>133.75</v>
      </c>
      <c r="C443" s="5">
        <v>134</v>
      </c>
      <c r="D443" s="5">
        <v>133.75</v>
      </c>
      <c r="E443" s="5">
        <v>134</v>
      </c>
      <c r="F443" s="6">
        <v>847</v>
      </c>
    </row>
    <row r="444" spans="1:6" x14ac:dyDescent="0.2">
      <c r="A444" s="4">
        <v>45113</v>
      </c>
      <c r="B444" s="5">
        <v>132.28</v>
      </c>
      <c r="C444" s="5">
        <v>132.44</v>
      </c>
      <c r="D444" s="5">
        <v>131.15</v>
      </c>
      <c r="E444" s="5">
        <v>132.44</v>
      </c>
      <c r="F444" s="6">
        <v>1152</v>
      </c>
    </row>
    <row r="445" spans="1:6" x14ac:dyDescent="0.2">
      <c r="A445" s="4">
        <v>45114</v>
      </c>
      <c r="B445" s="5">
        <v>129.36000000000001</v>
      </c>
      <c r="C445" s="5">
        <v>131.22</v>
      </c>
      <c r="D445" s="5">
        <v>127.75</v>
      </c>
      <c r="E445" s="5">
        <v>127.75</v>
      </c>
      <c r="F445" s="6">
        <v>1145</v>
      </c>
    </row>
    <row r="446" spans="1:6" x14ac:dyDescent="0.2">
      <c r="A446" s="4">
        <v>45117</v>
      </c>
      <c r="B446" s="5">
        <v>130.96</v>
      </c>
      <c r="C446" s="5">
        <v>131.25</v>
      </c>
      <c r="D446" s="5">
        <v>130</v>
      </c>
      <c r="E446" s="5">
        <v>131.25</v>
      </c>
      <c r="F446" s="6">
        <v>983</v>
      </c>
    </row>
    <row r="447" spans="1:6" x14ac:dyDescent="0.2">
      <c r="A447" s="4">
        <v>45118</v>
      </c>
      <c r="B447" s="5">
        <v>131.25</v>
      </c>
      <c r="C447" s="5">
        <v>131.25</v>
      </c>
      <c r="D447" s="5">
        <v>131.25</v>
      </c>
      <c r="E447" s="5">
        <v>131.25</v>
      </c>
      <c r="F447" s="6"/>
    </row>
    <row r="448" spans="1:6" x14ac:dyDescent="0.2">
      <c r="A448" s="4">
        <v>45119</v>
      </c>
      <c r="B448" s="5">
        <v>129</v>
      </c>
      <c r="C448" s="5">
        <v>134.32</v>
      </c>
      <c r="D448" s="5">
        <v>129</v>
      </c>
      <c r="E448" s="5">
        <v>134.32</v>
      </c>
      <c r="F448" s="6">
        <v>788</v>
      </c>
    </row>
    <row r="449" spans="1:6" x14ac:dyDescent="0.2">
      <c r="A449" s="4">
        <v>45120</v>
      </c>
      <c r="B449" s="5">
        <v>134</v>
      </c>
      <c r="C449" s="5">
        <v>134</v>
      </c>
      <c r="D449" s="5">
        <v>133.59989999999999</v>
      </c>
      <c r="E449" s="5">
        <v>133.59989999999999</v>
      </c>
      <c r="F449" s="6">
        <v>727</v>
      </c>
    </row>
    <row r="450" spans="1:6" x14ac:dyDescent="0.2">
      <c r="A450" s="4">
        <v>45121</v>
      </c>
      <c r="B450" s="5">
        <v>138</v>
      </c>
      <c r="C450" s="5">
        <v>138.62</v>
      </c>
      <c r="D450" s="5">
        <v>138</v>
      </c>
      <c r="E450" s="5">
        <v>138.62</v>
      </c>
      <c r="F450" s="6">
        <v>2824</v>
      </c>
    </row>
    <row r="451" spans="1:6" x14ac:dyDescent="0.2">
      <c r="A451" s="4">
        <v>45124</v>
      </c>
      <c r="B451" s="5">
        <v>135.78</v>
      </c>
      <c r="C451" s="5">
        <v>135.78</v>
      </c>
      <c r="D451" s="5">
        <v>135.78</v>
      </c>
      <c r="E451" s="5">
        <v>135.78</v>
      </c>
      <c r="F451" s="6">
        <v>583</v>
      </c>
    </row>
    <row r="452" spans="1:6" x14ac:dyDescent="0.2">
      <c r="A452" s="4">
        <v>45125</v>
      </c>
      <c r="B452" s="5">
        <v>135.69999999999999</v>
      </c>
      <c r="C452" s="5">
        <v>135.69999999999999</v>
      </c>
      <c r="D452" s="5">
        <v>134.44999999999999</v>
      </c>
      <c r="E452" s="5">
        <v>134.44999999999999</v>
      </c>
      <c r="F452" s="6">
        <v>788</v>
      </c>
    </row>
    <row r="453" spans="1:6" x14ac:dyDescent="0.2">
      <c r="A453" s="4">
        <v>45126</v>
      </c>
      <c r="B453" s="5">
        <v>135.08000000000001</v>
      </c>
      <c r="C453" s="5">
        <v>137.06</v>
      </c>
      <c r="D453" s="5">
        <v>135.08000000000001</v>
      </c>
      <c r="E453" s="5">
        <v>137.06</v>
      </c>
      <c r="F453" s="6">
        <v>600</v>
      </c>
    </row>
    <row r="454" spans="1:6" x14ac:dyDescent="0.2">
      <c r="A454" s="4">
        <v>45127</v>
      </c>
      <c r="B454" s="5">
        <v>138.02000000000001</v>
      </c>
      <c r="C454" s="5">
        <v>138.02000000000001</v>
      </c>
      <c r="D454" s="5">
        <v>138</v>
      </c>
      <c r="E454" s="5">
        <v>138</v>
      </c>
      <c r="F454" s="6">
        <v>993</v>
      </c>
    </row>
    <row r="455" spans="1:6" x14ac:dyDescent="0.2">
      <c r="A455" s="4">
        <v>45128</v>
      </c>
      <c r="B455" s="5">
        <v>138.46</v>
      </c>
      <c r="C455" s="5">
        <v>139.84</v>
      </c>
      <c r="D455" s="5">
        <v>136.72</v>
      </c>
      <c r="E455" s="5">
        <v>136.91990000000001</v>
      </c>
      <c r="F455" s="6">
        <v>1191</v>
      </c>
    </row>
    <row r="456" spans="1:6" x14ac:dyDescent="0.2">
      <c r="A456" s="4">
        <v>45131</v>
      </c>
      <c r="B456" s="5">
        <v>139.28</v>
      </c>
      <c r="C456" s="5">
        <v>139.28</v>
      </c>
      <c r="D456" s="5">
        <v>139.28</v>
      </c>
      <c r="E456" s="5">
        <v>139.28</v>
      </c>
      <c r="F456" s="6">
        <v>560</v>
      </c>
    </row>
    <row r="457" spans="1:6" x14ac:dyDescent="0.2">
      <c r="A457" s="4">
        <v>45132</v>
      </c>
      <c r="B457" s="5">
        <v>136.81989999999999</v>
      </c>
      <c r="C457" s="5">
        <v>138.91999999999999</v>
      </c>
      <c r="D457" s="5">
        <v>136.59989999999999</v>
      </c>
      <c r="E457" s="5">
        <v>137.09989999999999</v>
      </c>
      <c r="F457" s="6">
        <v>2382</v>
      </c>
    </row>
    <row r="458" spans="1:6" x14ac:dyDescent="0.2">
      <c r="A458" s="4">
        <v>45133</v>
      </c>
      <c r="B458" s="5">
        <v>140.5</v>
      </c>
      <c r="C458" s="5">
        <v>140.5</v>
      </c>
      <c r="D458" s="5">
        <v>140.5</v>
      </c>
      <c r="E458" s="5">
        <v>140.5</v>
      </c>
      <c r="F458" s="6">
        <v>1117</v>
      </c>
    </row>
    <row r="459" spans="1:6" x14ac:dyDescent="0.2">
      <c r="A459" s="4">
        <v>45134</v>
      </c>
      <c r="B459" s="5">
        <v>140.44999999999999</v>
      </c>
      <c r="C459" s="5">
        <v>140.44999999999999</v>
      </c>
      <c r="D459" s="5">
        <v>140.44999999999999</v>
      </c>
      <c r="E459" s="5">
        <v>140.44999999999999</v>
      </c>
      <c r="F459" s="6">
        <v>1191</v>
      </c>
    </row>
    <row r="460" spans="1:6" x14ac:dyDescent="0.2">
      <c r="A460" s="4">
        <v>45135</v>
      </c>
      <c r="B460" s="5">
        <v>141.63990000000001</v>
      </c>
      <c r="C460" s="5">
        <v>141.63990000000001</v>
      </c>
      <c r="D460" s="5">
        <v>140.84</v>
      </c>
      <c r="E460" s="5">
        <v>140.84</v>
      </c>
      <c r="F460" s="6">
        <v>928</v>
      </c>
    </row>
    <row r="461" spans="1:6" x14ac:dyDescent="0.2">
      <c r="A461" s="4">
        <v>45138</v>
      </c>
      <c r="B461" s="5">
        <v>139.94999999999999</v>
      </c>
      <c r="C461" s="5">
        <v>144.82</v>
      </c>
      <c r="D461" s="5">
        <v>139.94999999999999</v>
      </c>
      <c r="E461" s="5">
        <v>144.82</v>
      </c>
      <c r="F461" s="6">
        <v>1461</v>
      </c>
    </row>
    <row r="462" spans="1:6" x14ac:dyDescent="0.2">
      <c r="A462" s="4">
        <v>45139</v>
      </c>
      <c r="B462" s="5">
        <v>139</v>
      </c>
      <c r="C462" s="5">
        <v>142.85</v>
      </c>
      <c r="D462" s="5">
        <v>139</v>
      </c>
      <c r="E462" s="5">
        <v>142.85</v>
      </c>
      <c r="F462" s="6">
        <v>5419</v>
      </c>
    </row>
    <row r="463" spans="1:6" x14ac:dyDescent="0.2">
      <c r="A463" s="4">
        <v>45140</v>
      </c>
      <c r="B463" s="5">
        <v>139.125</v>
      </c>
      <c r="C463" s="5">
        <v>139.125</v>
      </c>
      <c r="D463" s="5">
        <v>139.125</v>
      </c>
      <c r="E463" s="5">
        <v>139.125</v>
      </c>
      <c r="F463" s="6">
        <v>477</v>
      </c>
    </row>
    <row r="464" spans="1:6" x14ac:dyDescent="0.2">
      <c r="A464" s="4">
        <v>45141</v>
      </c>
      <c r="B464" s="5">
        <v>139.01</v>
      </c>
      <c r="C464" s="5">
        <v>139.01</v>
      </c>
      <c r="D464" s="5">
        <v>139.01</v>
      </c>
      <c r="E464" s="5">
        <v>139.01</v>
      </c>
      <c r="F464" s="6">
        <v>755</v>
      </c>
    </row>
    <row r="465" spans="1:6" x14ac:dyDescent="0.2">
      <c r="A465" s="4">
        <v>45142</v>
      </c>
      <c r="B465" s="5">
        <v>139.1</v>
      </c>
      <c r="C465" s="5">
        <v>140.24</v>
      </c>
      <c r="D465" s="5">
        <v>137.94</v>
      </c>
      <c r="E465" s="5">
        <v>140.24</v>
      </c>
      <c r="F465" s="6">
        <v>3501</v>
      </c>
    </row>
    <row r="466" spans="1:6" x14ac:dyDescent="0.2">
      <c r="A466" s="4">
        <v>45145</v>
      </c>
      <c r="B466" s="5">
        <v>138.69</v>
      </c>
      <c r="C466" s="5">
        <v>141.28</v>
      </c>
      <c r="D466" s="5">
        <v>138.69</v>
      </c>
      <c r="E466" s="5">
        <v>141.28</v>
      </c>
      <c r="F466" s="6">
        <v>1073</v>
      </c>
    </row>
    <row r="467" spans="1:6" x14ac:dyDescent="0.2">
      <c r="A467" s="4">
        <v>45146</v>
      </c>
      <c r="B467" s="5">
        <v>141.35</v>
      </c>
      <c r="C467" s="5">
        <v>141.35</v>
      </c>
      <c r="D467" s="5">
        <v>141.35</v>
      </c>
      <c r="E467" s="5">
        <v>141.35</v>
      </c>
      <c r="F467" s="6">
        <v>555</v>
      </c>
    </row>
    <row r="468" spans="1:6" x14ac:dyDescent="0.2">
      <c r="A468" s="4">
        <v>45147</v>
      </c>
      <c r="B468" s="5">
        <v>141.35</v>
      </c>
      <c r="C468" s="5">
        <v>141.35</v>
      </c>
      <c r="D468" s="5">
        <v>141.35</v>
      </c>
      <c r="E468" s="5">
        <v>141.35</v>
      </c>
      <c r="F468" s="6"/>
    </row>
    <row r="469" spans="1:6" x14ac:dyDescent="0.2">
      <c r="A469" s="4">
        <v>45148</v>
      </c>
      <c r="B469" s="5">
        <v>143.41999999999999</v>
      </c>
      <c r="C469" s="5">
        <v>143.41999999999999</v>
      </c>
      <c r="D469" s="5">
        <v>137.94999999999999</v>
      </c>
      <c r="E469" s="5">
        <v>137.94999999999999</v>
      </c>
      <c r="F469" s="6">
        <v>3600</v>
      </c>
    </row>
    <row r="470" spans="1:6" x14ac:dyDescent="0.2">
      <c r="A470" s="4">
        <v>45149</v>
      </c>
      <c r="B470" s="5">
        <v>141.52000000000001</v>
      </c>
      <c r="C470" s="5">
        <v>141.52000000000001</v>
      </c>
      <c r="D470" s="5">
        <v>141.52000000000001</v>
      </c>
      <c r="E470" s="5">
        <v>141.52000000000001</v>
      </c>
      <c r="F470" s="6">
        <v>652</v>
      </c>
    </row>
    <row r="471" spans="1:6" x14ac:dyDescent="0.2">
      <c r="A471" s="4">
        <v>45152</v>
      </c>
      <c r="B471" s="5">
        <v>140.79</v>
      </c>
      <c r="C471" s="5">
        <v>143.19999999999999</v>
      </c>
      <c r="D471" s="5">
        <v>140.79</v>
      </c>
      <c r="E471" s="5">
        <v>143.19999999999999</v>
      </c>
      <c r="F471" s="6">
        <v>1828</v>
      </c>
    </row>
    <row r="472" spans="1:6" x14ac:dyDescent="0.2">
      <c r="A472" s="4">
        <v>45153</v>
      </c>
      <c r="B472" s="5">
        <v>140.69999999999999</v>
      </c>
      <c r="C472" s="5">
        <v>140.69999999999999</v>
      </c>
      <c r="D472" s="5">
        <v>135.55000000000001</v>
      </c>
      <c r="E472" s="5">
        <v>137.56</v>
      </c>
      <c r="F472" s="6">
        <v>1502</v>
      </c>
    </row>
    <row r="473" spans="1:6" x14ac:dyDescent="0.2">
      <c r="A473" s="4">
        <v>45154</v>
      </c>
      <c r="B473" s="5">
        <v>137.56</v>
      </c>
      <c r="C473" s="5">
        <v>137.56</v>
      </c>
      <c r="D473" s="5">
        <v>137.56</v>
      </c>
      <c r="E473" s="5">
        <v>137.56</v>
      </c>
      <c r="F473" s="6"/>
    </row>
    <row r="474" spans="1:6" x14ac:dyDescent="0.2">
      <c r="A474" s="4">
        <v>45155</v>
      </c>
      <c r="B474" s="5">
        <v>136.85</v>
      </c>
      <c r="C474" s="5">
        <v>137.47489999999999</v>
      </c>
      <c r="D474" s="5">
        <v>136.85</v>
      </c>
      <c r="E474" s="5">
        <v>137.47489999999999</v>
      </c>
      <c r="F474" s="6">
        <v>1528</v>
      </c>
    </row>
    <row r="475" spans="1:6" x14ac:dyDescent="0.2">
      <c r="A475" s="4">
        <v>45156</v>
      </c>
      <c r="B475" s="5">
        <v>136.19999999999999</v>
      </c>
      <c r="C475" s="5">
        <v>136.19999999999999</v>
      </c>
      <c r="D475" s="5">
        <v>135.01</v>
      </c>
      <c r="E475" s="5">
        <v>136.03</v>
      </c>
      <c r="F475" s="6">
        <v>7114</v>
      </c>
    </row>
    <row r="476" spans="1:6" x14ac:dyDescent="0.2">
      <c r="A476" s="4">
        <v>45159</v>
      </c>
      <c r="B476" s="5">
        <v>136.25</v>
      </c>
      <c r="C476" s="5">
        <v>136.94999999999999</v>
      </c>
      <c r="D476" s="5">
        <v>136.25</v>
      </c>
      <c r="E476" s="5">
        <v>136.94999999999999</v>
      </c>
      <c r="F476" s="6">
        <v>1084</v>
      </c>
    </row>
    <row r="477" spans="1:6" x14ac:dyDescent="0.2">
      <c r="A477" s="4">
        <v>45160</v>
      </c>
      <c r="B477" s="5">
        <v>137.54</v>
      </c>
      <c r="C477" s="5">
        <v>137.54</v>
      </c>
      <c r="D477" s="5">
        <v>133</v>
      </c>
      <c r="E477" s="5">
        <v>135.80000000000001</v>
      </c>
      <c r="F477" s="6">
        <v>1699</v>
      </c>
    </row>
    <row r="478" spans="1:6" x14ac:dyDescent="0.2">
      <c r="A478" s="4">
        <v>45161</v>
      </c>
      <c r="B478" s="5">
        <v>136.49</v>
      </c>
      <c r="C478" s="5">
        <v>139.35</v>
      </c>
      <c r="D478" s="5">
        <v>136.03</v>
      </c>
      <c r="E478" s="5">
        <v>139.35</v>
      </c>
      <c r="F478" s="6">
        <v>3271</v>
      </c>
    </row>
    <row r="479" spans="1:6" x14ac:dyDescent="0.2">
      <c r="A479" s="4">
        <v>45162</v>
      </c>
      <c r="B479" s="5">
        <v>134.96</v>
      </c>
      <c r="C479" s="5">
        <v>136</v>
      </c>
      <c r="D479" s="5">
        <v>134.96</v>
      </c>
      <c r="E479" s="5">
        <v>136</v>
      </c>
      <c r="F479" s="6">
        <v>5786</v>
      </c>
    </row>
    <row r="480" spans="1:6" x14ac:dyDescent="0.2">
      <c r="A480" s="4">
        <v>45163</v>
      </c>
      <c r="B480" s="5">
        <v>131.55000000000001</v>
      </c>
      <c r="C480" s="5">
        <v>136.35</v>
      </c>
      <c r="D480" s="5">
        <v>131.55000000000001</v>
      </c>
      <c r="E480" s="5">
        <v>135.971</v>
      </c>
      <c r="F480" s="6">
        <v>1642</v>
      </c>
    </row>
    <row r="481" spans="1:6" x14ac:dyDescent="0.2">
      <c r="A481" s="4">
        <v>45166</v>
      </c>
      <c r="B481" s="5">
        <v>135</v>
      </c>
      <c r="C481" s="5">
        <v>136.63999999999999</v>
      </c>
      <c r="D481" s="5">
        <v>135</v>
      </c>
      <c r="E481" s="5">
        <v>136.63999999999999</v>
      </c>
      <c r="F481" s="6">
        <v>1095</v>
      </c>
    </row>
    <row r="482" spans="1:6" x14ac:dyDescent="0.2">
      <c r="A482" s="4">
        <v>45167</v>
      </c>
      <c r="B482" s="5">
        <v>135.6</v>
      </c>
      <c r="C482" s="5">
        <v>139.1</v>
      </c>
      <c r="D482" s="5">
        <v>132.5</v>
      </c>
      <c r="E482" s="5">
        <v>139.1</v>
      </c>
      <c r="F482" s="6">
        <v>1151</v>
      </c>
    </row>
    <row r="483" spans="1:6" x14ac:dyDescent="0.2">
      <c r="A483" s="4">
        <v>45168</v>
      </c>
      <c r="B483" s="5">
        <v>139.88</v>
      </c>
      <c r="C483" s="5">
        <v>139.88</v>
      </c>
      <c r="D483" s="5">
        <v>136.72499999999999</v>
      </c>
      <c r="E483" s="5">
        <v>136.72499999999999</v>
      </c>
      <c r="F483" s="6">
        <v>971</v>
      </c>
    </row>
    <row r="484" spans="1:6" x14ac:dyDescent="0.2">
      <c r="A484" s="4">
        <v>45169</v>
      </c>
      <c r="B484" s="5">
        <v>134.03989999999999</v>
      </c>
      <c r="C484" s="5">
        <v>134.03989999999999</v>
      </c>
      <c r="D484" s="5">
        <v>134.03989999999999</v>
      </c>
      <c r="E484" s="5">
        <v>134.03989999999999</v>
      </c>
      <c r="F484" s="6">
        <v>446</v>
      </c>
    </row>
    <row r="485" spans="1:6" x14ac:dyDescent="0.2">
      <c r="A485" s="4">
        <v>45170</v>
      </c>
      <c r="B485" s="5">
        <v>136</v>
      </c>
      <c r="C485" s="5">
        <v>136</v>
      </c>
      <c r="D485" s="5">
        <v>136</v>
      </c>
      <c r="E485" s="5">
        <v>136</v>
      </c>
      <c r="F485" s="6">
        <v>555</v>
      </c>
    </row>
    <row r="486" spans="1:6" x14ac:dyDescent="0.2">
      <c r="A486" s="4">
        <v>45174</v>
      </c>
      <c r="B486" s="5">
        <v>136.13999999999999</v>
      </c>
      <c r="C486" s="5">
        <v>136.19999999999999</v>
      </c>
      <c r="D486" s="5">
        <v>133.9</v>
      </c>
      <c r="E486" s="5">
        <v>133.9</v>
      </c>
      <c r="F486" s="6">
        <v>1171</v>
      </c>
    </row>
    <row r="487" spans="1:6" x14ac:dyDescent="0.2">
      <c r="A487" s="4">
        <v>45175</v>
      </c>
      <c r="B487" s="5">
        <v>133.9</v>
      </c>
      <c r="C487" s="5">
        <v>133.9</v>
      </c>
      <c r="D487" s="5">
        <v>133.9</v>
      </c>
      <c r="E487" s="5">
        <v>133.9</v>
      </c>
      <c r="F487" s="6"/>
    </row>
    <row r="488" spans="1:6" x14ac:dyDescent="0.2">
      <c r="A488" s="4">
        <v>45176</v>
      </c>
      <c r="B488" s="5">
        <v>133</v>
      </c>
      <c r="C488" s="5">
        <v>135.29</v>
      </c>
      <c r="D488" s="5">
        <v>133</v>
      </c>
      <c r="E488" s="5">
        <v>134.68</v>
      </c>
      <c r="F488" s="6">
        <v>3379</v>
      </c>
    </row>
    <row r="489" spans="1:6" x14ac:dyDescent="0.2">
      <c r="A489" s="4">
        <v>45177</v>
      </c>
      <c r="B489" s="5">
        <v>135.84</v>
      </c>
      <c r="C489" s="5">
        <v>135.84</v>
      </c>
      <c r="D489" s="5">
        <v>135.69999999999999</v>
      </c>
      <c r="E489" s="5">
        <v>135.69999999999999</v>
      </c>
      <c r="F489" s="6">
        <v>1614</v>
      </c>
    </row>
    <row r="490" spans="1:6" x14ac:dyDescent="0.2">
      <c r="A490" s="4">
        <v>45180</v>
      </c>
      <c r="B490" s="5">
        <v>135.69999999999999</v>
      </c>
      <c r="C490" s="5">
        <v>135.69999999999999</v>
      </c>
      <c r="D490" s="5">
        <v>135.69999999999999</v>
      </c>
      <c r="E490" s="5">
        <v>135.69999999999999</v>
      </c>
      <c r="F490" s="6"/>
    </row>
    <row r="491" spans="1:6" x14ac:dyDescent="0.2">
      <c r="A491" s="4">
        <v>45181</v>
      </c>
      <c r="B491" s="5">
        <v>133.16999999999999</v>
      </c>
      <c r="C491" s="5">
        <v>133.16999999999999</v>
      </c>
      <c r="D491" s="5">
        <v>132.22499999999999</v>
      </c>
      <c r="E491" s="5">
        <v>132.22499999999999</v>
      </c>
      <c r="F491" s="6">
        <v>560</v>
      </c>
    </row>
    <row r="492" spans="1:6" x14ac:dyDescent="0.2">
      <c r="A492" s="4">
        <v>45182</v>
      </c>
      <c r="B492" s="5">
        <v>133.4</v>
      </c>
      <c r="C492" s="5">
        <v>133.9</v>
      </c>
      <c r="D492" s="5">
        <v>130.08000000000001</v>
      </c>
      <c r="E492" s="5">
        <v>130.08000000000001</v>
      </c>
      <c r="F492" s="6">
        <v>48397</v>
      </c>
    </row>
    <row r="493" spans="1:6" x14ac:dyDescent="0.2">
      <c r="A493" s="4">
        <v>45183</v>
      </c>
      <c r="B493" s="5">
        <v>133</v>
      </c>
      <c r="C493" s="5">
        <v>133</v>
      </c>
      <c r="D493" s="5">
        <v>133</v>
      </c>
      <c r="E493" s="5">
        <v>133</v>
      </c>
      <c r="F493" s="6">
        <v>507</v>
      </c>
    </row>
    <row r="494" spans="1:6" x14ac:dyDescent="0.2">
      <c r="A494" s="4">
        <v>45184</v>
      </c>
      <c r="B494" s="5">
        <v>138.28</v>
      </c>
      <c r="C494" s="5">
        <v>138.28</v>
      </c>
      <c r="D494" s="5">
        <v>138.28</v>
      </c>
      <c r="E494" s="5">
        <v>138.28</v>
      </c>
      <c r="F494" s="6">
        <v>800</v>
      </c>
    </row>
    <row r="495" spans="1:6" x14ac:dyDescent="0.2">
      <c r="A495" s="4">
        <v>45187</v>
      </c>
      <c r="B495" s="5">
        <v>135.5</v>
      </c>
      <c r="C495" s="5">
        <v>137.84</v>
      </c>
      <c r="D495" s="5">
        <v>131.45490000000001</v>
      </c>
      <c r="E495" s="5">
        <v>131.45490000000001</v>
      </c>
      <c r="F495" s="6">
        <v>3626</v>
      </c>
    </row>
    <row r="496" spans="1:6" x14ac:dyDescent="0.2">
      <c r="A496" s="4">
        <v>45188</v>
      </c>
      <c r="B496" s="5">
        <v>133.35</v>
      </c>
      <c r="C496" s="5">
        <v>133.35</v>
      </c>
      <c r="D496" s="5">
        <v>130.67500000000001</v>
      </c>
      <c r="E496" s="5">
        <v>130.67500000000001</v>
      </c>
      <c r="F496" s="6">
        <v>857</v>
      </c>
    </row>
    <row r="497" spans="1:6" x14ac:dyDescent="0.2">
      <c r="A497" s="4">
        <v>45189</v>
      </c>
      <c r="B497" s="5">
        <v>137.6</v>
      </c>
      <c r="C497" s="5">
        <v>137.6</v>
      </c>
      <c r="D497" s="5">
        <v>136.34</v>
      </c>
      <c r="E497" s="5">
        <v>136.34</v>
      </c>
      <c r="F497" s="6">
        <v>642</v>
      </c>
    </row>
    <row r="498" spans="1:6" x14ac:dyDescent="0.2">
      <c r="A498" s="4">
        <v>45190</v>
      </c>
      <c r="B498" s="5">
        <v>134.80000000000001</v>
      </c>
      <c r="C498" s="5">
        <v>134.80000000000001</v>
      </c>
      <c r="D498" s="5">
        <v>133.94999999999999</v>
      </c>
      <c r="E498" s="5">
        <v>133.94999999999999</v>
      </c>
      <c r="F498" s="6">
        <v>960</v>
      </c>
    </row>
    <row r="499" spans="1:6" x14ac:dyDescent="0.2">
      <c r="A499" s="4">
        <v>45191</v>
      </c>
      <c r="B499" s="5">
        <v>137.93</v>
      </c>
      <c r="C499" s="5">
        <v>137.93</v>
      </c>
      <c r="D499" s="5">
        <v>137.93</v>
      </c>
      <c r="E499" s="5">
        <v>137.93</v>
      </c>
      <c r="F499" s="6">
        <v>731</v>
      </c>
    </row>
    <row r="500" spans="1:6" x14ac:dyDescent="0.2">
      <c r="A500" s="4">
        <v>45194</v>
      </c>
      <c r="B500" s="5">
        <v>131.94999999999999</v>
      </c>
      <c r="C500" s="5">
        <v>137.58000000000001</v>
      </c>
      <c r="D500" s="5">
        <v>131.94999999999999</v>
      </c>
      <c r="E500" s="5">
        <v>136.99</v>
      </c>
      <c r="F500" s="6">
        <v>865</v>
      </c>
    </row>
    <row r="501" spans="1:6" x14ac:dyDescent="0.2">
      <c r="A501" s="4">
        <v>45195</v>
      </c>
      <c r="B501" s="5">
        <v>132.85</v>
      </c>
      <c r="C501" s="5">
        <v>137.84</v>
      </c>
      <c r="D501" s="5">
        <v>132.85</v>
      </c>
      <c r="E501" s="5">
        <v>134.94990000000001</v>
      </c>
      <c r="F501" s="6">
        <v>7358</v>
      </c>
    </row>
    <row r="502" spans="1:6" x14ac:dyDescent="0.2">
      <c r="A502" s="4">
        <v>45196</v>
      </c>
      <c r="B502" s="5">
        <v>136</v>
      </c>
      <c r="C502" s="5">
        <v>137.59</v>
      </c>
      <c r="D502" s="5">
        <v>133.16</v>
      </c>
      <c r="E502" s="5">
        <v>133.16</v>
      </c>
      <c r="F502" s="6">
        <v>1900</v>
      </c>
    </row>
    <row r="503" spans="1:6" x14ac:dyDescent="0.2">
      <c r="A503" s="4">
        <v>45197</v>
      </c>
      <c r="B503" s="5">
        <v>135.35</v>
      </c>
      <c r="C503" s="5">
        <v>136.29</v>
      </c>
      <c r="D503" s="5">
        <v>133.63</v>
      </c>
      <c r="E503" s="5">
        <v>136.15</v>
      </c>
      <c r="F503" s="6">
        <v>1456</v>
      </c>
    </row>
    <row r="504" spans="1:6" x14ac:dyDescent="0.2">
      <c r="A504" s="4">
        <v>45198</v>
      </c>
      <c r="B504" s="5">
        <v>137.05000000000001</v>
      </c>
      <c r="C504" s="5">
        <v>137.05000000000001</v>
      </c>
      <c r="D504" s="5">
        <v>135.05000000000001</v>
      </c>
      <c r="E504" s="5">
        <v>135.05000000000001</v>
      </c>
      <c r="F504" s="6">
        <v>2097</v>
      </c>
    </row>
    <row r="505" spans="1:6" x14ac:dyDescent="0.2">
      <c r="A505" s="4">
        <v>45201</v>
      </c>
      <c r="B505" s="5">
        <v>134.36000000000001</v>
      </c>
      <c r="C505" s="5">
        <v>134.36000000000001</v>
      </c>
      <c r="D505" s="5">
        <v>133.1</v>
      </c>
      <c r="E505" s="5">
        <v>133.1</v>
      </c>
      <c r="F505" s="6">
        <v>1837</v>
      </c>
    </row>
    <row r="506" spans="1:6" x14ac:dyDescent="0.2">
      <c r="A506" s="4">
        <v>45202</v>
      </c>
      <c r="B506" s="5">
        <v>133.72</v>
      </c>
      <c r="C506" s="5">
        <v>134.13999999999999</v>
      </c>
      <c r="D506" s="5">
        <v>129.44999999999999</v>
      </c>
      <c r="E506" s="5">
        <v>132.93</v>
      </c>
      <c r="F506" s="6">
        <v>1101</v>
      </c>
    </row>
    <row r="507" spans="1:6" x14ac:dyDescent="0.2">
      <c r="A507" s="4">
        <v>45203</v>
      </c>
      <c r="B507" s="5">
        <v>134.15</v>
      </c>
      <c r="C507" s="5">
        <v>134.15</v>
      </c>
      <c r="D507" s="5">
        <v>134.15</v>
      </c>
      <c r="E507" s="5">
        <v>134.15</v>
      </c>
      <c r="F507" s="6">
        <v>467</v>
      </c>
    </row>
    <row r="508" spans="1:6" x14ac:dyDescent="0.2">
      <c r="A508" s="4">
        <v>45204</v>
      </c>
      <c r="B508" s="5">
        <v>132.72</v>
      </c>
      <c r="C508" s="5">
        <v>134.9</v>
      </c>
      <c r="D508" s="5">
        <v>132.17500000000001</v>
      </c>
      <c r="E508" s="5">
        <v>134.9</v>
      </c>
      <c r="F508" s="6">
        <v>1732</v>
      </c>
    </row>
    <row r="509" spans="1:6" x14ac:dyDescent="0.2">
      <c r="A509" s="4">
        <v>45205</v>
      </c>
      <c r="B509" s="5">
        <v>134.25</v>
      </c>
      <c r="C509" s="5">
        <v>136.44</v>
      </c>
      <c r="D509" s="5">
        <v>133.47989999999999</v>
      </c>
      <c r="E509" s="5">
        <v>133.47989999999999</v>
      </c>
      <c r="F509" s="6">
        <v>1288</v>
      </c>
    </row>
    <row r="510" spans="1:6" x14ac:dyDescent="0.2">
      <c r="A510" s="4">
        <v>45208</v>
      </c>
      <c r="B510" s="5">
        <v>134.6</v>
      </c>
      <c r="C510" s="5">
        <v>134.6</v>
      </c>
      <c r="D510" s="5">
        <v>134.13999999999999</v>
      </c>
      <c r="E510" s="5">
        <v>134.13999999999999</v>
      </c>
      <c r="F510" s="6">
        <v>1195</v>
      </c>
    </row>
    <row r="511" spans="1:6" x14ac:dyDescent="0.2">
      <c r="A511" s="4">
        <v>45209</v>
      </c>
      <c r="B511" s="5">
        <v>134.63499999999999</v>
      </c>
      <c r="C511" s="5">
        <v>134.63499999999999</v>
      </c>
      <c r="D511" s="5">
        <v>134.38</v>
      </c>
      <c r="E511" s="5">
        <v>134.38</v>
      </c>
      <c r="F511" s="6">
        <v>751</v>
      </c>
    </row>
    <row r="512" spans="1:6" x14ac:dyDescent="0.2">
      <c r="A512" s="4">
        <v>45210</v>
      </c>
      <c r="B512" s="5">
        <v>134.47989999999999</v>
      </c>
      <c r="C512" s="5">
        <v>134.47989999999999</v>
      </c>
      <c r="D512" s="5">
        <v>133.97200000000001</v>
      </c>
      <c r="E512" s="5">
        <v>133.97200000000001</v>
      </c>
      <c r="F512" s="6">
        <v>1104</v>
      </c>
    </row>
    <row r="513" spans="1:6" x14ac:dyDescent="0.2">
      <c r="A513" s="4">
        <v>45211</v>
      </c>
      <c r="B513" s="5">
        <v>135.5</v>
      </c>
      <c r="C513" s="5">
        <v>135.5</v>
      </c>
      <c r="D513" s="5">
        <v>135.5</v>
      </c>
      <c r="E513" s="5">
        <v>135.5</v>
      </c>
      <c r="F513" s="6">
        <v>911</v>
      </c>
    </row>
    <row r="514" spans="1:6" x14ac:dyDescent="0.2">
      <c r="A514" s="4">
        <v>45212</v>
      </c>
      <c r="B514" s="5">
        <v>135.5</v>
      </c>
      <c r="C514" s="5">
        <v>135.5</v>
      </c>
      <c r="D514" s="5">
        <v>135.5</v>
      </c>
      <c r="E514" s="5">
        <v>135.5</v>
      </c>
      <c r="F514" s="6"/>
    </row>
    <row r="515" spans="1:6" x14ac:dyDescent="0.2">
      <c r="A515" s="4">
        <v>45215</v>
      </c>
      <c r="B515" s="5">
        <v>129.5</v>
      </c>
      <c r="C515" s="5">
        <v>134.16</v>
      </c>
      <c r="D515" s="5">
        <v>129.5</v>
      </c>
      <c r="E515" s="5">
        <v>134.16</v>
      </c>
      <c r="F515" s="6">
        <v>4890</v>
      </c>
    </row>
    <row r="516" spans="1:6" x14ac:dyDescent="0.2">
      <c r="A516" s="4">
        <v>45216</v>
      </c>
      <c r="B516" s="5">
        <v>139.30000000000001</v>
      </c>
      <c r="C516" s="5">
        <v>140</v>
      </c>
      <c r="D516" s="5">
        <v>129.16</v>
      </c>
      <c r="E516" s="5">
        <v>137.05000000000001</v>
      </c>
      <c r="F516" s="6">
        <v>5538</v>
      </c>
    </row>
    <row r="517" spans="1:6" x14ac:dyDescent="0.2">
      <c r="A517" s="4">
        <v>45217</v>
      </c>
      <c r="B517" s="5">
        <v>129.65</v>
      </c>
      <c r="C517" s="5">
        <v>130.88999999999999</v>
      </c>
      <c r="D517" s="5">
        <v>129.19999999999999</v>
      </c>
      <c r="E517" s="5">
        <v>130.88999999999999</v>
      </c>
      <c r="F517" s="6">
        <v>3444</v>
      </c>
    </row>
    <row r="518" spans="1:6" x14ac:dyDescent="0.2">
      <c r="A518" s="4">
        <v>45218</v>
      </c>
      <c r="B518" s="5">
        <v>127.65</v>
      </c>
      <c r="C518" s="5">
        <v>127.65</v>
      </c>
      <c r="D518" s="5">
        <v>127.58</v>
      </c>
      <c r="E518" s="5">
        <v>127.58</v>
      </c>
      <c r="F518" s="6">
        <v>1270</v>
      </c>
    </row>
    <row r="519" spans="1:6" x14ac:dyDescent="0.2">
      <c r="A519" s="4">
        <v>45219</v>
      </c>
      <c r="B519" s="5">
        <v>129.1</v>
      </c>
      <c r="C519" s="5">
        <v>129.1</v>
      </c>
      <c r="D519" s="5">
        <v>126.38</v>
      </c>
      <c r="E519" s="5">
        <v>127.86</v>
      </c>
      <c r="F519" s="6">
        <v>1761</v>
      </c>
    </row>
    <row r="520" spans="1:6" x14ac:dyDescent="0.2">
      <c r="A520" s="4">
        <v>45222</v>
      </c>
      <c r="B520" s="5">
        <v>123.625</v>
      </c>
      <c r="C520" s="5">
        <v>125.9</v>
      </c>
      <c r="D520" s="5">
        <v>123.625</v>
      </c>
      <c r="E520" s="5">
        <v>123.75</v>
      </c>
      <c r="F520" s="6">
        <v>1350</v>
      </c>
    </row>
    <row r="521" spans="1:6" x14ac:dyDescent="0.2">
      <c r="A521" s="4">
        <v>45223</v>
      </c>
      <c r="B521" s="5">
        <v>125.4499</v>
      </c>
      <c r="C521" s="5">
        <v>127.15</v>
      </c>
      <c r="D521" s="5">
        <v>125.4499</v>
      </c>
      <c r="E521" s="5">
        <v>127.15</v>
      </c>
      <c r="F521" s="6">
        <v>1673</v>
      </c>
    </row>
    <row r="522" spans="1:6" x14ac:dyDescent="0.2">
      <c r="A522" s="4">
        <v>45224</v>
      </c>
      <c r="B522" s="5">
        <v>128.58000000000001</v>
      </c>
      <c r="C522" s="5">
        <v>128.58000000000001</v>
      </c>
      <c r="D522" s="5">
        <v>126.44499999999999</v>
      </c>
      <c r="E522" s="5">
        <v>126.44499999999999</v>
      </c>
      <c r="F522" s="6">
        <v>970</v>
      </c>
    </row>
    <row r="523" spans="1:6" x14ac:dyDescent="0.2">
      <c r="A523" s="4">
        <v>45225</v>
      </c>
      <c r="B523" s="5">
        <v>127.25</v>
      </c>
      <c r="C523" s="5">
        <v>127.25</v>
      </c>
      <c r="D523" s="5">
        <v>125.27500000000001</v>
      </c>
      <c r="E523" s="5">
        <v>125.27500000000001</v>
      </c>
      <c r="F523" s="6">
        <v>1735</v>
      </c>
    </row>
    <row r="524" spans="1:6" x14ac:dyDescent="0.2">
      <c r="A524" s="4">
        <v>45226</v>
      </c>
      <c r="B524" s="5">
        <v>123.9</v>
      </c>
      <c r="C524" s="5">
        <v>124.12</v>
      </c>
      <c r="D524" s="5">
        <v>121.45</v>
      </c>
      <c r="E524" s="5">
        <v>121.45</v>
      </c>
      <c r="F524" s="6">
        <v>1501</v>
      </c>
    </row>
    <row r="525" spans="1:6" x14ac:dyDescent="0.2">
      <c r="A525" s="4">
        <v>45229</v>
      </c>
      <c r="B525" s="5">
        <v>120.6</v>
      </c>
      <c r="C525" s="5">
        <v>123.97499999999999</v>
      </c>
      <c r="D525" s="5">
        <v>120.6</v>
      </c>
      <c r="E525" s="5">
        <v>123.97499999999999</v>
      </c>
      <c r="F525" s="6">
        <v>1515</v>
      </c>
    </row>
    <row r="526" spans="1:6" x14ac:dyDescent="0.2">
      <c r="A526" s="4">
        <v>45230</v>
      </c>
      <c r="B526" s="5">
        <v>124.88</v>
      </c>
      <c r="C526" s="5">
        <v>124.88</v>
      </c>
      <c r="D526" s="5">
        <v>122.7599</v>
      </c>
      <c r="E526" s="5">
        <v>122.7599</v>
      </c>
      <c r="F526" s="6">
        <v>1348</v>
      </c>
    </row>
    <row r="527" spans="1:6" x14ac:dyDescent="0.2">
      <c r="A527" s="4">
        <v>45231</v>
      </c>
      <c r="B527" s="5">
        <v>125.4</v>
      </c>
      <c r="C527" s="5">
        <v>128.58000000000001</v>
      </c>
      <c r="D527" s="5">
        <v>125.4</v>
      </c>
      <c r="E527" s="5">
        <v>128.58000000000001</v>
      </c>
      <c r="F527" s="6">
        <v>7302</v>
      </c>
    </row>
    <row r="528" spans="1:6" x14ac:dyDescent="0.2">
      <c r="A528" s="4">
        <v>45232</v>
      </c>
      <c r="B528" s="5">
        <v>123.81</v>
      </c>
      <c r="C528" s="5">
        <v>129.22</v>
      </c>
      <c r="D528" s="5">
        <v>123.81</v>
      </c>
      <c r="E528" s="5">
        <v>126.8199</v>
      </c>
      <c r="F528" s="6">
        <v>3526</v>
      </c>
    </row>
    <row r="529" spans="1:6" x14ac:dyDescent="0.2">
      <c r="A529" s="4">
        <v>45233</v>
      </c>
      <c r="B529" s="5">
        <v>126.3</v>
      </c>
      <c r="C529" s="5">
        <v>126.3</v>
      </c>
      <c r="D529" s="5">
        <v>126.3</v>
      </c>
      <c r="E529" s="5">
        <v>126.3</v>
      </c>
      <c r="F529" s="6">
        <v>1097</v>
      </c>
    </row>
    <row r="530" spans="1:6" x14ac:dyDescent="0.2">
      <c r="A530" s="4">
        <v>45236</v>
      </c>
      <c r="B530" s="5">
        <v>126.96</v>
      </c>
      <c r="C530" s="5">
        <v>129.91999999999999</v>
      </c>
      <c r="D530" s="5">
        <v>126.8</v>
      </c>
      <c r="E530" s="5">
        <v>126.8199</v>
      </c>
      <c r="F530" s="6">
        <v>1592</v>
      </c>
    </row>
    <row r="531" spans="1:6" x14ac:dyDescent="0.2">
      <c r="A531" s="4">
        <v>45237</v>
      </c>
      <c r="B531" s="5">
        <v>125.25</v>
      </c>
      <c r="C531" s="5">
        <v>127.8</v>
      </c>
      <c r="D531" s="5">
        <v>123.35</v>
      </c>
      <c r="E531" s="5">
        <v>125.25</v>
      </c>
      <c r="F531" s="6">
        <v>1231</v>
      </c>
    </row>
    <row r="532" spans="1:6" x14ac:dyDescent="0.2">
      <c r="A532" s="4">
        <v>45238</v>
      </c>
      <c r="B532" s="5">
        <v>122.76</v>
      </c>
      <c r="C532" s="5">
        <v>125.12</v>
      </c>
      <c r="D532" s="5">
        <v>122.76</v>
      </c>
      <c r="E532" s="5">
        <v>125.08</v>
      </c>
      <c r="F532" s="6">
        <v>3803</v>
      </c>
    </row>
    <row r="533" spans="1:6" x14ac:dyDescent="0.2">
      <c r="A533" s="4">
        <v>45239</v>
      </c>
      <c r="B533" s="5">
        <v>128</v>
      </c>
      <c r="C533" s="5">
        <v>129.06</v>
      </c>
      <c r="D533" s="5">
        <v>126.87</v>
      </c>
      <c r="E533" s="5">
        <v>126.87</v>
      </c>
      <c r="F533" s="6">
        <v>1086</v>
      </c>
    </row>
    <row r="534" spans="1:6" x14ac:dyDescent="0.2">
      <c r="A534" s="4">
        <v>45240</v>
      </c>
      <c r="B534" s="5">
        <v>127</v>
      </c>
      <c r="C534" s="5">
        <v>127</v>
      </c>
      <c r="D534" s="5">
        <v>123.62</v>
      </c>
      <c r="E534" s="5">
        <v>124.285</v>
      </c>
      <c r="F534" s="6">
        <v>2005</v>
      </c>
    </row>
    <row r="535" spans="1:6" x14ac:dyDescent="0.2">
      <c r="A535" s="4">
        <v>45243</v>
      </c>
      <c r="B535" s="5">
        <v>124</v>
      </c>
      <c r="C535" s="5">
        <v>124.75</v>
      </c>
      <c r="D535" s="5">
        <v>121.35</v>
      </c>
      <c r="E535" s="5">
        <v>124.75</v>
      </c>
      <c r="F535" s="6">
        <v>1931</v>
      </c>
    </row>
    <row r="536" spans="1:6" x14ac:dyDescent="0.2">
      <c r="A536" s="4">
        <v>45244</v>
      </c>
      <c r="B536" s="5">
        <v>125.8</v>
      </c>
      <c r="C536" s="5">
        <v>128.15</v>
      </c>
      <c r="D536" s="5">
        <v>123.44799999999999</v>
      </c>
      <c r="E536" s="5">
        <v>125.8</v>
      </c>
      <c r="F536" s="6">
        <v>3073</v>
      </c>
    </row>
    <row r="537" spans="1:6" x14ac:dyDescent="0.2">
      <c r="A537" s="4">
        <v>45245</v>
      </c>
      <c r="B537" s="5">
        <v>125.4</v>
      </c>
      <c r="C537" s="5">
        <v>127.64</v>
      </c>
      <c r="D537" s="5">
        <v>125.16</v>
      </c>
      <c r="E537" s="5">
        <v>125.16</v>
      </c>
      <c r="F537" s="6">
        <v>2002</v>
      </c>
    </row>
    <row r="538" spans="1:6" x14ac:dyDescent="0.2">
      <c r="A538" s="4">
        <v>45246</v>
      </c>
      <c r="B538" s="5">
        <v>122.46</v>
      </c>
      <c r="C538" s="5">
        <v>127.9</v>
      </c>
      <c r="D538" s="5">
        <v>122.46</v>
      </c>
      <c r="E538" s="5">
        <v>125.15</v>
      </c>
      <c r="F538" s="6">
        <v>35113</v>
      </c>
    </row>
    <row r="539" spans="1:6" x14ac:dyDescent="0.2">
      <c r="A539" s="4">
        <v>45247</v>
      </c>
      <c r="B539" s="5">
        <v>128</v>
      </c>
      <c r="C539" s="5">
        <v>128.04</v>
      </c>
      <c r="D539" s="5">
        <v>124.24</v>
      </c>
      <c r="E539" s="5">
        <v>128</v>
      </c>
      <c r="F539" s="6">
        <v>5729</v>
      </c>
    </row>
    <row r="540" spans="1:6" x14ac:dyDescent="0.2">
      <c r="A540" s="4">
        <v>45250</v>
      </c>
      <c r="B540" s="5">
        <v>128.05000000000001</v>
      </c>
      <c r="C540" s="5">
        <v>128.05000000000001</v>
      </c>
      <c r="D540" s="5">
        <v>126.14</v>
      </c>
      <c r="E540" s="5">
        <v>126.14</v>
      </c>
      <c r="F540" s="6">
        <v>1725</v>
      </c>
    </row>
    <row r="541" spans="1:6" x14ac:dyDescent="0.2">
      <c r="A541" s="4">
        <v>45251</v>
      </c>
      <c r="B541" s="5">
        <v>125.875</v>
      </c>
      <c r="C541" s="5">
        <v>128.68</v>
      </c>
      <c r="D541" s="5">
        <v>124.05</v>
      </c>
      <c r="E541" s="5">
        <v>125.642</v>
      </c>
      <c r="F541" s="6">
        <v>1291</v>
      </c>
    </row>
    <row r="542" spans="1:6" x14ac:dyDescent="0.2">
      <c r="A542" s="4">
        <v>45252</v>
      </c>
      <c r="B542" s="5">
        <v>126.59990000000001</v>
      </c>
      <c r="C542" s="5">
        <v>126.59990000000001</v>
      </c>
      <c r="D542" s="5">
        <v>126.54</v>
      </c>
      <c r="E542" s="5">
        <v>126.54</v>
      </c>
      <c r="F542" s="6">
        <v>1315</v>
      </c>
    </row>
    <row r="543" spans="1:6" x14ac:dyDescent="0.2">
      <c r="A543" s="4">
        <v>45254</v>
      </c>
      <c r="B543" s="5">
        <v>128.44</v>
      </c>
      <c r="C543" s="5">
        <v>128.55000000000001</v>
      </c>
      <c r="D543" s="5">
        <v>128.44</v>
      </c>
      <c r="E543" s="5">
        <v>128.55000000000001</v>
      </c>
      <c r="F543" s="6">
        <v>922</v>
      </c>
    </row>
    <row r="544" spans="1:6" x14ac:dyDescent="0.2">
      <c r="A544" s="4">
        <v>45257</v>
      </c>
      <c r="B544" s="5">
        <v>126.8199</v>
      </c>
      <c r="C544" s="5">
        <v>128.76</v>
      </c>
      <c r="D544" s="5">
        <v>126.8199</v>
      </c>
      <c r="E544" s="5">
        <v>128.76</v>
      </c>
      <c r="F544" s="6">
        <v>1423</v>
      </c>
    </row>
    <row r="545" spans="1:6" x14ac:dyDescent="0.2">
      <c r="A545" s="4">
        <v>45258</v>
      </c>
      <c r="B545" s="5">
        <v>125.16</v>
      </c>
      <c r="C545" s="5">
        <v>125.4</v>
      </c>
      <c r="D545" s="5">
        <v>124.9599</v>
      </c>
      <c r="E545" s="5">
        <v>124.9599</v>
      </c>
      <c r="F545" s="6">
        <v>1862</v>
      </c>
    </row>
    <row r="546" spans="1:6" x14ac:dyDescent="0.2">
      <c r="A546" s="4">
        <v>45259</v>
      </c>
      <c r="B546" s="5">
        <v>127.22</v>
      </c>
      <c r="C546" s="5">
        <v>127.22</v>
      </c>
      <c r="D546" s="5">
        <v>124</v>
      </c>
      <c r="E546" s="5">
        <v>126.8199</v>
      </c>
      <c r="F546" s="6">
        <v>11044</v>
      </c>
    </row>
    <row r="547" spans="1:6" x14ac:dyDescent="0.2">
      <c r="A547" s="4">
        <v>45260</v>
      </c>
      <c r="B547" s="5">
        <v>128.19999999999999</v>
      </c>
      <c r="C547" s="5">
        <v>128.5</v>
      </c>
      <c r="D547" s="5">
        <v>126.9199</v>
      </c>
      <c r="E547" s="5">
        <v>128.5</v>
      </c>
      <c r="F547" s="6">
        <v>2418</v>
      </c>
    </row>
    <row r="548" spans="1:6" x14ac:dyDescent="0.2">
      <c r="A548" s="4">
        <v>45261</v>
      </c>
      <c r="B548" s="5">
        <v>131.74</v>
      </c>
      <c r="C548" s="5">
        <v>131.74</v>
      </c>
      <c r="D548" s="5">
        <v>125</v>
      </c>
      <c r="E548" s="5">
        <v>125</v>
      </c>
      <c r="F548" s="6">
        <v>3429</v>
      </c>
    </row>
    <row r="549" spans="1:6" x14ac:dyDescent="0.2">
      <c r="A549" s="4">
        <v>45264</v>
      </c>
      <c r="B549" s="5">
        <v>129.02000000000001</v>
      </c>
      <c r="C549" s="5">
        <v>131.59</v>
      </c>
      <c r="D549" s="5">
        <v>128.13990000000001</v>
      </c>
      <c r="E549" s="5">
        <v>128.52000000000001</v>
      </c>
      <c r="F549" s="6">
        <v>2623</v>
      </c>
    </row>
    <row r="550" spans="1:6" x14ac:dyDescent="0.2">
      <c r="A550" s="4">
        <v>45265</v>
      </c>
      <c r="B550" s="5">
        <v>125.41</v>
      </c>
      <c r="C550" s="5">
        <v>129.88</v>
      </c>
      <c r="D550" s="5">
        <v>125.41</v>
      </c>
      <c r="E550" s="5">
        <v>125.75</v>
      </c>
      <c r="F550" s="6">
        <v>2587</v>
      </c>
    </row>
    <row r="551" spans="1:6" x14ac:dyDescent="0.2">
      <c r="A551" s="4">
        <v>45266</v>
      </c>
      <c r="B551" s="5">
        <v>127.65</v>
      </c>
      <c r="C551" s="5">
        <v>127.81</v>
      </c>
      <c r="D551" s="5">
        <v>125.5</v>
      </c>
      <c r="E551" s="5">
        <v>125.5</v>
      </c>
      <c r="F551" s="6">
        <v>3147</v>
      </c>
    </row>
    <row r="552" spans="1:6" x14ac:dyDescent="0.2">
      <c r="A552" s="4">
        <v>45267</v>
      </c>
      <c r="B552" s="5">
        <v>125.9</v>
      </c>
      <c r="C552" s="5">
        <v>128.18</v>
      </c>
      <c r="D552" s="5">
        <v>124.91</v>
      </c>
      <c r="E552" s="5">
        <v>125.4</v>
      </c>
      <c r="F552" s="6">
        <v>2273</v>
      </c>
    </row>
    <row r="553" spans="1:6" x14ac:dyDescent="0.2">
      <c r="A553" s="4">
        <v>45268</v>
      </c>
      <c r="B553" s="5">
        <v>126.22</v>
      </c>
      <c r="C553" s="5">
        <v>128.06</v>
      </c>
      <c r="D553" s="5">
        <v>124.9599</v>
      </c>
      <c r="E553" s="5">
        <v>125.06</v>
      </c>
      <c r="F553" s="6">
        <v>1815</v>
      </c>
    </row>
    <row r="554" spans="1:6" x14ac:dyDescent="0.2">
      <c r="A554" s="4">
        <v>45271</v>
      </c>
      <c r="B554" s="5">
        <v>125.94</v>
      </c>
      <c r="C554" s="5">
        <v>129.34</v>
      </c>
      <c r="D554" s="5">
        <v>125.2</v>
      </c>
      <c r="E554" s="5">
        <v>125.2</v>
      </c>
      <c r="F554" s="6">
        <v>3482</v>
      </c>
    </row>
    <row r="555" spans="1:6" x14ac:dyDescent="0.2">
      <c r="A555" s="4">
        <v>45272</v>
      </c>
      <c r="B555" s="5">
        <v>131.5</v>
      </c>
      <c r="C555" s="5">
        <v>131.5</v>
      </c>
      <c r="D555" s="5">
        <v>126.42</v>
      </c>
      <c r="E555" s="5">
        <v>126.48</v>
      </c>
      <c r="F555" s="6">
        <v>1360</v>
      </c>
    </row>
    <row r="556" spans="1:6" x14ac:dyDescent="0.2">
      <c r="A556" s="4">
        <v>45273</v>
      </c>
      <c r="B556" s="5">
        <v>129</v>
      </c>
      <c r="C556" s="5">
        <v>131.56</v>
      </c>
      <c r="D556" s="5">
        <v>129</v>
      </c>
      <c r="E556" s="5">
        <v>129.25989999999999</v>
      </c>
      <c r="F556" s="6">
        <v>1451</v>
      </c>
    </row>
    <row r="557" spans="1:6" x14ac:dyDescent="0.2">
      <c r="A557" s="4">
        <v>45274</v>
      </c>
      <c r="B557" s="5">
        <v>130.80000000000001</v>
      </c>
      <c r="C557" s="5">
        <v>134.84</v>
      </c>
      <c r="D557" s="5">
        <v>129.91</v>
      </c>
      <c r="E557" s="5">
        <v>132.495</v>
      </c>
      <c r="F557" s="6">
        <v>3442</v>
      </c>
    </row>
    <row r="558" spans="1:6" x14ac:dyDescent="0.2">
      <c r="A558" s="4">
        <v>45275</v>
      </c>
      <c r="B558" s="5">
        <v>128.52000000000001</v>
      </c>
      <c r="C558" s="5">
        <v>131.28</v>
      </c>
      <c r="D558" s="5">
        <v>126.66</v>
      </c>
      <c r="E558" s="5">
        <v>131.28</v>
      </c>
      <c r="F558" s="6">
        <v>4058</v>
      </c>
    </row>
    <row r="559" spans="1:6" x14ac:dyDescent="0.2">
      <c r="A559" s="4">
        <v>45278</v>
      </c>
      <c r="B559" s="5">
        <v>132.04</v>
      </c>
      <c r="C559" s="5">
        <v>133.34</v>
      </c>
      <c r="D559" s="5">
        <v>128</v>
      </c>
      <c r="E559" s="5">
        <v>128</v>
      </c>
      <c r="F559" s="6">
        <v>4164</v>
      </c>
    </row>
    <row r="560" spans="1:6" x14ac:dyDescent="0.2">
      <c r="A560" s="4">
        <v>45279</v>
      </c>
      <c r="B560" s="5">
        <v>132.88</v>
      </c>
      <c r="C560" s="5">
        <v>132.88</v>
      </c>
      <c r="D560" s="5">
        <v>132.88</v>
      </c>
      <c r="E560" s="5">
        <v>132.88</v>
      </c>
      <c r="F560" s="6">
        <v>915</v>
      </c>
    </row>
    <row r="561" spans="1:6" x14ac:dyDescent="0.2">
      <c r="A561" s="4">
        <v>45280</v>
      </c>
      <c r="B561" s="5">
        <v>131.25</v>
      </c>
      <c r="C561" s="5">
        <v>131.25</v>
      </c>
      <c r="D561" s="5">
        <v>131.125</v>
      </c>
      <c r="E561" s="5">
        <v>131.125</v>
      </c>
      <c r="F561" s="6">
        <v>1018</v>
      </c>
    </row>
    <row r="562" spans="1:6" x14ac:dyDescent="0.2">
      <c r="A562" s="4">
        <v>45281</v>
      </c>
      <c r="B562" s="5">
        <v>131.12</v>
      </c>
      <c r="C562" s="5">
        <v>133.25</v>
      </c>
      <c r="D562" s="5">
        <v>127.78</v>
      </c>
      <c r="E562" s="5">
        <v>130.5</v>
      </c>
      <c r="F562" s="6">
        <v>4065</v>
      </c>
    </row>
    <row r="563" spans="1:6" x14ac:dyDescent="0.2">
      <c r="A563" s="4">
        <v>45282</v>
      </c>
      <c r="B563" s="5">
        <v>134.85</v>
      </c>
      <c r="C563" s="5">
        <v>134.85</v>
      </c>
      <c r="D563" s="5">
        <v>127.3</v>
      </c>
      <c r="E563" s="5">
        <v>130.9</v>
      </c>
      <c r="F563" s="6">
        <v>5816</v>
      </c>
    </row>
    <row r="564" spans="1:6" x14ac:dyDescent="0.2">
      <c r="A564" s="4">
        <v>45286</v>
      </c>
      <c r="B564" s="5">
        <v>134.84</v>
      </c>
      <c r="C564" s="5">
        <v>134.84</v>
      </c>
      <c r="D564" s="5">
        <v>130.11000000000001</v>
      </c>
      <c r="E564" s="5">
        <v>134.4</v>
      </c>
      <c r="F564" s="6">
        <v>2333</v>
      </c>
    </row>
    <row r="565" spans="1:6" x14ac:dyDescent="0.2">
      <c r="A565" s="4">
        <v>45287</v>
      </c>
      <c r="B565" s="5">
        <v>129.44999999999999</v>
      </c>
      <c r="C565" s="5">
        <v>134.85</v>
      </c>
      <c r="D565" s="5">
        <v>129.44999999999999</v>
      </c>
      <c r="E565" s="5">
        <v>133.09989999999999</v>
      </c>
      <c r="F565" s="6">
        <v>1535</v>
      </c>
    </row>
    <row r="566" spans="1:6" x14ac:dyDescent="0.2">
      <c r="A566" s="4">
        <v>45288</v>
      </c>
      <c r="B566" s="5">
        <v>132.55000000000001</v>
      </c>
      <c r="C566" s="5">
        <v>136.32</v>
      </c>
      <c r="D566" s="5">
        <v>132.5</v>
      </c>
      <c r="E566" s="5">
        <v>136.32</v>
      </c>
      <c r="F566" s="6">
        <v>2130</v>
      </c>
    </row>
    <row r="567" spans="1:6" x14ac:dyDescent="0.2">
      <c r="A567" s="4">
        <v>45289</v>
      </c>
      <c r="B567" s="5">
        <v>137.34</v>
      </c>
      <c r="C567" s="5">
        <v>137.34</v>
      </c>
      <c r="D567" s="5">
        <v>134.35</v>
      </c>
      <c r="E567" s="5">
        <v>134.44999999999999</v>
      </c>
      <c r="F567" s="6">
        <v>2728</v>
      </c>
    </row>
    <row r="568" spans="1:6" x14ac:dyDescent="0.2">
      <c r="A568" s="4">
        <v>45293</v>
      </c>
      <c r="B568" s="5">
        <v>136.08000000000001</v>
      </c>
      <c r="C568" s="5">
        <v>136.49</v>
      </c>
      <c r="D568" s="5">
        <v>132.81229999999999</v>
      </c>
      <c r="E568" s="5">
        <v>132.81229999999999</v>
      </c>
      <c r="F568" s="6">
        <v>6747</v>
      </c>
    </row>
    <row r="569" spans="1:6" x14ac:dyDescent="0.2">
      <c r="A569" s="4">
        <v>45294</v>
      </c>
      <c r="B569" s="5">
        <v>138.84</v>
      </c>
      <c r="C569" s="5">
        <v>138.84</v>
      </c>
      <c r="D569" s="5">
        <v>138.25</v>
      </c>
      <c r="E569" s="5">
        <v>138.46</v>
      </c>
      <c r="F569" s="6">
        <v>3155</v>
      </c>
    </row>
    <row r="570" spans="1:6" x14ac:dyDescent="0.2">
      <c r="A570" s="4">
        <v>45295</v>
      </c>
      <c r="B570" s="5">
        <v>139.12</v>
      </c>
      <c r="C570" s="5">
        <v>139.4</v>
      </c>
      <c r="D570" s="5">
        <v>137.05000000000001</v>
      </c>
      <c r="E570" s="5">
        <v>137.05000000000001</v>
      </c>
      <c r="F570" s="6">
        <v>770</v>
      </c>
    </row>
    <row r="571" spans="1:6" x14ac:dyDescent="0.2">
      <c r="A571" s="4">
        <v>45296</v>
      </c>
      <c r="B571" s="5">
        <v>137.26</v>
      </c>
      <c r="C571" s="5">
        <v>139.84</v>
      </c>
      <c r="D571" s="5">
        <v>135.66</v>
      </c>
      <c r="E571" s="5">
        <v>135.66</v>
      </c>
      <c r="F571" s="6">
        <v>2190</v>
      </c>
    </row>
    <row r="572" spans="1:6" x14ac:dyDescent="0.2">
      <c r="A572" s="4">
        <v>45299</v>
      </c>
      <c r="B572" s="5">
        <v>139.34</v>
      </c>
      <c r="C572" s="5">
        <v>139.84</v>
      </c>
      <c r="D572" s="5">
        <v>136.03989999999999</v>
      </c>
      <c r="E572" s="5">
        <v>139.5</v>
      </c>
      <c r="F572" s="6">
        <v>5268</v>
      </c>
    </row>
    <row r="573" spans="1:6" x14ac:dyDescent="0.2">
      <c r="A573" s="4">
        <v>45300</v>
      </c>
      <c r="B573" s="5">
        <v>135.25</v>
      </c>
      <c r="C573" s="5">
        <v>140</v>
      </c>
      <c r="D573" s="5">
        <v>135.25</v>
      </c>
      <c r="E573" s="5">
        <v>139.56</v>
      </c>
      <c r="F573" s="6">
        <v>1162</v>
      </c>
    </row>
    <row r="574" spans="1:6" x14ac:dyDescent="0.2">
      <c r="A574" s="4">
        <v>45301</v>
      </c>
      <c r="B574" s="5">
        <v>139.05000000000001</v>
      </c>
      <c r="C574" s="5">
        <v>139.1</v>
      </c>
      <c r="D574" s="5">
        <v>137.22489999999999</v>
      </c>
      <c r="E574" s="5">
        <v>137.22489999999999</v>
      </c>
      <c r="F574" s="6">
        <v>2178</v>
      </c>
    </row>
    <row r="575" spans="1:6" x14ac:dyDescent="0.2">
      <c r="A575" s="4">
        <v>45302</v>
      </c>
      <c r="B575" s="5">
        <v>139.19999999999999</v>
      </c>
      <c r="C575" s="5">
        <v>139.68</v>
      </c>
      <c r="D575" s="5">
        <v>137.02000000000001</v>
      </c>
      <c r="E575" s="5">
        <v>137.02000000000001</v>
      </c>
      <c r="F575" s="6">
        <v>2026</v>
      </c>
    </row>
    <row r="576" spans="1:6" x14ac:dyDescent="0.2">
      <c r="A576" s="4">
        <v>45303</v>
      </c>
      <c r="B576" s="5">
        <v>139.85</v>
      </c>
      <c r="C576" s="5">
        <v>139.85</v>
      </c>
      <c r="D576" s="5">
        <v>139.76</v>
      </c>
      <c r="E576" s="5">
        <v>139.76</v>
      </c>
      <c r="F576" s="6">
        <v>1081</v>
      </c>
    </row>
    <row r="577" spans="1:6" x14ac:dyDescent="0.2">
      <c r="A577" s="4">
        <v>45307</v>
      </c>
      <c r="B577" s="5">
        <v>134.94999999999999</v>
      </c>
      <c r="C577" s="5">
        <v>136.58000000000001</v>
      </c>
      <c r="D577" s="5">
        <v>132.96</v>
      </c>
      <c r="E577" s="5">
        <v>132.96</v>
      </c>
      <c r="F577" s="6">
        <v>3836</v>
      </c>
    </row>
    <row r="578" spans="1:6" x14ac:dyDescent="0.2">
      <c r="A578" s="4">
        <v>45308</v>
      </c>
      <c r="B578" s="5">
        <v>133</v>
      </c>
      <c r="C578" s="5">
        <v>134</v>
      </c>
      <c r="D578" s="5">
        <v>133</v>
      </c>
      <c r="E578" s="5">
        <v>134</v>
      </c>
      <c r="F578" s="6">
        <v>1351</v>
      </c>
    </row>
    <row r="579" spans="1:6" x14ac:dyDescent="0.2">
      <c r="A579" s="4">
        <v>45309</v>
      </c>
      <c r="B579" s="5">
        <v>135.41999999999999</v>
      </c>
      <c r="C579" s="5">
        <v>135.41999999999999</v>
      </c>
      <c r="D579" s="5">
        <v>131.62</v>
      </c>
      <c r="E579" s="5">
        <v>132.25</v>
      </c>
      <c r="F579" s="6">
        <v>3123</v>
      </c>
    </row>
    <row r="580" spans="1:6" x14ac:dyDescent="0.2">
      <c r="A580" s="4">
        <v>45310</v>
      </c>
      <c r="B580" s="5">
        <v>134.46</v>
      </c>
      <c r="C580" s="5">
        <v>134.46</v>
      </c>
      <c r="D580" s="5">
        <v>131.80000000000001</v>
      </c>
      <c r="E580" s="5">
        <v>131.80000000000001</v>
      </c>
      <c r="F580" s="6">
        <v>1134</v>
      </c>
    </row>
    <row r="581" spans="1:6" x14ac:dyDescent="0.2">
      <c r="A581" s="4">
        <v>45313</v>
      </c>
      <c r="B581" s="5">
        <v>135.26</v>
      </c>
      <c r="C581" s="5">
        <v>136.34</v>
      </c>
      <c r="D581" s="5">
        <v>135.26</v>
      </c>
      <c r="E581" s="5">
        <v>136.28</v>
      </c>
      <c r="F581" s="6">
        <v>2145</v>
      </c>
    </row>
    <row r="582" spans="1:6" x14ac:dyDescent="0.2">
      <c r="A582" s="4">
        <v>45314</v>
      </c>
      <c r="B582" s="5">
        <v>133.34</v>
      </c>
      <c r="C582" s="5">
        <v>134.9</v>
      </c>
      <c r="D582" s="5">
        <v>131.69990000000001</v>
      </c>
      <c r="E582" s="5">
        <v>134.9</v>
      </c>
      <c r="F582" s="6">
        <v>1258</v>
      </c>
    </row>
    <row r="583" spans="1:6" x14ac:dyDescent="0.2">
      <c r="A583" s="4">
        <v>45315</v>
      </c>
      <c r="B583" s="5">
        <v>134.34</v>
      </c>
      <c r="C583" s="5">
        <v>134.34</v>
      </c>
      <c r="D583" s="5">
        <v>131.91990000000001</v>
      </c>
      <c r="E583" s="5">
        <v>131.91990000000001</v>
      </c>
      <c r="F583" s="6">
        <v>976</v>
      </c>
    </row>
    <row r="584" spans="1:6" x14ac:dyDescent="0.2">
      <c r="A584" s="4">
        <v>45316</v>
      </c>
      <c r="B584" s="5">
        <v>130.30000000000001</v>
      </c>
      <c r="C584" s="5">
        <v>132.03989999999999</v>
      </c>
      <c r="D584" s="5">
        <v>130.30000000000001</v>
      </c>
      <c r="E584" s="5">
        <v>132.03989999999999</v>
      </c>
      <c r="F584" s="6">
        <v>797</v>
      </c>
    </row>
    <row r="585" spans="1:6" x14ac:dyDescent="0.2">
      <c r="A585" s="4">
        <v>45317</v>
      </c>
      <c r="B585" s="5">
        <v>135.9</v>
      </c>
      <c r="C585" s="5">
        <v>137.34</v>
      </c>
      <c r="D585" s="5">
        <v>131.30000000000001</v>
      </c>
      <c r="E585" s="5">
        <v>131.75</v>
      </c>
      <c r="F585" s="6">
        <v>4019</v>
      </c>
    </row>
    <row r="586" spans="1:6" x14ac:dyDescent="0.2">
      <c r="A586" s="4">
        <v>45320</v>
      </c>
      <c r="B586" s="5">
        <v>135.34</v>
      </c>
      <c r="C586" s="5">
        <v>135.69999999999999</v>
      </c>
      <c r="D586" s="5">
        <v>132.4</v>
      </c>
      <c r="E586" s="5">
        <v>132.47989999999999</v>
      </c>
      <c r="F586" s="6">
        <v>1349</v>
      </c>
    </row>
    <row r="587" spans="1:6" x14ac:dyDescent="0.2">
      <c r="A587" s="4">
        <v>45321</v>
      </c>
      <c r="B587" s="5">
        <v>136.59</v>
      </c>
      <c r="C587" s="5">
        <v>136.59</v>
      </c>
      <c r="D587" s="5">
        <v>131.25</v>
      </c>
      <c r="E587" s="5">
        <v>131.25</v>
      </c>
      <c r="F587" s="6">
        <v>833</v>
      </c>
    </row>
    <row r="588" spans="1:6" x14ac:dyDescent="0.2">
      <c r="A588" s="4">
        <v>45322</v>
      </c>
      <c r="B588" s="5">
        <v>135.72</v>
      </c>
      <c r="C588" s="5">
        <v>135.72</v>
      </c>
      <c r="D588" s="5">
        <v>132.4</v>
      </c>
      <c r="E588" s="5">
        <v>132.4</v>
      </c>
      <c r="F588" s="6">
        <v>1245</v>
      </c>
    </row>
    <row r="589" spans="1:6" x14ac:dyDescent="0.2">
      <c r="A589" s="4">
        <v>45323</v>
      </c>
      <c r="B589" s="5">
        <v>131.66</v>
      </c>
      <c r="C589" s="5">
        <v>133.36000000000001</v>
      </c>
      <c r="D589" s="5">
        <v>131.66</v>
      </c>
      <c r="E589" s="5">
        <v>132.12</v>
      </c>
      <c r="F589" s="6">
        <v>1130</v>
      </c>
    </row>
    <row r="590" spans="1:6" x14ac:dyDescent="0.2">
      <c r="A590" s="4">
        <v>45324</v>
      </c>
      <c r="B590" s="5">
        <v>131.9</v>
      </c>
      <c r="C590" s="5">
        <v>131.9</v>
      </c>
      <c r="D590" s="5">
        <v>131.9</v>
      </c>
      <c r="E590" s="5">
        <v>131.9</v>
      </c>
      <c r="F590" s="6">
        <v>541</v>
      </c>
    </row>
    <row r="591" spans="1:6" x14ac:dyDescent="0.2">
      <c r="A591" s="4">
        <v>45327</v>
      </c>
      <c r="B591" s="5">
        <v>131.68</v>
      </c>
      <c r="C591" s="5">
        <v>131.80000000000001</v>
      </c>
      <c r="D591" s="5">
        <v>128.04</v>
      </c>
      <c r="E591" s="5">
        <v>128.04</v>
      </c>
      <c r="F591" s="6">
        <v>1177</v>
      </c>
    </row>
    <row r="592" spans="1:6" x14ac:dyDescent="0.2">
      <c r="A592" s="4">
        <v>45328</v>
      </c>
      <c r="B592" s="5">
        <v>132.94</v>
      </c>
      <c r="C592" s="5">
        <v>133.84</v>
      </c>
      <c r="D592" s="5">
        <v>131.625</v>
      </c>
      <c r="E592" s="5">
        <v>133.84</v>
      </c>
      <c r="F592" s="6">
        <v>1153</v>
      </c>
    </row>
    <row r="593" spans="1:6" x14ac:dyDescent="0.2">
      <c r="A593" s="4">
        <v>45329</v>
      </c>
      <c r="B593" s="5">
        <v>133.34</v>
      </c>
      <c r="C593" s="5">
        <v>133.34</v>
      </c>
      <c r="D593" s="5">
        <v>133.34</v>
      </c>
      <c r="E593" s="5">
        <v>133.34</v>
      </c>
      <c r="F593" s="6">
        <v>2865</v>
      </c>
    </row>
    <row r="594" spans="1:6" x14ac:dyDescent="0.2">
      <c r="A594" s="4">
        <v>45330</v>
      </c>
      <c r="B594" s="5">
        <v>122</v>
      </c>
      <c r="C594" s="5">
        <v>125</v>
      </c>
      <c r="D594" s="5">
        <v>122</v>
      </c>
      <c r="E594" s="5">
        <v>125</v>
      </c>
      <c r="F594" s="6">
        <v>2272</v>
      </c>
    </row>
    <row r="595" spans="1:6" x14ac:dyDescent="0.2">
      <c r="A595" s="4">
        <v>45331</v>
      </c>
      <c r="B595" s="5">
        <v>121.75</v>
      </c>
      <c r="C595" s="5">
        <v>124.5</v>
      </c>
      <c r="D595" s="5">
        <v>121.75</v>
      </c>
      <c r="E595" s="5">
        <v>123.5</v>
      </c>
      <c r="F595" s="6">
        <v>1648</v>
      </c>
    </row>
    <row r="596" spans="1:6" x14ac:dyDescent="0.2">
      <c r="A596" s="4">
        <v>45334</v>
      </c>
      <c r="B596" s="5">
        <v>122.8</v>
      </c>
      <c r="C596" s="5">
        <v>122.85</v>
      </c>
      <c r="D596" s="5">
        <v>120.5</v>
      </c>
      <c r="E596" s="5">
        <v>120.6649</v>
      </c>
      <c r="F596" s="6">
        <v>1824</v>
      </c>
    </row>
    <row r="597" spans="1:6" x14ac:dyDescent="0.2">
      <c r="A597" s="4">
        <v>45335</v>
      </c>
      <c r="B597" s="5">
        <v>120.74</v>
      </c>
      <c r="C597" s="5">
        <v>123.56</v>
      </c>
      <c r="D597" s="5">
        <v>118.16</v>
      </c>
      <c r="E597" s="5">
        <v>123.5</v>
      </c>
      <c r="F597" s="6">
        <v>76641</v>
      </c>
    </row>
    <row r="598" spans="1:6" x14ac:dyDescent="0.2">
      <c r="A598" s="4">
        <v>45336</v>
      </c>
      <c r="B598" s="5">
        <v>124.58</v>
      </c>
      <c r="C598" s="5">
        <v>124.84</v>
      </c>
      <c r="D598" s="5">
        <v>119</v>
      </c>
      <c r="E598" s="5">
        <v>121.8</v>
      </c>
      <c r="F598" s="6">
        <v>11648</v>
      </c>
    </row>
    <row r="599" spans="1:6" x14ac:dyDescent="0.2">
      <c r="A599" s="4">
        <v>45337</v>
      </c>
      <c r="B599" s="5">
        <v>126.16</v>
      </c>
      <c r="C599" s="5">
        <v>126.4</v>
      </c>
      <c r="D599" s="5">
        <v>120.91</v>
      </c>
      <c r="E599" s="5">
        <v>124</v>
      </c>
      <c r="F599" s="6">
        <v>2197</v>
      </c>
    </row>
    <row r="600" spans="1:6" x14ac:dyDescent="0.2">
      <c r="A600" s="4">
        <v>45338</v>
      </c>
      <c r="B600" s="5">
        <v>126.42</v>
      </c>
      <c r="C600" s="5">
        <v>127.38</v>
      </c>
      <c r="D600" s="5">
        <v>126.42</v>
      </c>
      <c r="E600" s="5">
        <v>127.38</v>
      </c>
      <c r="F600" s="6">
        <v>1312</v>
      </c>
    </row>
    <row r="601" spans="1:6" x14ac:dyDescent="0.2">
      <c r="A601" s="4">
        <v>45342</v>
      </c>
      <c r="B601" s="5">
        <v>129.78</v>
      </c>
      <c r="C601" s="5">
        <v>129.9</v>
      </c>
      <c r="D601" s="5">
        <v>128.12</v>
      </c>
      <c r="E601" s="5">
        <v>128.5</v>
      </c>
      <c r="F601" s="6">
        <v>1797</v>
      </c>
    </row>
    <row r="602" spans="1:6" x14ac:dyDescent="0.2">
      <c r="A602" s="4">
        <v>45343</v>
      </c>
      <c r="B602" s="5">
        <v>127.375</v>
      </c>
      <c r="C602" s="5">
        <v>129.6</v>
      </c>
      <c r="D602" s="5">
        <v>127</v>
      </c>
      <c r="E602" s="5">
        <v>127</v>
      </c>
      <c r="F602" s="6">
        <v>3171</v>
      </c>
    </row>
    <row r="603" spans="1:6" x14ac:dyDescent="0.2">
      <c r="A603" s="4">
        <v>45344</v>
      </c>
      <c r="B603" s="5">
        <v>125.925</v>
      </c>
      <c r="C603" s="5">
        <v>127.34</v>
      </c>
      <c r="D603" s="5">
        <v>123.91</v>
      </c>
      <c r="E603" s="5">
        <v>126.4684</v>
      </c>
      <c r="F603" s="6">
        <v>2399</v>
      </c>
    </row>
    <row r="604" spans="1:6" x14ac:dyDescent="0.2">
      <c r="A604" s="4">
        <v>45345</v>
      </c>
      <c r="B604" s="5">
        <v>126.5</v>
      </c>
      <c r="C604" s="5">
        <v>129.71</v>
      </c>
      <c r="D604" s="5">
        <v>126.5</v>
      </c>
      <c r="E604" s="5">
        <v>129.15</v>
      </c>
      <c r="F604" s="6">
        <v>4487</v>
      </c>
    </row>
    <row r="605" spans="1:6" x14ac:dyDescent="0.2">
      <c r="A605" s="4">
        <v>45348</v>
      </c>
      <c r="B605" s="5">
        <v>133.1</v>
      </c>
      <c r="C605" s="5">
        <v>133.1</v>
      </c>
      <c r="D605" s="5">
        <v>129.99</v>
      </c>
      <c r="E605" s="5">
        <v>129.99</v>
      </c>
      <c r="F605" s="6">
        <v>1213</v>
      </c>
    </row>
    <row r="606" spans="1:6" x14ac:dyDescent="0.2">
      <c r="A606" s="4">
        <v>45349</v>
      </c>
      <c r="B606" s="5">
        <v>127.75</v>
      </c>
      <c r="C606" s="5">
        <v>131</v>
      </c>
      <c r="D606" s="5">
        <v>127.75</v>
      </c>
      <c r="E606" s="5">
        <v>131</v>
      </c>
      <c r="F606" s="6">
        <v>965</v>
      </c>
    </row>
    <row r="607" spans="1:6" x14ac:dyDescent="0.2">
      <c r="A607" s="4">
        <v>45350</v>
      </c>
      <c r="B607" s="5">
        <v>131</v>
      </c>
      <c r="C607" s="5">
        <v>131</v>
      </c>
      <c r="D607" s="5">
        <v>131</v>
      </c>
      <c r="E607" s="5">
        <v>131</v>
      </c>
      <c r="F607" s="6"/>
    </row>
    <row r="608" spans="1:6" x14ac:dyDescent="0.2">
      <c r="A608" s="4">
        <v>45351</v>
      </c>
      <c r="B608" s="5">
        <v>126.92610000000001</v>
      </c>
      <c r="C608" s="5">
        <v>126.92610000000001</v>
      </c>
      <c r="D608" s="5">
        <v>126.625</v>
      </c>
      <c r="E608" s="5">
        <v>126.625</v>
      </c>
      <c r="F608" s="6">
        <v>7341</v>
      </c>
    </row>
    <row r="609" spans="1:6" x14ac:dyDescent="0.2">
      <c r="A609" s="4">
        <v>45352</v>
      </c>
      <c r="B609" s="5">
        <v>127.375</v>
      </c>
      <c r="C609" s="5">
        <v>130</v>
      </c>
      <c r="D609" s="5">
        <v>126.25</v>
      </c>
      <c r="E609" s="5">
        <v>130</v>
      </c>
      <c r="F609" s="6">
        <v>5153</v>
      </c>
    </row>
    <row r="610" spans="1:6" x14ac:dyDescent="0.2">
      <c r="A610" s="4">
        <v>45355</v>
      </c>
      <c r="B610" s="5">
        <v>128.59</v>
      </c>
      <c r="C610" s="5">
        <v>129.65</v>
      </c>
      <c r="D610" s="5">
        <v>127</v>
      </c>
      <c r="E610" s="5">
        <v>129.65</v>
      </c>
      <c r="F610" s="6">
        <v>1484</v>
      </c>
    </row>
    <row r="611" spans="1:6" x14ac:dyDescent="0.2">
      <c r="A611" s="4">
        <v>45356</v>
      </c>
      <c r="B611" s="5">
        <v>128</v>
      </c>
      <c r="C611" s="5">
        <v>128</v>
      </c>
      <c r="D611" s="5">
        <v>126</v>
      </c>
      <c r="E611" s="5">
        <v>126</v>
      </c>
      <c r="F611" s="6">
        <v>1721</v>
      </c>
    </row>
    <row r="612" spans="1:6" x14ac:dyDescent="0.2">
      <c r="A612" s="4">
        <v>45357</v>
      </c>
      <c r="B612" s="5">
        <v>130.35</v>
      </c>
      <c r="C612" s="5">
        <v>130.35</v>
      </c>
      <c r="D612" s="5">
        <v>128.9</v>
      </c>
      <c r="E612" s="5">
        <v>128.9</v>
      </c>
      <c r="F612" s="6">
        <v>890</v>
      </c>
    </row>
    <row r="613" spans="1:6" x14ac:dyDescent="0.2">
      <c r="A613" s="4">
        <v>45358</v>
      </c>
      <c r="B613" s="5">
        <v>133.44999999999999</v>
      </c>
      <c r="C613" s="5">
        <v>133.44999999999999</v>
      </c>
      <c r="D613" s="5">
        <v>128.7825</v>
      </c>
      <c r="E613" s="5">
        <v>129.25</v>
      </c>
      <c r="F613" s="6">
        <v>1011</v>
      </c>
    </row>
    <row r="614" spans="1:6" x14ac:dyDescent="0.2">
      <c r="A614" s="4">
        <v>45359</v>
      </c>
      <c r="B614" s="5">
        <v>133.4</v>
      </c>
      <c r="C614" s="5">
        <v>133.4</v>
      </c>
      <c r="D614" s="5">
        <v>131.125</v>
      </c>
      <c r="E614" s="5">
        <v>131.125</v>
      </c>
      <c r="F614" s="6">
        <v>1409</v>
      </c>
    </row>
    <row r="615" spans="1:6" x14ac:dyDescent="0.2">
      <c r="A615" s="4">
        <v>45362</v>
      </c>
      <c r="B615" s="5">
        <v>133.16</v>
      </c>
      <c r="C615" s="5">
        <v>134.25</v>
      </c>
      <c r="D615" s="5">
        <v>132.5</v>
      </c>
      <c r="E615" s="5">
        <v>133.375</v>
      </c>
      <c r="F615" s="6">
        <v>1757</v>
      </c>
    </row>
    <row r="616" spans="1:6" x14ac:dyDescent="0.2">
      <c r="A616" s="4">
        <v>45363</v>
      </c>
      <c r="B616" s="5">
        <v>136.06</v>
      </c>
      <c r="C616" s="5">
        <v>136.06</v>
      </c>
      <c r="D616" s="5">
        <v>133.31989999999999</v>
      </c>
      <c r="E616" s="5">
        <v>133.31989999999999</v>
      </c>
      <c r="F616" s="6">
        <v>2194</v>
      </c>
    </row>
    <row r="617" spans="1:6" x14ac:dyDescent="0.2">
      <c r="A617" s="4">
        <v>45364</v>
      </c>
      <c r="B617" s="5">
        <v>133.53</v>
      </c>
      <c r="C617" s="5">
        <v>136.4</v>
      </c>
      <c r="D617" s="5">
        <v>133.53</v>
      </c>
      <c r="E617" s="5">
        <v>136.4</v>
      </c>
      <c r="F617" s="6">
        <v>480</v>
      </c>
    </row>
    <row r="618" spans="1:6" x14ac:dyDescent="0.2">
      <c r="A618" s="4">
        <v>45365</v>
      </c>
      <c r="B618" s="5">
        <v>135.9</v>
      </c>
      <c r="C618" s="5">
        <v>135.9</v>
      </c>
      <c r="D618" s="5">
        <v>131.875</v>
      </c>
      <c r="E618" s="5">
        <v>134.125</v>
      </c>
      <c r="F618" s="6">
        <v>1144</v>
      </c>
    </row>
    <row r="619" spans="1:6" x14ac:dyDescent="0.2">
      <c r="A619" s="4">
        <v>45366</v>
      </c>
      <c r="B619" s="5">
        <v>134.85</v>
      </c>
      <c r="C619" s="5">
        <v>134.85</v>
      </c>
      <c r="D619" s="5">
        <v>131.41990000000001</v>
      </c>
      <c r="E619" s="5">
        <v>131.41990000000001</v>
      </c>
      <c r="F619" s="6">
        <v>1045</v>
      </c>
    </row>
    <row r="620" spans="1:6" x14ac:dyDescent="0.2">
      <c r="A620" s="4">
        <v>45369</v>
      </c>
      <c r="B620" s="5">
        <v>133.08000000000001</v>
      </c>
      <c r="C620" s="5">
        <v>133.08000000000001</v>
      </c>
      <c r="D620" s="5">
        <v>130.91</v>
      </c>
      <c r="E620" s="5">
        <v>130.91</v>
      </c>
      <c r="F620" s="6">
        <v>823</v>
      </c>
    </row>
    <row r="621" spans="1:6" x14ac:dyDescent="0.2">
      <c r="A621" s="4">
        <v>45370</v>
      </c>
      <c r="B621" s="5">
        <v>127.3</v>
      </c>
      <c r="C621" s="5">
        <v>129.94</v>
      </c>
      <c r="D621" s="5">
        <v>127.3</v>
      </c>
      <c r="E621" s="5">
        <v>129.94</v>
      </c>
      <c r="F621" s="6">
        <v>790</v>
      </c>
    </row>
    <row r="622" spans="1:6" x14ac:dyDescent="0.2">
      <c r="A622" s="4">
        <v>45371</v>
      </c>
      <c r="B622" s="5">
        <v>129.5</v>
      </c>
      <c r="C622" s="5">
        <v>130.99</v>
      </c>
      <c r="D622" s="5">
        <v>129.5</v>
      </c>
      <c r="E622" s="5">
        <v>130.99</v>
      </c>
      <c r="F622" s="6">
        <v>1800</v>
      </c>
    </row>
    <row r="623" spans="1:6" x14ac:dyDescent="0.2">
      <c r="A623" s="4">
        <v>45372</v>
      </c>
      <c r="B623" s="5">
        <v>131</v>
      </c>
      <c r="C623" s="5">
        <v>131</v>
      </c>
      <c r="D623" s="5">
        <v>131</v>
      </c>
      <c r="E623" s="5">
        <v>131</v>
      </c>
      <c r="F623" s="6">
        <v>701</v>
      </c>
    </row>
    <row r="624" spans="1:6" x14ac:dyDescent="0.2">
      <c r="A624" s="4">
        <v>45373</v>
      </c>
      <c r="B624" s="5">
        <v>134.5</v>
      </c>
      <c r="C624" s="5">
        <v>134.5</v>
      </c>
      <c r="D624" s="5">
        <v>132.37</v>
      </c>
      <c r="E624" s="5">
        <v>132.37</v>
      </c>
      <c r="F624" s="6">
        <v>1334</v>
      </c>
    </row>
    <row r="625" spans="1:6" x14ac:dyDescent="0.2">
      <c r="A625" s="4">
        <v>45376</v>
      </c>
      <c r="B625" s="5">
        <v>133.36000000000001</v>
      </c>
      <c r="C625" s="5">
        <v>133.41999999999999</v>
      </c>
      <c r="D625" s="5">
        <v>133.22</v>
      </c>
      <c r="E625" s="5">
        <v>133.22</v>
      </c>
      <c r="F625" s="6">
        <v>1361</v>
      </c>
    </row>
    <row r="626" spans="1:6" x14ac:dyDescent="0.2">
      <c r="A626" s="4">
        <v>45377</v>
      </c>
      <c r="B626" s="5">
        <v>130.25</v>
      </c>
      <c r="C626" s="5">
        <v>130.55000000000001</v>
      </c>
      <c r="D626" s="5">
        <v>129.5</v>
      </c>
      <c r="E626" s="5">
        <v>130.55000000000001</v>
      </c>
      <c r="F626" s="6">
        <v>2378</v>
      </c>
    </row>
    <row r="627" spans="1:6" x14ac:dyDescent="0.2">
      <c r="A627" s="4">
        <v>45378</v>
      </c>
      <c r="B627" s="5">
        <v>133</v>
      </c>
      <c r="C627" s="5">
        <v>135.08000000000001</v>
      </c>
      <c r="D627" s="5">
        <v>133</v>
      </c>
      <c r="E627" s="5">
        <v>134.70490000000001</v>
      </c>
      <c r="F627" s="6">
        <v>2917</v>
      </c>
    </row>
    <row r="628" spans="1:6" x14ac:dyDescent="0.2">
      <c r="A628" s="4">
        <v>45379</v>
      </c>
      <c r="B628" s="5">
        <v>135.9</v>
      </c>
      <c r="C628" s="5">
        <v>136.96</v>
      </c>
      <c r="D628" s="5">
        <v>133.97989999999999</v>
      </c>
      <c r="E628" s="5">
        <v>136.96</v>
      </c>
      <c r="F628" s="6">
        <v>2850</v>
      </c>
    </row>
    <row r="629" spans="1:6" x14ac:dyDescent="0.2">
      <c r="A629" s="4">
        <v>45383</v>
      </c>
      <c r="B629" s="5">
        <v>129.54</v>
      </c>
      <c r="C629" s="5">
        <v>135.84</v>
      </c>
      <c r="D629" s="5">
        <v>129.54</v>
      </c>
      <c r="E629" s="5">
        <v>135.80000000000001</v>
      </c>
      <c r="F629" s="6">
        <v>1496</v>
      </c>
    </row>
    <row r="630" spans="1:6" x14ac:dyDescent="0.2">
      <c r="A630" s="4">
        <v>45384</v>
      </c>
      <c r="B630" s="5">
        <v>131.66</v>
      </c>
      <c r="C630" s="5">
        <v>131.66</v>
      </c>
      <c r="D630" s="5">
        <v>131.66</v>
      </c>
      <c r="E630" s="5">
        <v>131.66</v>
      </c>
      <c r="F630" s="6">
        <v>572</v>
      </c>
    </row>
    <row r="631" spans="1:6" x14ac:dyDescent="0.2">
      <c r="A631" s="4">
        <v>45385</v>
      </c>
      <c r="B631" s="5">
        <v>134.63999999999999</v>
      </c>
      <c r="C631" s="5">
        <v>134.63999999999999</v>
      </c>
      <c r="D631" s="5">
        <v>129.71</v>
      </c>
      <c r="E631" s="5">
        <v>131.76490000000001</v>
      </c>
      <c r="F631" s="6">
        <v>1469</v>
      </c>
    </row>
    <row r="632" spans="1:6" x14ac:dyDescent="0.2">
      <c r="A632" s="4">
        <v>45386</v>
      </c>
      <c r="B632" s="5">
        <v>136</v>
      </c>
      <c r="C632" s="5">
        <v>137.35</v>
      </c>
      <c r="D632" s="5">
        <v>136</v>
      </c>
      <c r="E632" s="5">
        <v>137.35</v>
      </c>
      <c r="F632" s="6">
        <v>680</v>
      </c>
    </row>
    <row r="633" spans="1:6" x14ac:dyDescent="0.2">
      <c r="A633" s="4">
        <v>45387</v>
      </c>
      <c r="B633" s="5">
        <v>133.4</v>
      </c>
      <c r="C633" s="5">
        <v>133.4</v>
      </c>
      <c r="D633" s="5">
        <v>133.22</v>
      </c>
      <c r="E633" s="5">
        <v>133.22</v>
      </c>
      <c r="F633" s="6">
        <v>1097</v>
      </c>
    </row>
    <row r="634" spans="1:6" x14ac:dyDescent="0.2">
      <c r="A634" s="4">
        <v>45390</v>
      </c>
      <c r="B634" s="5">
        <v>128.65</v>
      </c>
      <c r="C634" s="5">
        <v>136.63999999999999</v>
      </c>
      <c r="D634" s="5">
        <v>128.65</v>
      </c>
      <c r="E634" s="5">
        <v>136.63999999999999</v>
      </c>
      <c r="F634" s="6">
        <v>1461</v>
      </c>
    </row>
    <row r="635" spans="1:6" x14ac:dyDescent="0.2">
      <c r="A635" s="4">
        <v>45391</v>
      </c>
      <c r="B635" s="5">
        <v>133.91</v>
      </c>
      <c r="C635" s="5">
        <v>137.1</v>
      </c>
      <c r="D635" s="5">
        <v>133.91</v>
      </c>
      <c r="E635" s="5">
        <v>134.75989999999999</v>
      </c>
      <c r="F635" s="6">
        <v>1281</v>
      </c>
    </row>
    <row r="636" spans="1:6" x14ac:dyDescent="0.2">
      <c r="A636" s="4">
        <v>45392</v>
      </c>
      <c r="B636" s="5">
        <v>134.19999999999999</v>
      </c>
      <c r="C636" s="5">
        <v>136.25</v>
      </c>
      <c r="D636" s="5">
        <v>134.19999999999999</v>
      </c>
      <c r="E636" s="5">
        <v>136.25</v>
      </c>
      <c r="F636" s="6">
        <v>701</v>
      </c>
    </row>
    <row r="637" spans="1:6" x14ac:dyDescent="0.2">
      <c r="A637" s="4">
        <v>45393</v>
      </c>
      <c r="B637" s="5">
        <v>138.25</v>
      </c>
      <c r="C637" s="5">
        <v>139.85</v>
      </c>
      <c r="D637" s="5">
        <v>136.5</v>
      </c>
      <c r="E637" s="5">
        <v>136.5</v>
      </c>
      <c r="F637" s="6">
        <v>1669</v>
      </c>
    </row>
    <row r="638" spans="1:6" x14ac:dyDescent="0.2">
      <c r="A638" s="4">
        <v>45394</v>
      </c>
      <c r="B638" s="5">
        <v>136.75</v>
      </c>
      <c r="C638" s="5">
        <v>138.88</v>
      </c>
      <c r="D638" s="5">
        <v>136.31989999999999</v>
      </c>
      <c r="E638" s="5">
        <v>138.88</v>
      </c>
      <c r="F638" s="6">
        <v>962</v>
      </c>
    </row>
    <row r="639" spans="1:6" x14ac:dyDescent="0.2">
      <c r="A639" s="4">
        <v>45397</v>
      </c>
      <c r="B639" s="5">
        <v>137.19999999999999</v>
      </c>
      <c r="C639" s="5">
        <v>137.19999999999999</v>
      </c>
      <c r="D639" s="5">
        <v>135.94</v>
      </c>
      <c r="E639" s="5">
        <v>135.94</v>
      </c>
      <c r="F639" s="6">
        <v>765</v>
      </c>
    </row>
    <row r="640" spans="1:6" x14ac:dyDescent="0.2">
      <c r="A640" s="4">
        <v>45398</v>
      </c>
      <c r="B640" s="5">
        <v>138.80000000000001</v>
      </c>
      <c r="C640" s="5">
        <v>138.80000000000001</v>
      </c>
      <c r="D640" s="5">
        <v>135.30000000000001</v>
      </c>
      <c r="E640" s="5">
        <v>135.30500000000001</v>
      </c>
      <c r="F640" s="6">
        <v>1139</v>
      </c>
    </row>
    <row r="641" spans="1:6" x14ac:dyDescent="0.2">
      <c r="A641" s="4">
        <v>45399</v>
      </c>
      <c r="B641" s="5">
        <v>140.15</v>
      </c>
      <c r="C641" s="5">
        <v>140.15</v>
      </c>
      <c r="D641" s="5">
        <v>140.15</v>
      </c>
      <c r="E641" s="5">
        <v>140.15</v>
      </c>
      <c r="F641" s="6">
        <v>559</v>
      </c>
    </row>
    <row r="642" spans="1:6" x14ac:dyDescent="0.2">
      <c r="A642" s="4">
        <v>45400</v>
      </c>
      <c r="B642" s="5">
        <v>138.06</v>
      </c>
      <c r="C642" s="5">
        <v>138.24</v>
      </c>
      <c r="D642" s="5">
        <v>133.19999999999999</v>
      </c>
      <c r="E642" s="5">
        <v>138.24</v>
      </c>
      <c r="F642" s="6">
        <v>797</v>
      </c>
    </row>
    <row r="643" spans="1:6" x14ac:dyDescent="0.2">
      <c r="A643" s="4">
        <v>45401</v>
      </c>
      <c r="B643" s="5">
        <v>135.625</v>
      </c>
      <c r="C643" s="5">
        <v>136.19999999999999</v>
      </c>
      <c r="D643" s="5">
        <v>133.19999999999999</v>
      </c>
      <c r="E643" s="5">
        <v>136.19999999999999</v>
      </c>
      <c r="F643" s="6">
        <v>1730</v>
      </c>
    </row>
    <row r="644" spans="1:6" x14ac:dyDescent="0.2">
      <c r="A644" s="4">
        <v>45404</v>
      </c>
      <c r="B644" s="5">
        <v>138.25</v>
      </c>
      <c r="C644" s="5">
        <v>140.47</v>
      </c>
      <c r="D644" s="5">
        <v>136.35</v>
      </c>
      <c r="E644" s="5">
        <v>138.72999999999999</v>
      </c>
      <c r="F644" s="6">
        <v>3657</v>
      </c>
    </row>
    <row r="645" spans="1:6" x14ac:dyDescent="0.2">
      <c r="A645" s="4">
        <v>45405</v>
      </c>
      <c r="B645" s="5">
        <v>140.06</v>
      </c>
      <c r="C645" s="5">
        <v>143.4</v>
      </c>
      <c r="D645" s="5">
        <v>139.505</v>
      </c>
      <c r="E645" s="5">
        <v>140.30000000000001</v>
      </c>
      <c r="F645" s="6">
        <v>1510</v>
      </c>
    </row>
    <row r="646" spans="1:6" x14ac:dyDescent="0.2">
      <c r="A646" s="4">
        <v>45406</v>
      </c>
      <c r="B646" s="5">
        <v>135.35</v>
      </c>
      <c r="C646" s="5">
        <v>135.35</v>
      </c>
      <c r="D646" s="5">
        <v>135.35</v>
      </c>
      <c r="E646" s="5">
        <v>135.35</v>
      </c>
      <c r="F646" s="6">
        <v>401</v>
      </c>
    </row>
    <row r="647" spans="1:6" x14ac:dyDescent="0.2">
      <c r="A647" s="4">
        <v>45407</v>
      </c>
      <c r="B647" s="5">
        <v>150.852</v>
      </c>
      <c r="C647" s="5">
        <v>150.852</v>
      </c>
      <c r="D647" s="5">
        <v>146.0549</v>
      </c>
      <c r="E647" s="5">
        <v>146.0549</v>
      </c>
      <c r="F647" s="6">
        <v>9266</v>
      </c>
    </row>
    <row r="648" spans="1:6" x14ac:dyDescent="0.2">
      <c r="A648" s="4">
        <v>45408</v>
      </c>
      <c r="B648" s="5">
        <v>148.32490000000001</v>
      </c>
      <c r="C648" s="5">
        <v>150.78</v>
      </c>
      <c r="D648" s="5">
        <v>142.65</v>
      </c>
      <c r="E648" s="5">
        <v>145.1</v>
      </c>
      <c r="F648" s="6">
        <v>55915</v>
      </c>
    </row>
    <row r="649" spans="1:6" x14ac:dyDescent="0.2">
      <c r="A649" s="4">
        <v>45411</v>
      </c>
      <c r="B649" s="5">
        <v>146.25</v>
      </c>
      <c r="C649" s="5">
        <v>152.66</v>
      </c>
      <c r="D649" s="5">
        <v>146.25</v>
      </c>
      <c r="E649" s="5">
        <v>146.25</v>
      </c>
      <c r="F649" s="6">
        <v>16580</v>
      </c>
    </row>
    <row r="650" spans="1:6" x14ac:dyDescent="0.2">
      <c r="A650" s="4">
        <v>45412</v>
      </c>
      <c r="B650" s="5">
        <v>150.155</v>
      </c>
      <c r="C650" s="5">
        <v>151</v>
      </c>
      <c r="D650" s="5">
        <v>150.155</v>
      </c>
      <c r="E650" s="5">
        <v>151</v>
      </c>
      <c r="F650" s="6">
        <v>2125</v>
      </c>
    </row>
    <row r="651" spans="1:6" x14ac:dyDescent="0.2">
      <c r="A651" s="4">
        <v>45413</v>
      </c>
      <c r="B651" s="5">
        <v>149</v>
      </c>
      <c r="C651" s="5">
        <v>151.024</v>
      </c>
      <c r="D651" s="5">
        <v>149</v>
      </c>
      <c r="E651" s="5">
        <v>151.024</v>
      </c>
      <c r="F651" s="6">
        <v>986</v>
      </c>
    </row>
    <row r="652" spans="1:6" x14ac:dyDescent="0.2">
      <c r="A652" s="4">
        <v>45414</v>
      </c>
      <c r="B652" s="5">
        <v>153.88</v>
      </c>
      <c r="C652" s="5">
        <v>153.88</v>
      </c>
      <c r="D652" s="5">
        <v>153.47999999999999</v>
      </c>
      <c r="E652" s="5">
        <v>153.47999999999999</v>
      </c>
      <c r="F652" s="6">
        <v>579</v>
      </c>
    </row>
    <row r="653" spans="1:6" x14ac:dyDescent="0.2">
      <c r="A653" s="4">
        <v>45415</v>
      </c>
      <c r="B653" s="5">
        <v>150.16</v>
      </c>
      <c r="C653" s="5">
        <v>151</v>
      </c>
      <c r="D653" s="5">
        <v>149.245</v>
      </c>
      <c r="E653" s="5">
        <v>149.245</v>
      </c>
      <c r="F653" s="6">
        <v>1712</v>
      </c>
    </row>
    <row r="654" spans="1:6" x14ac:dyDescent="0.2">
      <c r="A654" s="4">
        <v>45418</v>
      </c>
      <c r="B654" s="5">
        <v>159.12</v>
      </c>
      <c r="C654" s="5">
        <v>159.12</v>
      </c>
      <c r="D654" s="5">
        <v>148.22999999999999</v>
      </c>
      <c r="E654" s="5">
        <v>148.22999999999999</v>
      </c>
      <c r="F654" s="6">
        <v>1851</v>
      </c>
    </row>
    <row r="655" spans="1:6" x14ac:dyDescent="0.2">
      <c r="A655" s="4">
        <v>45419</v>
      </c>
      <c r="B655" s="5">
        <v>157.63999999999999</v>
      </c>
      <c r="C655" s="5">
        <v>157.63999999999999</v>
      </c>
      <c r="D655" s="5">
        <v>146.65</v>
      </c>
      <c r="E655" s="5">
        <v>146.65</v>
      </c>
      <c r="F655" s="6">
        <v>10261</v>
      </c>
    </row>
    <row r="656" spans="1:6" x14ac:dyDescent="0.2">
      <c r="A656" s="4">
        <v>45420</v>
      </c>
      <c r="B656" s="5">
        <v>155.12</v>
      </c>
      <c r="C656" s="5">
        <v>155.12</v>
      </c>
      <c r="D656" s="5">
        <v>150.76</v>
      </c>
      <c r="E656" s="5">
        <v>152.4</v>
      </c>
      <c r="F656" s="6">
        <v>15196</v>
      </c>
    </row>
    <row r="657" spans="1:6" x14ac:dyDescent="0.2">
      <c r="A657" s="4">
        <v>45421</v>
      </c>
      <c r="B657" s="5">
        <v>147.65</v>
      </c>
      <c r="C657" s="5">
        <v>152.33000000000001</v>
      </c>
      <c r="D657" s="5">
        <v>147.65</v>
      </c>
      <c r="E657" s="5">
        <v>152.33000000000001</v>
      </c>
      <c r="F657" s="6">
        <v>775</v>
      </c>
    </row>
    <row r="658" spans="1:6" x14ac:dyDescent="0.2">
      <c r="A658" s="4">
        <v>45422</v>
      </c>
      <c r="B658" s="5">
        <v>156.62</v>
      </c>
      <c r="C658" s="5">
        <v>156.62</v>
      </c>
      <c r="D658" s="5">
        <v>156.00729999999999</v>
      </c>
      <c r="E658" s="5">
        <v>156.00729999999999</v>
      </c>
      <c r="F658" s="6">
        <v>19656</v>
      </c>
    </row>
    <row r="659" spans="1:6" x14ac:dyDescent="0.2">
      <c r="A659" s="4">
        <v>45425</v>
      </c>
      <c r="B659" s="5">
        <v>155.76</v>
      </c>
      <c r="C659" s="5">
        <v>155.84</v>
      </c>
      <c r="D659" s="5">
        <v>155.76</v>
      </c>
      <c r="E659" s="5">
        <v>155.84</v>
      </c>
      <c r="F659" s="6">
        <v>550</v>
      </c>
    </row>
    <row r="660" spans="1:6" x14ac:dyDescent="0.2">
      <c r="A660" s="4">
        <v>45426</v>
      </c>
      <c r="B660" s="5">
        <v>149.65</v>
      </c>
      <c r="C660" s="5">
        <v>156.06</v>
      </c>
      <c r="D660" s="5">
        <v>149.65</v>
      </c>
      <c r="E660" s="5">
        <v>152.87989999999999</v>
      </c>
      <c r="F660" s="6">
        <v>1169</v>
      </c>
    </row>
    <row r="661" spans="1:6" x14ac:dyDescent="0.2">
      <c r="A661" s="4">
        <v>45427</v>
      </c>
      <c r="B661" s="5">
        <v>153</v>
      </c>
      <c r="C661" s="5">
        <v>153</v>
      </c>
      <c r="D661" s="5">
        <v>153</v>
      </c>
      <c r="E661" s="5">
        <v>153</v>
      </c>
      <c r="F661" s="6">
        <v>765</v>
      </c>
    </row>
    <row r="662" spans="1:6" x14ac:dyDescent="0.2">
      <c r="A662" s="4">
        <v>45428</v>
      </c>
      <c r="B662" s="5">
        <v>154.56</v>
      </c>
      <c r="C662" s="5">
        <v>155.72</v>
      </c>
      <c r="D662" s="5">
        <v>154.56</v>
      </c>
      <c r="E662" s="5">
        <v>155.72</v>
      </c>
      <c r="F662" s="6">
        <v>1291</v>
      </c>
    </row>
    <row r="663" spans="1:6" x14ac:dyDescent="0.2">
      <c r="A663" s="4">
        <v>45429</v>
      </c>
      <c r="B663" s="5">
        <v>157.05000000000001</v>
      </c>
      <c r="C663" s="5">
        <v>157.05000000000001</v>
      </c>
      <c r="D663" s="5">
        <v>152.28</v>
      </c>
      <c r="E663" s="5">
        <v>155.26</v>
      </c>
      <c r="F663" s="6">
        <v>921</v>
      </c>
    </row>
    <row r="664" spans="1:6" x14ac:dyDescent="0.2">
      <c r="A664" s="4">
        <v>45432</v>
      </c>
      <c r="B664" s="5">
        <v>153.02000000000001</v>
      </c>
      <c r="C664" s="5">
        <v>154.61000000000001</v>
      </c>
      <c r="D664" s="5">
        <v>153.02000000000001</v>
      </c>
      <c r="E664" s="5">
        <v>154.61000000000001</v>
      </c>
      <c r="F664" s="6">
        <v>633</v>
      </c>
    </row>
    <row r="665" spans="1:6" x14ac:dyDescent="0.2">
      <c r="A665" s="4">
        <v>45433</v>
      </c>
      <c r="B665" s="5">
        <v>159.06</v>
      </c>
      <c r="C665" s="5">
        <v>159.06</v>
      </c>
      <c r="D665" s="5">
        <v>159.06</v>
      </c>
      <c r="E665" s="5">
        <v>159.06</v>
      </c>
      <c r="F665" s="6">
        <v>579</v>
      </c>
    </row>
    <row r="666" spans="1:6" x14ac:dyDescent="0.2">
      <c r="A666" s="4">
        <v>45434</v>
      </c>
      <c r="B666" s="5">
        <v>155.97989999999999</v>
      </c>
      <c r="C666" s="5">
        <v>158.74</v>
      </c>
      <c r="D666" s="5">
        <v>155.97989999999999</v>
      </c>
      <c r="E666" s="5">
        <v>158.74</v>
      </c>
      <c r="F666" s="6">
        <v>506</v>
      </c>
    </row>
    <row r="667" spans="1:6" x14ac:dyDescent="0.2">
      <c r="A667" s="4">
        <v>45435</v>
      </c>
      <c r="B667" s="5">
        <v>155.35</v>
      </c>
      <c r="C667" s="5">
        <v>159.36000000000001</v>
      </c>
      <c r="D667" s="5">
        <v>155.35</v>
      </c>
      <c r="E667" s="5">
        <v>159.36000000000001</v>
      </c>
      <c r="F667" s="6">
        <v>778</v>
      </c>
    </row>
    <row r="668" spans="1:6" x14ac:dyDescent="0.2">
      <c r="A668" s="4">
        <v>45436</v>
      </c>
      <c r="B668" s="5">
        <v>153.61000000000001</v>
      </c>
      <c r="C668" s="5">
        <v>159.12</v>
      </c>
      <c r="D668" s="5">
        <v>153.61000000000001</v>
      </c>
      <c r="E668" s="5">
        <v>159.12</v>
      </c>
      <c r="F668" s="6">
        <v>2751</v>
      </c>
    </row>
    <row r="669" spans="1:6" x14ac:dyDescent="0.2">
      <c r="A669" s="4">
        <v>45440</v>
      </c>
      <c r="B669" s="5">
        <v>153.01</v>
      </c>
      <c r="C669" s="5">
        <v>159.84</v>
      </c>
      <c r="D669" s="5">
        <v>151.97989999999999</v>
      </c>
      <c r="E669" s="5">
        <v>158.5</v>
      </c>
      <c r="F669" s="6">
        <v>3737</v>
      </c>
    </row>
    <row r="670" spans="1:6" x14ac:dyDescent="0.2">
      <c r="A670" s="4">
        <v>45441</v>
      </c>
      <c r="B670" s="5">
        <v>153.9</v>
      </c>
      <c r="C670" s="5">
        <v>154.19999999999999</v>
      </c>
      <c r="D670" s="5">
        <v>146.19999999999999</v>
      </c>
      <c r="E670" s="5">
        <v>146.19999999999999</v>
      </c>
      <c r="F670" s="6">
        <v>1217</v>
      </c>
    </row>
    <row r="671" spans="1:6" x14ac:dyDescent="0.2">
      <c r="A671" s="4">
        <v>45442</v>
      </c>
      <c r="B671" s="5">
        <v>146.19999999999999</v>
      </c>
      <c r="C671" s="5">
        <v>146.19999999999999</v>
      </c>
      <c r="D671" s="5">
        <v>146.19999999999999</v>
      </c>
      <c r="E671" s="5">
        <v>146.19999999999999</v>
      </c>
      <c r="F671" s="6"/>
    </row>
    <row r="672" spans="1:6" x14ac:dyDescent="0.2">
      <c r="A672" s="4">
        <v>45443</v>
      </c>
      <c r="B672" s="5">
        <v>153.78</v>
      </c>
      <c r="C672" s="5">
        <v>153.78</v>
      </c>
      <c r="D672" s="5">
        <v>153.78</v>
      </c>
      <c r="E672" s="5">
        <v>153.78</v>
      </c>
      <c r="F672" s="6">
        <v>411</v>
      </c>
    </row>
    <row r="673" spans="1:6" x14ac:dyDescent="0.2">
      <c r="A673" s="4">
        <v>45446</v>
      </c>
      <c r="B673" s="5">
        <v>158</v>
      </c>
      <c r="C673" s="5">
        <v>158.43</v>
      </c>
      <c r="D673" s="5">
        <v>157.88999999999999</v>
      </c>
      <c r="E673" s="5">
        <v>158.43</v>
      </c>
      <c r="F673" s="6">
        <v>1854</v>
      </c>
    </row>
    <row r="674" spans="1:6" x14ac:dyDescent="0.2">
      <c r="A674" s="4">
        <v>45447</v>
      </c>
      <c r="B674" s="5">
        <v>158</v>
      </c>
      <c r="C674" s="5">
        <v>159.9</v>
      </c>
      <c r="D674" s="5">
        <v>152.69999999999999</v>
      </c>
      <c r="E674" s="5">
        <v>156.35</v>
      </c>
      <c r="F674" s="6">
        <v>1874</v>
      </c>
    </row>
    <row r="675" spans="1:6" x14ac:dyDescent="0.2">
      <c r="A675" s="4">
        <v>45448</v>
      </c>
      <c r="B675" s="5">
        <v>160</v>
      </c>
      <c r="C675" s="5">
        <v>160.1</v>
      </c>
      <c r="D675" s="5">
        <v>159.535</v>
      </c>
      <c r="E675" s="5">
        <v>160.1</v>
      </c>
      <c r="F675" s="6">
        <v>3225</v>
      </c>
    </row>
    <row r="676" spans="1:6" x14ac:dyDescent="0.2">
      <c r="A676" s="4">
        <v>45449</v>
      </c>
      <c r="B676" s="5">
        <v>157.94999999999999</v>
      </c>
      <c r="C676" s="5">
        <v>159.96</v>
      </c>
      <c r="D676" s="5">
        <v>157.94999999999999</v>
      </c>
      <c r="E676" s="5">
        <v>159.96</v>
      </c>
      <c r="F676" s="6">
        <v>665</v>
      </c>
    </row>
    <row r="677" spans="1:6" x14ac:dyDescent="0.2">
      <c r="A677" s="4">
        <v>45450</v>
      </c>
      <c r="B677" s="5">
        <v>159.96</v>
      </c>
      <c r="C677" s="5">
        <v>159.96</v>
      </c>
      <c r="D677" s="5">
        <v>159.96</v>
      </c>
      <c r="E677" s="5">
        <v>159.96</v>
      </c>
      <c r="F677" s="6"/>
    </row>
    <row r="678" spans="1:6" x14ac:dyDescent="0.2">
      <c r="A678" s="4">
        <v>45453</v>
      </c>
      <c r="B678" s="5">
        <v>161.86000000000001</v>
      </c>
      <c r="C678" s="5">
        <v>162</v>
      </c>
      <c r="D678" s="5">
        <v>159.37989999999999</v>
      </c>
      <c r="E678" s="5">
        <v>159.37989999999999</v>
      </c>
      <c r="F678" s="6">
        <v>1852</v>
      </c>
    </row>
    <row r="679" spans="1:6" x14ac:dyDescent="0.2">
      <c r="A679" s="4">
        <v>45454</v>
      </c>
      <c r="B679" s="5">
        <v>160.55000000000001</v>
      </c>
      <c r="C679" s="5">
        <v>161</v>
      </c>
      <c r="D679" s="5">
        <v>157.55000000000001</v>
      </c>
      <c r="E679" s="5">
        <v>161</v>
      </c>
      <c r="F679" s="6">
        <v>6927</v>
      </c>
    </row>
    <row r="680" spans="1:6" x14ac:dyDescent="0.2">
      <c r="A680" s="4">
        <v>45455</v>
      </c>
      <c r="B680" s="5">
        <v>158.75</v>
      </c>
      <c r="C680" s="5">
        <v>160.44999999999999</v>
      </c>
      <c r="D680" s="5">
        <v>158.155</v>
      </c>
      <c r="E680" s="5">
        <v>160.44999999999999</v>
      </c>
      <c r="F680" s="6">
        <v>2066</v>
      </c>
    </row>
    <row r="681" spans="1:6" x14ac:dyDescent="0.2">
      <c r="A681" s="4">
        <v>45456</v>
      </c>
      <c r="B681" s="5">
        <v>160.44999999999999</v>
      </c>
      <c r="C681" s="5">
        <v>160.44999999999999</v>
      </c>
      <c r="D681" s="5">
        <v>160.44999999999999</v>
      </c>
      <c r="E681" s="5">
        <v>160.44999999999999</v>
      </c>
      <c r="F681" s="6"/>
    </row>
    <row r="682" spans="1:6" x14ac:dyDescent="0.2">
      <c r="A682" s="4">
        <v>45457</v>
      </c>
      <c r="B682" s="5">
        <v>159.84</v>
      </c>
      <c r="C682" s="5">
        <v>160.41999999999999</v>
      </c>
      <c r="D682" s="5">
        <v>153</v>
      </c>
      <c r="E682" s="5">
        <v>160.41999999999999</v>
      </c>
      <c r="F682" s="6">
        <v>2107</v>
      </c>
    </row>
    <row r="683" spans="1:6" x14ac:dyDescent="0.2">
      <c r="A683" s="4">
        <v>45460</v>
      </c>
      <c r="B683" s="5">
        <v>160.41999999999999</v>
      </c>
      <c r="C683" s="5">
        <v>160.41999999999999</v>
      </c>
      <c r="D683" s="5">
        <v>160.41999999999999</v>
      </c>
      <c r="E683" s="5">
        <v>160.41999999999999</v>
      </c>
      <c r="F683" s="6"/>
    </row>
    <row r="684" spans="1:6" x14ac:dyDescent="0.2">
      <c r="A684" s="4">
        <v>45461</v>
      </c>
      <c r="B684" s="5">
        <v>154.75</v>
      </c>
      <c r="C684" s="5">
        <v>158.80000000000001</v>
      </c>
      <c r="D684" s="5">
        <v>154.75</v>
      </c>
      <c r="E684" s="5">
        <v>158.80000000000001</v>
      </c>
      <c r="F684" s="6">
        <v>893</v>
      </c>
    </row>
    <row r="685" spans="1:6" x14ac:dyDescent="0.2">
      <c r="A685" s="4">
        <v>45463</v>
      </c>
      <c r="B685" s="5">
        <v>156.6</v>
      </c>
      <c r="C685" s="5">
        <v>156.6</v>
      </c>
      <c r="D685" s="5">
        <v>152</v>
      </c>
      <c r="E685" s="5">
        <v>152</v>
      </c>
      <c r="F685" s="6">
        <v>1878</v>
      </c>
    </row>
    <row r="686" spans="1:6" x14ac:dyDescent="0.2">
      <c r="A686" s="4">
        <v>45464</v>
      </c>
      <c r="B686" s="5">
        <v>152</v>
      </c>
      <c r="C686" s="5">
        <v>152</v>
      </c>
      <c r="D686" s="5">
        <v>152</v>
      </c>
      <c r="E686" s="5">
        <v>152</v>
      </c>
      <c r="F686" s="6"/>
    </row>
    <row r="687" spans="1:6" x14ac:dyDescent="0.2">
      <c r="A687" s="4">
        <v>45467</v>
      </c>
      <c r="B687" s="5">
        <v>161.99</v>
      </c>
      <c r="C687" s="5">
        <v>161.99</v>
      </c>
      <c r="D687" s="5">
        <v>152.11000000000001</v>
      </c>
      <c r="E687" s="5">
        <v>152.11000000000001</v>
      </c>
      <c r="F687" s="6">
        <v>837</v>
      </c>
    </row>
    <row r="688" spans="1:6" x14ac:dyDescent="0.2">
      <c r="A688" s="4">
        <v>45468</v>
      </c>
      <c r="B688" s="5">
        <v>153.23150000000001</v>
      </c>
      <c r="C688" s="5">
        <v>161</v>
      </c>
      <c r="D688" s="5">
        <v>153.23150000000001</v>
      </c>
      <c r="E688" s="5">
        <v>157.87989999999999</v>
      </c>
      <c r="F688" s="6">
        <v>947</v>
      </c>
    </row>
    <row r="689" spans="1:6" x14ac:dyDescent="0.2">
      <c r="A689" s="4">
        <v>45469</v>
      </c>
      <c r="B689" s="5">
        <v>157.87989999999999</v>
      </c>
      <c r="C689" s="5">
        <v>157.87989999999999</v>
      </c>
      <c r="D689" s="5">
        <v>157.87989999999999</v>
      </c>
      <c r="E689" s="5">
        <v>157.87989999999999</v>
      </c>
      <c r="F689" s="6"/>
    </row>
    <row r="690" spans="1:6" x14ac:dyDescent="0.2">
      <c r="A690" s="4">
        <v>45470</v>
      </c>
      <c r="B690" s="5">
        <v>159.30000000000001</v>
      </c>
      <c r="C690" s="5">
        <v>159.30000000000001</v>
      </c>
      <c r="D690" s="5">
        <v>157.5</v>
      </c>
      <c r="E690" s="5">
        <v>158.63999999999999</v>
      </c>
      <c r="F690" s="6">
        <v>1243</v>
      </c>
    </row>
    <row r="691" spans="1:6" x14ac:dyDescent="0.2">
      <c r="A691" s="4">
        <v>45471</v>
      </c>
      <c r="B691" s="5">
        <v>153.94999999999999</v>
      </c>
      <c r="C691" s="5">
        <v>158.9</v>
      </c>
      <c r="D691" s="5">
        <v>153.94999999999999</v>
      </c>
      <c r="E691" s="5">
        <v>156.26750000000001</v>
      </c>
      <c r="F691" s="6">
        <v>1001</v>
      </c>
    </row>
    <row r="692" spans="1:6" x14ac:dyDescent="0.2">
      <c r="A692" s="4">
        <v>45474</v>
      </c>
      <c r="B692" s="5">
        <v>157.5</v>
      </c>
      <c r="C692" s="5">
        <v>157.5</v>
      </c>
      <c r="D692" s="5">
        <v>157.5</v>
      </c>
      <c r="E692" s="5">
        <v>157.5</v>
      </c>
      <c r="F692" s="6">
        <v>1031</v>
      </c>
    </row>
    <row r="693" spans="1:6" x14ac:dyDescent="0.2">
      <c r="A693" s="4">
        <v>45475</v>
      </c>
      <c r="B693" s="5">
        <v>148.80000000000001</v>
      </c>
      <c r="C693" s="5">
        <v>154.72</v>
      </c>
      <c r="D693" s="5">
        <v>148.80000000000001</v>
      </c>
      <c r="E693" s="5">
        <v>154.72</v>
      </c>
      <c r="F693" s="6">
        <v>998</v>
      </c>
    </row>
    <row r="694" spans="1:6" x14ac:dyDescent="0.2">
      <c r="A694" s="4">
        <v>45476</v>
      </c>
      <c r="B694" s="5">
        <v>154.66</v>
      </c>
      <c r="C694" s="5">
        <v>154.66</v>
      </c>
      <c r="D694" s="5">
        <v>147.15</v>
      </c>
      <c r="E694" s="5">
        <v>147.15</v>
      </c>
      <c r="F694" s="6">
        <v>1378</v>
      </c>
    </row>
    <row r="695" spans="1:6" x14ac:dyDescent="0.2">
      <c r="A695" s="4">
        <v>45478</v>
      </c>
      <c r="B695" s="5">
        <v>148.69999999999999</v>
      </c>
      <c r="C695" s="5">
        <v>148.69999999999999</v>
      </c>
      <c r="D695" s="5">
        <v>148.69999999999999</v>
      </c>
      <c r="E695" s="5">
        <v>148.69999999999999</v>
      </c>
      <c r="F695" s="6">
        <v>1695</v>
      </c>
    </row>
    <row r="696" spans="1:6" x14ac:dyDescent="0.2">
      <c r="A696" s="4">
        <v>45481</v>
      </c>
      <c r="B696" s="5">
        <v>157.84</v>
      </c>
      <c r="C696" s="5">
        <v>157.84</v>
      </c>
      <c r="D696" s="5">
        <v>157</v>
      </c>
      <c r="E696" s="5">
        <v>157</v>
      </c>
      <c r="F696" s="6">
        <v>1320</v>
      </c>
    </row>
    <row r="697" spans="1:6" x14ac:dyDescent="0.2">
      <c r="A697" s="4">
        <v>45482</v>
      </c>
      <c r="B697" s="5">
        <v>154.125</v>
      </c>
      <c r="C697" s="5">
        <v>154.35</v>
      </c>
      <c r="D697" s="5">
        <v>150</v>
      </c>
      <c r="E697" s="5">
        <v>154.35</v>
      </c>
      <c r="F697" s="6">
        <v>1293</v>
      </c>
    </row>
    <row r="698" spans="1:6" x14ac:dyDescent="0.2">
      <c r="A698" s="4">
        <v>45483</v>
      </c>
      <c r="B698" s="5">
        <v>151.02500000000001</v>
      </c>
      <c r="C698" s="5">
        <v>153.86000000000001</v>
      </c>
      <c r="D698" s="5">
        <v>151.02500000000001</v>
      </c>
      <c r="E698" s="5">
        <v>153.86000000000001</v>
      </c>
      <c r="F698" s="6">
        <v>905</v>
      </c>
    </row>
    <row r="699" spans="1:6" x14ac:dyDescent="0.2">
      <c r="A699" s="4">
        <v>45484</v>
      </c>
      <c r="B699" s="5">
        <v>154.5</v>
      </c>
      <c r="C699" s="5">
        <v>154.5</v>
      </c>
      <c r="D699" s="5">
        <v>153.41</v>
      </c>
      <c r="E699" s="5">
        <v>153.41</v>
      </c>
      <c r="F699" s="6">
        <v>606</v>
      </c>
    </row>
    <row r="700" spans="1:6" x14ac:dyDescent="0.2">
      <c r="A700" s="4">
        <v>45485</v>
      </c>
      <c r="B700" s="5">
        <v>153.41</v>
      </c>
      <c r="C700" s="5">
        <v>153.41</v>
      </c>
      <c r="D700" s="5">
        <v>153.41</v>
      </c>
      <c r="E700" s="5">
        <v>153.41</v>
      </c>
      <c r="F700" s="6"/>
    </row>
    <row r="701" spans="1:6" x14ac:dyDescent="0.2">
      <c r="A701" s="4">
        <v>45488</v>
      </c>
      <c r="B701" s="5">
        <v>156.13990000000001</v>
      </c>
      <c r="C701" s="5">
        <v>156.13990000000001</v>
      </c>
      <c r="D701" s="5">
        <v>156.13990000000001</v>
      </c>
      <c r="E701" s="5">
        <v>156.13990000000001</v>
      </c>
      <c r="F701" s="6">
        <v>705</v>
      </c>
    </row>
    <row r="702" spans="1:6" x14ac:dyDescent="0.2">
      <c r="A702" s="4">
        <v>45489</v>
      </c>
      <c r="B702" s="5">
        <v>155.37989999999999</v>
      </c>
      <c r="C702" s="5">
        <v>156.18</v>
      </c>
      <c r="D702" s="5">
        <v>155.37989999999999</v>
      </c>
      <c r="E702" s="5">
        <v>156.18</v>
      </c>
      <c r="F702" s="6">
        <v>624</v>
      </c>
    </row>
    <row r="703" spans="1:6" x14ac:dyDescent="0.2">
      <c r="A703" s="4">
        <v>45490</v>
      </c>
      <c r="B703" s="5">
        <v>156.18</v>
      </c>
      <c r="C703" s="5">
        <v>156.18</v>
      </c>
      <c r="D703" s="5">
        <v>156.18</v>
      </c>
      <c r="E703" s="5">
        <v>156.18</v>
      </c>
      <c r="F703" s="6"/>
    </row>
    <row r="704" spans="1:6" x14ac:dyDescent="0.2">
      <c r="A704" s="4">
        <v>45491</v>
      </c>
      <c r="B704" s="5">
        <v>160</v>
      </c>
      <c r="C704" s="5">
        <v>160</v>
      </c>
      <c r="D704" s="5">
        <v>154.33029999999999</v>
      </c>
      <c r="E704" s="5">
        <v>154.33029999999999</v>
      </c>
      <c r="F704" s="6">
        <v>1859</v>
      </c>
    </row>
    <row r="705" spans="1:6" x14ac:dyDescent="0.2">
      <c r="A705" s="4">
        <v>45492</v>
      </c>
      <c r="B705" s="5">
        <v>154.30000000000001</v>
      </c>
      <c r="C705" s="5">
        <v>154.30000000000001</v>
      </c>
      <c r="D705" s="5">
        <v>154.30000000000001</v>
      </c>
      <c r="E705" s="5">
        <v>154.30000000000001</v>
      </c>
      <c r="F705" s="6">
        <v>1261</v>
      </c>
    </row>
    <row r="706" spans="1:6" x14ac:dyDescent="0.2">
      <c r="A706" s="4">
        <v>45495</v>
      </c>
      <c r="B706" s="5">
        <v>158.62</v>
      </c>
      <c r="C706" s="5">
        <v>158.62</v>
      </c>
      <c r="D706" s="5">
        <v>155.59</v>
      </c>
      <c r="E706" s="5">
        <v>157.85</v>
      </c>
      <c r="F706" s="6">
        <v>1602</v>
      </c>
    </row>
    <row r="707" spans="1:6" x14ac:dyDescent="0.2">
      <c r="A707" s="4">
        <v>45496</v>
      </c>
      <c r="B707" s="5">
        <v>159.85</v>
      </c>
      <c r="C707" s="5">
        <v>159.85</v>
      </c>
      <c r="D707" s="5">
        <v>159.85</v>
      </c>
      <c r="E707" s="5">
        <v>159.85</v>
      </c>
      <c r="F707" s="6">
        <v>2118</v>
      </c>
    </row>
    <row r="708" spans="1:6" x14ac:dyDescent="0.2">
      <c r="A708" s="4">
        <v>45497</v>
      </c>
      <c r="B708" s="5">
        <v>158.82499999999999</v>
      </c>
      <c r="C708" s="5">
        <v>158.82499999999999</v>
      </c>
      <c r="D708" s="5">
        <v>157.25</v>
      </c>
      <c r="E708" s="5">
        <v>157.25</v>
      </c>
      <c r="F708" s="6">
        <v>854</v>
      </c>
    </row>
    <row r="709" spans="1:6" x14ac:dyDescent="0.2">
      <c r="A709" s="4">
        <v>45498</v>
      </c>
      <c r="B709" s="5">
        <v>155.47999999999999</v>
      </c>
      <c r="C709" s="5">
        <v>155.47999999999999</v>
      </c>
      <c r="D709" s="5">
        <v>155.47999999999999</v>
      </c>
      <c r="E709" s="5">
        <v>155.47999999999999</v>
      </c>
      <c r="F709" s="6">
        <v>661</v>
      </c>
    </row>
    <row r="710" spans="1:6" x14ac:dyDescent="0.2">
      <c r="A710" s="4">
        <v>45499</v>
      </c>
      <c r="B710" s="5">
        <v>157.49</v>
      </c>
      <c r="C710" s="5">
        <v>160.785</v>
      </c>
      <c r="D710" s="5">
        <v>157.49</v>
      </c>
      <c r="E710" s="5">
        <v>159.465</v>
      </c>
      <c r="F710" s="6">
        <v>1420</v>
      </c>
    </row>
    <row r="711" spans="1:6" x14ac:dyDescent="0.2">
      <c r="A711" s="4">
        <v>45502</v>
      </c>
      <c r="B711" s="5">
        <v>156.28</v>
      </c>
      <c r="C711" s="5">
        <v>156.28</v>
      </c>
      <c r="D711" s="5">
        <v>156.28</v>
      </c>
      <c r="E711" s="5">
        <v>156.28</v>
      </c>
      <c r="F711" s="6">
        <v>568</v>
      </c>
    </row>
    <row r="712" spans="1:6" x14ac:dyDescent="0.2">
      <c r="A712" s="4">
        <v>45503</v>
      </c>
      <c r="B712" s="5">
        <v>156.28</v>
      </c>
      <c r="C712" s="5">
        <v>156.28</v>
      </c>
      <c r="D712" s="5">
        <v>156.28</v>
      </c>
      <c r="E712" s="5">
        <v>156.28</v>
      </c>
      <c r="F712" s="6"/>
    </row>
    <row r="713" spans="1:6" x14ac:dyDescent="0.2">
      <c r="A713" s="4">
        <v>45504</v>
      </c>
      <c r="B713" s="5">
        <v>159.5</v>
      </c>
      <c r="C713" s="5">
        <v>159.5</v>
      </c>
      <c r="D713" s="5">
        <v>156.35</v>
      </c>
      <c r="E713" s="5">
        <v>156.35</v>
      </c>
      <c r="F713" s="6">
        <v>13053</v>
      </c>
    </row>
    <row r="714" spans="1:6" x14ac:dyDescent="0.2">
      <c r="A714" s="4">
        <v>45505</v>
      </c>
      <c r="B714" s="5">
        <v>160</v>
      </c>
      <c r="C714" s="5">
        <v>160.63999999999999</v>
      </c>
      <c r="D714" s="5">
        <v>159.4145</v>
      </c>
      <c r="E714" s="5">
        <v>160.6</v>
      </c>
      <c r="F714" s="6">
        <v>3512</v>
      </c>
    </row>
    <row r="715" spans="1:6" x14ac:dyDescent="0.2">
      <c r="A715" s="4">
        <v>45506</v>
      </c>
      <c r="B715" s="5">
        <v>163.92</v>
      </c>
      <c r="C715" s="5">
        <v>164.02</v>
      </c>
      <c r="D715" s="5">
        <v>163.92</v>
      </c>
      <c r="E715" s="5">
        <v>164.02</v>
      </c>
      <c r="F715" s="6">
        <v>1109</v>
      </c>
    </row>
    <row r="716" spans="1:6" x14ac:dyDescent="0.2">
      <c r="A716" s="4">
        <v>45509</v>
      </c>
      <c r="B716" s="5">
        <v>156.88</v>
      </c>
      <c r="C716" s="5">
        <v>156.88</v>
      </c>
      <c r="D716" s="5">
        <v>156.88</v>
      </c>
      <c r="E716" s="5">
        <v>156.88</v>
      </c>
      <c r="F716" s="6">
        <v>470</v>
      </c>
    </row>
    <row r="717" spans="1:6" x14ac:dyDescent="0.2">
      <c r="A717" s="4">
        <v>45510</v>
      </c>
      <c r="B717" s="5">
        <v>157.66</v>
      </c>
      <c r="C717" s="5">
        <v>157.66</v>
      </c>
      <c r="D717" s="5">
        <v>152.94999999999999</v>
      </c>
      <c r="E717" s="5">
        <v>152.94999999999999</v>
      </c>
      <c r="F717" s="6">
        <v>1228</v>
      </c>
    </row>
    <row r="718" spans="1:6" x14ac:dyDescent="0.2">
      <c r="A718" s="4">
        <v>45511</v>
      </c>
      <c r="B718" s="5">
        <v>158.01</v>
      </c>
      <c r="C718" s="5">
        <v>162.6</v>
      </c>
      <c r="D718" s="5">
        <v>158.01</v>
      </c>
      <c r="E718" s="5">
        <v>159.75989999999999</v>
      </c>
      <c r="F718" s="6">
        <v>1401</v>
      </c>
    </row>
    <row r="719" spans="1:6" x14ac:dyDescent="0.2">
      <c r="A719" s="4">
        <v>45512</v>
      </c>
      <c r="B719" s="5">
        <v>165.6</v>
      </c>
      <c r="C719" s="5">
        <v>165.6</v>
      </c>
      <c r="D719" s="5">
        <v>165.6</v>
      </c>
      <c r="E719" s="5">
        <v>165.6</v>
      </c>
      <c r="F719" s="6">
        <v>465</v>
      </c>
    </row>
    <row r="720" spans="1:6" x14ac:dyDescent="0.2">
      <c r="A720" s="4">
        <v>45513</v>
      </c>
      <c r="B720" s="5">
        <v>165.6</v>
      </c>
      <c r="C720" s="5">
        <v>165.6</v>
      </c>
      <c r="D720" s="5">
        <v>165.6</v>
      </c>
      <c r="E720" s="5">
        <v>165.6</v>
      </c>
      <c r="F720" s="6"/>
    </row>
    <row r="721" spans="1:6" x14ac:dyDescent="0.2">
      <c r="A721" s="4">
        <v>45516</v>
      </c>
      <c r="B721" s="5">
        <v>160.7099</v>
      </c>
      <c r="C721" s="5">
        <v>160.7099</v>
      </c>
      <c r="D721" s="5">
        <v>160.7099</v>
      </c>
      <c r="E721" s="5">
        <v>160.7099</v>
      </c>
      <c r="F721" s="6">
        <v>698</v>
      </c>
    </row>
    <row r="722" spans="1:6" x14ac:dyDescent="0.2">
      <c r="A722" s="4">
        <v>45517</v>
      </c>
      <c r="B722" s="5">
        <v>165</v>
      </c>
      <c r="C722" s="5">
        <v>165</v>
      </c>
      <c r="D722" s="5">
        <v>161.0325</v>
      </c>
      <c r="E722" s="5">
        <v>163.56</v>
      </c>
      <c r="F722" s="6">
        <v>529</v>
      </c>
    </row>
    <row r="723" spans="1:6" x14ac:dyDescent="0.2">
      <c r="A723" s="4">
        <v>45518</v>
      </c>
      <c r="B723" s="5">
        <v>162.66</v>
      </c>
      <c r="C723" s="5">
        <v>166.6</v>
      </c>
      <c r="D723" s="5">
        <v>162.66</v>
      </c>
      <c r="E723" s="5">
        <v>166</v>
      </c>
      <c r="F723" s="6">
        <v>633</v>
      </c>
    </row>
    <row r="724" spans="1:6" x14ac:dyDescent="0.2">
      <c r="A724" s="4">
        <v>45519</v>
      </c>
      <c r="B724" s="5">
        <v>167.1</v>
      </c>
      <c r="C724" s="5">
        <v>169.72499999999999</v>
      </c>
      <c r="D724" s="5">
        <v>167</v>
      </c>
      <c r="E724" s="5">
        <v>167</v>
      </c>
      <c r="F724" s="6">
        <v>1436</v>
      </c>
    </row>
    <row r="725" spans="1:6" x14ac:dyDescent="0.2">
      <c r="A725" s="4">
        <v>45520</v>
      </c>
      <c r="B725" s="5">
        <v>169.9</v>
      </c>
      <c r="C725" s="5">
        <v>169.9</v>
      </c>
      <c r="D725" s="5">
        <v>169.9</v>
      </c>
      <c r="E725" s="5">
        <v>169.9</v>
      </c>
      <c r="F725" s="6">
        <v>562</v>
      </c>
    </row>
    <row r="726" spans="1:6" x14ac:dyDescent="0.2">
      <c r="A726" s="4">
        <v>45523</v>
      </c>
      <c r="B726" s="5">
        <v>171.98</v>
      </c>
      <c r="C726" s="5">
        <v>171.98</v>
      </c>
      <c r="D726" s="5">
        <v>164.41300000000001</v>
      </c>
      <c r="E726" s="5">
        <v>164.41300000000001</v>
      </c>
      <c r="F726" s="6">
        <v>15495</v>
      </c>
    </row>
    <row r="727" spans="1:6" x14ac:dyDescent="0.2">
      <c r="A727" s="4">
        <v>45524</v>
      </c>
      <c r="B727" s="5">
        <v>169.25</v>
      </c>
      <c r="C727" s="5">
        <v>169.25</v>
      </c>
      <c r="D727" s="5">
        <v>169.25</v>
      </c>
      <c r="E727" s="5">
        <v>169.25</v>
      </c>
      <c r="F727" s="6">
        <v>2051</v>
      </c>
    </row>
    <row r="728" spans="1:6" x14ac:dyDescent="0.2">
      <c r="A728" s="4">
        <v>45525</v>
      </c>
      <c r="B728" s="5">
        <v>169.25</v>
      </c>
      <c r="C728" s="5">
        <v>169.25</v>
      </c>
      <c r="D728" s="5">
        <v>169.25</v>
      </c>
      <c r="E728" s="5">
        <v>169.25</v>
      </c>
      <c r="F728" s="6"/>
    </row>
    <row r="729" spans="1:6" x14ac:dyDescent="0.2">
      <c r="A729" s="4">
        <v>45526</v>
      </c>
      <c r="B729" s="5">
        <v>170</v>
      </c>
      <c r="C729" s="5">
        <v>170</v>
      </c>
      <c r="D729" s="5">
        <v>169.5</v>
      </c>
      <c r="E729" s="5">
        <v>169.5</v>
      </c>
      <c r="F729" s="6">
        <v>2612</v>
      </c>
    </row>
    <row r="730" spans="1:6" x14ac:dyDescent="0.2">
      <c r="A730" s="4">
        <v>45527</v>
      </c>
      <c r="B730" s="5">
        <v>169.55</v>
      </c>
      <c r="C730" s="5">
        <v>169.55</v>
      </c>
      <c r="D730" s="5">
        <v>169.55</v>
      </c>
      <c r="E730" s="5">
        <v>169.55</v>
      </c>
      <c r="F730" s="6">
        <v>1477</v>
      </c>
    </row>
    <row r="731" spans="1:6" x14ac:dyDescent="0.2">
      <c r="A731" s="4">
        <v>45530</v>
      </c>
      <c r="B731" s="5">
        <v>174.9</v>
      </c>
      <c r="C731" s="5">
        <v>174.9</v>
      </c>
      <c r="D731" s="5">
        <v>174.9</v>
      </c>
      <c r="E731" s="5">
        <v>174.9</v>
      </c>
      <c r="F731" s="6">
        <v>542</v>
      </c>
    </row>
    <row r="732" spans="1:6" x14ac:dyDescent="0.2">
      <c r="A732" s="4">
        <v>45531</v>
      </c>
      <c r="B732" s="5">
        <v>174.97300000000001</v>
      </c>
      <c r="C732" s="5">
        <v>174.97300000000001</v>
      </c>
      <c r="D732" s="5">
        <v>171</v>
      </c>
      <c r="E732" s="5">
        <v>171</v>
      </c>
      <c r="F732" s="6">
        <v>1663</v>
      </c>
    </row>
    <row r="733" spans="1:6" x14ac:dyDescent="0.2">
      <c r="A733" s="4">
        <v>45532</v>
      </c>
      <c r="B733" s="5">
        <v>173.625</v>
      </c>
      <c r="C733" s="5">
        <v>173.625</v>
      </c>
      <c r="D733" s="5">
        <v>173.625</v>
      </c>
      <c r="E733" s="5">
        <v>173.625</v>
      </c>
      <c r="F733" s="6">
        <v>508</v>
      </c>
    </row>
    <row r="734" spans="1:6" x14ac:dyDescent="0.2">
      <c r="A734" s="4">
        <v>45533</v>
      </c>
      <c r="B734" s="5">
        <v>172.01990000000001</v>
      </c>
      <c r="C734" s="5">
        <v>172.01990000000001</v>
      </c>
      <c r="D734" s="5">
        <v>172.01990000000001</v>
      </c>
      <c r="E734" s="5">
        <v>172.01990000000001</v>
      </c>
      <c r="F734" s="6">
        <v>521</v>
      </c>
    </row>
    <row r="735" spans="1:6" x14ac:dyDescent="0.2">
      <c r="A735" s="4">
        <v>45534</v>
      </c>
      <c r="B735" s="5">
        <v>175</v>
      </c>
      <c r="C735" s="5">
        <v>175</v>
      </c>
      <c r="D735" s="5">
        <v>175</v>
      </c>
      <c r="E735" s="5">
        <v>175</v>
      </c>
      <c r="F735" s="6">
        <v>273</v>
      </c>
    </row>
    <row r="736" spans="1:6" x14ac:dyDescent="0.2">
      <c r="A736" s="4">
        <v>45538</v>
      </c>
      <c r="B736" s="5">
        <v>174.52</v>
      </c>
      <c r="C736" s="5">
        <v>174.52</v>
      </c>
      <c r="D736" s="5">
        <v>172.8</v>
      </c>
      <c r="E736" s="5">
        <v>172.8</v>
      </c>
      <c r="F736" s="6">
        <v>1187</v>
      </c>
    </row>
    <row r="737" spans="1:6" x14ac:dyDescent="0.2">
      <c r="A737" s="4">
        <v>45539</v>
      </c>
      <c r="B737" s="5">
        <v>170.3</v>
      </c>
      <c r="C737" s="5">
        <v>172.78</v>
      </c>
      <c r="D737" s="5">
        <v>169.78</v>
      </c>
      <c r="E737" s="5">
        <v>169.78</v>
      </c>
      <c r="F737" s="6">
        <v>914</v>
      </c>
    </row>
    <row r="738" spans="1:6" x14ac:dyDescent="0.2">
      <c r="A738" s="4">
        <v>45540</v>
      </c>
      <c r="B738" s="5">
        <v>169</v>
      </c>
      <c r="C738" s="5">
        <v>169</v>
      </c>
      <c r="D738" s="5">
        <v>164.76</v>
      </c>
      <c r="E738" s="5">
        <v>164.76</v>
      </c>
      <c r="F738" s="6">
        <v>1077</v>
      </c>
    </row>
    <row r="739" spans="1:6" x14ac:dyDescent="0.2">
      <c r="A739" s="4">
        <v>45541</v>
      </c>
      <c r="B739" s="5">
        <v>168.97499999999999</v>
      </c>
      <c r="C739" s="5">
        <v>168.97499999999999</v>
      </c>
      <c r="D739" s="5">
        <v>168.97499999999999</v>
      </c>
      <c r="E739" s="5">
        <v>168.97499999999999</v>
      </c>
      <c r="F739" s="6">
        <v>526</v>
      </c>
    </row>
    <row r="740" spans="1:6" x14ac:dyDescent="0.2">
      <c r="A740" s="4">
        <v>45544</v>
      </c>
      <c r="B740" s="5">
        <v>160.08000000000001</v>
      </c>
      <c r="C740" s="5">
        <v>160.08000000000001</v>
      </c>
      <c r="D740" s="5">
        <v>160.08000000000001</v>
      </c>
      <c r="E740" s="5">
        <v>160.08000000000001</v>
      </c>
      <c r="F740" s="6">
        <v>927</v>
      </c>
    </row>
    <row r="741" spans="1:6" x14ac:dyDescent="0.2">
      <c r="A741" s="4">
        <v>45545</v>
      </c>
      <c r="B741" s="5">
        <v>160.24</v>
      </c>
      <c r="C741" s="5">
        <v>160.24</v>
      </c>
      <c r="D741" s="5">
        <v>160.24</v>
      </c>
      <c r="E741" s="5">
        <v>160.24</v>
      </c>
      <c r="F741" s="6">
        <v>685</v>
      </c>
    </row>
    <row r="742" spans="1:6" x14ac:dyDescent="0.2">
      <c r="A742" s="4">
        <v>45546</v>
      </c>
      <c r="B742" s="5">
        <v>160.24</v>
      </c>
      <c r="C742" s="5">
        <v>160.24</v>
      </c>
      <c r="D742" s="5">
        <v>160.24</v>
      </c>
      <c r="E742" s="5">
        <v>160.24</v>
      </c>
      <c r="F742" s="6"/>
    </row>
    <row r="743" spans="1:6" x14ac:dyDescent="0.2">
      <c r="A743" s="4">
        <v>45547</v>
      </c>
      <c r="B743" s="5">
        <v>159.92500000000001</v>
      </c>
      <c r="C743" s="5">
        <v>159.92500000000001</v>
      </c>
      <c r="D743" s="5">
        <v>156.34</v>
      </c>
      <c r="E743" s="5">
        <v>156.37989999999999</v>
      </c>
      <c r="F743" s="6">
        <v>1368</v>
      </c>
    </row>
    <row r="744" spans="1:6" x14ac:dyDescent="0.2">
      <c r="A744" s="4">
        <v>45548</v>
      </c>
      <c r="B744" s="5">
        <v>157.69999999999999</v>
      </c>
      <c r="C744" s="5">
        <v>158.13999999999999</v>
      </c>
      <c r="D744" s="5">
        <v>152</v>
      </c>
      <c r="E744" s="5">
        <v>158.13999999999999</v>
      </c>
      <c r="F744" s="6">
        <v>5267</v>
      </c>
    </row>
    <row r="745" spans="1:6" x14ac:dyDescent="0.2">
      <c r="A745" s="4">
        <v>45551</v>
      </c>
      <c r="B745" s="5">
        <v>159.4</v>
      </c>
      <c r="C745" s="5">
        <v>159.4</v>
      </c>
      <c r="D745" s="5">
        <v>157</v>
      </c>
      <c r="E745" s="5">
        <v>157</v>
      </c>
      <c r="F745" s="6">
        <v>948</v>
      </c>
    </row>
    <row r="746" spans="1:6" x14ac:dyDescent="0.2">
      <c r="A746" s="4">
        <v>45552</v>
      </c>
      <c r="B746" s="5">
        <v>157.80160000000001</v>
      </c>
      <c r="C746" s="5">
        <v>157.80160000000001</v>
      </c>
      <c r="D746" s="5">
        <v>157.80160000000001</v>
      </c>
      <c r="E746" s="5">
        <v>157.80160000000001</v>
      </c>
      <c r="F746" s="6">
        <v>679</v>
      </c>
    </row>
    <row r="747" spans="1:6" x14ac:dyDescent="0.2">
      <c r="A747" s="4">
        <v>45553</v>
      </c>
      <c r="B747" s="5">
        <v>163.97</v>
      </c>
      <c r="C747" s="5">
        <v>163.97</v>
      </c>
      <c r="D747" s="5">
        <v>163.97</v>
      </c>
      <c r="E747" s="5">
        <v>163.97</v>
      </c>
      <c r="F747" s="6">
        <v>615</v>
      </c>
    </row>
    <row r="748" spans="1:6" x14ac:dyDescent="0.2">
      <c r="A748" s="4">
        <v>45554</v>
      </c>
      <c r="B748" s="5">
        <v>157.73269999999999</v>
      </c>
      <c r="C748" s="5">
        <v>157.73269999999999</v>
      </c>
      <c r="D748" s="5">
        <v>157.73269999999999</v>
      </c>
      <c r="E748" s="5">
        <v>157.73269999999999</v>
      </c>
      <c r="F748" s="6">
        <v>583</v>
      </c>
    </row>
    <row r="749" spans="1:6" x14ac:dyDescent="0.2">
      <c r="A749" s="4">
        <v>45555</v>
      </c>
      <c r="B749" s="5">
        <v>155.13990000000001</v>
      </c>
      <c r="C749" s="5">
        <v>155.13990000000001</v>
      </c>
      <c r="D749" s="5">
        <v>155.13990000000001</v>
      </c>
      <c r="E749" s="5">
        <v>155.13990000000001</v>
      </c>
      <c r="F749" s="6">
        <v>849</v>
      </c>
    </row>
    <row r="750" spans="1:6" x14ac:dyDescent="0.2">
      <c r="A750" s="4">
        <v>45558</v>
      </c>
      <c r="B750" s="5">
        <v>155.13990000000001</v>
      </c>
      <c r="C750" s="5">
        <v>155.13990000000001</v>
      </c>
      <c r="D750" s="5">
        <v>155.13990000000001</v>
      </c>
      <c r="E750" s="5">
        <v>155.13990000000001</v>
      </c>
      <c r="F750" s="6"/>
    </row>
    <row r="751" spans="1:6" x14ac:dyDescent="0.2">
      <c r="A751" s="4">
        <v>45559</v>
      </c>
      <c r="B751" s="5">
        <v>153.52000000000001</v>
      </c>
      <c r="C751" s="5">
        <v>153.52000000000001</v>
      </c>
      <c r="D751" s="5">
        <v>149.34</v>
      </c>
      <c r="E751" s="5">
        <v>149.34</v>
      </c>
      <c r="F751" s="6">
        <v>6361</v>
      </c>
    </row>
    <row r="752" spans="1:6" x14ac:dyDescent="0.2">
      <c r="A752" s="4">
        <v>45560</v>
      </c>
      <c r="B752" s="5">
        <v>153.30000000000001</v>
      </c>
      <c r="C752" s="5">
        <v>153.30000000000001</v>
      </c>
      <c r="D752" s="5">
        <v>153.30000000000001</v>
      </c>
      <c r="E752" s="5">
        <v>153.30000000000001</v>
      </c>
      <c r="F752" s="6">
        <v>490</v>
      </c>
    </row>
    <row r="753" spans="1:6" x14ac:dyDescent="0.2">
      <c r="A753" s="4">
        <v>45561</v>
      </c>
      <c r="B753" s="5">
        <v>153.30000000000001</v>
      </c>
      <c r="C753" s="5">
        <v>153.30000000000001</v>
      </c>
      <c r="D753" s="5">
        <v>153.30000000000001</v>
      </c>
      <c r="E753" s="5">
        <v>153.30000000000001</v>
      </c>
      <c r="F753" s="6"/>
    </row>
    <row r="754" spans="1:6" x14ac:dyDescent="0.2">
      <c r="A754" s="4">
        <v>45562</v>
      </c>
      <c r="B754" s="5">
        <v>161.15</v>
      </c>
      <c r="C754" s="5">
        <v>161.15</v>
      </c>
      <c r="D754" s="5">
        <v>154.46</v>
      </c>
      <c r="E754" s="5">
        <v>154.46</v>
      </c>
      <c r="F754" s="6">
        <v>598</v>
      </c>
    </row>
    <row r="755" spans="1:6" x14ac:dyDescent="0.2">
      <c r="A755" s="4">
        <v>45565</v>
      </c>
      <c r="B755" s="5">
        <v>154.46</v>
      </c>
      <c r="C755" s="5">
        <v>154.46</v>
      </c>
      <c r="D755" s="5">
        <v>154.46</v>
      </c>
      <c r="E755" s="5">
        <v>154.46</v>
      </c>
      <c r="F755" s="6"/>
    </row>
    <row r="756" spans="1:6" x14ac:dyDescent="0.2">
      <c r="A756" s="4">
        <v>45566</v>
      </c>
      <c r="B756" s="5">
        <v>156.6</v>
      </c>
      <c r="C756" s="5">
        <v>156.6</v>
      </c>
      <c r="D756" s="5">
        <v>153.25</v>
      </c>
      <c r="E756" s="5">
        <v>155.52000000000001</v>
      </c>
      <c r="F756" s="6">
        <v>1621</v>
      </c>
    </row>
    <row r="757" spans="1:6" x14ac:dyDescent="0.2">
      <c r="A757" s="4">
        <v>45567</v>
      </c>
      <c r="B757" s="5">
        <v>162.4</v>
      </c>
      <c r="C757" s="5">
        <v>162.4</v>
      </c>
      <c r="D757" s="5">
        <v>156.22499999999999</v>
      </c>
      <c r="E757" s="5">
        <v>158.94</v>
      </c>
      <c r="F757" s="6">
        <v>4390</v>
      </c>
    </row>
    <row r="758" spans="1:6" x14ac:dyDescent="0.2">
      <c r="A758" s="4">
        <v>45568</v>
      </c>
      <c r="B758" s="5">
        <v>152.80000000000001</v>
      </c>
      <c r="C758" s="5">
        <v>152.80000000000001</v>
      </c>
      <c r="D758" s="5">
        <v>152.80000000000001</v>
      </c>
      <c r="E758" s="5">
        <v>152.80000000000001</v>
      </c>
      <c r="F758" s="6">
        <v>1449</v>
      </c>
    </row>
    <row r="759" spans="1:6" x14ac:dyDescent="0.2">
      <c r="A759" s="4">
        <v>45569</v>
      </c>
      <c r="B759" s="5">
        <v>155.18</v>
      </c>
      <c r="C759" s="5">
        <v>155.18</v>
      </c>
      <c r="D759" s="5">
        <v>152.66</v>
      </c>
      <c r="E759" s="5">
        <v>152.66</v>
      </c>
      <c r="F759" s="6">
        <v>667</v>
      </c>
    </row>
    <row r="760" spans="1:6" x14ac:dyDescent="0.2">
      <c r="A760" s="4">
        <v>45572</v>
      </c>
      <c r="B760" s="5">
        <v>155.72</v>
      </c>
      <c r="C760" s="5">
        <v>155.72</v>
      </c>
      <c r="D760" s="5">
        <v>155.72</v>
      </c>
      <c r="E760" s="5">
        <v>155.72</v>
      </c>
      <c r="F760" s="6">
        <v>749</v>
      </c>
    </row>
    <row r="761" spans="1:6" x14ac:dyDescent="0.2">
      <c r="A761" s="4">
        <v>45573</v>
      </c>
      <c r="B761" s="5">
        <v>148.65</v>
      </c>
      <c r="C761" s="5">
        <v>148.65</v>
      </c>
      <c r="D761" s="5">
        <v>148.65</v>
      </c>
      <c r="E761" s="5">
        <v>148.65</v>
      </c>
      <c r="F761" s="6">
        <v>954</v>
      </c>
    </row>
    <row r="762" spans="1:6" x14ac:dyDescent="0.2">
      <c r="A762" s="4">
        <v>45574</v>
      </c>
      <c r="B762" s="5">
        <v>148.65</v>
      </c>
      <c r="C762" s="5">
        <v>148.65</v>
      </c>
      <c r="D762" s="5">
        <v>148.65</v>
      </c>
      <c r="E762" s="5">
        <v>148.65</v>
      </c>
      <c r="F762" s="6"/>
    </row>
    <row r="763" spans="1:6" x14ac:dyDescent="0.2">
      <c r="A763" s="4">
        <v>45575</v>
      </c>
      <c r="B763" s="5">
        <v>147.37</v>
      </c>
      <c r="C763" s="5">
        <v>147.37</v>
      </c>
      <c r="D763" s="5">
        <v>147.37</v>
      </c>
      <c r="E763" s="5">
        <v>147.37</v>
      </c>
      <c r="F763" s="6">
        <v>481</v>
      </c>
    </row>
    <row r="764" spans="1:6" x14ac:dyDescent="0.2">
      <c r="A764" s="4">
        <v>45576</v>
      </c>
      <c r="B764" s="5">
        <v>147.37</v>
      </c>
      <c r="C764" s="5">
        <v>147.37</v>
      </c>
      <c r="D764" s="5">
        <v>147.37</v>
      </c>
      <c r="E764" s="5">
        <v>147.37</v>
      </c>
      <c r="F764" s="6"/>
    </row>
    <row r="765" spans="1:6" x14ac:dyDescent="0.2">
      <c r="A765" s="4">
        <v>45579</v>
      </c>
      <c r="B765" s="5">
        <v>147.37</v>
      </c>
      <c r="C765" s="5">
        <v>147.37</v>
      </c>
      <c r="D765" s="5">
        <v>147.37</v>
      </c>
      <c r="E765" s="5">
        <v>147.37</v>
      </c>
      <c r="F765" s="6"/>
    </row>
    <row r="766" spans="1:6" x14ac:dyDescent="0.2">
      <c r="A766" s="4">
        <v>45580</v>
      </c>
      <c r="B766" s="5">
        <v>153.69990000000001</v>
      </c>
      <c r="C766" s="5">
        <v>153.69990000000001</v>
      </c>
      <c r="D766" s="5">
        <v>153.69990000000001</v>
      </c>
      <c r="E766" s="5">
        <v>153.69990000000001</v>
      </c>
      <c r="F766" s="6">
        <v>484</v>
      </c>
    </row>
    <row r="767" spans="1:6" x14ac:dyDescent="0.2">
      <c r="A767" s="4">
        <v>45581</v>
      </c>
      <c r="B767" s="5">
        <v>153.69990000000001</v>
      </c>
      <c r="C767" s="5">
        <v>153.69990000000001</v>
      </c>
      <c r="D767" s="5">
        <v>153.69990000000001</v>
      </c>
      <c r="E767" s="5">
        <v>153.69990000000001</v>
      </c>
      <c r="F767" s="6"/>
    </row>
    <row r="768" spans="1:6" x14ac:dyDescent="0.2">
      <c r="A768" s="4">
        <v>45582</v>
      </c>
      <c r="B768" s="5">
        <v>154.6</v>
      </c>
      <c r="C768" s="5">
        <v>154.6</v>
      </c>
      <c r="D768" s="5">
        <v>154.52000000000001</v>
      </c>
      <c r="E768" s="5">
        <v>154.52000000000001</v>
      </c>
      <c r="F768" s="6">
        <v>1222</v>
      </c>
    </row>
    <row r="769" spans="1:6" x14ac:dyDescent="0.2">
      <c r="A769" s="4">
        <v>45583</v>
      </c>
      <c r="B769" s="5">
        <v>155.38399999999999</v>
      </c>
      <c r="C769" s="5">
        <v>157.88</v>
      </c>
      <c r="D769" s="5">
        <v>155.38399999999999</v>
      </c>
      <c r="E769" s="5">
        <v>157.88</v>
      </c>
      <c r="F769" s="6">
        <v>622</v>
      </c>
    </row>
    <row r="770" spans="1:6" x14ac:dyDescent="0.2">
      <c r="A770" s="4">
        <v>45586</v>
      </c>
      <c r="B770" s="5">
        <v>153.62</v>
      </c>
      <c r="C770" s="5">
        <v>154.636</v>
      </c>
      <c r="D770" s="5">
        <v>153.62</v>
      </c>
      <c r="E770" s="5">
        <v>154.636</v>
      </c>
      <c r="F770" s="6">
        <v>847</v>
      </c>
    </row>
    <row r="771" spans="1:6" x14ac:dyDescent="0.2">
      <c r="A771" s="4">
        <v>45587</v>
      </c>
      <c r="B771" s="5">
        <v>152.52000000000001</v>
      </c>
      <c r="C771" s="5">
        <v>156.4</v>
      </c>
      <c r="D771" s="5">
        <v>152.52000000000001</v>
      </c>
      <c r="E771" s="5">
        <v>156.4</v>
      </c>
      <c r="F771" s="6">
        <v>1310</v>
      </c>
    </row>
    <row r="772" spans="1:6" x14ac:dyDescent="0.2">
      <c r="A772" s="4">
        <v>45588</v>
      </c>
      <c r="B772" s="5">
        <v>157.15</v>
      </c>
      <c r="C772" s="5">
        <v>157.15</v>
      </c>
      <c r="D772" s="5">
        <v>152.33500000000001</v>
      </c>
      <c r="E772" s="5">
        <v>152.33500000000001</v>
      </c>
      <c r="F772" s="6">
        <v>1553</v>
      </c>
    </row>
    <row r="773" spans="1:6" x14ac:dyDescent="0.2">
      <c r="A773" s="4">
        <v>45589</v>
      </c>
      <c r="B773" s="5">
        <v>152.5</v>
      </c>
      <c r="C773" s="5">
        <v>152.5</v>
      </c>
      <c r="D773" s="5">
        <v>151.69999999999999</v>
      </c>
      <c r="E773" s="5">
        <v>151.69999999999999</v>
      </c>
      <c r="F773" s="6">
        <v>930</v>
      </c>
    </row>
    <row r="774" spans="1:6" x14ac:dyDescent="0.2">
      <c r="A774" s="4">
        <v>45590</v>
      </c>
      <c r="B774" s="5">
        <v>148.6</v>
      </c>
      <c r="C774" s="5">
        <v>148.6</v>
      </c>
      <c r="D774" s="5">
        <v>148.6</v>
      </c>
      <c r="E774" s="5">
        <v>148.6</v>
      </c>
      <c r="F774" s="6">
        <v>1193</v>
      </c>
    </row>
    <row r="775" spans="1:6" x14ac:dyDescent="0.2">
      <c r="A775" s="4">
        <v>45593</v>
      </c>
      <c r="B775" s="5">
        <v>148.6</v>
      </c>
      <c r="C775" s="5">
        <v>148.6</v>
      </c>
      <c r="D775" s="5">
        <v>148.6</v>
      </c>
      <c r="E775" s="5">
        <v>148.6</v>
      </c>
      <c r="F775" s="6"/>
    </row>
    <row r="776" spans="1:6" x14ac:dyDescent="0.2">
      <c r="A776" s="4">
        <v>45594</v>
      </c>
      <c r="B776" s="5">
        <v>149.65</v>
      </c>
      <c r="C776" s="5">
        <v>149.65</v>
      </c>
      <c r="D776" s="5">
        <v>149.65</v>
      </c>
      <c r="E776" s="5">
        <v>149.65</v>
      </c>
      <c r="F776" s="6">
        <v>500</v>
      </c>
    </row>
    <row r="777" spans="1:6" x14ac:dyDescent="0.2">
      <c r="A777" s="4">
        <v>45595</v>
      </c>
      <c r="B777" s="5">
        <v>143.80000000000001</v>
      </c>
      <c r="C777" s="5">
        <v>149.5</v>
      </c>
      <c r="D777" s="5">
        <v>143</v>
      </c>
      <c r="E777" s="5">
        <v>149.5</v>
      </c>
      <c r="F777" s="6">
        <v>5048</v>
      </c>
    </row>
    <row r="778" spans="1:6" x14ac:dyDescent="0.2">
      <c r="A778" s="4">
        <v>45596</v>
      </c>
      <c r="B778" s="5">
        <v>142.9</v>
      </c>
      <c r="C778" s="5">
        <v>144.05000000000001</v>
      </c>
      <c r="D778" s="5">
        <v>141.9</v>
      </c>
      <c r="E778" s="5">
        <v>141.9</v>
      </c>
      <c r="F778" s="6">
        <v>1307</v>
      </c>
    </row>
    <row r="779" spans="1:6" x14ac:dyDescent="0.2">
      <c r="A779" s="4">
        <v>45597</v>
      </c>
      <c r="B779" s="5">
        <v>142.19990000000001</v>
      </c>
      <c r="C779" s="5">
        <v>142.85</v>
      </c>
      <c r="D779" s="5">
        <v>142.19990000000001</v>
      </c>
      <c r="E779" s="5">
        <v>142.85</v>
      </c>
      <c r="F779" s="6">
        <v>775</v>
      </c>
    </row>
    <row r="780" spans="1:6" x14ac:dyDescent="0.2">
      <c r="A780" s="4">
        <v>45600</v>
      </c>
      <c r="B780" s="5">
        <v>142.19990000000001</v>
      </c>
      <c r="C780" s="5">
        <v>143.11000000000001</v>
      </c>
      <c r="D780" s="5">
        <v>141.41990000000001</v>
      </c>
      <c r="E780" s="5">
        <v>142.43270000000001</v>
      </c>
      <c r="F780" s="6">
        <v>1212</v>
      </c>
    </row>
    <row r="781" spans="1:6" x14ac:dyDescent="0.2">
      <c r="A781" s="4">
        <v>45601</v>
      </c>
      <c r="B781" s="5">
        <v>137.1</v>
      </c>
      <c r="C781" s="5">
        <v>137.1</v>
      </c>
      <c r="D781" s="5">
        <v>130.33000000000001</v>
      </c>
      <c r="E781" s="5">
        <v>131.03989999999999</v>
      </c>
      <c r="F781" s="6">
        <v>2271</v>
      </c>
    </row>
    <row r="782" spans="1:6" x14ac:dyDescent="0.2">
      <c r="A782" s="4">
        <v>45602</v>
      </c>
      <c r="B782" s="5">
        <v>128</v>
      </c>
      <c r="C782" s="5">
        <v>128</v>
      </c>
      <c r="D782" s="5">
        <v>125.9</v>
      </c>
      <c r="E782" s="5">
        <v>126.5399</v>
      </c>
      <c r="F782" s="6">
        <v>1704</v>
      </c>
    </row>
    <row r="783" spans="1:6" x14ac:dyDescent="0.2">
      <c r="A783" s="4">
        <v>45603</v>
      </c>
      <c r="B783" s="5">
        <v>126.3199</v>
      </c>
      <c r="C783" s="5">
        <v>126.55500000000001</v>
      </c>
      <c r="D783" s="5">
        <v>121.31</v>
      </c>
      <c r="E783" s="5">
        <v>126.55500000000001</v>
      </c>
      <c r="F783" s="6">
        <v>2119</v>
      </c>
    </row>
    <row r="784" spans="1:6" x14ac:dyDescent="0.2">
      <c r="A784" s="4">
        <v>45604</v>
      </c>
      <c r="B784" s="5">
        <v>128.52000000000001</v>
      </c>
      <c r="C784" s="5">
        <v>130.06</v>
      </c>
      <c r="D784" s="5">
        <v>123.85</v>
      </c>
      <c r="E784" s="5">
        <v>127.74</v>
      </c>
      <c r="F784" s="6">
        <v>2595</v>
      </c>
    </row>
    <row r="785" spans="1:6" x14ac:dyDescent="0.2">
      <c r="A785" s="4">
        <v>45607</v>
      </c>
      <c r="B785" s="5">
        <v>124.67749999999999</v>
      </c>
      <c r="C785" s="5">
        <v>126.8</v>
      </c>
      <c r="D785" s="5">
        <v>124.67749999999999</v>
      </c>
      <c r="E785" s="5">
        <v>126.8</v>
      </c>
      <c r="F785" s="6">
        <v>2372</v>
      </c>
    </row>
    <row r="786" spans="1:6" x14ac:dyDescent="0.2">
      <c r="A786" s="4">
        <v>45608</v>
      </c>
      <c r="B786" s="5">
        <v>126.09</v>
      </c>
      <c r="C786" s="5">
        <v>129.91999999999999</v>
      </c>
      <c r="D786" s="5">
        <v>126.09</v>
      </c>
      <c r="E786" s="5">
        <v>128.41489999999999</v>
      </c>
      <c r="F786" s="6">
        <v>1186</v>
      </c>
    </row>
    <row r="787" spans="1:6" x14ac:dyDescent="0.2">
      <c r="A787" s="4">
        <v>45609</v>
      </c>
      <c r="B787" s="5">
        <v>129.19990000000001</v>
      </c>
      <c r="C787" s="5">
        <v>129.19990000000001</v>
      </c>
      <c r="D787" s="5">
        <v>129.19990000000001</v>
      </c>
      <c r="E787" s="5">
        <v>129.19990000000001</v>
      </c>
      <c r="F787" s="6">
        <v>2353</v>
      </c>
    </row>
    <row r="788" spans="1:6" x14ac:dyDescent="0.2">
      <c r="A788" s="4">
        <v>45610</v>
      </c>
      <c r="B788" s="5">
        <v>129.78</v>
      </c>
      <c r="C788" s="5">
        <v>132.78</v>
      </c>
      <c r="D788" s="5">
        <v>129.69990000000001</v>
      </c>
      <c r="E788" s="5">
        <v>130.24</v>
      </c>
      <c r="F788" s="6">
        <v>1697</v>
      </c>
    </row>
    <row r="789" spans="1:6" x14ac:dyDescent="0.2">
      <c r="A789" s="4">
        <v>45611</v>
      </c>
      <c r="B789" s="5">
        <v>126.18</v>
      </c>
      <c r="C789" s="5">
        <v>128.69999999999999</v>
      </c>
      <c r="D789" s="5">
        <v>124.55</v>
      </c>
      <c r="E789" s="5">
        <v>127.96</v>
      </c>
      <c r="F789" s="6">
        <v>2494</v>
      </c>
    </row>
    <row r="790" spans="1:6" x14ac:dyDescent="0.2">
      <c r="A790" s="4">
        <v>45614</v>
      </c>
      <c r="B790" s="5">
        <v>125</v>
      </c>
      <c r="C790" s="5">
        <v>128.6</v>
      </c>
      <c r="D790" s="5">
        <v>120.6375</v>
      </c>
      <c r="E790" s="5">
        <v>125.46</v>
      </c>
      <c r="F790" s="6">
        <v>2356</v>
      </c>
    </row>
    <row r="791" spans="1:6" x14ac:dyDescent="0.2">
      <c r="A791" s="4">
        <v>45615</v>
      </c>
      <c r="B791" s="5">
        <v>130.25</v>
      </c>
      <c r="C791" s="5">
        <v>130.25</v>
      </c>
      <c r="D791" s="5">
        <v>125.72</v>
      </c>
      <c r="E791" s="5">
        <v>126.02</v>
      </c>
      <c r="F791" s="6">
        <v>1299</v>
      </c>
    </row>
    <row r="792" spans="1:6" x14ac:dyDescent="0.2">
      <c r="A792" s="4">
        <v>45616</v>
      </c>
      <c r="B792" s="5">
        <v>126.58</v>
      </c>
      <c r="C792" s="5">
        <v>126.75</v>
      </c>
      <c r="D792" s="5">
        <v>124.4</v>
      </c>
      <c r="E792" s="5">
        <v>124.7</v>
      </c>
      <c r="F792" s="6">
        <v>2088</v>
      </c>
    </row>
    <row r="793" spans="1:6" x14ac:dyDescent="0.2">
      <c r="A793" s="4">
        <v>45617</v>
      </c>
      <c r="B793" s="5">
        <v>126.52</v>
      </c>
      <c r="C793" s="5">
        <v>127.22</v>
      </c>
      <c r="D793" s="5">
        <v>125.5</v>
      </c>
      <c r="E793" s="5">
        <v>126.06</v>
      </c>
      <c r="F793" s="6">
        <v>2434</v>
      </c>
    </row>
    <row r="794" spans="1:6" x14ac:dyDescent="0.2">
      <c r="A794" s="4">
        <v>45618</v>
      </c>
      <c r="B794" s="5">
        <v>129.55000000000001</v>
      </c>
      <c r="C794" s="5">
        <v>133.93</v>
      </c>
      <c r="D794" s="5">
        <v>129.55000000000001</v>
      </c>
      <c r="E794" s="5">
        <v>133.93</v>
      </c>
      <c r="F794" s="6">
        <v>4976</v>
      </c>
    </row>
    <row r="795" spans="1:6" x14ac:dyDescent="0.2">
      <c r="A795" s="4">
        <v>45621</v>
      </c>
      <c r="B795" s="5">
        <v>133.9</v>
      </c>
      <c r="C795" s="5">
        <v>136.25</v>
      </c>
      <c r="D795" s="5">
        <v>131.18</v>
      </c>
      <c r="E795" s="5">
        <v>131.47489999999999</v>
      </c>
      <c r="F795" s="6">
        <v>1991</v>
      </c>
    </row>
    <row r="796" spans="1:6" x14ac:dyDescent="0.2">
      <c r="A796" s="4">
        <v>45622</v>
      </c>
      <c r="B796" s="5">
        <v>131.38</v>
      </c>
      <c r="C796" s="5">
        <v>133.4</v>
      </c>
      <c r="D796" s="5">
        <v>130.75</v>
      </c>
      <c r="E796" s="5">
        <v>131.36000000000001</v>
      </c>
      <c r="F796" s="6">
        <v>4487</v>
      </c>
    </row>
    <row r="797" spans="1:6" x14ac:dyDescent="0.2">
      <c r="A797" s="4">
        <v>45623</v>
      </c>
      <c r="B797" s="5">
        <v>134.69999999999999</v>
      </c>
      <c r="C797" s="5">
        <v>134.69999999999999</v>
      </c>
      <c r="D797" s="5">
        <v>134.69999999999999</v>
      </c>
      <c r="E797" s="5">
        <v>134.69999999999999</v>
      </c>
      <c r="F797" s="6">
        <v>791</v>
      </c>
    </row>
    <row r="798" spans="1:6" x14ac:dyDescent="0.2">
      <c r="A798" s="4">
        <v>45625</v>
      </c>
      <c r="B798" s="5">
        <v>136.6</v>
      </c>
      <c r="C798" s="5">
        <v>136.6</v>
      </c>
      <c r="D798" s="5">
        <v>130.25</v>
      </c>
      <c r="E798" s="5">
        <v>136.5</v>
      </c>
      <c r="F798" s="6">
        <v>1398</v>
      </c>
    </row>
    <row r="799" spans="1:6" x14ac:dyDescent="0.2">
      <c r="A799" s="4">
        <v>45628</v>
      </c>
      <c r="B799" s="5">
        <v>135.24</v>
      </c>
      <c r="C799" s="5">
        <v>135.62</v>
      </c>
      <c r="D799" s="5">
        <v>131.6</v>
      </c>
      <c r="E799" s="5">
        <v>135.62</v>
      </c>
      <c r="F799" s="6">
        <v>2708</v>
      </c>
    </row>
    <row r="800" spans="1:6" x14ac:dyDescent="0.2">
      <c r="A800" s="4">
        <v>45629</v>
      </c>
      <c r="B800" s="5">
        <v>136.79</v>
      </c>
      <c r="C800" s="5">
        <v>137.62</v>
      </c>
      <c r="D800" s="5">
        <v>132.5</v>
      </c>
      <c r="E800" s="5">
        <v>134.59989999999999</v>
      </c>
      <c r="F800" s="6">
        <v>2061</v>
      </c>
    </row>
    <row r="801" spans="1:6" x14ac:dyDescent="0.2">
      <c r="A801" s="4">
        <v>45630</v>
      </c>
      <c r="B801" s="5">
        <v>130.35</v>
      </c>
      <c r="C801" s="5">
        <v>130.35</v>
      </c>
      <c r="D801" s="5">
        <v>130.35</v>
      </c>
      <c r="E801" s="5">
        <v>130.35</v>
      </c>
      <c r="F801" s="6">
        <v>1223</v>
      </c>
    </row>
    <row r="802" spans="1:6" x14ac:dyDescent="0.2">
      <c r="A802" s="4">
        <v>45631</v>
      </c>
      <c r="B802" s="5">
        <v>136.08000000000001</v>
      </c>
      <c r="C802" s="5">
        <v>139.04300000000001</v>
      </c>
      <c r="D802" s="5">
        <v>133.52000000000001</v>
      </c>
      <c r="E802" s="5">
        <v>133.52000000000001</v>
      </c>
      <c r="F802" s="6">
        <v>2043</v>
      </c>
    </row>
    <row r="803" spans="1:6" x14ac:dyDescent="0.2">
      <c r="A803" s="4">
        <v>45632</v>
      </c>
      <c r="B803" s="5">
        <v>135.88</v>
      </c>
      <c r="C803" s="5">
        <v>137.26</v>
      </c>
      <c r="D803" s="5">
        <v>134.84</v>
      </c>
      <c r="E803" s="5">
        <v>134.86000000000001</v>
      </c>
      <c r="F803" s="6">
        <v>3437</v>
      </c>
    </row>
    <row r="804" spans="1:6" x14ac:dyDescent="0.2">
      <c r="A804" s="4">
        <v>45635</v>
      </c>
      <c r="B804" s="5">
        <v>137.38</v>
      </c>
      <c r="C804" s="5">
        <v>139.41999999999999</v>
      </c>
      <c r="D804" s="5">
        <v>135.66</v>
      </c>
      <c r="E804" s="5">
        <v>136.25989999999999</v>
      </c>
      <c r="F804" s="6">
        <v>3232</v>
      </c>
    </row>
    <row r="805" spans="1:6" x14ac:dyDescent="0.2">
      <c r="A805" s="4">
        <v>45636</v>
      </c>
      <c r="B805" s="5">
        <v>134.38</v>
      </c>
      <c r="C805" s="5">
        <v>136.75</v>
      </c>
      <c r="D805" s="5">
        <v>134</v>
      </c>
      <c r="E805" s="5">
        <v>134.09989999999999</v>
      </c>
      <c r="F805" s="6">
        <v>5547</v>
      </c>
    </row>
    <row r="806" spans="1:6" x14ac:dyDescent="0.2">
      <c r="A806" s="4">
        <v>45637</v>
      </c>
      <c r="B806" s="5">
        <v>132.55000000000001</v>
      </c>
      <c r="C806" s="5">
        <v>138.1</v>
      </c>
      <c r="D806" s="5">
        <v>132.55000000000001</v>
      </c>
      <c r="E806" s="5">
        <v>138.1</v>
      </c>
      <c r="F806" s="6">
        <v>4764</v>
      </c>
    </row>
    <row r="807" spans="1:6" x14ac:dyDescent="0.2">
      <c r="A807" s="4">
        <v>45638</v>
      </c>
      <c r="B807" s="5">
        <v>131.30000000000001</v>
      </c>
      <c r="C807" s="5">
        <v>136.1</v>
      </c>
      <c r="D807" s="5">
        <v>131.30000000000001</v>
      </c>
      <c r="E807" s="5">
        <v>132.41990000000001</v>
      </c>
      <c r="F807" s="6">
        <v>3261</v>
      </c>
    </row>
    <row r="808" spans="1:6" x14ac:dyDescent="0.2">
      <c r="A808" s="4">
        <v>45639</v>
      </c>
      <c r="B808" s="5">
        <v>134.1</v>
      </c>
      <c r="C808" s="5">
        <v>134.63999999999999</v>
      </c>
      <c r="D808" s="5">
        <v>131.74</v>
      </c>
      <c r="E808" s="5">
        <v>131.74</v>
      </c>
      <c r="F808" s="6">
        <v>3095</v>
      </c>
    </row>
    <row r="809" spans="1:6" x14ac:dyDescent="0.2">
      <c r="A809" s="4">
        <v>45642</v>
      </c>
      <c r="B809" s="5">
        <v>133.02000000000001</v>
      </c>
      <c r="C809" s="5">
        <v>135.85</v>
      </c>
      <c r="D809" s="5">
        <v>131.69990000000001</v>
      </c>
      <c r="E809" s="5">
        <v>131.69990000000001</v>
      </c>
      <c r="F809" s="6">
        <v>4882</v>
      </c>
    </row>
    <row r="810" spans="1:6" x14ac:dyDescent="0.2">
      <c r="A810" s="4">
        <v>45643</v>
      </c>
      <c r="B810" s="5">
        <v>130.6</v>
      </c>
      <c r="C810" s="5">
        <v>136.16</v>
      </c>
      <c r="D810" s="5">
        <v>130.6</v>
      </c>
      <c r="E810" s="5">
        <v>133.4</v>
      </c>
      <c r="F810" s="6">
        <v>5738</v>
      </c>
    </row>
    <row r="811" spans="1:6" x14ac:dyDescent="0.2">
      <c r="A811" s="4">
        <v>45644</v>
      </c>
      <c r="B811" s="5">
        <v>131.44</v>
      </c>
      <c r="C811" s="5">
        <v>133.13999999999999</v>
      </c>
      <c r="D811" s="5">
        <v>128.59989999999999</v>
      </c>
      <c r="E811" s="5">
        <v>129.5752</v>
      </c>
      <c r="F811" s="6">
        <v>2864</v>
      </c>
    </row>
    <row r="812" spans="1:6" x14ac:dyDescent="0.2">
      <c r="A812" s="4">
        <v>45645</v>
      </c>
      <c r="B812" s="5">
        <v>127.66</v>
      </c>
      <c r="C812" s="5">
        <v>130.88</v>
      </c>
      <c r="D812" s="5">
        <v>127.5</v>
      </c>
      <c r="E812" s="5">
        <v>127.96</v>
      </c>
      <c r="F812" s="6">
        <v>4686</v>
      </c>
    </row>
    <row r="813" spans="1:6" x14ac:dyDescent="0.2">
      <c r="A813" s="4">
        <v>45646</v>
      </c>
      <c r="B813" s="5">
        <v>126.15</v>
      </c>
      <c r="C813" s="5">
        <v>132.75</v>
      </c>
      <c r="D813" s="5">
        <v>125</v>
      </c>
      <c r="E813" s="5">
        <v>132.65</v>
      </c>
      <c r="F813" s="6">
        <v>5961</v>
      </c>
    </row>
    <row r="814" spans="1:6" x14ac:dyDescent="0.2">
      <c r="A814" s="4">
        <v>45649</v>
      </c>
      <c r="B814" s="5">
        <v>128.5</v>
      </c>
      <c r="C814" s="5">
        <v>132.5</v>
      </c>
      <c r="D814" s="5">
        <v>128.5</v>
      </c>
      <c r="E814" s="5">
        <v>130.91999999999999</v>
      </c>
      <c r="F814" s="6">
        <v>3418</v>
      </c>
    </row>
    <row r="815" spans="1:6" x14ac:dyDescent="0.2">
      <c r="A815" s="4">
        <v>45650</v>
      </c>
      <c r="B815" s="5">
        <v>126.4</v>
      </c>
      <c r="C815" s="5">
        <v>132.77000000000001</v>
      </c>
      <c r="D815" s="5">
        <v>126.4</v>
      </c>
      <c r="E815" s="5">
        <v>131.12</v>
      </c>
      <c r="F815" s="6">
        <v>3766</v>
      </c>
    </row>
    <row r="816" spans="1:6" x14ac:dyDescent="0.2">
      <c r="A816" s="4">
        <v>45652</v>
      </c>
      <c r="B816" s="5">
        <v>133.66</v>
      </c>
      <c r="C816" s="5">
        <v>134.66</v>
      </c>
      <c r="D816" s="5">
        <v>126.43</v>
      </c>
      <c r="E816" s="5">
        <v>134.66</v>
      </c>
      <c r="F816" s="6">
        <v>4124</v>
      </c>
    </row>
    <row r="817" spans="1:6" x14ac:dyDescent="0.2">
      <c r="A817" s="4">
        <v>45653</v>
      </c>
      <c r="B817" s="5">
        <v>132.97999999999999</v>
      </c>
      <c r="C817" s="5">
        <v>132.97999999999999</v>
      </c>
      <c r="D817" s="5">
        <v>128.94999999999999</v>
      </c>
      <c r="E817" s="5">
        <v>132</v>
      </c>
      <c r="F817" s="6">
        <v>2751</v>
      </c>
    </row>
    <row r="818" spans="1:6" x14ac:dyDescent="0.2">
      <c r="A818" s="4">
        <v>45656</v>
      </c>
      <c r="B818" s="5">
        <v>132.13999999999999</v>
      </c>
      <c r="C818" s="5">
        <v>135.25</v>
      </c>
      <c r="D818" s="5">
        <v>126.37</v>
      </c>
      <c r="E818" s="5">
        <v>130.19</v>
      </c>
      <c r="F818" s="6">
        <v>5927</v>
      </c>
    </row>
    <row r="819" spans="1:6" x14ac:dyDescent="0.2">
      <c r="A819" s="4">
        <v>45657</v>
      </c>
      <c r="B819" s="5">
        <v>130.94</v>
      </c>
      <c r="C819" s="5">
        <v>132.16</v>
      </c>
      <c r="D819" s="5">
        <v>128.34</v>
      </c>
      <c r="E819" s="5">
        <v>130</v>
      </c>
      <c r="F819" s="6">
        <v>2555</v>
      </c>
    </row>
    <row r="820" spans="1:6" x14ac:dyDescent="0.2">
      <c r="A820" s="4">
        <v>45659</v>
      </c>
      <c r="B820" s="5">
        <v>133.56</v>
      </c>
      <c r="C820" s="5">
        <v>133.91999999999999</v>
      </c>
      <c r="D820" s="5">
        <v>133.56</v>
      </c>
      <c r="E820" s="5">
        <v>133.91999999999999</v>
      </c>
      <c r="F820" s="6">
        <v>1275</v>
      </c>
    </row>
    <row r="821" spans="1:6" x14ac:dyDescent="0.2">
      <c r="A821" s="4">
        <v>45660</v>
      </c>
      <c r="B821" s="5">
        <v>133.62</v>
      </c>
      <c r="C821" s="5">
        <v>133.62</v>
      </c>
      <c r="D821" s="5">
        <v>131</v>
      </c>
      <c r="E821" s="5">
        <v>131.25</v>
      </c>
      <c r="F821" s="6">
        <v>1703</v>
      </c>
    </row>
    <row r="822" spans="1:6" x14ac:dyDescent="0.2">
      <c r="A822" s="4">
        <v>45663</v>
      </c>
      <c r="B822" s="5">
        <v>134.16</v>
      </c>
      <c r="C822" s="5">
        <v>134.16999999999999</v>
      </c>
      <c r="D822" s="5">
        <v>128.75</v>
      </c>
      <c r="E822" s="5">
        <v>130.38</v>
      </c>
      <c r="F822" s="6">
        <v>3586</v>
      </c>
    </row>
    <row r="823" spans="1:6" x14ac:dyDescent="0.2">
      <c r="A823" s="4">
        <v>45664</v>
      </c>
      <c r="B823" s="5">
        <v>132.75</v>
      </c>
      <c r="C823" s="5">
        <v>134.28</v>
      </c>
      <c r="D823" s="5">
        <v>131.88</v>
      </c>
      <c r="E823" s="5">
        <v>131.88</v>
      </c>
      <c r="F823" s="6">
        <v>1926</v>
      </c>
    </row>
    <row r="824" spans="1:6" x14ac:dyDescent="0.2">
      <c r="A824" s="4">
        <v>45665</v>
      </c>
      <c r="B824" s="5">
        <v>130.018</v>
      </c>
      <c r="C824" s="5">
        <v>132.66</v>
      </c>
      <c r="D824" s="5">
        <v>128.25</v>
      </c>
      <c r="E824" s="5">
        <v>132.66</v>
      </c>
      <c r="F824" s="6">
        <v>3137</v>
      </c>
    </row>
    <row r="825" spans="1:6" x14ac:dyDescent="0.2">
      <c r="A825" s="4">
        <v>45667</v>
      </c>
      <c r="B825" s="5">
        <v>133.41999999999999</v>
      </c>
      <c r="C825" s="5">
        <v>135.9</v>
      </c>
      <c r="D825" s="5">
        <v>129.858</v>
      </c>
      <c r="E825" s="5">
        <v>135.5</v>
      </c>
      <c r="F825" s="6">
        <v>4199</v>
      </c>
    </row>
    <row r="826" spans="1:6" x14ac:dyDescent="0.2">
      <c r="A826" s="4">
        <v>45670</v>
      </c>
      <c r="B826" s="5">
        <v>133.26</v>
      </c>
      <c r="C826" s="5">
        <v>134.07</v>
      </c>
      <c r="D826" s="5">
        <v>131.27430000000001</v>
      </c>
      <c r="E826" s="5">
        <v>131.27430000000001</v>
      </c>
      <c r="F826" s="6">
        <v>8752</v>
      </c>
    </row>
    <row r="827" spans="1:6" x14ac:dyDescent="0.2">
      <c r="A827" s="4">
        <v>45671</v>
      </c>
      <c r="B827" s="5">
        <v>129.22</v>
      </c>
      <c r="C827" s="5">
        <v>132.52000000000001</v>
      </c>
      <c r="D827" s="5">
        <v>129.08000000000001</v>
      </c>
      <c r="E827" s="5">
        <v>132.52000000000001</v>
      </c>
      <c r="F827" s="6">
        <v>958</v>
      </c>
    </row>
    <row r="828" spans="1:6" x14ac:dyDescent="0.2">
      <c r="A828" s="4">
        <v>45672</v>
      </c>
      <c r="B828" s="5">
        <v>129.22</v>
      </c>
      <c r="C828" s="5">
        <v>129.75989999999999</v>
      </c>
      <c r="D828" s="5">
        <v>129.22</v>
      </c>
      <c r="E828" s="5">
        <v>129.75989999999999</v>
      </c>
      <c r="F828" s="6">
        <v>842</v>
      </c>
    </row>
    <row r="829" spans="1:6" x14ac:dyDescent="0.2">
      <c r="A829" s="4">
        <v>45673</v>
      </c>
      <c r="B829" s="5">
        <v>132.13</v>
      </c>
      <c r="C829" s="5">
        <v>132.13</v>
      </c>
      <c r="D829" s="5">
        <v>132.13</v>
      </c>
      <c r="E829" s="5">
        <v>132.13</v>
      </c>
      <c r="F829" s="6">
        <v>1869</v>
      </c>
    </row>
    <row r="830" spans="1:6" x14ac:dyDescent="0.2">
      <c r="A830" s="4">
        <v>45674</v>
      </c>
      <c r="B830" s="5">
        <v>133.58000000000001</v>
      </c>
      <c r="C830" s="5">
        <v>135.97999999999999</v>
      </c>
      <c r="D830" s="5">
        <v>131.53</v>
      </c>
      <c r="E830" s="5">
        <v>134.97999999999999</v>
      </c>
      <c r="F830" s="6">
        <v>1586</v>
      </c>
    </row>
    <row r="831" spans="1:6" x14ac:dyDescent="0.2">
      <c r="A831" s="4">
        <v>45678</v>
      </c>
      <c r="B831" s="5">
        <v>136.69999999999999</v>
      </c>
      <c r="C831" s="5">
        <v>137.65</v>
      </c>
      <c r="D831" s="5">
        <v>135.79</v>
      </c>
      <c r="E831" s="5">
        <v>135.79</v>
      </c>
      <c r="F831" s="6">
        <v>8417</v>
      </c>
    </row>
    <row r="832" spans="1:6" x14ac:dyDescent="0.2">
      <c r="A832" s="4">
        <v>45679</v>
      </c>
      <c r="B832" s="5">
        <v>135.024</v>
      </c>
      <c r="C832" s="5">
        <v>138.06</v>
      </c>
      <c r="D832" s="5">
        <v>134.86000000000001</v>
      </c>
      <c r="E832" s="5">
        <v>138.06</v>
      </c>
      <c r="F832" s="6">
        <v>983</v>
      </c>
    </row>
    <row r="833" spans="1:6" x14ac:dyDescent="0.2">
      <c r="A833" s="4">
        <v>45680</v>
      </c>
      <c r="B833" s="5">
        <v>138.12</v>
      </c>
      <c r="C833" s="5">
        <v>138.85</v>
      </c>
      <c r="D833" s="5">
        <v>135.53989999999999</v>
      </c>
      <c r="E833" s="5">
        <v>135.53989999999999</v>
      </c>
      <c r="F833" s="6">
        <v>2300</v>
      </c>
    </row>
    <row r="834" spans="1:6" x14ac:dyDescent="0.2">
      <c r="A834" s="4">
        <v>45681</v>
      </c>
      <c r="B834" s="5">
        <v>139.02000000000001</v>
      </c>
      <c r="C834" s="5">
        <v>139.03</v>
      </c>
      <c r="D834" s="5">
        <v>137.31</v>
      </c>
      <c r="E834" s="5">
        <v>137.946</v>
      </c>
      <c r="F834" s="6">
        <v>2291</v>
      </c>
    </row>
    <row r="835" spans="1:6" x14ac:dyDescent="0.2">
      <c r="A835" s="4">
        <v>45684</v>
      </c>
      <c r="B835" s="5">
        <v>137</v>
      </c>
      <c r="C835" s="5">
        <v>140.35</v>
      </c>
      <c r="D835" s="5">
        <v>137</v>
      </c>
      <c r="E835" s="5">
        <v>138.91999999999999</v>
      </c>
      <c r="F835" s="6">
        <v>5776</v>
      </c>
    </row>
    <row r="836" spans="1:6" x14ac:dyDescent="0.2">
      <c r="A836" s="4">
        <v>45685</v>
      </c>
      <c r="B836" s="5">
        <v>137.75989999999999</v>
      </c>
      <c r="C836" s="5">
        <v>137.75989999999999</v>
      </c>
      <c r="D836" s="5">
        <v>137.21</v>
      </c>
      <c r="E836" s="5">
        <v>137.21</v>
      </c>
      <c r="F836" s="6">
        <v>3744</v>
      </c>
    </row>
    <row r="837" spans="1:6" x14ac:dyDescent="0.2">
      <c r="A837" s="4">
        <v>45686</v>
      </c>
      <c r="B837" s="5">
        <v>141.46</v>
      </c>
      <c r="C837" s="5">
        <v>141.46</v>
      </c>
      <c r="D837" s="5">
        <v>139.31989999999999</v>
      </c>
      <c r="E837" s="5">
        <v>139.31989999999999</v>
      </c>
      <c r="F837" s="6">
        <v>2041</v>
      </c>
    </row>
    <row r="838" spans="1:6" x14ac:dyDescent="0.2">
      <c r="A838" s="4">
        <v>45687</v>
      </c>
      <c r="B838" s="5">
        <v>142.26</v>
      </c>
      <c r="C838" s="5">
        <v>142.26</v>
      </c>
      <c r="D838" s="5">
        <v>140.19990000000001</v>
      </c>
      <c r="E838" s="5">
        <v>141.03989999999999</v>
      </c>
      <c r="F838" s="6">
        <v>939</v>
      </c>
    </row>
    <row r="839" spans="1:6" x14ac:dyDescent="0.2">
      <c r="A839" s="4">
        <v>45688</v>
      </c>
      <c r="B839" s="5">
        <v>140.18</v>
      </c>
      <c r="C839" s="5">
        <v>144</v>
      </c>
      <c r="D839" s="5">
        <v>140.18</v>
      </c>
      <c r="E839" s="5">
        <v>140.72</v>
      </c>
      <c r="F839" s="6">
        <v>2497</v>
      </c>
    </row>
    <row r="840" spans="1:6" x14ac:dyDescent="0.2">
      <c r="A840" s="4">
        <v>45691</v>
      </c>
      <c r="B840" s="5">
        <v>141.44</v>
      </c>
      <c r="C840" s="5">
        <v>141.9</v>
      </c>
      <c r="D840" s="5">
        <v>141.44</v>
      </c>
      <c r="E840" s="5">
        <v>141.9</v>
      </c>
      <c r="F840" s="6">
        <v>2306</v>
      </c>
    </row>
    <row r="841" spans="1:6" x14ac:dyDescent="0.2">
      <c r="A841" s="4">
        <v>45692</v>
      </c>
      <c r="B841" s="5">
        <v>139.54</v>
      </c>
      <c r="C841" s="5">
        <v>139.54</v>
      </c>
      <c r="D841" s="5">
        <v>139.54</v>
      </c>
      <c r="E841" s="5">
        <v>139.54</v>
      </c>
      <c r="F841" s="6">
        <v>784</v>
      </c>
    </row>
    <row r="842" spans="1:6" x14ac:dyDescent="0.2">
      <c r="A842" s="4">
        <v>45693</v>
      </c>
      <c r="B842" s="5">
        <v>134.55000000000001</v>
      </c>
      <c r="C842" s="5">
        <v>139.245</v>
      </c>
      <c r="D842" s="5">
        <v>134.55000000000001</v>
      </c>
      <c r="E842" s="5">
        <v>134.66999999999999</v>
      </c>
      <c r="F842" s="6">
        <v>3284</v>
      </c>
    </row>
    <row r="843" spans="1:6" x14ac:dyDescent="0.2">
      <c r="A843" s="4">
        <v>45694</v>
      </c>
      <c r="B843" s="5">
        <v>146.18</v>
      </c>
      <c r="C843" s="5">
        <v>151.5</v>
      </c>
      <c r="D843" s="5">
        <v>146.18</v>
      </c>
      <c r="E843" s="5">
        <v>151.5</v>
      </c>
      <c r="F843" s="6">
        <v>922</v>
      </c>
    </row>
    <row r="844" spans="1:6" x14ac:dyDescent="0.2">
      <c r="A844" s="4">
        <v>45695</v>
      </c>
      <c r="B844" s="5">
        <v>143.45590000000001</v>
      </c>
      <c r="C844" s="5">
        <v>146.255</v>
      </c>
      <c r="D844" s="5">
        <v>142.84989999999999</v>
      </c>
      <c r="E844" s="5">
        <v>142.84989999999999</v>
      </c>
      <c r="F844" s="6">
        <v>1415</v>
      </c>
    </row>
    <row r="845" spans="1:6" x14ac:dyDescent="0.2">
      <c r="A845" s="4">
        <v>45698</v>
      </c>
      <c r="B845" s="5">
        <v>147.18</v>
      </c>
      <c r="C845" s="5">
        <v>149.16</v>
      </c>
      <c r="D845" s="5">
        <v>140.5</v>
      </c>
      <c r="E845" s="5">
        <v>149.16</v>
      </c>
      <c r="F845" s="6">
        <v>3595</v>
      </c>
    </row>
    <row r="846" spans="1:6" x14ac:dyDescent="0.2">
      <c r="A846" s="4">
        <v>45699</v>
      </c>
      <c r="B846" s="5">
        <v>146.84</v>
      </c>
      <c r="C846" s="5">
        <v>146.84</v>
      </c>
      <c r="D846" s="5">
        <v>142.077</v>
      </c>
      <c r="E846" s="5">
        <v>142.077</v>
      </c>
      <c r="F846" s="6">
        <v>614</v>
      </c>
    </row>
    <row r="847" spans="1:6" x14ac:dyDescent="0.2">
      <c r="A847" s="4">
        <v>45700</v>
      </c>
      <c r="B847" s="5">
        <v>145.39490000000001</v>
      </c>
      <c r="C847" s="5">
        <v>146.43</v>
      </c>
      <c r="D847" s="5">
        <v>145.39490000000001</v>
      </c>
      <c r="E847" s="5">
        <v>146.43</v>
      </c>
      <c r="F847" s="6">
        <v>808</v>
      </c>
    </row>
    <row r="848" spans="1:6" x14ac:dyDescent="0.2">
      <c r="A848" s="4">
        <v>45701</v>
      </c>
      <c r="B848" s="5">
        <v>146.5</v>
      </c>
      <c r="C848" s="5">
        <v>148.935</v>
      </c>
      <c r="D848" s="5">
        <v>146.5</v>
      </c>
      <c r="E848" s="5">
        <v>148.935</v>
      </c>
      <c r="F848" s="6">
        <v>1030</v>
      </c>
    </row>
    <row r="849" spans="1:6" x14ac:dyDescent="0.2">
      <c r="A849" s="4">
        <v>45702</v>
      </c>
      <c r="B849" s="5">
        <v>148.71</v>
      </c>
      <c r="C849" s="5">
        <v>148.71</v>
      </c>
      <c r="D849" s="5">
        <v>148.71</v>
      </c>
      <c r="E849" s="5">
        <v>148.71</v>
      </c>
      <c r="F849" s="6">
        <v>1063</v>
      </c>
    </row>
    <row r="850" spans="1:6" x14ac:dyDescent="0.2">
      <c r="A850" s="4">
        <v>45706</v>
      </c>
      <c r="B850" s="5">
        <v>150.38</v>
      </c>
      <c r="C850" s="5">
        <v>150.38</v>
      </c>
      <c r="D850" s="5">
        <v>147.68</v>
      </c>
      <c r="E850" s="5">
        <v>147.94489999999999</v>
      </c>
      <c r="F850" s="6">
        <v>1844</v>
      </c>
    </row>
    <row r="851" spans="1:6" x14ac:dyDescent="0.2">
      <c r="A851" s="4">
        <v>45707</v>
      </c>
      <c r="B851" s="5">
        <v>143.83600000000001</v>
      </c>
      <c r="C851" s="5">
        <v>145.38</v>
      </c>
      <c r="D851" s="5">
        <v>143.83600000000001</v>
      </c>
      <c r="E851" s="5">
        <v>144.82990000000001</v>
      </c>
      <c r="F851" s="6">
        <v>2322</v>
      </c>
    </row>
    <row r="852" spans="1:6" x14ac:dyDescent="0.2">
      <c r="A852" s="4">
        <v>45708</v>
      </c>
      <c r="B852" s="5">
        <v>144</v>
      </c>
      <c r="C852" s="5">
        <v>148.5805</v>
      </c>
      <c r="D852" s="5">
        <v>142.88</v>
      </c>
      <c r="E852" s="5">
        <v>145.47499999999999</v>
      </c>
      <c r="F852" s="6">
        <v>2189</v>
      </c>
    </row>
    <row r="853" spans="1:6" x14ac:dyDescent="0.2">
      <c r="A853" s="4">
        <v>45709</v>
      </c>
      <c r="B853" s="5">
        <v>144</v>
      </c>
      <c r="C853" s="5">
        <v>149.34</v>
      </c>
      <c r="D853" s="5">
        <v>142.4</v>
      </c>
      <c r="E853" s="5">
        <v>142.4</v>
      </c>
      <c r="F853" s="6">
        <v>3835</v>
      </c>
    </row>
    <row r="854" spans="1:6" x14ac:dyDescent="0.2">
      <c r="A854" s="4">
        <v>45712</v>
      </c>
      <c r="B854" s="5">
        <v>149.96</v>
      </c>
      <c r="C854" s="5">
        <v>149.96</v>
      </c>
      <c r="D854" s="5">
        <v>148.01</v>
      </c>
      <c r="E854" s="5">
        <v>148.01</v>
      </c>
      <c r="F854" s="6">
        <v>3643</v>
      </c>
    </row>
    <row r="855" spans="1:6" x14ac:dyDescent="0.2">
      <c r="A855" s="4">
        <v>45713</v>
      </c>
      <c r="B855" s="5">
        <v>151.36000000000001</v>
      </c>
      <c r="C855" s="5">
        <v>151.36000000000001</v>
      </c>
      <c r="D855" s="5">
        <v>150.25</v>
      </c>
      <c r="E855" s="5">
        <v>151.21</v>
      </c>
      <c r="F855" s="6">
        <v>1737</v>
      </c>
    </row>
    <row r="856" spans="1:6" x14ac:dyDescent="0.2">
      <c r="A856" s="4">
        <v>45714</v>
      </c>
      <c r="B856" s="5">
        <v>153.15</v>
      </c>
      <c r="C856" s="5">
        <v>155.65</v>
      </c>
      <c r="D856" s="5">
        <v>149.35</v>
      </c>
      <c r="E856" s="5">
        <v>155.65</v>
      </c>
      <c r="F856" s="6">
        <v>1005</v>
      </c>
    </row>
    <row r="857" spans="1:6" x14ac:dyDescent="0.2">
      <c r="A857" s="4">
        <v>45715</v>
      </c>
      <c r="B857" s="5">
        <v>150.59989999999999</v>
      </c>
      <c r="C857" s="5">
        <v>150.59989999999999</v>
      </c>
      <c r="D857" s="5">
        <v>150.46</v>
      </c>
      <c r="E857" s="5">
        <v>150.46</v>
      </c>
      <c r="F857" s="6">
        <v>1627</v>
      </c>
    </row>
    <row r="858" spans="1:6" x14ac:dyDescent="0.2">
      <c r="A858" s="4">
        <v>45716</v>
      </c>
      <c r="B858" s="5">
        <v>150.46</v>
      </c>
      <c r="C858" s="5">
        <v>150.46</v>
      </c>
      <c r="D858" s="5">
        <v>150.46</v>
      </c>
      <c r="E858" s="5">
        <v>150.46</v>
      </c>
      <c r="F858" s="6"/>
    </row>
    <row r="859" spans="1:6" x14ac:dyDescent="0.2">
      <c r="A859" s="4">
        <v>45719</v>
      </c>
      <c r="B859" s="5">
        <v>153.54</v>
      </c>
      <c r="C859" s="5">
        <v>158.49</v>
      </c>
      <c r="D859" s="5">
        <v>151.16</v>
      </c>
      <c r="E859" s="5">
        <v>151.16</v>
      </c>
      <c r="F859" s="6">
        <v>1123</v>
      </c>
    </row>
    <row r="860" spans="1:6" x14ac:dyDescent="0.2">
      <c r="A860" s="4">
        <v>45720</v>
      </c>
      <c r="B860" s="5">
        <v>147.94999999999999</v>
      </c>
      <c r="C860" s="5">
        <v>153.16</v>
      </c>
      <c r="D860" s="5">
        <v>147.94999999999999</v>
      </c>
      <c r="E860" s="5">
        <v>153.16</v>
      </c>
      <c r="F860" s="6">
        <v>1436</v>
      </c>
    </row>
    <row r="861" spans="1:6" x14ac:dyDescent="0.2">
      <c r="A861" s="4">
        <v>45721</v>
      </c>
      <c r="B861" s="5">
        <v>149.1</v>
      </c>
      <c r="C861" s="5">
        <v>157.58000000000001</v>
      </c>
      <c r="D861" s="5">
        <v>149.1</v>
      </c>
      <c r="E861" s="5">
        <v>157.58000000000001</v>
      </c>
      <c r="F861" s="6">
        <v>1588</v>
      </c>
    </row>
    <row r="862" spans="1:6" x14ac:dyDescent="0.2">
      <c r="A862" s="4">
        <v>45722</v>
      </c>
      <c r="B862" s="5">
        <v>156.36000000000001</v>
      </c>
      <c r="C862" s="5">
        <v>156.36000000000001</v>
      </c>
      <c r="D862" s="5">
        <v>149.25</v>
      </c>
      <c r="E862" s="5">
        <v>149.25</v>
      </c>
      <c r="F862" s="6">
        <v>1551</v>
      </c>
    </row>
    <row r="863" spans="1:6" x14ac:dyDescent="0.2">
      <c r="A863" s="4">
        <v>45723</v>
      </c>
      <c r="B863" s="5">
        <v>149.25</v>
      </c>
      <c r="C863" s="5">
        <v>149.25</v>
      </c>
      <c r="D863" s="5">
        <v>149.25</v>
      </c>
      <c r="E863" s="5">
        <v>149.25</v>
      </c>
      <c r="F863" s="6"/>
    </row>
    <row r="864" spans="1:6" x14ac:dyDescent="0.2">
      <c r="A864" s="4">
        <v>45726</v>
      </c>
      <c r="B864" s="5">
        <v>152.32</v>
      </c>
      <c r="C864" s="5">
        <v>154.22</v>
      </c>
      <c r="D864" s="5">
        <v>148.19999999999999</v>
      </c>
      <c r="E864" s="5">
        <v>154.22</v>
      </c>
      <c r="F864" s="6">
        <v>1052</v>
      </c>
    </row>
    <row r="865" spans="1:6" x14ac:dyDescent="0.2">
      <c r="A865" s="4">
        <v>45727</v>
      </c>
      <c r="B865" s="5">
        <v>154.22</v>
      </c>
      <c r="C865" s="5">
        <v>154.22</v>
      </c>
      <c r="D865" s="5">
        <v>154.22</v>
      </c>
      <c r="E865" s="5">
        <v>154.22</v>
      </c>
      <c r="F865" s="6"/>
    </row>
    <row r="866" spans="1:6" x14ac:dyDescent="0.2">
      <c r="A866" s="4">
        <v>45728</v>
      </c>
      <c r="B866" s="5">
        <v>149.18</v>
      </c>
      <c r="C866" s="5">
        <v>151.02500000000001</v>
      </c>
      <c r="D866" s="5">
        <v>146.19999999999999</v>
      </c>
      <c r="E866" s="5">
        <v>149.4</v>
      </c>
      <c r="F866" s="6">
        <v>5477</v>
      </c>
    </row>
    <row r="867" spans="1:6" x14ac:dyDescent="0.2">
      <c r="A867" s="4">
        <v>45729</v>
      </c>
      <c r="B867" s="5">
        <v>155</v>
      </c>
      <c r="C867" s="5">
        <v>155</v>
      </c>
      <c r="D867" s="5">
        <v>151.41990000000001</v>
      </c>
      <c r="E867" s="5">
        <v>154.46</v>
      </c>
      <c r="F867" s="6">
        <v>866</v>
      </c>
    </row>
    <row r="868" spans="1:6" x14ac:dyDescent="0.2">
      <c r="A868" s="4">
        <v>45730</v>
      </c>
      <c r="B868" s="5">
        <v>154.72</v>
      </c>
      <c r="C868" s="5">
        <v>156.36000000000001</v>
      </c>
      <c r="D868" s="5">
        <v>152.06</v>
      </c>
      <c r="E868" s="5">
        <v>153.56</v>
      </c>
      <c r="F868" s="6">
        <v>1992</v>
      </c>
    </row>
    <row r="869" spans="1:6" x14ac:dyDescent="0.2">
      <c r="A869" s="4">
        <v>45733</v>
      </c>
      <c r="B869" s="5">
        <v>155</v>
      </c>
      <c r="C869" s="5">
        <v>155</v>
      </c>
      <c r="D869" s="5">
        <v>154.97999999999999</v>
      </c>
      <c r="E869" s="5">
        <v>154.97999999999999</v>
      </c>
      <c r="F869" s="6">
        <v>653</v>
      </c>
    </row>
    <row r="870" spans="1:6" x14ac:dyDescent="0.2">
      <c r="A870" s="4">
        <v>45734</v>
      </c>
      <c r="B870" s="5">
        <v>156.19999999999999</v>
      </c>
      <c r="C870" s="5">
        <v>156.19999999999999</v>
      </c>
      <c r="D870" s="5">
        <v>153.05000000000001</v>
      </c>
      <c r="E870" s="5">
        <v>153.21</v>
      </c>
      <c r="F870" s="6">
        <v>2123</v>
      </c>
    </row>
    <row r="871" spans="1:6" x14ac:dyDescent="0.2">
      <c r="A871" s="4">
        <v>45735</v>
      </c>
      <c r="B871" s="5">
        <v>151.38</v>
      </c>
      <c r="C871" s="5">
        <v>154.19999999999999</v>
      </c>
      <c r="D871" s="5">
        <v>151.38</v>
      </c>
      <c r="E871" s="5">
        <v>154.19999999999999</v>
      </c>
      <c r="F871" s="6">
        <v>1134</v>
      </c>
    </row>
    <row r="872" spans="1:6" x14ac:dyDescent="0.2">
      <c r="A872" s="4">
        <v>45736</v>
      </c>
      <c r="B872" s="5">
        <v>154.63999999999999</v>
      </c>
      <c r="C872" s="5">
        <v>154.63999999999999</v>
      </c>
      <c r="D872" s="5">
        <v>154.63999999999999</v>
      </c>
      <c r="E872" s="5">
        <v>154.63999999999999</v>
      </c>
      <c r="F872" s="6">
        <v>647</v>
      </c>
    </row>
    <row r="873" spans="1:6" x14ac:dyDescent="0.2">
      <c r="A873" s="4">
        <v>45737</v>
      </c>
      <c r="B873" s="5">
        <v>153.41999999999999</v>
      </c>
      <c r="C873" s="5">
        <v>153.41999999999999</v>
      </c>
      <c r="D873" s="5">
        <v>153.41999999999999</v>
      </c>
      <c r="E873" s="5">
        <v>153.41999999999999</v>
      </c>
      <c r="F873" s="6">
        <v>1314</v>
      </c>
    </row>
    <row r="874" spans="1:6" x14ac:dyDescent="0.2">
      <c r="A874" s="4">
        <v>45740</v>
      </c>
      <c r="B874" s="5">
        <v>149.46</v>
      </c>
      <c r="C874" s="5">
        <v>149.46</v>
      </c>
      <c r="D874" s="5">
        <v>143.4135</v>
      </c>
      <c r="E874" s="5">
        <v>143.4135</v>
      </c>
      <c r="F874" s="6">
        <v>744</v>
      </c>
    </row>
    <row r="875" spans="1:6" x14ac:dyDescent="0.2">
      <c r="A875" s="4">
        <v>45741</v>
      </c>
      <c r="B875" s="5">
        <v>147.55000000000001</v>
      </c>
      <c r="C875" s="5">
        <v>147.55000000000001</v>
      </c>
      <c r="D875" s="5">
        <v>147.55000000000001</v>
      </c>
      <c r="E875" s="5">
        <v>147.55000000000001</v>
      </c>
      <c r="F875" s="6">
        <v>716</v>
      </c>
    </row>
    <row r="876" spans="1:6" x14ac:dyDescent="0.2">
      <c r="A876" s="4">
        <v>45742</v>
      </c>
      <c r="B876" s="5">
        <v>146.65</v>
      </c>
      <c r="C876" s="5">
        <v>146.65</v>
      </c>
      <c r="D876" s="5">
        <v>143.4</v>
      </c>
      <c r="E876" s="5">
        <v>143.4</v>
      </c>
      <c r="F876" s="6">
        <v>1005</v>
      </c>
    </row>
    <row r="877" spans="1:6" x14ac:dyDescent="0.2">
      <c r="A877" s="4">
        <v>45743</v>
      </c>
      <c r="B877" s="5">
        <v>140.1</v>
      </c>
      <c r="C877" s="5">
        <v>140.1</v>
      </c>
      <c r="D877" s="5">
        <v>140.1</v>
      </c>
      <c r="E877" s="5">
        <v>140.1</v>
      </c>
      <c r="F877" s="6">
        <v>558</v>
      </c>
    </row>
    <row r="878" spans="1:6" x14ac:dyDescent="0.2">
      <c r="A878" s="4">
        <v>45744</v>
      </c>
      <c r="B878" s="5">
        <v>146.75</v>
      </c>
      <c r="C878" s="5">
        <v>148.91999999999999</v>
      </c>
      <c r="D878" s="5">
        <v>145.36799999999999</v>
      </c>
      <c r="E878" s="5">
        <v>147.47</v>
      </c>
      <c r="F878" s="6">
        <v>2572</v>
      </c>
    </row>
    <row r="879" spans="1:6" x14ac:dyDescent="0.2">
      <c r="A879" s="4">
        <v>45747</v>
      </c>
      <c r="B879" s="5">
        <v>143.78</v>
      </c>
      <c r="C879" s="5">
        <v>147.36000000000001</v>
      </c>
      <c r="D879" s="5">
        <v>143.78</v>
      </c>
      <c r="E879" s="5">
        <v>147.36000000000001</v>
      </c>
      <c r="F879" s="6">
        <v>566</v>
      </c>
    </row>
    <row r="880" spans="1:6" x14ac:dyDescent="0.2">
      <c r="A880" s="4">
        <v>45748</v>
      </c>
      <c r="B880" s="5">
        <v>148.12</v>
      </c>
      <c r="C880" s="5">
        <v>148.12</v>
      </c>
      <c r="D880" s="5">
        <v>148.12</v>
      </c>
      <c r="E880" s="5">
        <v>148.12</v>
      </c>
      <c r="F880" s="6">
        <v>427</v>
      </c>
    </row>
    <row r="881" spans="1:6" x14ac:dyDescent="0.2">
      <c r="A881" s="4">
        <v>45749</v>
      </c>
      <c r="B881" s="5">
        <v>146.13999999999999</v>
      </c>
      <c r="C881" s="5">
        <v>147.375</v>
      </c>
      <c r="D881" s="5">
        <v>146.13999999999999</v>
      </c>
      <c r="E881" s="5">
        <v>147.375</v>
      </c>
      <c r="F881" s="6">
        <v>737</v>
      </c>
    </row>
    <row r="882" spans="1:6" x14ac:dyDescent="0.2">
      <c r="A882" s="4">
        <v>45750</v>
      </c>
      <c r="B882" s="5">
        <v>149.59989999999999</v>
      </c>
      <c r="C882" s="5">
        <v>150.96</v>
      </c>
      <c r="D882" s="5">
        <v>149.59989999999999</v>
      </c>
      <c r="E882" s="5">
        <v>150.84</v>
      </c>
      <c r="F882" s="6">
        <v>2172</v>
      </c>
    </row>
    <row r="883" spans="1:6" x14ac:dyDescent="0.2">
      <c r="A883" s="4">
        <v>45751</v>
      </c>
      <c r="B883" s="5">
        <v>138.05000000000001</v>
      </c>
      <c r="C883" s="5">
        <v>145.5</v>
      </c>
      <c r="D883" s="5">
        <v>136.63990000000001</v>
      </c>
      <c r="E883" s="5">
        <v>136.63990000000001</v>
      </c>
      <c r="F883" s="6">
        <v>1923</v>
      </c>
    </row>
    <row r="884" spans="1:6" x14ac:dyDescent="0.2">
      <c r="A884" s="4">
        <v>45754</v>
      </c>
      <c r="B884" s="5">
        <v>127.7</v>
      </c>
      <c r="C884" s="5">
        <v>133.80000000000001</v>
      </c>
      <c r="D884" s="5">
        <v>127.4</v>
      </c>
      <c r="E884" s="5">
        <v>129.91489999999999</v>
      </c>
      <c r="F884" s="6">
        <v>2449</v>
      </c>
    </row>
    <row r="885" spans="1:6" x14ac:dyDescent="0.2">
      <c r="A885" s="4">
        <v>45755</v>
      </c>
      <c r="B885" s="5">
        <v>132.46</v>
      </c>
      <c r="C885" s="5">
        <v>133</v>
      </c>
      <c r="D885" s="5">
        <v>130.09989999999999</v>
      </c>
      <c r="E885" s="5">
        <v>132.4</v>
      </c>
      <c r="F885" s="6">
        <v>3338</v>
      </c>
    </row>
    <row r="886" spans="1:6" x14ac:dyDescent="0.2">
      <c r="A886" s="4">
        <v>45756</v>
      </c>
      <c r="B886" s="5">
        <v>122.26</v>
      </c>
      <c r="C886" s="5">
        <v>131.19</v>
      </c>
      <c r="D886" s="5">
        <v>122.26</v>
      </c>
      <c r="E886" s="5">
        <v>129.16</v>
      </c>
      <c r="F886" s="6">
        <v>2229</v>
      </c>
    </row>
    <row r="887" spans="1:6" x14ac:dyDescent="0.2">
      <c r="A887" s="4">
        <v>45757</v>
      </c>
      <c r="B887" s="5">
        <v>129.4</v>
      </c>
      <c r="C887" s="5">
        <v>133</v>
      </c>
      <c r="D887" s="5">
        <v>128.91</v>
      </c>
      <c r="E887" s="5">
        <v>128.91</v>
      </c>
      <c r="F887" s="6">
        <v>1859</v>
      </c>
    </row>
    <row r="888" spans="1:6" x14ac:dyDescent="0.2">
      <c r="A888" s="4">
        <v>45758</v>
      </c>
      <c r="B888" s="5">
        <v>125.55</v>
      </c>
      <c r="C888" s="5">
        <v>132.68</v>
      </c>
      <c r="D888" s="5">
        <v>125.55</v>
      </c>
      <c r="E888" s="5">
        <v>132.68</v>
      </c>
      <c r="F888" s="6">
        <v>3362</v>
      </c>
    </row>
    <row r="889" spans="1:6" x14ac:dyDescent="0.2">
      <c r="A889" s="4">
        <v>45761</v>
      </c>
      <c r="B889" s="5">
        <v>133</v>
      </c>
      <c r="C889" s="5">
        <v>133.09989999999999</v>
      </c>
      <c r="D889" s="5">
        <v>131.31</v>
      </c>
      <c r="E889" s="5">
        <v>131.31</v>
      </c>
      <c r="F889" s="6">
        <v>1448</v>
      </c>
    </row>
    <row r="890" spans="1:6" x14ac:dyDescent="0.2">
      <c r="A890" s="4">
        <v>45762</v>
      </c>
      <c r="B890" s="5">
        <v>135.30000000000001</v>
      </c>
      <c r="C890" s="5">
        <v>137.6</v>
      </c>
      <c r="D890" s="5">
        <v>134.22</v>
      </c>
      <c r="E890" s="5">
        <v>134.22</v>
      </c>
      <c r="F890" s="6">
        <v>5902</v>
      </c>
    </row>
    <row r="891" spans="1:6" x14ac:dyDescent="0.2">
      <c r="A891" s="4">
        <v>45763</v>
      </c>
      <c r="B891" s="5">
        <v>134.38</v>
      </c>
      <c r="C891" s="5">
        <v>136.82</v>
      </c>
      <c r="D891" s="5">
        <v>134.08000000000001</v>
      </c>
      <c r="E891" s="5">
        <v>134.08000000000001</v>
      </c>
      <c r="F891" s="6">
        <v>1306</v>
      </c>
    </row>
    <row r="892" spans="1:6" x14ac:dyDescent="0.2">
      <c r="A892" s="4">
        <v>45764</v>
      </c>
      <c r="B892" s="5">
        <v>137.80000000000001</v>
      </c>
      <c r="C892" s="5">
        <v>139.80000000000001</v>
      </c>
      <c r="D892" s="5">
        <v>137.80000000000001</v>
      </c>
      <c r="E892" s="5">
        <v>139.80000000000001</v>
      </c>
      <c r="F892" s="6">
        <v>985</v>
      </c>
    </row>
    <row r="893" spans="1:6" x14ac:dyDescent="0.2">
      <c r="A893" s="4">
        <v>45768</v>
      </c>
      <c r="B893" s="5">
        <v>133.68</v>
      </c>
      <c r="C893" s="5">
        <v>134.43279999999999</v>
      </c>
      <c r="D893" s="5">
        <v>132.38</v>
      </c>
      <c r="E893" s="5">
        <v>132.38</v>
      </c>
      <c r="F893" s="6">
        <v>1677</v>
      </c>
    </row>
    <row r="894" spans="1:6" x14ac:dyDescent="0.2">
      <c r="A894" s="4">
        <v>45769</v>
      </c>
      <c r="B894" s="5">
        <v>129.15</v>
      </c>
      <c r="C894" s="5">
        <v>129.15</v>
      </c>
      <c r="D894" s="5">
        <v>129.15</v>
      </c>
      <c r="E894" s="5">
        <v>129.15</v>
      </c>
      <c r="F894" s="6">
        <v>852</v>
      </c>
    </row>
    <row r="895" spans="1:6" x14ac:dyDescent="0.2">
      <c r="A895" s="4">
        <v>45770</v>
      </c>
      <c r="B895" s="5">
        <v>136.4</v>
      </c>
      <c r="C895" s="5">
        <v>139.02000000000001</v>
      </c>
      <c r="D895" s="5">
        <v>135.75</v>
      </c>
      <c r="E895" s="5">
        <v>135.75</v>
      </c>
      <c r="F895" s="6">
        <v>1039</v>
      </c>
    </row>
    <row r="896" spans="1:6" x14ac:dyDescent="0.2">
      <c r="A896" s="4">
        <v>45771</v>
      </c>
      <c r="B896" s="5">
        <v>136.31989999999999</v>
      </c>
      <c r="C896" s="5">
        <v>137.24</v>
      </c>
      <c r="D896" s="5">
        <v>136.31989999999999</v>
      </c>
      <c r="E896" s="5">
        <v>137.24</v>
      </c>
      <c r="F896" s="6">
        <v>9911</v>
      </c>
    </row>
    <row r="897" spans="1:6" x14ac:dyDescent="0.2">
      <c r="A897" s="4">
        <v>45772</v>
      </c>
      <c r="B897" s="5">
        <v>134.75</v>
      </c>
      <c r="C897" s="5">
        <v>134.75</v>
      </c>
      <c r="D897" s="5">
        <v>134.75</v>
      </c>
      <c r="E897" s="5">
        <v>134.75</v>
      </c>
      <c r="F897" s="6">
        <v>1084</v>
      </c>
    </row>
    <row r="898" spans="1:6" x14ac:dyDescent="0.2">
      <c r="A898" s="4">
        <v>45775</v>
      </c>
      <c r="B898" s="5">
        <v>142.15</v>
      </c>
      <c r="C898" s="5">
        <v>142.15</v>
      </c>
      <c r="D898" s="5">
        <v>138.75989999999999</v>
      </c>
      <c r="E898" s="5">
        <v>138.75989999999999</v>
      </c>
      <c r="F898" s="6">
        <v>695</v>
      </c>
    </row>
    <row r="899" spans="1:6" x14ac:dyDescent="0.2">
      <c r="A899" s="4">
        <v>45776</v>
      </c>
      <c r="B899" s="5">
        <v>143.02000000000001</v>
      </c>
      <c r="C899" s="5">
        <v>144.94</v>
      </c>
      <c r="D899" s="5">
        <v>142.30000000000001</v>
      </c>
      <c r="E899" s="5">
        <v>144.94</v>
      </c>
      <c r="F899" s="6">
        <v>1223</v>
      </c>
    </row>
    <row r="900" spans="1:6" x14ac:dyDescent="0.2">
      <c r="A900" s="4">
        <v>45777</v>
      </c>
      <c r="B900" s="5">
        <v>146.5</v>
      </c>
      <c r="C900" s="5">
        <v>146.5</v>
      </c>
      <c r="D900" s="5">
        <v>142.34</v>
      </c>
      <c r="E900" s="5">
        <v>145.63999999999999</v>
      </c>
      <c r="F900" s="6">
        <v>1210</v>
      </c>
    </row>
    <row r="901" spans="1:6" x14ac:dyDescent="0.2">
      <c r="A901" s="4">
        <v>45778</v>
      </c>
      <c r="B901" s="5">
        <v>138.86000000000001</v>
      </c>
      <c r="C901" s="5">
        <v>141.44</v>
      </c>
      <c r="D901" s="5">
        <v>138.86000000000001</v>
      </c>
      <c r="E901" s="5">
        <v>140.63</v>
      </c>
      <c r="F901" s="6">
        <v>1257</v>
      </c>
    </row>
    <row r="902" spans="1:6" x14ac:dyDescent="0.2">
      <c r="A902" s="4">
        <v>45779</v>
      </c>
      <c r="B902" s="5">
        <v>142.77500000000001</v>
      </c>
      <c r="C902" s="5">
        <v>146.76</v>
      </c>
      <c r="D902" s="5">
        <v>141.72</v>
      </c>
      <c r="E902" s="5">
        <v>146.74</v>
      </c>
      <c r="F902" s="6">
        <v>1672</v>
      </c>
    </row>
    <row r="903" spans="1:6" x14ac:dyDescent="0.2">
      <c r="A903" s="4">
        <v>45782</v>
      </c>
      <c r="B903" s="5">
        <v>145.18</v>
      </c>
      <c r="C903" s="5">
        <v>145.96</v>
      </c>
      <c r="D903" s="5">
        <v>142.80000000000001</v>
      </c>
      <c r="E903" s="5">
        <v>145.96</v>
      </c>
      <c r="F903" s="6">
        <v>1529</v>
      </c>
    </row>
    <row r="904" spans="1:6" x14ac:dyDescent="0.2">
      <c r="A904" s="4">
        <v>45783</v>
      </c>
      <c r="B904" s="5">
        <v>139.9</v>
      </c>
      <c r="C904" s="5">
        <v>139.9</v>
      </c>
      <c r="D904" s="5">
        <v>138.94</v>
      </c>
      <c r="E904" s="5">
        <v>138.94</v>
      </c>
      <c r="F904" s="6">
        <v>855</v>
      </c>
    </row>
    <row r="905" spans="1:6" x14ac:dyDescent="0.2">
      <c r="A905" s="4">
        <v>45784</v>
      </c>
      <c r="B905" s="5">
        <v>138.96</v>
      </c>
      <c r="C905" s="5">
        <v>138.96</v>
      </c>
      <c r="D905" s="5">
        <v>138.66</v>
      </c>
      <c r="E905" s="5">
        <v>138.66</v>
      </c>
      <c r="F905" s="6">
        <v>1133</v>
      </c>
    </row>
    <row r="906" spans="1:6" x14ac:dyDescent="0.2">
      <c r="A906" s="4">
        <v>45785</v>
      </c>
      <c r="B906" s="5">
        <v>140</v>
      </c>
      <c r="C906" s="5">
        <v>140</v>
      </c>
      <c r="D906" s="5">
        <v>134.09989999999999</v>
      </c>
      <c r="E906" s="5">
        <v>134.09989999999999</v>
      </c>
      <c r="F906" s="6">
        <v>3006</v>
      </c>
    </row>
    <row r="907" spans="1:6" x14ac:dyDescent="0.2">
      <c r="A907" s="4">
        <v>45786</v>
      </c>
      <c r="B907" s="5">
        <v>137.88</v>
      </c>
      <c r="C907" s="5">
        <v>137.88</v>
      </c>
      <c r="D907" s="5">
        <v>135.22</v>
      </c>
      <c r="E907" s="5">
        <v>135.22</v>
      </c>
      <c r="F907" s="6">
        <v>1394</v>
      </c>
    </row>
    <row r="908" spans="1:6" x14ac:dyDescent="0.2">
      <c r="A908" s="4">
        <v>45789</v>
      </c>
      <c r="B908" s="5">
        <v>135.69999999999999</v>
      </c>
      <c r="C908" s="5">
        <v>136.46</v>
      </c>
      <c r="D908" s="5">
        <v>134.96</v>
      </c>
      <c r="E908" s="5">
        <v>135.36000000000001</v>
      </c>
      <c r="F908" s="6">
        <v>2855</v>
      </c>
    </row>
    <row r="909" spans="1:6" x14ac:dyDescent="0.2">
      <c r="A909" s="4">
        <v>45790</v>
      </c>
      <c r="B909" s="5">
        <v>135.36000000000001</v>
      </c>
      <c r="C909" s="5">
        <v>135.36000000000001</v>
      </c>
      <c r="D909" s="5">
        <v>135.36000000000001</v>
      </c>
      <c r="E909" s="5">
        <v>135.36000000000001</v>
      </c>
      <c r="F909" s="6"/>
    </row>
    <row r="910" spans="1:6" x14ac:dyDescent="0.2">
      <c r="A910" s="4">
        <v>45791</v>
      </c>
      <c r="B910" s="5">
        <v>135.36000000000001</v>
      </c>
      <c r="C910" s="5">
        <v>135.36000000000001</v>
      </c>
      <c r="D910" s="5">
        <v>135.36000000000001</v>
      </c>
      <c r="E910" s="5">
        <v>135.36000000000001</v>
      </c>
      <c r="F910" s="6"/>
    </row>
    <row r="911" spans="1:6" x14ac:dyDescent="0.2">
      <c r="A911" s="4">
        <v>45792</v>
      </c>
      <c r="B911" s="5">
        <v>131.03</v>
      </c>
      <c r="C911" s="5">
        <v>138.56</v>
      </c>
      <c r="D911" s="5">
        <v>131.03</v>
      </c>
      <c r="E911" s="5">
        <v>135.88</v>
      </c>
      <c r="F911" s="6">
        <v>3557</v>
      </c>
    </row>
    <row r="912" spans="1:6" x14ac:dyDescent="0.2">
      <c r="A912" s="4">
        <v>45793</v>
      </c>
      <c r="B912" s="5">
        <v>137.84</v>
      </c>
      <c r="C912" s="5">
        <v>138.62</v>
      </c>
      <c r="D912" s="5">
        <v>134.46</v>
      </c>
      <c r="E912" s="5">
        <v>134.46</v>
      </c>
      <c r="F912" s="6">
        <v>3285</v>
      </c>
    </row>
    <row r="913" spans="1:6" x14ac:dyDescent="0.2">
      <c r="A913" s="4">
        <v>45796</v>
      </c>
      <c r="B913" s="5">
        <v>138.86000000000001</v>
      </c>
      <c r="C913" s="5">
        <v>141</v>
      </c>
      <c r="D913" s="5">
        <v>138.375</v>
      </c>
      <c r="E913" s="5">
        <v>141</v>
      </c>
      <c r="F913" s="6">
        <v>968</v>
      </c>
    </row>
    <row r="914" spans="1:6" x14ac:dyDescent="0.2">
      <c r="A914" s="4">
        <v>45797</v>
      </c>
      <c r="B914" s="5">
        <v>138.68</v>
      </c>
      <c r="C914" s="5">
        <v>138.68</v>
      </c>
      <c r="D914" s="5">
        <v>138.68</v>
      </c>
      <c r="E914" s="5">
        <v>138.68</v>
      </c>
      <c r="F914" s="6">
        <v>827</v>
      </c>
    </row>
    <row r="915" spans="1:6" x14ac:dyDescent="0.2">
      <c r="A915" s="4">
        <v>45798</v>
      </c>
      <c r="B915" s="5">
        <v>138.24</v>
      </c>
      <c r="C915" s="5">
        <v>138.24</v>
      </c>
      <c r="D915" s="5">
        <v>138.24</v>
      </c>
      <c r="E915" s="5">
        <v>138.24</v>
      </c>
      <c r="F915" s="6">
        <v>389</v>
      </c>
    </row>
    <row r="916" spans="1:6" x14ac:dyDescent="0.2">
      <c r="A916" s="4">
        <v>45799</v>
      </c>
      <c r="B916" s="5">
        <v>136.6</v>
      </c>
      <c r="C916" s="5">
        <v>141.12</v>
      </c>
      <c r="D916" s="5">
        <v>136.6</v>
      </c>
      <c r="E916" s="5">
        <v>141.12</v>
      </c>
      <c r="F916" s="6">
        <v>1471</v>
      </c>
    </row>
    <row r="917" spans="1:6" x14ac:dyDescent="0.2">
      <c r="A917" s="4">
        <v>45800</v>
      </c>
      <c r="B917" s="5">
        <v>139.53989999999999</v>
      </c>
      <c r="C917" s="5">
        <v>143.25</v>
      </c>
      <c r="D917" s="5">
        <v>139.53989999999999</v>
      </c>
      <c r="E917" s="5">
        <v>143.25</v>
      </c>
      <c r="F917" s="6">
        <v>2471</v>
      </c>
    </row>
    <row r="918" spans="1:6" x14ac:dyDescent="0.2">
      <c r="A918" s="4">
        <v>45804</v>
      </c>
      <c r="B918" s="5">
        <v>143.97499999999999</v>
      </c>
      <c r="C918" s="5">
        <v>143.97499999999999</v>
      </c>
      <c r="D918" s="5">
        <v>141.53989999999999</v>
      </c>
      <c r="E918" s="5">
        <v>143.97499999999999</v>
      </c>
      <c r="F918" s="6">
        <v>1631</v>
      </c>
    </row>
    <row r="919" spans="1:6" x14ac:dyDescent="0.2">
      <c r="A919" s="4">
        <v>45805</v>
      </c>
      <c r="B919" s="5">
        <v>143.97499999999999</v>
      </c>
      <c r="C919" s="5">
        <v>143.97499999999999</v>
      </c>
      <c r="D919" s="5">
        <v>143.97499999999999</v>
      </c>
      <c r="E919" s="5">
        <v>143.97499999999999</v>
      </c>
      <c r="F919" s="6"/>
    </row>
    <row r="920" spans="1:6" x14ac:dyDescent="0.2">
      <c r="A920" s="4">
        <v>45806</v>
      </c>
      <c r="B920" s="5">
        <v>136.15</v>
      </c>
      <c r="C920" s="5">
        <v>143.1</v>
      </c>
      <c r="D920" s="5">
        <v>136.15</v>
      </c>
      <c r="E920" s="5">
        <v>143.1</v>
      </c>
      <c r="F920" s="6">
        <v>2268</v>
      </c>
    </row>
    <row r="921" spans="1:6" x14ac:dyDescent="0.2">
      <c r="A921" s="4">
        <v>45807</v>
      </c>
      <c r="B921" s="5">
        <v>143.19999999999999</v>
      </c>
      <c r="C921" s="5">
        <v>144</v>
      </c>
      <c r="D921" s="5">
        <v>141.5</v>
      </c>
      <c r="E921" s="5">
        <v>141.5</v>
      </c>
      <c r="F921" s="6">
        <v>3155</v>
      </c>
    </row>
    <row r="922" spans="1:6" x14ac:dyDescent="0.2">
      <c r="A922" s="4">
        <v>45810</v>
      </c>
      <c r="B922" s="5">
        <v>142</v>
      </c>
      <c r="C922" s="5">
        <v>142.5</v>
      </c>
      <c r="D922" s="5">
        <v>142</v>
      </c>
      <c r="E922" s="5">
        <v>142.5</v>
      </c>
      <c r="F922" s="6">
        <v>613</v>
      </c>
    </row>
    <row r="923" spans="1:6" x14ac:dyDescent="0.2">
      <c r="A923" s="4">
        <v>45811</v>
      </c>
      <c r="B923" s="5">
        <v>143.04</v>
      </c>
      <c r="C923" s="5">
        <v>144.77500000000001</v>
      </c>
      <c r="D923" s="5">
        <v>142.47999999999999</v>
      </c>
      <c r="E923" s="5">
        <v>142.47999999999999</v>
      </c>
      <c r="F923" s="6">
        <v>2104</v>
      </c>
    </row>
    <row r="924" spans="1:6" x14ac:dyDescent="0.2">
      <c r="A924" s="4">
        <v>45812</v>
      </c>
      <c r="B924" s="5">
        <v>145.02000000000001</v>
      </c>
      <c r="C924" s="5">
        <v>147.08000000000001</v>
      </c>
      <c r="D924" s="5">
        <v>145.02000000000001</v>
      </c>
      <c r="E924" s="5">
        <v>145.625</v>
      </c>
      <c r="F924" s="6">
        <v>1915</v>
      </c>
    </row>
    <row r="925" spans="1:6" x14ac:dyDescent="0.2">
      <c r="A925" s="4">
        <v>45813</v>
      </c>
      <c r="B925" s="5">
        <v>142.75</v>
      </c>
      <c r="C925" s="5">
        <v>142.75</v>
      </c>
      <c r="D925" s="5">
        <v>142.75</v>
      </c>
      <c r="E925" s="5">
        <v>142.75</v>
      </c>
      <c r="F925" s="6">
        <v>1452</v>
      </c>
    </row>
    <row r="926" spans="1:6" x14ac:dyDescent="0.2">
      <c r="A926" s="4">
        <v>45814</v>
      </c>
      <c r="B926" s="5">
        <v>144.31989999999999</v>
      </c>
      <c r="C926" s="5">
        <v>144.31989999999999</v>
      </c>
      <c r="D926" s="5">
        <v>144.31989999999999</v>
      </c>
      <c r="E926" s="5">
        <v>144.31989999999999</v>
      </c>
      <c r="F926" s="6">
        <v>25585</v>
      </c>
    </row>
    <row r="927" spans="1:6" x14ac:dyDescent="0.2">
      <c r="A927" s="4">
        <v>45817</v>
      </c>
      <c r="B927" s="5">
        <v>146.52000000000001</v>
      </c>
      <c r="C927" s="5">
        <v>146.52000000000001</v>
      </c>
      <c r="D927" s="5">
        <v>146.52000000000001</v>
      </c>
      <c r="E927" s="5">
        <v>146.52000000000001</v>
      </c>
      <c r="F927" s="6">
        <v>686</v>
      </c>
    </row>
    <row r="928" spans="1:6" x14ac:dyDescent="0.2">
      <c r="A928" s="4">
        <v>45818</v>
      </c>
      <c r="B928" s="5">
        <v>146.30000000000001</v>
      </c>
      <c r="C928" s="5">
        <v>147.91390000000001</v>
      </c>
      <c r="D928" s="5">
        <v>146.30000000000001</v>
      </c>
      <c r="E928" s="5">
        <v>146.625</v>
      </c>
      <c r="F928" s="6">
        <v>1491</v>
      </c>
    </row>
    <row r="929" spans="1:6" x14ac:dyDescent="0.2">
      <c r="A929" s="4">
        <v>45819</v>
      </c>
      <c r="B929" s="5">
        <v>146.80000000000001</v>
      </c>
      <c r="C929" s="5">
        <v>148.215</v>
      </c>
      <c r="D929" s="5">
        <v>146.80000000000001</v>
      </c>
      <c r="E929" s="5">
        <v>148.215</v>
      </c>
      <c r="F929" s="6">
        <v>8793</v>
      </c>
    </row>
    <row r="930" spans="1:6" x14ac:dyDescent="0.2">
      <c r="A930" s="4">
        <v>45820</v>
      </c>
      <c r="B930" s="5">
        <v>152.19999999999999</v>
      </c>
      <c r="C930" s="5">
        <v>152.19999999999999</v>
      </c>
      <c r="D930" s="5">
        <v>148.75</v>
      </c>
      <c r="E930" s="5">
        <v>150.10489999999999</v>
      </c>
      <c r="F930" s="6">
        <v>1877</v>
      </c>
    </row>
    <row r="931" spans="1:6" x14ac:dyDescent="0.2">
      <c r="A931" s="4">
        <v>45821</v>
      </c>
      <c r="B931" s="5">
        <v>143.5</v>
      </c>
      <c r="C931" s="5">
        <v>148.25</v>
      </c>
      <c r="D931" s="5">
        <v>143.5</v>
      </c>
      <c r="E931" s="5">
        <v>148.03989999999999</v>
      </c>
      <c r="F931" s="6">
        <v>9038</v>
      </c>
    </row>
    <row r="932" spans="1:6" x14ac:dyDescent="0.2">
      <c r="A932" s="4">
        <v>45824</v>
      </c>
      <c r="B932" s="5">
        <v>151</v>
      </c>
      <c r="C932" s="5">
        <v>151</v>
      </c>
      <c r="D932" s="5">
        <v>146.12</v>
      </c>
      <c r="E932" s="5">
        <v>148.35</v>
      </c>
      <c r="F932" s="6">
        <v>2319</v>
      </c>
    </row>
    <row r="933" spans="1:6" x14ac:dyDescent="0.2">
      <c r="A933" s="4">
        <v>45825</v>
      </c>
      <c r="B933" s="5">
        <v>145.035</v>
      </c>
      <c r="C933" s="5">
        <v>145.035</v>
      </c>
      <c r="D933" s="5">
        <v>140.97</v>
      </c>
      <c r="E933" s="5">
        <v>140.97</v>
      </c>
      <c r="F933" s="6">
        <v>2525</v>
      </c>
    </row>
    <row r="934" spans="1:6" x14ac:dyDescent="0.2">
      <c r="A934" s="4">
        <v>45826</v>
      </c>
      <c r="B934" s="5">
        <v>143.13999999999999</v>
      </c>
      <c r="C934" s="5">
        <v>144.5</v>
      </c>
      <c r="D934" s="5">
        <v>143.13999999999999</v>
      </c>
      <c r="E934" s="5">
        <v>143.6</v>
      </c>
      <c r="F934" s="6">
        <v>1144</v>
      </c>
    </row>
    <row r="935" spans="1:6" x14ac:dyDescent="0.2">
      <c r="A935" s="4">
        <v>45828</v>
      </c>
      <c r="B935" s="5">
        <v>141.75</v>
      </c>
      <c r="C935" s="5">
        <v>141.75</v>
      </c>
      <c r="D935" s="5">
        <v>139.6901</v>
      </c>
      <c r="E935" s="5">
        <v>139.6901</v>
      </c>
      <c r="F935" s="6">
        <v>821</v>
      </c>
    </row>
    <row r="936" spans="1:6" x14ac:dyDescent="0.2">
      <c r="A936" s="4">
        <v>45831</v>
      </c>
      <c r="B936" s="5">
        <v>141.97999999999999</v>
      </c>
      <c r="C936" s="5">
        <v>142.01</v>
      </c>
      <c r="D936" s="5">
        <v>140.72</v>
      </c>
      <c r="E936" s="5">
        <v>142.01</v>
      </c>
      <c r="F936" s="6">
        <v>3146</v>
      </c>
    </row>
    <row r="937" spans="1:6" x14ac:dyDescent="0.2">
      <c r="A937" s="4">
        <v>45832</v>
      </c>
      <c r="B937" s="5">
        <v>142.01</v>
      </c>
      <c r="C937" s="5">
        <v>142.01</v>
      </c>
      <c r="D937" s="5">
        <v>142.01</v>
      </c>
      <c r="E937" s="5">
        <v>142.01</v>
      </c>
      <c r="F937" s="6"/>
    </row>
    <row r="938" spans="1:6" x14ac:dyDescent="0.2">
      <c r="A938" s="4">
        <v>45833</v>
      </c>
      <c r="B938" s="5">
        <v>146.19999999999999</v>
      </c>
      <c r="C938" s="5">
        <v>146.19999999999999</v>
      </c>
      <c r="D938" s="5">
        <v>146.19999999999999</v>
      </c>
      <c r="E938" s="5">
        <v>146.19999999999999</v>
      </c>
      <c r="F938" s="6">
        <v>738</v>
      </c>
    </row>
    <row r="939" spans="1:6" x14ac:dyDescent="0.2">
      <c r="A939" s="4">
        <v>45834</v>
      </c>
      <c r="B939" s="5">
        <v>139.92500000000001</v>
      </c>
      <c r="C939" s="5">
        <v>139.92500000000001</v>
      </c>
      <c r="D939" s="5">
        <v>139.92500000000001</v>
      </c>
      <c r="E939" s="5">
        <v>139.92500000000001</v>
      </c>
      <c r="F939" s="6">
        <v>536</v>
      </c>
    </row>
    <row r="940" spans="1:6" x14ac:dyDescent="0.2">
      <c r="A940" s="4">
        <v>45835</v>
      </c>
      <c r="B940" s="5">
        <v>141.66</v>
      </c>
      <c r="C940" s="5">
        <v>141.66</v>
      </c>
      <c r="D940" s="5">
        <v>138.08000000000001</v>
      </c>
      <c r="E940" s="5">
        <v>138.18</v>
      </c>
      <c r="F940" s="6">
        <v>1201</v>
      </c>
    </row>
    <row r="941" spans="1:6" x14ac:dyDescent="0.2">
      <c r="A941" s="4">
        <v>45838</v>
      </c>
      <c r="B941" s="5">
        <v>138.18</v>
      </c>
      <c r="C941" s="5">
        <v>138.18</v>
      </c>
      <c r="D941" s="5">
        <v>138.18</v>
      </c>
      <c r="E941" s="5">
        <v>138.18</v>
      </c>
      <c r="F941" s="6"/>
    </row>
    <row r="942" spans="1:6" x14ac:dyDescent="0.2">
      <c r="A942" s="4">
        <v>45839</v>
      </c>
      <c r="B942" s="5">
        <v>141.19990000000001</v>
      </c>
      <c r="C942" s="5">
        <v>141.19990000000001</v>
      </c>
      <c r="D942" s="5">
        <v>139.71</v>
      </c>
      <c r="E942" s="5">
        <v>139.71</v>
      </c>
      <c r="F942" s="6">
        <v>1683</v>
      </c>
    </row>
    <row r="943" spans="1:6" x14ac:dyDescent="0.2">
      <c r="A943" s="4">
        <v>45840</v>
      </c>
      <c r="B943" s="5">
        <v>143.54</v>
      </c>
      <c r="C943" s="5">
        <v>143.88</v>
      </c>
      <c r="D943" s="5">
        <v>143.54</v>
      </c>
      <c r="E943" s="5">
        <v>143.88</v>
      </c>
      <c r="F943" s="6">
        <v>660</v>
      </c>
    </row>
    <row r="944" spans="1:6" x14ac:dyDescent="0.2">
      <c r="A944" s="4">
        <v>45841</v>
      </c>
      <c r="B944" s="5">
        <v>139</v>
      </c>
      <c r="C944" s="5">
        <v>141.375</v>
      </c>
      <c r="D944" s="5">
        <v>138.57</v>
      </c>
      <c r="E944" s="5">
        <v>140.685</v>
      </c>
      <c r="F944" s="6">
        <v>1403</v>
      </c>
    </row>
    <row r="945" spans="1:6" x14ac:dyDescent="0.2">
      <c r="A945" s="4">
        <v>45845</v>
      </c>
      <c r="B945" s="5">
        <v>141.30000000000001</v>
      </c>
      <c r="C945" s="5">
        <v>142.63249999999999</v>
      </c>
      <c r="D945" s="5">
        <v>134.9</v>
      </c>
      <c r="E945" s="5">
        <v>142.63</v>
      </c>
      <c r="F945" s="6">
        <v>1939</v>
      </c>
    </row>
    <row r="946" spans="1:6" x14ac:dyDescent="0.2">
      <c r="A946" s="4">
        <v>45846</v>
      </c>
      <c r="B946" s="5">
        <v>138.59989999999999</v>
      </c>
      <c r="C946" s="5">
        <v>140.15</v>
      </c>
      <c r="D946" s="5">
        <v>138.59989999999999</v>
      </c>
      <c r="E946" s="5">
        <v>140.15</v>
      </c>
      <c r="F946" s="6">
        <v>1045</v>
      </c>
    </row>
    <row r="947" spans="1:6" x14ac:dyDescent="0.2">
      <c r="A947" s="4">
        <v>45847</v>
      </c>
      <c r="B947" s="5">
        <v>141.4</v>
      </c>
      <c r="C947" s="5">
        <v>141.4</v>
      </c>
      <c r="D947" s="5">
        <v>141.4</v>
      </c>
      <c r="E947" s="5">
        <v>141.4</v>
      </c>
      <c r="F947" s="6">
        <v>674</v>
      </c>
    </row>
    <row r="948" spans="1:6" x14ac:dyDescent="0.2">
      <c r="A948" s="4">
        <v>45848</v>
      </c>
      <c r="B948" s="5">
        <v>141.4</v>
      </c>
      <c r="C948" s="5">
        <v>141.4</v>
      </c>
      <c r="D948" s="5">
        <v>141.4</v>
      </c>
      <c r="E948" s="5">
        <v>141.4</v>
      </c>
      <c r="F948" s="6"/>
    </row>
    <row r="949" spans="1:6" x14ac:dyDescent="0.2">
      <c r="A949" s="4">
        <v>45849</v>
      </c>
      <c r="B949" s="5">
        <v>140.25989999999999</v>
      </c>
      <c r="C949" s="5">
        <v>140.25989999999999</v>
      </c>
      <c r="D949" s="5">
        <v>140.25989999999999</v>
      </c>
      <c r="E949" s="5">
        <v>140.25989999999999</v>
      </c>
      <c r="F949" s="6">
        <v>649</v>
      </c>
    </row>
    <row r="950" spans="1:6" x14ac:dyDescent="0.2">
      <c r="A950" s="4">
        <v>45852</v>
      </c>
      <c r="B950" s="5">
        <v>142.6627</v>
      </c>
      <c r="C950" s="5">
        <v>145.88</v>
      </c>
      <c r="D950" s="5">
        <v>142.13990000000001</v>
      </c>
      <c r="E950" s="5">
        <v>143.15</v>
      </c>
      <c r="F950" s="6">
        <v>1180</v>
      </c>
    </row>
    <row r="951" spans="1:6" x14ac:dyDescent="0.2">
      <c r="A951" s="4">
        <v>45853</v>
      </c>
      <c r="B951" s="5">
        <v>140.4</v>
      </c>
      <c r="C951" s="5">
        <v>140.4</v>
      </c>
      <c r="D951" s="5">
        <v>140.4</v>
      </c>
      <c r="E951" s="5">
        <v>140.4</v>
      </c>
      <c r="F951" s="6">
        <v>387</v>
      </c>
    </row>
    <row r="952" spans="1:6" x14ac:dyDescent="0.2">
      <c r="A952" s="4">
        <v>45854</v>
      </c>
      <c r="B952" s="5">
        <v>139.12</v>
      </c>
      <c r="C952" s="5">
        <v>142.02000000000001</v>
      </c>
      <c r="D952" s="5">
        <v>139.12</v>
      </c>
      <c r="E952" s="5">
        <v>142.02000000000001</v>
      </c>
      <c r="F952" s="6">
        <v>673</v>
      </c>
    </row>
    <row r="953" spans="1:6" x14ac:dyDescent="0.2">
      <c r="A953" s="4">
        <v>45855</v>
      </c>
      <c r="B953" s="5">
        <v>142.02000000000001</v>
      </c>
      <c r="C953" s="5">
        <v>142.02000000000001</v>
      </c>
      <c r="D953" s="5">
        <v>142.02000000000001</v>
      </c>
      <c r="E953" s="5">
        <v>142.02000000000001</v>
      </c>
      <c r="F953" s="6"/>
    </row>
    <row r="954" spans="1:6" x14ac:dyDescent="0.2">
      <c r="A954" s="4">
        <v>45856</v>
      </c>
      <c r="B954" s="5">
        <v>142.02000000000001</v>
      </c>
      <c r="C954" s="5">
        <v>142.02000000000001</v>
      </c>
      <c r="D954" s="5">
        <v>142.02000000000001</v>
      </c>
      <c r="E954" s="5">
        <v>142.02000000000001</v>
      </c>
      <c r="F954" s="6"/>
    </row>
    <row r="955" spans="1:6" x14ac:dyDescent="0.2">
      <c r="A955" s="4">
        <v>45859</v>
      </c>
      <c r="B955" s="5">
        <v>139.91999999999999</v>
      </c>
      <c r="C955" s="5">
        <v>139.91999999999999</v>
      </c>
      <c r="D955" s="5">
        <v>139.69999999999999</v>
      </c>
      <c r="E955" s="5">
        <v>139.69999999999999</v>
      </c>
      <c r="F955" s="6">
        <v>986</v>
      </c>
    </row>
    <row r="956" spans="1:6" x14ac:dyDescent="0.2">
      <c r="A956" s="4">
        <v>45860</v>
      </c>
      <c r="B956" s="5">
        <v>138</v>
      </c>
      <c r="C956" s="5">
        <v>141.9</v>
      </c>
      <c r="D956" s="5">
        <v>138</v>
      </c>
      <c r="E956" s="5">
        <v>141.9</v>
      </c>
      <c r="F956" s="6">
        <v>610</v>
      </c>
    </row>
    <row r="957" spans="1:6" x14ac:dyDescent="0.2">
      <c r="A957" s="4">
        <v>45861</v>
      </c>
      <c r="B957" s="5">
        <v>142</v>
      </c>
      <c r="C957" s="5">
        <v>147.30000000000001</v>
      </c>
      <c r="D957" s="5">
        <v>142</v>
      </c>
      <c r="E957" s="5">
        <v>147.30000000000001</v>
      </c>
      <c r="F957" s="6">
        <v>1820</v>
      </c>
    </row>
    <row r="958" spans="1:6" x14ac:dyDescent="0.2">
      <c r="A958" s="4">
        <v>45862</v>
      </c>
      <c r="B958" s="5">
        <v>150</v>
      </c>
      <c r="C958" s="5">
        <v>150</v>
      </c>
      <c r="D958" s="5">
        <v>146.91999999999999</v>
      </c>
      <c r="E958" s="5">
        <v>146.91999999999999</v>
      </c>
      <c r="F958" s="6">
        <v>936</v>
      </c>
    </row>
    <row r="959" spans="1:6" x14ac:dyDescent="0.2">
      <c r="A959" s="4">
        <v>45863</v>
      </c>
      <c r="B959" s="5">
        <v>146.91999999999999</v>
      </c>
      <c r="C959" s="5">
        <v>146.91999999999999</v>
      </c>
      <c r="D959" s="5">
        <v>146.91999999999999</v>
      </c>
      <c r="E959" s="5">
        <v>146.91999999999999</v>
      </c>
      <c r="F959" s="6"/>
    </row>
    <row r="960" spans="1:6" x14ac:dyDescent="0.2">
      <c r="A960" s="4">
        <v>45866</v>
      </c>
      <c r="B960" s="5">
        <v>144.1</v>
      </c>
      <c r="C960" s="5">
        <v>144.1</v>
      </c>
      <c r="D960" s="5">
        <v>144.1</v>
      </c>
      <c r="E960" s="5">
        <v>144.1</v>
      </c>
      <c r="F960" s="6">
        <v>1187</v>
      </c>
    </row>
    <row r="961" spans="1:6" x14ac:dyDescent="0.2">
      <c r="A961" s="4">
        <v>45867</v>
      </c>
      <c r="B961" s="5">
        <v>149.05000000000001</v>
      </c>
      <c r="C961" s="5">
        <v>150.47999999999999</v>
      </c>
      <c r="D961" s="5">
        <v>149.05000000000001</v>
      </c>
      <c r="E961" s="5">
        <v>150.47999999999999</v>
      </c>
      <c r="F961" s="6">
        <v>512</v>
      </c>
    </row>
    <row r="962" spans="1:6" x14ac:dyDescent="0.2">
      <c r="A962" s="4">
        <v>45868</v>
      </c>
      <c r="B962" s="5">
        <v>151</v>
      </c>
      <c r="C962" s="5">
        <v>155.66999999999999</v>
      </c>
      <c r="D962" s="5">
        <v>151</v>
      </c>
      <c r="E962" s="5">
        <v>155.66999999999999</v>
      </c>
      <c r="F962" s="6">
        <v>1130</v>
      </c>
    </row>
    <row r="963" spans="1:6" x14ac:dyDescent="0.2">
      <c r="A963" s="4">
        <v>45869</v>
      </c>
      <c r="B963" s="5">
        <v>150.74</v>
      </c>
      <c r="C963" s="5">
        <v>150.74</v>
      </c>
      <c r="D963" s="5">
        <v>147.38999999999999</v>
      </c>
      <c r="E963" s="5">
        <v>147.38999999999999</v>
      </c>
      <c r="F963" s="6">
        <v>624</v>
      </c>
    </row>
    <row r="964" spans="1:6" x14ac:dyDescent="0.2">
      <c r="A964" s="4">
        <v>45870</v>
      </c>
      <c r="B964" s="5">
        <v>148.54</v>
      </c>
      <c r="C964" s="5">
        <v>151.36750000000001</v>
      </c>
      <c r="D964" s="5">
        <v>147.5</v>
      </c>
      <c r="E964" s="5">
        <v>147.5</v>
      </c>
      <c r="F964" s="6">
        <v>34722</v>
      </c>
    </row>
    <row r="965" spans="1:6" x14ac:dyDescent="0.2">
      <c r="A965" s="4">
        <v>45873</v>
      </c>
      <c r="B965" s="5">
        <v>141.80000000000001</v>
      </c>
      <c r="C965" s="5">
        <v>150.32</v>
      </c>
      <c r="D965" s="5">
        <v>141.80000000000001</v>
      </c>
      <c r="E965" s="5">
        <v>150.32</v>
      </c>
      <c r="F965" s="6">
        <v>945</v>
      </c>
    </row>
    <row r="966" spans="1:6" x14ac:dyDescent="0.2">
      <c r="A966" s="4">
        <v>45874</v>
      </c>
      <c r="B966" s="5">
        <v>150.68</v>
      </c>
      <c r="C966" s="5">
        <v>150.68</v>
      </c>
      <c r="D966" s="5">
        <v>145.01</v>
      </c>
      <c r="E966" s="5">
        <v>150.29</v>
      </c>
      <c r="F966" s="6">
        <v>13543</v>
      </c>
    </row>
    <row r="967" spans="1:6" x14ac:dyDescent="0.2">
      <c r="A967" s="4">
        <v>45875</v>
      </c>
      <c r="B967" s="5">
        <v>149</v>
      </c>
      <c r="C967" s="5">
        <v>149.52000000000001</v>
      </c>
      <c r="D967" s="5">
        <v>148.68</v>
      </c>
      <c r="E967" s="5">
        <v>148.68</v>
      </c>
      <c r="F967" s="6">
        <v>1044</v>
      </c>
    </row>
    <row r="968" spans="1:6" x14ac:dyDescent="0.2">
      <c r="A968" s="4">
        <v>45876</v>
      </c>
      <c r="B968" s="5">
        <v>143.2225</v>
      </c>
      <c r="C968" s="5">
        <v>149.66499999999999</v>
      </c>
      <c r="D968" s="5">
        <v>143.2225</v>
      </c>
      <c r="E968" s="5">
        <v>147.23500000000001</v>
      </c>
      <c r="F968" s="6">
        <v>1125</v>
      </c>
    </row>
    <row r="969" spans="1:6" x14ac:dyDescent="0.2">
      <c r="A969" s="4">
        <v>45877</v>
      </c>
      <c r="B969" s="5">
        <v>141.77199999999999</v>
      </c>
      <c r="C969" s="5">
        <v>141.77199999999999</v>
      </c>
      <c r="D969" s="5">
        <v>141.77199999999999</v>
      </c>
      <c r="E969" s="5">
        <v>141.77199999999999</v>
      </c>
      <c r="F969" s="6">
        <v>1387</v>
      </c>
    </row>
    <row r="970" spans="1:6" x14ac:dyDescent="0.2">
      <c r="A970" s="4">
        <v>45880</v>
      </c>
      <c r="B970" s="5">
        <v>146.75989999999999</v>
      </c>
      <c r="C970" s="5">
        <v>147.10749999999999</v>
      </c>
      <c r="D970" s="5">
        <v>146.12</v>
      </c>
      <c r="E970" s="5">
        <v>146.12</v>
      </c>
      <c r="F970" s="6">
        <v>1474</v>
      </c>
    </row>
    <row r="971" spans="1:6" x14ac:dyDescent="0.2">
      <c r="A971" s="4">
        <v>45881</v>
      </c>
      <c r="B971" s="5">
        <v>146.75</v>
      </c>
      <c r="C971" s="5">
        <v>150.78</v>
      </c>
      <c r="D971" s="5">
        <v>146.75</v>
      </c>
      <c r="E971" s="5">
        <v>148.28</v>
      </c>
      <c r="F971" s="6">
        <v>798</v>
      </c>
    </row>
    <row r="972" spans="1:6" x14ac:dyDescent="0.2">
      <c r="A972" s="4">
        <v>45882</v>
      </c>
      <c r="B972" s="5">
        <v>152.25</v>
      </c>
      <c r="C972" s="5">
        <v>156.78</v>
      </c>
      <c r="D972" s="5">
        <v>152.25</v>
      </c>
      <c r="E972" s="5">
        <v>154.30000000000001</v>
      </c>
      <c r="F972" s="6">
        <v>1592</v>
      </c>
    </row>
    <row r="973" spans="1:6" x14ac:dyDescent="0.2">
      <c r="A973" s="4">
        <v>45883</v>
      </c>
      <c r="B973" s="5">
        <v>155.75</v>
      </c>
      <c r="C973" s="5">
        <v>155.75</v>
      </c>
      <c r="D973" s="5">
        <v>155.75</v>
      </c>
      <c r="E973" s="5">
        <v>155.75</v>
      </c>
      <c r="F973" s="6">
        <v>10478</v>
      </c>
    </row>
    <row r="974" spans="1:6" x14ac:dyDescent="0.2">
      <c r="A974" s="4">
        <v>45884</v>
      </c>
      <c r="B974" s="5">
        <v>155.5</v>
      </c>
      <c r="C974" s="5">
        <v>155.5</v>
      </c>
      <c r="D974" s="5">
        <v>155.5</v>
      </c>
      <c r="E974" s="5">
        <v>155.5</v>
      </c>
      <c r="F974" s="6">
        <v>19429</v>
      </c>
    </row>
    <row r="975" spans="1:6" x14ac:dyDescent="0.2">
      <c r="A975" s="4">
        <v>45887</v>
      </c>
      <c r="B975" s="5">
        <v>156.69999999999999</v>
      </c>
      <c r="C975" s="5">
        <v>160.46</v>
      </c>
      <c r="D975" s="5">
        <v>156.69999999999999</v>
      </c>
      <c r="E975" s="5">
        <v>160.46</v>
      </c>
      <c r="F975" s="6">
        <v>1179</v>
      </c>
    </row>
    <row r="976" spans="1:6" x14ac:dyDescent="0.2">
      <c r="A976" s="4">
        <v>45888</v>
      </c>
      <c r="B976" s="5">
        <v>160.46</v>
      </c>
      <c r="C976" s="5">
        <v>160.46</v>
      </c>
      <c r="D976" s="5">
        <v>160.46</v>
      </c>
      <c r="E976" s="5">
        <v>160.46</v>
      </c>
      <c r="F976" s="6"/>
    </row>
    <row r="977" spans="1:6" x14ac:dyDescent="0.2">
      <c r="A977" s="4">
        <v>45889</v>
      </c>
      <c r="B977" s="5">
        <v>157.80000000000001</v>
      </c>
      <c r="C977" s="5">
        <v>157.80000000000001</v>
      </c>
      <c r="D977" s="5">
        <v>157.80000000000001</v>
      </c>
      <c r="E977" s="5">
        <v>157.80000000000001</v>
      </c>
      <c r="F977" s="6">
        <v>585</v>
      </c>
    </row>
    <row r="978" spans="1:6" x14ac:dyDescent="0.2">
      <c r="A978" s="4">
        <v>45890</v>
      </c>
      <c r="B978" s="5">
        <v>157.80000000000001</v>
      </c>
      <c r="C978" s="5">
        <v>157.80000000000001</v>
      </c>
      <c r="D978" s="5">
        <v>157.80000000000001</v>
      </c>
      <c r="E978" s="5">
        <v>157.80000000000001</v>
      </c>
      <c r="F978" s="6"/>
    </row>
    <row r="979" spans="1:6" x14ac:dyDescent="0.2">
      <c r="A979" s="4">
        <v>45891</v>
      </c>
      <c r="B979" s="5">
        <v>161.74</v>
      </c>
      <c r="C979" s="5">
        <v>161.74</v>
      </c>
      <c r="D979" s="5">
        <v>157.09</v>
      </c>
      <c r="E979" s="5">
        <v>157.09</v>
      </c>
      <c r="F979" s="6">
        <v>7386</v>
      </c>
    </row>
    <row r="980" spans="1:6" x14ac:dyDescent="0.2">
      <c r="A980" s="4">
        <v>45894</v>
      </c>
      <c r="B980" s="5">
        <v>162.97999999999999</v>
      </c>
      <c r="C980" s="5">
        <v>162.97999999999999</v>
      </c>
      <c r="D980" s="5">
        <v>162.97999999999999</v>
      </c>
      <c r="E980" s="5">
        <v>162.97999999999999</v>
      </c>
      <c r="F980" s="6">
        <v>986</v>
      </c>
    </row>
    <row r="981" spans="1:6" x14ac:dyDescent="0.2">
      <c r="A981" s="4">
        <v>45895</v>
      </c>
      <c r="B981" s="5">
        <v>156.34</v>
      </c>
      <c r="C981" s="5">
        <v>161.86000000000001</v>
      </c>
      <c r="D981" s="5">
        <v>156.34</v>
      </c>
      <c r="E981" s="5">
        <v>160.30000000000001</v>
      </c>
      <c r="F981" s="6">
        <v>48787</v>
      </c>
    </row>
    <row r="982" spans="1:6" x14ac:dyDescent="0.2">
      <c r="A982" s="4">
        <v>45896</v>
      </c>
      <c r="B982" s="5">
        <v>161.30000000000001</v>
      </c>
      <c r="C982" s="5">
        <v>161.30000000000001</v>
      </c>
      <c r="D982" s="5">
        <v>160.65</v>
      </c>
      <c r="E982" s="5">
        <v>160.65</v>
      </c>
      <c r="F982" s="6">
        <v>594</v>
      </c>
    </row>
    <row r="983" spans="1:6" x14ac:dyDescent="0.2">
      <c r="A983" s="4">
        <v>45897</v>
      </c>
      <c r="B983" s="5">
        <v>161.755</v>
      </c>
      <c r="C983" s="5">
        <v>161.755</v>
      </c>
      <c r="D983" s="5">
        <v>158.19990000000001</v>
      </c>
      <c r="E983" s="5">
        <v>158.19990000000001</v>
      </c>
      <c r="F983" s="6">
        <v>602</v>
      </c>
    </row>
    <row r="984" spans="1:6" x14ac:dyDescent="0.2">
      <c r="A984" s="4">
        <v>45898</v>
      </c>
      <c r="B984" s="5">
        <v>161.13</v>
      </c>
      <c r="C984" s="5">
        <v>161.13</v>
      </c>
      <c r="D984" s="5">
        <v>161.13</v>
      </c>
      <c r="E984" s="5">
        <v>161.13</v>
      </c>
      <c r="F984" s="6">
        <v>431</v>
      </c>
    </row>
    <row r="985" spans="1:6" x14ac:dyDescent="0.2">
      <c r="A985" s="4">
        <v>45902</v>
      </c>
      <c r="B985" s="5">
        <v>162.04</v>
      </c>
      <c r="C985" s="5">
        <v>162.04</v>
      </c>
      <c r="D985" s="5">
        <v>157.72</v>
      </c>
      <c r="E985" s="5">
        <v>160.66</v>
      </c>
      <c r="F985" s="6">
        <v>2956</v>
      </c>
    </row>
    <row r="986" spans="1:6" x14ac:dyDescent="0.2">
      <c r="A986" s="4">
        <v>45903</v>
      </c>
      <c r="B986" s="5">
        <v>162.25989999999999</v>
      </c>
      <c r="C986" s="5">
        <v>162.25989999999999</v>
      </c>
      <c r="D986" s="5">
        <v>162.25989999999999</v>
      </c>
      <c r="E986" s="5">
        <v>162.25989999999999</v>
      </c>
      <c r="F986" s="6">
        <v>2631</v>
      </c>
    </row>
    <row r="987" spans="1:6" x14ac:dyDescent="0.2">
      <c r="A987" s="4">
        <v>45904</v>
      </c>
      <c r="B987" s="5">
        <v>162</v>
      </c>
      <c r="C987" s="5">
        <v>162</v>
      </c>
      <c r="D987" s="5">
        <v>162</v>
      </c>
      <c r="E987" s="5">
        <v>162</v>
      </c>
      <c r="F987" s="6">
        <v>814</v>
      </c>
    </row>
    <row r="988" spans="1:6" x14ac:dyDescent="0.2">
      <c r="A988" s="4">
        <v>45905</v>
      </c>
      <c r="B988" s="5">
        <v>164.5</v>
      </c>
      <c r="C988" s="5">
        <v>164.5</v>
      </c>
      <c r="D988" s="5">
        <v>164.5</v>
      </c>
      <c r="E988" s="5">
        <v>164.5</v>
      </c>
      <c r="F988" s="6">
        <v>569</v>
      </c>
    </row>
    <row r="989" spans="1:6" x14ac:dyDescent="0.2">
      <c r="A989" s="4">
        <v>45908</v>
      </c>
      <c r="B989" s="5">
        <v>164.5</v>
      </c>
      <c r="C989" s="5">
        <v>164.5</v>
      </c>
      <c r="D989" s="5">
        <v>164.5</v>
      </c>
      <c r="E989" s="5">
        <v>164.5</v>
      </c>
      <c r="F989" s="6"/>
    </row>
    <row r="990" spans="1:6" x14ac:dyDescent="0.2">
      <c r="A990" s="4">
        <v>45909</v>
      </c>
      <c r="B990" s="5">
        <v>160</v>
      </c>
      <c r="C990" s="5">
        <v>160.53989999999999</v>
      </c>
      <c r="D990" s="5">
        <v>160</v>
      </c>
      <c r="E990" s="5">
        <v>160.53989999999999</v>
      </c>
      <c r="F990" s="6">
        <v>707</v>
      </c>
    </row>
    <row r="991" spans="1:6" x14ac:dyDescent="0.2">
      <c r="A991" s="4">
        <v>45910</v>
      </c>
      <c r="B991" s="5">
        <v>163.72499999999999</v>
      </c>
      <c r="C991" s="5">
        <v>163.72499999999999</v>
      </c>
      <c r="D991" s="5">
        <v>160.13990000000001</v>
      </c>
      <c r="E991" s="5">
        <v>160.13990000000001</v>
      </c>
      <c r="F991" s="6">
        <v>1100</v>
      </c>
    </row>
    <row r="992" spans="1:6" x14ac:dyDescent="0.2">
      <c r="A992" s="4">
        <v>45911</v>
      </c>
      <c r="B992" s="5">
        <v>160.25989999999999</v>
      </c>
      <c r="C992" s="5">
        <v>162</v>
      </c>
      <c r="D992" s="5">
        <v>160.01</v>
      </c>
      <c r="E992" s="5">
        <v>162</v>
      </c>
      <c r="F992" s="6">
        <v>4910</v>
      </c>
    </row>
    <row r="993" spans="1:6" x14ac:dyDescent="0.2">
      <c r="A993" s="4">
        <v>45912</v>
      </c>
      <c r="B993" s="5">
        <v>164.8175</v>
      </c>
      <c r="C993" s="5">
        <v>164.8175</v>
      </c>
      <c r="D993" s="5">
        <v>159.56</v>
      </c>
      <c r="E993" s="5">
        <v>159.56</v>
      </c>
      <c r="F993" s="6">
        <v>1837</v>
      </c>
    </row>
    <row r="994" spans="1:6" x14ac:dyDescent="0.2">
      <c r="A994" s="4">
        <v>45915</v>
      </c>
      <c r="B994" s="5">
        <v>159.9</v>
      </c>
      <c r="C994" s="5">
        <v>159.9</v>
      </c>
      <c r="D994" s="5">
        <v>151.54</v>
      </c>
      <c r="E994" s="5">
        <v>154.58000000000001</v>
      </c>
      <c r="F994" s="6">
        <v>1496</v>
      </c>
    </row>
    <row r="995" spans="1:6" x14ac:dyDescent="0.2">
      <c r="A995" s="4">
        <v>45916</v>
      </c>
      <c r="B995" s="5">
        <v>157.72499999999999</v>
      </c>
      <c r="C995" s="5">
        <v>157.72499999999999</v>
      </c>
      <c r="D995" s="5">
        <v>153.00280000000001</v>
      </c>
      <c r="E995" s="5">
        <v>153.00280000000001</v>
      </c>
      <c r="F995" s="6">
        <v>1446</v>
      </c>
    </row>
    <row r="996" spans="1:6" x14ac:dyDescent="0.2">
      <c r="A996" s="4">
        <v>45917</v>
      </c>
      <c r="B996" s="5">
        <v>156.96</v>
      </c>
      <c r="C996" s="5">
        <v>156.96</v>
      </c>
      <c r="D996" s="5">
        <v>156.02500000000001</v>
      </c>
      <c r="E996" s="5">
        <v>156.02500000000001</v>
      </c>
      <c r="F996" s="6">
        <v>841</v>
      </c>
    </row>
    <row r="997" spans="1:6" x14ac:dyDescent="0.2">
      <c r="A997" s="4">
        <v>45918</v>
      </c>
      <c r="B997" s="5">
        <v>152.9</v>
      </c>
      <c r="C997" s="5">
        <v>153.38499999999999</v>
      </c>
      <c r="D997" s="5">
        <v>152.38</v>
      </c>
      <c r="E997" s="5">
        <v>153.38499999999999</v>
      </c>
      <c r="F997" s="6">
        <v>1805</v>
      </c>
    </row>
    <row r="998" spans="1:6" x14ac:dyDescent="0.2">
      <c r="A998" s="4">
        <v>45919</v>
      </c>
      <c r="B998" s="5">
        <v>150.61750000000001</v>
      </c>
      <c r="C998" s="5">
        <v>154.38</v>
      </c>
      <c r="D998" s="5">
        <v>150.61750000000001</v>
      </c>
      <c r="E998" s="5">
        <v>154.38</v>
      </c>
      <c r="F998" s="6">
        <v>27792</v>
      </c>
    </row>
    <row r="999" spans="1:6" x14ac:dyDescent="0.2">
      <c r="A999" s="4">
        <v>45922</v>
      </c>
      <c r="B999" s="5">
        <v>156.82</v>
      </c>
      <c r="C999" s="5">
        <v>156.82</v>
      </c>
      <c r="D999" s="5">
        <v>156.82</v>
      </c>
      <c r="E999" s="5">
        <v>156.82</v>
      </c>
      <c r="F999" s="6">
        <v>706</v>
      </c>
    </row>
    <row r="1000" spans="1:6" x14ac:dyDescent="0.2">
      <c r="A1000" s="4">
        <v>45923</v>
      </c>
      <c r="B1000" s="5">
        <v>150.74</v>
      </c>
      <c r="C1000" s="5">
        <v>150.74</v>
      </c>
      <c r="D1000" s="5">
        <v>150.74</v>
      </c>
      <c r="E1000" s="5">
        <v>150.74</v>
      </c>
      <c r="F1000" s="6">
        <v>505</v>
      </c>
    </row>
    <row r="1001" spans="1:6" x14ac:dyDescent="0.2">
      <c r="A1001" s="4">
        <v>45924</v>
      </c>
      <c r="B1001" s="5">
        <v>150.01</v>
      </c>
      <c r="C1001" s="5">
        <v>150.01</v>
      </c>
      <c r="D1001" s="5">
        <v>149.03989999999999</v>
      </c>
      <c r="E1001" s="5">
        <v>149.03989999999999</v>
      </c>
      <c r="F1001" s="6">
        <v>871</v>
      </c>
    </row>
    <row r="1002" spans="1:6" x14ac:dyDescent="0.2">
      <c r="A1002" s="4">
        <v>45925</v>
      </c>
      <c r="B1002" s="5">
        <v>149.75</v>
      </c>
      <c r="C1002" s="5">
        <v>149.75</v>
      </c>
      <c r="D1002" s="5">
        <v>149.75</v>
      </c>
      <c r="E1002" s="5">
        <v>149.75</v>
      </c>
      <c r="F1002" s="6">
        <v>1882</v>
      </c>
    </row>
    <row r="1003" spans="1:6" x14ac:dyDescent="0.2">
      <c r="A1003" s="4">
        <v>45926</v>
      </c>
      <c r="B1003" s="5">
        <v>146.16</v>
      </c>
      <c r="C1003" s="5">
        <v>146.16</v>
      </c>
      <c r="D1003" s="5">
        <v>146.16</v>
      </c>
      <c r="E1003" s="5">
        <v>146.16</v>
      </c>
      <c r="F1003" s="6">
        <v>944</v>
      </c>
    </row>
    <row r="1004" spans="1:6" x14ac:dyDescent="0.2">
      <c r="A1004" s="4">
        <v>45929</v>
      </c>
      <c r="B1004" s="5">
        <v>146.09989999999999</v>
      </c>
      <c r="C1004" s="5">
        <v>146.09989999999999</v>
      </c>
      <c r="D1004" s="5">
        <v>146.09989999999999</v>
      </c>
      <c r="E1004" s="5">
        <v>146.09989999999999</v>
      </c>
      <c r="F1004" s="6">
        <v>734</v>
      </c>
    </row>
    <row r="1005" spans="1:6" x14ac:dyDescent="0.2">
      <c r="A1005" s="4">
        <v>45930</v>
      </c>
      <c r="B1005" s="5">
        <v>149.935</v>
      </c>
      <c r="C1005" s="5">
        <v>149.935</v>
      </c>
      <c r="D1005" s="5">
        <v>149.5</v>
      </c>
      <c r="E1005" s="5">
        <v>149.5</v>
      </c>
      <c r="F1005" s="6">
        <v>6661</v>
      </c>
    </row>
    <row r="1006" spans="1:6" x14ac:dyDescent="0.2">
      <c r="A1006" s="4">
        <v>45931</v>
      </c>
      <c r="B1006" s="5">
        <v>163</v>
      </c>
      <c r="C1006" s="5">
        <v>166.5</v>
      </c>
      <c r="D1006" s="5">
        <v>161.5</v>
      </c>
      <c r="E1006" s="5">
        <v>162.55500000000001</v>
      </c>
      <c r="F1006" s="6">
        <v>2131</v>
      </c>
    </row>
    <row r="1007" spans="1:6" x14ac:dyDescent="0.2">
      <c r="A1007" s="4">
        <v>45932</v>
      </c>
      <c r="B1007" s="5">
        <v>165.13749999999999</v>
      </c>
      <c r="C1007" s="5">
        <v>165.13749999999999</v>
      </c>
      <c r="D1007" s="5">
        <v>164.67500000000001</v>
      </c>
      <c r="E1007" s="5">
        <v>164.67500000000001</v>
      </c>
      <c r="F1007" s="6">
        <v>1161</v>
      </c>
    </row>
    <row r="1008" spans="1:6" x14ac:dyDescent="0.2">
      <c r="A1008" s="4">
        <v>45933</v>
      </c>
      <c r="B1008" s="5">
        <v>165</v>
      </c>
      <c r="C1008" s="5">
        <v>170.51</v>
      </c>
      <c r="D1008" s="5">
        <v>163.61250000000001</v>
      </c>
      <c r="E1008" s="5">
        <v>170.51</v>
      </c>
      <c r="F1008" s="6">
        <v>33157</v>
      </c>
    </row>
    <row r="1009" spans="1:6" x14ac:dyDescent="0.2">
      <c r="A1009" s="4">
        <v>45936</v>
      </c>
      <c r="B1009" s="5">
        <v>170</v>
      </c>
      <c r="C1009" s="5">
        <v>172.3</v>
      </c>
      <c r="D1009" s="5">
        <v>170</v>
      </c>
      <c r="E1009" s="5">
        <v>172.3</v>
      </c>
      <c r="F1009" s="6">
        <v>3649</v>
      </c>
    </row>
    <row r="1010" spans="1:6" x14ac:dyDescent="0.2">
      <c r="A1010" s="4">
        <v>45937</v>
      </c>
      <c r="B1010" s="5">
        <v>175</v>
      </c>
      <c r="C1010" s="5">
        <v>175</v>
      </c>
      <c r="D1010" s="5">
        <v>170</v>
      </c>
      <c r="E1010" s="5">
        <v>170</v>
      </c>
      <c r="F1010" s="6">
        <v>1902</v>
      </c>
    </row>
    <row r="1011" spans="1:6" x14ac:dyDescent="0.2">
      <c r="A1011" s="4">
        <v>45938</v>
      </c>
      <c r="B1011" s="5">
        <v>172.1</v>
      </c>
      <c r="C1011" s="5">
        <v>172.1</v>
      </c>
      <c r="D1011" s="5">
        <v>172.1</v>
      </c>
      <c r="E1011" s="5">
        <v>172.1</v>
      </c>
      <c r="F1011" s="6">
        <v>619</v>
      </c>
    </row>
    <row r="1012" spans="1:6" x14ac:dyDescent="0.2">
      <c r="A1012" s="4">
        <v>45939</v>
      </c>
      <c r="B1012" s="5">
        <v>173</v>
      </c>
      <c r="C1012" s="5">
        <v>173</v>
      </c>
      <c r="D1012" s="5">
        <v>169.84989999999999</v>
      </c>
      <c r="E1012" s="5">
        <v>169.85</v>
      </c>
      <c r="F1012" s="6">
        <v>912</v>
      </c>
    </row>
    <row r="1013" spans="1:6" x14ac:dyDescent="0.2">
      <c r="A1013" s="4">
        <v>45940</v>
      </c>
      <c r="B1013" s="5">
        <v>170</v>
      </c>
      <c r="C1013" s="5">
        <v>171.42</v>
      </c>
      <c r="D1013" s="5">
        <v>169.33529999999999</v>
      </c>
      <c r="E1013" s="5">
        <v>169.33529999999999</v>
      </c>
      <c r="F1013" s="6">
        <v>1835</v>
      </c>
    </row>
    <row r="1014" spans="1:6" x14ac:dyDescent="0.2">
      <c r="A1014" s="4">
        <v>45943</v>
      </c>
      <c r="B1014" s="5">
        <v>169.33529999999999</v>
      </c>
      <c r="C1014" s="5">
        <v>169.33529999999999</v>
      </c>
      <c r="D1014" s="5">
        <v>169.33529999999999</v>
      </c>
      <c r="E1014" s="5">
        <v>169.33529999999999</v>
      </c>
      <c r="F1014" s="6"/>
    </row>
    <row r="1015" spans="1:6" x14ac:dyDescent="0.2">
      <c r="A1015" s="4">
        <v>45944</v>
      </c>
      <c r="B1015" s="5">
        <v>169.1</v>
      </c>
      <c r="C1015" s="5">
        <v>169.1</v>
      </c>
      <c r="D1015" s="5">
        <v>169.1</v>
      </c>
      <c r="E1015" s="5">
        <v>169.1</v>
      </c>
      <c r="F1015" s="6">
        <v>663</v>
      </c>
    </row>
    <row r="1016" spans="1:6" x14ac:dyDescent="0.2">
      <c r="A1016" s="4">
        <v>45945</v>
      </c>
      <c r="B1016" s="5">
        <v>169.1</v>
      </c>
      <c r="C1016" s="5">
        <v>169.1</v>
      </c>
      <c r="D1016" s="5">
        <v>168.03989999999999</v>
      </c>
      <c r="E1016" s="5">
        <v>168.065</v>
      </c>
      <c r="F1016" s="6">
        <v>1234</v>
      </c>
    </row>
    <row r="1017" spans="1:6" x14ac:dyDescent="0.2">
      <c r="A1017" s="4">
        <v>45946</v>
      </c>
      <c r="B1017" s="5">
        <v>167.26</v>
      </c>
      <c r="C1017" s="5">
        <v>169.12</v>
      </c>
      <c r="D1017" s="5">
        <v>167.26</v>
      </c>
      <c r="E1017" s="5">
        <v>169.12</v>
      </c>
      <c r="F1017" s="6">
        <v>9361</v>
      </c>
    </row>
    <row r="1018" spans="1:6" x14ac:dyDescent="0.2">
      <c r="A1018" s="4">
        <v>45947</v>
      </c>
      <c r="B1018" s="5">
        <v>167</v>
      </c>
      <c r="C1018" s="5">
        <v>170.88</v>
      </c>
      <c r="D1018" s="5">
        <v>167</v>
      </c>
      <c r="E1018" s="5">
        <v>170.88</v>
      </c>
      <c r="F1018" s="6">
        <v>1853</v>
      </c>
    </row>
    <row r="1019" spans="1:6" x14ac:dyDescent="0.2">
      <c r="A1019" s="4">
        <v>45950</v>
      </c>
      <c r="B1019" s="5">
        <v>166.97989999999999</v>
      </c>
      <c r="C1019" s="5">
        <v>166.97989999999999</v>
      </c>
      <c r="D1019" s="5">
        <v>166.97989999999999</v>
      </c>
      <c r="E1019" s="5">
        <v>166.97989999999999</v>
      </c>
      <c r="F1019" s="6">
        <v>810</v>
      </c>
    </row>
    <row r="1020" spans="1:6" x14ac:dyDescent="0.2">
      <c r="A1020" s="4">
        <v>45951</v>
      </c>
      <c r="B1020" s="5">
        <v>168.22</v>
      </c>
      <c r="C1020" s="5">
        <v>168.28</v>
      </c>
      <c r="D1020" s="5">
        <v>168.22</v>
      </c>
      <c r="E1020" s="5">
        <v>168.28</v>
      </c>
      <c r="F1020" s="6">
        <v>6144</v>
      </c>
    </row>
    <row r="1021" spans="1:6" x14ac:dyDescent="0.2">
      <c r="A1021" s="4">
        <v>45952</v>
      </c>
      <c r="B1021" s="5">
        <v>168.28</v>
      </c>
      <c r="C1021" s="5">
        <v>168.28</v>
      </c>
      <c r="D1021" s="5">
        <v>168.28</v>
      </c>
      <c r="E1021" s="5">
        <v>168.28</v>
      </c>
      <c r="F1021" s="6"/>
    </row>
    <row r="1022" spans="1:6" x14ac:dyDescent="0.2">
      <c r="A1022" s="4">
        <v>45953</v>
      </c>
      <c r="B1022" s="5">
        <v>168.2</v>
      </c>
      <c r="C1022" s="5">
        <v>168.24</v>
      </c>
      <c r="D1022" s="5">
        <v>163.77500000000001</v>
      </c>
      <c r="E1022" s="5">
        <v>168.24</v>
      </c>
      <c r="F1022" s="6">
        <v>1974</v>
      </c>
    </row>
    <row r="1023" spans="1:6" x14ac:dyDescent="0.2">
      <c r="A1023" s="4">
        <v>45954</v>
      </c>
      <c r="B1023" s="5">
        <v>164.01990000000001</v>
      </c>
      <c r="C1023" s="5">
        <v>164.01990000000001</v>
      </c>
      <c r="D1023" s="5">
        <v>163.75</v>
      </c>
      <c r="E1023" s="5">
        <v>163.75</v>
      </c>
      <c r="F1023" s="6">
        <v>858</v>
      </c>
    </row>
    <row r="1024" spans="1:6" x14ac:dyDescent="0.2">
      <c r="A1024" s="4">
        <v>45957</v>
      </c>
      <c r="B1024" s="5">
        <v>165.42500000000001</v>
      </c>
      <c r="C1024" s="5">
        <v>168.56</v>
      </c>
      <c r="D1024" s="5">
        <v>163.99</v>
      </c>
      <c r="E1024" s="5">
        <v>163.99</v>
      </c>
      <c r="F1024" s="6">
        <v>2121</v>
      </c>
    </row>
    <row r="1025" spans="1:6" x14ac:dyDescent="0.2">
      <c r="A1025" s="4">
        <v>45958</v>
      </c>
      <c r="B1025" s="5">
        <v>165.68</v>
      </c>
      <c r="C1025" s="5">
        <v>165.68</v>
      </c>
      <c r="D1025" s="5">
        <v>165.53989999999999</v>
      </c>
      <c r="E1025" s="5">
        <v>165.58</v>
      </c>
      <c r="F1025" s="6">
        <v>1435</v>
      </c>
    </row>
    <row r="1026" spans="1:6" x14ac:dyDescent="0.2">
      <c r="A1026" s="4">
        <v>45959</v>
      </c>
      <c r="B1026" s="5">
        <v>164.04499999999999</v>
      </c>
      <c r="C1026" s="5">
        <v>167.46</v>
      </c>
      <c r="D1026" s="5">
        <v>163.67500000000001</v>
      </c>
      <c r="E1026" s="5">
        <v>163.67500000000001</v>
      </c>
      <c r="F1026" s="6">
        <v>938</v>
      </c>
    </row>
    <row r="1027" spans="1:6" x14ac:dyDescent="0.2">
      <c r="A1027" s="4">
        <v>45960</v>
      </c>
      <c r="B1027" s="5">
        <v>163.67500000000001</v>
      </c>
      <c r="C1027" s="5">
        <v>163.67500000000001</v>
      </c>
      <c r="D1027" s="5">
        <v>163.67500000000001</v>
      </c>
      <c r="E1027" s="5">
        <v>163.67500000000001</v>
      </c>
      <c r="F1027" s="6"/>
    </row>
    <row r="1028" spans="1:6" x14ac:dyDescent="0.2">
      <c r="A1028" s="4">
        <v>45961</v>
      </c>
      <c r="B1028" s="5">
        <v>163.67500000000001</v>
      </c>
      <c r="C1028" s="5">
        <v>163.67500000000001</v>
      </c>
      <c r="D1028" s="5">
        <v>163.67500000000001</v>
      </c>
      <c r="E1028" s="5">
        <v>163.67500000000001</v>
      </c>
      <c r="F1028" s="6"/>
    </row>
    <row r="1029" spans="1:6" x14ac:dyDescent="0.2">
      <c r="A1029" s="4">
        <v>45964</v>
      </c>
      <c r="B1029" s="5">
        <v>165.1</v>
      </c>
      <c r="C1029" s="5">
        <v>165.1</v>
      </c>
      <c r="D1029" s="5">
        <v>161.9</v>
      </c>
      <c r="E1029" s="5">
        <v>161.9</v>
      </c>
      <c r="F1029" s="6">
        <v>1164</v>
      </c>
    </row>
    <row r="1030" spans="1:6" x14ac:dyDescent="0.2">
      <c r="A1030" s="4">
        <v>45965</v>
      </c>
      <c r="B1030" s="5">
        <v>161</v>
      </c>
      <c r="C1030" s="5">
        <v>165.46</v>
      </c>
      <c r="D1030" s="5">
        <v>161</v>
      </c>
      <c r="E1030" s="5">
        <v>165.26</v>
      </c>
      <c r="F1030" s="6">
        <v>1933</v>
      </c>
    </row>
    <row r="1031" spans="1:6" x14ac:dyDescent="0.2">
      <c r="A1031" s="4">
        <v>45966</v>
      </c>
      <c r="B1031" s="5">
        <v>165.26</v>
      </c>
      <c r="C1031" s="5">
        <v>165.26</v>
      </c>
      <c r="D1031" s="5">
        <v>165.26</v>
      </c>
      <c r="E1031" s="5">
        <v>165.26</v>
      </c>
      <c r="F1031" s="6"/>
    </row>
    <row r="1032" spans="1:6" x14ac:dyDescent="0.2">
      <c r="A1032" s="4">
        <v>45967</v>
      </c>
      <c r="B1032" s="5">
        <v>165.25</v>
      </c>
      <c r="C1032" s="5">
        <v>169</v>
      </c>
      <c r="D1032" s="5">
        <v>165.25</v>
      </c>
      <c r="E1032" s="5">
        <v>169</v>
      </c>
      <c r="F1032" s="6">
        <v>793</v>
      </c>
    </row>
    <row r="1033" spans="1:6" x14ac:dyDescent="0.2">
      <c r="A1033" s="4">
        <v>45968</v>
      </c>
      <c r="B1033" s="5">
        <v>169.5848</v>
      </c>
      <c r="C1033" s="5">
        <v>169.5848</v>
      </c>
      <c r="D1033" s="5">
        <v>166.17</v>
      </c>
      <c r="E1033" s="5">
        <v>166.17</v>
      </c>
      <c r="F1033" s="6">
        <v>833</v>
      </c>
    </row>
    <row r="1034" spans="1:6" x14ac:dyDescent="0.2">
      <c r="A1034" s="4">
        <v>45971</v>
      </c>
      <c r="B1034" s="5">
        <v>170.93</v>
      </c>
      <c r="C1034" s="5">
        <v>174.9</v>
      </c>
      <c r="D1034" s="5">
        <v>170.155</v>
      </c>
      <c r="E1034" s="5">
        <v>174.9</v>
      </c>
      <c r="F1034" s="6">
        <v>1267</v>
      </c>
    </row>
    <row r="1035" spans="1:6" x14ac:dyDescent="0.2">
      <c r="A1035" s="4">
        <v>45972</v>
      </c>
      <c r="B1035" s="5">
        <v>174.9</v>
      </c>
      <c r="C1035" s="5">
        <v>175.2</v>
      </c>
      <c r="D1035" s="5">
        <v>174.9</v>
      </c>
      <c r="E1035" s="5">
        <v>175.2</v>
      </c>
      <c r="F1035" s="6">
        <v>2084</v>
      </c>
    </row>
    <row r="1036" spans="1:6" x14ac:dyDescent="0.2">
      <c r="A1036" s="4">
        <v>45973</v>
      </c>
      <c r="B1036" s="5">
        <v>175.22</v>
      </c>
      <c r="C1036" s="5">
        <v>175.66</v>
      </c>
      <c r="D1036" s="5">
        <v>175.22</v>
      </c>
      <c r="E1036" s="5">
        <v>175.66</v>
      </c>
      <c r="F1036" s="6">
        <v>807</v>
      </c>
    </row>
    <row r="1037" spans="1:6" x14ac:dyDescent="0.2">
      <c r="A1037" s="4">
        <v>45974</v>
      </c>
      <c r="B1037" s="5">
        <v>168.6</v>
      </c>
      <c r="C1037" s="5">
        <v>178.58</v>
      </c>
      <c r="D1037" s="5">
        <v>168.6</v>
      </c>
      <c r="E1037" s="5">
        <v>177.5</v>
      </c>
      <c r="F1037" s="6">
        <v>3773</v>
      </c>
    </row>
    <row r="1038" spans="1:6" x14ac:dyDescent="0.2">
      <c r="A1038" s="4">
        <v>45975</v>
      </c>
      <c r="B1038" s="5">
        <v>178.24</v>
      </c>
      <c r="C1038" s="5">
        <v>178.24</v>
      </c>
      <c r="D1038" s="5">
        <v>174.82490000000001</v>
      </c>
      <c r="E1038" s="5">
        <v>174.82490000000001</v>
      </c>
      <c r="F1038" s="6">
        <v>779</v>
      </c>
    </row>
    <row r="1039" spans="1:6" x14ac:dyDescent="0.2">
      <c r="A1039" s="4">
        <v>45978</v>
      </c>
      <c r="B1039" s="5">
        <v>177</v>
      </c>
      <c r="C1039" s="5">
        <v>177.8725</v>
      </c>
      <c r="D1039" s="5">
        <v>175.245</v>
      </c>
      <c r="E1039" s="5">
        <v>175.245</v>
      </c>
      <c r="F1039" s="6">
        <v>1218</v>
      </c>
    </row>
    <row r="1040" spans="1:6" x14ac:dyDescent="0.2">
      <c r="A1040" s="4">
        <v>45979</v>
      </c>
      <c r="B1040" s="5">
        <v>175.20490000000001</v>
      </c>
      <c r="C1040" s="5">
        <v>175.20490000000001</v>
      </c>
      <c r="D1040" s="5">
        <v>175.20490000000001</v>
      </c>
      <c r="E1040" s="5">
        <v>175.20490000000001</v>
      </c>
      <c r="F1040" s="6">
        <v>866</v>
      </c>
    </row>
    <row r="1041" spans="1:6" x14ac:dyDescent="0.2">
      <c r="A1041" s="4">
        <v>45980</v>
      </c>
      <c r="B1041" s="5">
        <v>180</v>
      </c>
      <c r="C1041" s="5">
        <v>180.26</v>
      </c>
      <c r="D1041" s="5">
        <v>179.82</v>
      </c>
      <c r="E1041" s="5">
        <v>179.82</v>
      </c>
      <c r="F1041" s="6">
        <v>1133</v>
      </c>
    </row>
    <row r="1042" spans="1:6" x14ac:dyDescent="0.2">
      <c r="A1042" s="4">
        <v>45981</v>
      </c>
      <c r="B1042" s="5">
        <v>178.98</v>
      </c>
      <c r="C1042" s="5">
        <v>178.98</v>
      </c>
      <c r="D1042" s="5">
        <v>177.85</v>
      </c>
      <c r="E1042" s="5">
        <v>177.85</v>
      </c>
      <c r="F1042" s="6">
        <v>929</v>
      </c>
    </row>
    <row r="1043" spans="1:6" x14ac:dyDescent="0.2">
      <c r="A1043" s="4">
        <v>45982</v>
      </c>
      <c r="B1043" s="5">
        <v>178.26</v>
      </c>
      <c r="C1043" s="5">
        <v>182.58</v>
      </c>
      <c r="D1043" s="5">
        <v>178.26</v>
      </c>
      <c r="E1043" s="5">
        <v>182.58</v>
      </c>
      <c r="F1043" s="6">
        <v>1865</v>
      </c>
    </row>
    <row r="1044" spans="1:6" x14ac:dyDescent="0.2">
      <c r="A1044" s="4">
        <v>45985</v>
      </c>
      <c r="B1044" s="5">
        <v>179.92500000000001</v>
      </c>
      <c r="C1044" s="5">
        <v>182.7</v>
      </c>
      <c r="D1044" s="5">
        <v>179.92500000000001</v>
      </c>
      <c r="E1044" s="5">
        <v>182.7</v>
      </c>
      <c r="F1044" s="6">
        <v>881</v>
      </c>
    </row>
    <row r="1045" spans="1:6" x14ac:dyDescent="0.2">
      <c r="A1045" s="4">
        <v>45986</v>
      </c>
      <c r="B1045" s="5">
        <v>184.5</v>
      </c>
      <c r="C1045" s="5">
        <v>187.72</v>
      </c>
      <c r="D1045" s="5">
        <v>184.5</v>
      </c>
      <c r="E1045" s="5">
        <v>187.72</v>
      </c>
      <c r="F1045" s="6">
        <v>1815</v>
      </c>
    </row>
    <row r="1046" spans="1:6" x14ac:dyDescent="0.2">
      <c r="A1046" s="4">
        <v>45987</v>
      </c>
      <c r="B1046" s="5">
        <v>185</v>
      </c>
      <c r="C1046" s="5">
        <v>188.5</v>
      </c>
      <c r="D1046" s="5">
        <v>185</v>
      </c>
      <c r="E1046" s="5">
        <v>188.5</v>
      </c>
      <c r="F1046" s="6">
        <v>1776</v>
      </c>
    </row>
    <row r="1047" spans="1:6" x14ac:dyDescent="0.2">
      <c r="A1047" s="4">
        <v>45989</v>
      </c>
      <c r="B1047" s="5">
        <v>183.74</v>
      </c>
      <c r="C1047" s="5">
        <v>183.74</v>
      </c>
      <c r="D1047" s="5">
        <v>183.74</v>
      </c>
      <c r="E1047" s="5">
        <v>183.74</v>
      </c>
      <c r="F1047" s="6">
        <v>349</v>
      </c>
    </row>
    <row r="1048" spans="1:6" x14ac:dyDescent="0.2">
      <c r="A1048" s="4">
        <v>45992</v>
      </c>
      <c r="B1048" s="5">
        <v>184</v>
      </c>
      <c r="C1048" s="5">
        <v>184</v>
      </c>
      <c r="D1048" s="5">
        <v>180.35</v>
      </c>
      <c r="E1048" s="5">
        <v>180.35</v>
      </c>
      <c r="F1048" s="6">
        <v>1737</v>
      </c>
    </row>
    <row r="1049" spans="1:6" x14ac:dyDescent="0.2">
      <c r="A1049" s="4">
        <v>45993</v>
      </c>
      <c r="B1049" s="5">
        <v>180.95</v>
      </c>
      <c r="C1049" s="5">
        <v>180.95</v>
      </c>
      <c r="D1049" s="5">
        <v>179.09989999999999</v>
      </c>
      <c r="E1049" s="5">
        <v>179.09989999999999</v>
      </c>
      <c r="F1049" s="6">
        <v>2140</v>
      </c>
    </row>
    <row r="1050" spans="1:6" x14ac:dyDescent="0.2">
      <c r="A1050" s="4">
        <v>45994</v>
      </c>
      <c r="B1050" s="5">
        <v>179.96</v>
      </c>
      <c r="C1050" s="5">
        <v>183.27500000000001</v>
      </c>
      <c r="D1050" s="5">
        <v>179.96</v>
      </c>
      <c r="E1050" s="5">
        <v>183.27500000000001</v>
      </c>
      <c r="F1050" s="6">
        <v>7499</v>
      </c>
    </row>
    <row r="1051" spans="1:6" x14ac:dyDescent="0.2">
      <c r="A1051" s="4">
        <v>45995</v>
      </c>
      <c r="B1051" s="5">
        <v>183.27500000000001</v>
      </c>
      <c r="C1051" s="5">
        <v>183.27500000000001</v>
      </c>
      <c r="D1051" s="5">
        <v>183.27500000000001</v>
      </c>
      <c r="E1051" s="5">
        <v>183.27500000000001</v>
      </c>
      <c r="F1051" s="6"/>
    </row>
    <row r="1052" spans="1:6" x14ac:dyDescent="0.2">
      <c r="A1052" s="4">
        <v>45996</v>
      </c>
      <c r="B1052" s="5">
        <v>182.32499999999999</v>
      </c>
      <c r="C1052" s="5">
        <v>182.32499999999999</v>
      </c>
      <c r="D1052" s="5">
        <v>179.48750000000001</v>
      </c>
      <c r="E1052" s="5">
        <v>179.48750000000001</v>
      </c>
      <c r="F1052" s="6">
        <v>1118</v>
      </c>
    </row>
    <row r="1053" spans="1:6" x14ac:dyDescent="0.2">
      <c r="A1053" s="4">
        <v>45999</v>
      </c>
      <c r="B1053" s="5">
        <v>179.09989999999999</v>
      </c>
      <c r="C1053" s="5">
        <v>182.35</v>
      </c>
      <c r="D1053" s="5">
        <v>179.09989999999999</v>
      </c>
      <c r="E1053" s="5">
        <v>180.94</v>
      </c>
      <c r="F1053" s="6">
        <v>1208</v>
      </c>
    </row>
    <row r="1054" spans="1:6" x14ac:dyDescent="0.2">
      <c r="A1054" s="4">
        <v>46000</v>
      </c>
      <c r="B1054" s="5">
        <v>183.77969999999999</v>
      </c>
      <c r="C1054" s="5">
        <v>183.77969999999999</v>
      </c>
      <c r="D1054" s="5">
        <v>179.09989999999999</v>
      </c>
      <c r="E1054" s="5">
        <v>179.09989999999999</v>
      </c>
      <c r="F1054" s="6">
        <v>1365</v>
      </c>
    </row>
    <row r="1055" spans="1:6" x14ac:dyDescent="0.2">
      <c r="A1055" s="4">
        <v>46001</v>
      </c>
      <c r="B1055" s="5">
        <v>179.6</v>
      </c>
      <c r="C1055" s="5">
        <v>181.92</v>
      </c>
      <c r="D1055" s="5">
        <v>179.6</v>
      </c>
      <c r="E1055" s="5">
        <v>181.92</v>
      </c>
      <c r="F1055" s="6">
        <v>822</v>
      </c>
    </row>
    <row r="1056" spans="1:6" x14ac:dyDescent="0.2">
      <c r="A1056" s="4">
        <v>46002</v>
      </c>
      <c r="B1056" s="5">
        <v>181.92</v>
      </c>
      <c r="C1056" s="5">
        <v>181.92</v>
      </c>
      <c r="D1056" s="5">
        <v>181.92</v>
      </c>
      <c r="E1056" s="5">
        <v>181.92</v>
      </c>
      <c r="F1056" s="6"/>
    </row>
    <row r="1057" spans="1:6" x14ac:dyDescent="0.2">
      <c r="A1057" s="4">
        <v>46003</v>
      </c>
      <c r="B1057" s="5">
        <v>181.92</v>
      </c>
      <c r="C1057" s="5">
        <v>181.92</v>
      </c>
      <c r="D1057" s="5">
        <v>181.92</v>
      </c>
      <c r="E1057" s="5">
        <v>181.92</v>
      </c>
      <c r="F1057" s="6"/>
    </row>
    <row r="1058" spans="1:6" x14ac:dyDescent="0.2">
      <c r="A1058" s="4">
        <v>46006</v>
      </c>
      <c r="B1058" s="5">
        <v>180.86</v>
      </c>
      <c r="C1058" s="5">
        <v>183.96</v>
      </c>
      <c r="D1058" s="5">
        <v>180.75989999999999</v>
      </c>
      <c r="E1058" s="5">
        <v>183.86</v>
      </c>
      <c r="F1058" s="6">
        <v>1148</v>
      </c>
    </row>
    <row r="1059" spans="1:6" x14ac:dyDescent="0.2">
      <c r="A1059" s="4">
        <v>46007</v>
      </c>
      <c r="B1059" s="5">
        <v>183.86</v>
      </c>
      <c r="C1059" s="5">
        <v>183.86</v>
      </c>
      <c r="D1059" s="5">
        <v>183.86</v>
      </c>
      <c r="E1059" s="5">
        <v>183.86</v>
      </c>
      <c r="F1059" s="6"/>
    </row>
    <row r="1060" spans="1:6" x14ac:dyDescent="0.2">
      <c r="A1060" s="4">
        <v>46008</v>
      </c>
      <c r="B1060" s="5">
        <v>182.7</v>
      </c>
      <c r="C1060" s="5">
        <v>184.75</v>
      </c>
      <c r="D1060" s="5">
        <v>182.7</v>
      </c>
      <c r="E1060" s="5">
        <v>184.75</v>
      </c>
      <c r="F1060" s="6">
        <v>1132</v>
      </c>
    </row>
    <row r="1061" spans="1:6" x14ac:dyDescent="0.2">
      <c r="A1061" s="4">
        <v>46009</v>
      </c>
      <c r="B1061" s="5">
        <v>180.55</v>
      </c>
      <c r="C1061" s="5">
        <v>182.98</v>
      </c>
      <c r="D1061" s="5">
        <v>180.53989999999999</v>
      </c>
      <c r="E1061" s="5">
        <v>180.53989999999999</v>
      </c>
      <c r="F1061" s="6">
        <v>1944</v>
      </c>
    </row>
    <row r="1062" spans="1:6" x14ac:dyDescent="0.2">
      <c r="A1062" s="4">
        <v>46010</v>
      </c>
      <c r="B1062" s="5">
        <v>174.54499999999999</v>
      </c>
      <c r="C1062" s="5">
        <v>183.6592</v>
      </c>
      <c r="D1062" s="5">
        <v>174.54499999999999</v>
      </c>
      <c r="E1062" s="5">
        <v>181.23</v>
      </c>
      <c r="F1062" s="6">
        <v>2421</v>
      </c>
    </row>
    <row r="1063" spans="1:6" x14ac:dyDescent="0.2">
      <c r="A1063" s="4">
        <v>46013</v>
      </c>
      <c r="B1063" s="5">
        <v>184.5</v>
      </c>
      <c r="C1063" s="5">
        <v>184.5</v>
      </c>
      <c r="D1063" s="5">
        <v>180.75</v>
      </c>
      <c r="E1063" s="5">
        <v>180.75</v>
      </c>
      <c r="F1063" s="6">
        <v>8154</v>
      </c>
    </row>
    <row r="1064" spans="1:6" x14ac:dyDescent="0.2">
      <c r="A1064" s="4">
        <v>46014</v>
      </c>
      <c r="B1064" s="5">
        <v>182.24</v>
      </c>
      <c r="C1064" s="5">
        <v>185.72</v>
      </c>
      <c r="D1064" s="5">
        <v>182.24</v>
      </c>
      <c r="E1064" s="5">
        <v>183</v>
      </c>
      <c r="F1064" s="6">
        <v>859</v>
      </c>
    </row>
    <row r="1065" spans="1:6" x14ac:dyDescent="0.2">
      <c r="A1065" s="4">
        <v>46015</v>
      </c>
      <c r="B1065" s="5">
        <v>186.4</v>
      </c>
      <c r="C1065" s="5">
        <v>186.4</v>
      </c>
      <c r="D1065" s="5">
        <v>186.4</v>
      </c>
      <c r="E1065" s="5">
        <v>186.4</v>
      </c>
      <c r="F1065" s="6">
        <v>342</v>
      </c>
    </row>
    <row r="1066" spans="1:6" x14ac:dyDescent="0.2">
      <c r="A1066" s="4">
        <v>46017</v>
      </c>
      <c r="B1066" s="5">
        <v>181.27500000000001</v>
      </c>
      <c r="C1066" s="5">
        <v>181.27500000000001</v>
      </c>
      <c r="D1066" s="5">
        <v>181.27500000000001</v>
      </c>
      <c r="E1066" s="5">
        <v>181.27500000000001</v>
      </c>
      <c r="F1066" s="6">
        <v>894</v>
      </c>
    </row>
    <row r="1067" spans="1:6" x14ac:dyDescent="0.2">
      <c r="A1067" s="4">
        <v>46020</v>
      </c>
      <c r="B1067" s="5">
        <v>183</v>
      </c>
      <c r="C1067" s="5">
        <v>187.06</v>
      </c>
      <c r="D1067" s="5">
        <v>183</v>
      </c>
      <c r="E1067" s="5">
        <v>187.06</v>
      </c>
      <c r="F1067" s="6">
        <v>899</v>
      </c>
    </row>
    <row r="1068" spans="1:6" x14ac:dyDescent="0.2">
      <c r="A1068" s="4">
        <v>46021</v>
      </c>
      <c r="B1068" s="5">
        <v>180.85</v>
      </c>
      <c r="C1068" s="5">
        <v>180.85</v>
      </c>
      <c r="D1068" s="5">
        <v>180.85</v>
      </c>
      <c r="E1068" s="5">
        <v>180.85</v>
      </c>
      <c r="F1068" s="6">
        <v>783</v>
      </c>
    </row>
    <row r="1069" spans="1:6" x14ac:dyDescent="0.2">
      <c r="A1069" s="4">
        <v>46022</v>
      </c>
      <c r="B1069" s="5">
        <v>178.60249999999999</v>
      </c>
      <c r="C1069" s="5">
        <v>178.60249999999999</v>
      </c>
      <c r="D1069" s="5">
        <v>175.5</v>
      </c>
      <c r="E1069" s="5">
        <v>175.5</v>
      </c>
      <c r="F1069" s="6">
        <v>576</v>
      </c>
    </row>
    <row r="1070" spans="1:6" x14ac:dyDescent="0.2">
      <c r="A1070" s="4">
        <v>46024</v>
      </c>
      <c r="B1070" s="5">
        <v>185.06</v>
      </c>
      <c r="C1070" s="5">
        <v>185.06</v>
      </c>
      <c r="D1070" s="5">
        <v>182.67500000000001</v>
      </c>
      <c r="E1070" s="5">
        <v>182.67500000000001</v>
      </c>
      <c r="F1070" s="6">
        <v>2224</v>
      </c>
    </row>
    <row r="1071" spans="1:6" x14ac:dyDescent="0.2">
      <c r="A1071" s="4">
        <v>46027</v>
      </c>
      <c r="B1071" s="5">
        <v>186</v>
      </c>
      <c r="C1071" s="5">
        <v>186</v>
      </c>
      <c r="D1071" s="5">
        <v>179.05699999999999</v>
      </c>
      <c r="E1071" s="5">
        <v>179.05699999999999</v>
      </c>
      <c r="F1071" s="6">
        <v>1948</v>
      </c>
    </row>
    <row r="1072" spans="1:6" x14ac:dyDescent="0.2">
      <c r="A1072" s="4">
        <v>46028</v>
      </c>
      <c r="B1072" s="5">
        <v>188</v>
      </c>
      <c r="C1072" s="5">
        <v>190.49</v>
      </c>
      <c r="D1072" s="5">
        <v>188</v>
      </c>
      <c r="E1072" s="5">
        <v>190.49</v>
      </c>
      <c r="F1072" s="6">
        <v>1513</v>
      </c>
    </row>
    <row r="1073" spans="1:6" x14ac:dyDescent="0.2">
      <c r="A1073" s="4">
        <v>46029</v>
      </c>
      <c r="B1073" s="5">
        <v>189</v>
      </c>
      <c r="C1073" s="5">
        <v>192.9</v>
      </c>
      <c r="D1073" s="5">
        <v>189</v>
      </c>
      <c r="E1073" s="5">
        <v>190.77500000000001</v>
      </c>
      <c r="F1073" s="6">
        <v>1601</v>
      </c>
    </row>
    <row r="1074" spans="1:6" x14ac:dyDescent="0.2">
      <c r="A1074" s="4">
        <v>46030</v>
      </c>
      <c r="B1074" s="5">
        <v>188.5</v>
      </c>
      <c r="C1074" s="5">
        <v>188.5</v>
      </c>
      <c r="D1074" s="5">
        <v>188.5</v>
      </c>
      <c r="E1074" s="5">
        <v>188.5</v>
      </c>
      <c r="F1074" s="6">
        <v>1614</v>
      </c>
    </row>
    <row r="1075" spans="1:6" x14ac:dyDescent="0.2">
      <c r="A1075" s="4">
        <v>46031</v>
      </c>
      <c r="B1075" s="5">
        <v>190.57499999999999</v>
      </c>
      <c r="C1075" s="5">
        <v>192.62</v>
      </c>
      <c r="D1075" s="5">
        <v>190.57499999999999</v>
      </c>
      <c r="E1075" s="5">
        <v>190.98500000000001</v>
      </c>
      <c r="F1075" s="6">
        <v>2372</v>
      </c>
    </row>
    <row r="1076" spans="1:6" x14ac:dyDescent="0.2">
      <c r="A1076" s="4">
        <v>46034</v>
      </c>
      <c r="B1076" s="5">
        <v>188.2</v>
      </c>
      <c r="C1076" s="5">
        <v>188.2</v>
      </c>
      <c r="D1076" s="5">
        <v>185.47989999999999</v>
      </c>
      <c r="E1076" s="5">
        <v>185.47989999999999</v>
      </c>
      <c r="F1076" s="6">
        <v>1678</v>
      </c>
    </row>
    <row r="1077" spans="1:6" x14ac:dyDescent="0.2">
      <c r="A1077" s="4">
        <v>46035</v>
      </c>
      <c r="B1077" s="5">
        <v>182.83199999999999</v>
      </c>
      <c r="C1077" s="5">
        <v>188.66</v>
      </c>
      <c r="D1077" s="5">
        <v>182.83199999999999</v>
      </c>
      <c r="E1077" s="5">
        <v>188.66</v>
      </c>
      <c r="F1077" s="6">
        <v>1109</v>
      </c>
    </row>
    <row r="1078" spans="1:6" x14ac:dyDescent="0.2">
      <c r="A1078" s="4">
        <v>46036</v>
      </c>
      <c r="B1078" s="5">
        <v>190.23</v>
      </c>
      <c r="C1078" s="5">
        <v>190.23</v>
      </c>
      <c r="D1078" s="5">
        <v>190.23</v>
      </c>
      <c r="E1078" s="5">
        <v>190.23</v>
      </c>
      <c r="F1078" s="6">
        <v>492</v>
      </c>
    </row>
    <row r="1079" spans="1:6" x14ac:dyDescent="0.2">
      <c r="A1079" s="4">
        <v>46037</v>
      </c>
      <c r="B1079" s="5">
        <v>189.44</v>
      </c>
      <c r="C1079" s="5">
        <v>189.44</v>
      </c>
      <c r="D1079" s="5">
        <v>186.5</v>
      </c>
      <c r="E1079" s="5">
        <v>188.83500000000001</v>
      </c>
      <c r="F1079" s="6">
        <v>1471</v>
      </c>
    </row>
    <row r="1080" spans="1:6" x14ac:dyDescent="0.2">
      <c r="A1080" s="4">
        <v>46038</v>
      </c>
      <c r="B1080" s="5">
        <v>184.1</v>
      </c>
      <c r="C1080" s="5">
        <v>191.125</v>
      </c>
      <c r="D1080" s="5">
        <v>180.55</v>
      </c>
      <c r="E1080" s="5">
        <v>191.125</v>
      </c>
      <c r="F1080" s="6">
        <v>3523</v>
      </c>
    </row>
    <row r="1081" spans="1:6" x14ac:dyDescent="0.2">
      <c r="A1081" s="4">
        <v>46042</v>
      </c>
      <c r="B1081" s="5">
        <v>172.68</v>
      </c>
      <c r="C1081" s="5">
        <v>183.2</v>
      </c>
      <c r="D1081" s="5">
        <v>172.68</v>
      </c>
      <c r="E1081" s="5">
        <v>183.2</v>
      </c>
      <c r="F1081" s="6">
        <v>4909</v>
      </c>
    </row>
    <row r="1082" spans="1:6" x14ac:dyDescent="0.2">
      <c r="A1082" s="4">
        <v>46043</v>
      </c>
      <c r="B1082" s="5">
        <v>179.39</v>
      </c>
      <c r="C1082" s="5">
        <v>180.64</v>
      </c>
      <c r="D1082" s="5">
        <v>175</v>
      </c>
      <c r="E1082" s="5">
        <v>175</v>
      </c>
      <c r="F1082" s="6">
        <v>2167</v>
      </c>
    </row>
    <row r="1083" spans="1:6" x14ac:dyDescent="0.2">
      <c r="A1083" s="4">
        <v>46044</v>
      </c>
      <c r="B1083" s="5">
        <v>179.5</v>
      </c>
      <c r="C1083" s="5">
        <v>179.5</v>
      </c>
      <c r="D1083" s="5">
        <v>179.5</v>
      </c>
      <c r="E1083" s="5">
        <v>179.5</v>
      </c>
      <c r="F1083" s="6">
        <v>828</v>
      </c>
    </row>
    <row r="1084" spans="1:6" x14ac:dyDescent="0.2">
      <c r="A1084" s="4">
        <v>46045</v>
      </c>
      <c r="B1084" s="5">
        <v>175.34</v>
      </c>
      <c r="C1084" s="5">
        <v>178.29400000000001</v>
      </c>
      <c r="D1084" s="5">
        <v>175.34</v>
      </c>
      <c r="E1084" s="5">
        <v>177.5</v>
      </c>
      <c r="F1084" s="6">
        <v>3712</v>
      </c>
    </row>
    <row r="1085" spans="1:6" x14ac:dyDescent="0.2">
      <c r="A1085" s="4">
        <v>46048</v>
      </c>
      <c r="B1085" s="5">
        <v>187.02500000000001</v>
      </c>
      <c r="C1085" s="5">
        <v>187.02500000000001</v>
      </c>
      <c r="D1085" s="5">
        <v>179.05</v>
      </c>
      <c r="E1085" s="5">
        <v>179.05</v>
      </c>
      <c r="F1085" s="6">
        <v>858</v>
      </c>
    </row>
    <row r="1086" spans="1:6" x14ac:dyDescent="0.2">
      <c r="A1086" s="4">
        <v>46049</v>
      </c>
      <c r="B1086" s="5">
        <v>188.7</v>
      </c>
      <c r="C1086" s="5">
        <v>195</v>
      </c>
      <c r="D1086" s="5">
        <v>188.065</v>
      </c>
      <c r="E1086" s="5">
        <v>188.065</v>
      </c>
      <c r="F1086" s="6">
        <v>2228</v>
      </c>
    </row>
    <row r="1087" spans="1:6" x14ac:dyDescent="0.2">
      <c r="A1087" s="4">
        <v>46050</v>
      </c>
      <c r="B1087" s="5">
        <v>187.85</v>
      </c>
      <c r="C1087" s="5">
        <v>187.9</v>
      </c>
      <c r="D1087" s="5">
        <v>177.87</v>
      </c>
      <c r="E1087" s="5">
        <v>187.8</v>
      </c>
      <c r="F1087" s="6">
        <v>2815</v>
      </c>
    </row>
    <row r="1088" spans="1:6" x14ac:dyDescent="0.2">
      <c r="A1088" s="4">
        <v>46051</v>
      </c>
      <c r="B1088" s="5">
        <v>188.01519999999999</v>
      </c>
      <c r="C1088" s="5">
        <v>188.01519999999999</v>
      </c>
      <c r="D1088" s="5">
        <v>182.79</v>
      </c>
      <c r="E1088" s="5">
        <v>183.17</v>
      </c>
      <c r="F1088" s="6">
        <v>1055</v>
      </c>
    </row>
    <row r="1089" spans="1:6" x14ac:dyDescent="0.2">
      <c r="A1089" s="4">
        <v>46052</v>
      </c>
      <c r="B1089" s="5">
        <v>183</v>
      </c>
      <c r="C1089" s="5">
        <v>187.1</v>
      </c>
      <c r="D1089" s="5">
        <v>182.27500000000001</v>
      </c>
      <c r="E1089" s="5">
        <v>187.1</v>
      </c>
      <c r="F1089" s="6">
        <v>1738</v>
      </c>
    </row>
    <row r="1090" spans="1:6" x14ac:dyDescent="0.2">
      <c r="A1090" s="4">
        <v>46055</v>
      </c>
      <c r="B1090" s="5">
        <v>187.5</v>
      </c>
      <c r="C1090" s="5">
        <v>192.79</v>
      </c>
      <c r="D1090" s="5">
        <v>186.18</v>
      </c>
      <c r="E1090" s="5">
        <v>188.41</v>
      </c>
      <c r="F1090" s="6">
        <v>3228784</v>
      </c>
    </row>
    <row r="1091" spans="1:6" x14ac:dyDescent="0.2">
      <c r="A1091" s="4">
        <v>46056</v>
      </c>
      <c r="B1091" s="5">
        <v>187.61</v>
      </c>
      <c r="C1091" s="5">
        <v>190.72</v>
      </c>
      <c r="D1091" s="5">
        <v>183.63</v>
      </c>
      <c r="E1091" s="5">
        <v>184.32</v>
      </c>
      <c r="F1091" s="6">
        <v>2659669</v>
      </c>
    </row>
    <row r="1092" spans="1:6" x14ac:dyDescent="0.2">
      <c r="A1092" s="4">
        <v>46057</v>
      </c>
      <c r="B1092" s="5">
        <v>189.06</v>
      </c>
      <c r="C1092" s="5">
        <v>190.7</v>
      </c>
      <c r="D1092" s="5">
        <v>186.32</v>
      </c>
      <c r="E1092" s="5">
        <v>187.45</v>
      </c>
      <c r="F1092" s="6">
        <v>3889197</v>
      </c>
    </row>
    <row r="1093" spans="1:6" x14ac:dyDescent="0.2">
      <c r="A1093" s="4">
        <v>46058</v>
      </c>
      <c r="B1093" s="5">
        <v>187.07</v>
      </c>
      <c r="C1093" s="5">
        <v>190.67</v>
      </c>
      <c r="D1093" s="5">
        <v>186.58</v>
      </c>
      <c r="E1093" s="5">
        <v>187.16</v>
      </c>
      <c r="F1093" s="6">
        <v>3380548</v>
      </c>
    </row>
    <row r="1094" spans="1:6" x14ac:dyDescent="0.2">
      <c r="A1094" s="4">
        <v>46059</v>
      </c>
      <c r="B1094" s="5">
        <v>190.46</v>
      </c>
      <c r="C1094" s="5">
        <v>193.97</v>
      </c>
      <c r="D1094" s="5">
        <v>188.49</v>
      </c>
      <c r="E1094" s="5">
        <v>193.03</v>
      </c>
      <c r="F1094" s="6">
        <v>3117634</v>
      </c>
    </row>
    <row r="1095" spans="1:6" x14ac:dyDescent="0.2">
      <c r="A1095" s="4">
        <v>46062</v>
      </c>
      <c r="B1095" s="5">
        <v>191.8</v>
      </c>
      <c r="C1095" s="5">
        <v>192.76</v>
      </c>
      <c r="D1095" s="5">
        <v>187.06</v>
      </c>
      <c r="E1095" s="5">
        <v>188.01</v>
      </c>
      <c r="F1095" s="6">
        <v>3030835</v>
      </c>
    </row>
    <row r="1096" spans="1:6" x14ac:dyDescent="0.2">
      <c r="A1096" s="4">
        <v>46063</v>
      </c>
      <c r="B1096" s="5">
        <v>194.02</v>
      </c>
      <c r="C1096" s="5">
        <v>195.89500000000001</v>
      </c>
      <c r="D1096" s="5">
        <v>190.6</v>
      </c>
      <c r="E1096" s="5">
        <v>193.4</v>
      </c>
      <c r="F1096" s="6">
        <v>2726807</v>
      </c>
    </row>
    <row r="1097" spans="1:6" x14ac:dyDescent="0.2">
      <c r="A1097" s="4">
        <v>46064</v>
      </c>
      <c r="B1097" s="5">
        <v>200.08</v>
      </c>
      <c r="C1097" s="5">
        <v>204.92</v>
      </c>
      <c r="D1097" s="5">
        <v>199.19</v>
      </c>
      <c r="E1097" s="5">
        <v>204.76</v>
      </c>
      <c r="F1097" s="6">
        <v>3484048</v>
      </c>
    </row>
    <row r="1098" spans="1:6" x14ac:dyDescent="0.2">
      <c r="A1098" s="4">
        <v>46065</v>
      </c>
      <c r="B1098" s="5">
        <v>202.52</v>
      </c>
      <c r="C1098" s="5">
        <v>205.86</v>
      </c>
      <c r="D1098" s="5">
        <v>202.1</v>
      </c>
      <c r="E1098" s="5">
        <v>204.52</v>
      </c>
      <c r="F1098" s="6">
        <v>2723911</v>
      </c>
    </row>
    <row r="1099" spans="1:6" x14ac:dyDescent="0.2">
      <c r="A1099" s="4">
        <v>46066</v>
      </c>
      <c r="B1099" s="5">
        <v>205.64</v>
      </c>
      <c r="C1099" s="5">
        <v>206.71</v>
      </c>
      <c r="D1099" s="5">
        <v>204.09</v>
      </c>
      <c r="E1099" s="5">
        <v>205.55</v>
      </c>
      <c r="F1099" s="6">
        <v>2504807</v>
      </c>
    </row>
    <row r="1100" spans="1:6" x14ac:dyDescent="0.2">
      <c r="A1100" s="4">
        <v>46070</v>
      </c>
      <c r="B1100" s="5">
        <v>208.1</v>
      </c>
      <c r="C1100" s="5">
        <v>211.27</v>
      </c>
      <c r="D1100" s="5">
        <v>207.84909999999999</v>
      </c>
      <c r="E1100" s="5">
        <v>209.48</v>
      </c>
      <c r="F1100" s="6">
        <v>2287817</v>
      </c>
    </row>
    <row r="1101" spans="1:6" x14ac:dyDescent="0.2">
      <c r="A1101" s="4">
        <v>46071</v>
      </c>
      <c r="B1101" s="5">
        <v>212.66</v>
      </c>
      <c r="C1101" s="5">
        <v>212.71</v>
      </c>
      <c r="D1101" s="5">
        <v>207.52</v>
      </c>
      <c r="E1101" s="5">
        <v>208.67</v>
      </c>
      <c r="F1101" s="6">
        <v>2604191</v>
      </c>
    </row>
    <row r="1102" spans="1:6" x14ac:dyDescent="0.2">
      <c r="A1102" s="4">
        <v>46072</v>
      </c>
      <c r="B1102" s="5">
        <v>208.75</v>
      </c>
      <c r="C1102" s="5">
        <v>208.95</v>
      </c>
      <c r="D1102" s="5">
        <v>205.715</v>
      </c>
      <c r="E1102" s="5">
        <v>208.62</v>
      </c>
      <c r="F1102" s="6">
        <v>2037183</v>
      </c>
    </row>
    <row r="1103" spans="1:6" x14ac:dyDescent="0.2">
      <c r="A1103" s="4">
        <v>46073</v>
      </c>
      <c r="B1103" s="5">
        <v>206.6</v>
      </c>
      <c r="C1103" s="5">
        <v>207.69</v>
      </c>
      <c r="D1103" s="5">
        <v>204.05</v>
      </c>
      <c r="E1103" s="5">
        <v>204.2</v>
      </c>
      <c r="F1103" s="6">
        <v>1592684</v>
      </c>
    </row>
    <row r="1104" spans="1:6" x14ac:dyDescent="0.2">
      <c r="A1104" s="4">
        <v>46076</v>
      </c>
      <c r="B1104" s="5">
        <v>204.6</v>
      </c>
      <c r="C1104" s="5">
        <v>207.34</v>
      </c>
      <c r="D1104" s="5">
        <v>204.22</v>
      </c>
      <c r="E1104" s="5">
        <v>204.94</v>
      </c>
      <c r="F1104" s="6">
        <v>1816259</v>
      </c>
    </row>
    <row r="1105" spans="1:6" x14ac:dyDescent="0.2">
      <c r="A1105" s="4">
        <v>46077</v>
      </c>
      <c r="B1105" s="5">
        <v>208.99</v>
      </c>
      <c r="C1105" s="5">
        <v>209.35</v>
      </c>
      <c r="D1105" s="5">
        <v>206.49</v>
      </c>
      <c r="E1105" s="5">
        <v>206.61</v>
      </c>
      <c r="F1105" s="6">
        <v>1710971</v>
      </c>
    </row>
    <row r="1106" spans="1:6" x14ac:dyDescent="0.2">
      <c r="A1106" s="4">
        <v>46078</v>
      </c>
      <c r="B1106" s="5">
        <v>206.745</v>
      </c>
      <c r="C1106" s="5">
        <v>207.55</v>
      </c>
      <c r="D1106" s="5">
        <v>205.3004</v>
      </c>
      <c r="E1106" s="5">
        <v>205.79</v>
      </c>
      <c r="F1106" s="6">
        <v>1434786</v>
      </c>
    </row>
    <row r="1107" spans="1:6" x14ac:dyDescent="0.2">
      <c r="A1107" s="4">
        <v>46079</v>
      </c>
      <c r="B1107" s="5">
        <v>204.98</v>
      </c>
      <c r="C1107" s="5">
        <v>205.16</v>
      </c>
      <c r="D1107" s="5">
        <v>202.64</v>
      </c>
      <c r="E1107" s="5">
        <v>203.98</v>
      </c>
      <c r="F1107" s="6">
        <v>2250416</v>
      </c>
    </row>
    <row r="1108" spans="1:6" x14ac:dyDescent="0.2">
      <c r="A1108" s="4">
        <v>46080</v>
      </c>
      <c r="B1108" s="5">
        <v>207.27</v>
      </c>
      <c r="C1108" s="5">
        <v>209.93</v>
      </c>
      <c r="D1108" s="5">
        <v>206.95</v>
      </c>
      <c r="E1108" s="5">
        <v>208.45</v>
      </c>
      <c r="F1108" s="6">
        <v>1996353</v>
      </c>
    </row>
    <row r="1109" spans="1:6" x14ac:dyDescent="0.2">
      <c r="A1109" s="4">
        <v>46083</v>
      </c>
      <c r="B1109" s="5">
        <v>205.64</v>
      </c>
      <c r="C1109" s="5">
        <v>206.3</v>
      </c>
      <c r="D1109" s="5">
        <v>203.34</v>
      </c>
      <c r="E1109" s="5">
        <v>203.73</v>
      </c>
      <c r="F1109" s="6">
        <v>1718825</v>
      </c>
    </row>
    <row r="1110" spans="1:6" x14ac:dyDescent="0.2">
      <c r="A1110" s="4">
        <v>46084</v>
      </c>
      <c r="B1110" s="5">
        <v>200</v>
      </c>
      <c r="C1110" s="5">
        <v>201.99</v>
      </c>
      <c r="D1110" s="5">
        <v>197.1</v>
      </c>
      <c r="E1110" s="5">
        <v>201.76</v>
      </c>
      <c r="F1110" s="6">
        <v>2733125</v>
      </c>
    </row>
    <row r="1111" spans="1:6" x14ac:dyDescent="0.2">
      <c r="A1111" s="4">
        <v>46085</v>
      </c>
      <c r="B1111" s="5">
        <v>203.22</v>
      </c>
      <c r="C1111" s="5">
        <v>203.29</v>
      </c>
      <c r="D1111" s="5">
        <v>200.55</v>
      </c>
      <c r="E1111" s="5">
        <v>201.53</v>
      </c>
      <c r="F1111" s="6">
        <v>2911154</v>
      </c>
    </row>
    <row r="1112" spans="1:6" x14ac:dyDescent="0.2">
      <c r="A1112" s="4">
        <v>46086</v>
      </c>
      <c r="B1112" s="5">
        <v>199.4</v>
      </c>
      <c r="C1112" s="5">
        <v>199.52</v>
      </c>
      <c r="D1112" s="5">
        <v>195.26300000000001</v>
      </c>
      <c r="E1112" s="5">
        <v>197.52</v>
      </c>
      <c r="F1112" s="6">
        <v>2648591</v>
      </c>
    </row>
    <row r="1113" spans="1:6" x14ac:dyDescent="0.2">
      <c r="A1113" s="4">
        <v>46087</v>
      </c>
      <c r="B1113" s="5">
        <v>194.01</v>
      </c>
      <c r="C1113" s="5">
        <v>194.82740000000001</v>
      </c>
      <c r="D1113" s="5">
        <v>192.76</v>
      </c>
      <c r="E1113" s="5">
        <v>194.22</v>
      </c>
      <c r="F1113" s="6">
        <v>1473886</v>
      </c>
    </row>
    <row r="1114" spans="1:6" x14ac:dyDescent="0.2">
      <c r="A1114" s="4">
        <v>46090</v>
      </c>
      <c r="B1114" s="5">
        <v>190.33</v>
      </c>
      <c r="C1114" s="5">
        <v>195.79</v>
      </c>
      <c r="D1114" s="5">
        <v>189.35</v>
      </c>
      <c r="E1114" s="5">
        <v>194.95</v>
      </c>
      <c r="F1114" s="6">
        <v>1875079</v>
      </c>
    </row>
    <row r="1115" spans="1:6" x14ac:dyDescent="0.2">
      <c r="A1115" s="4">
        <v>46091</v>
      </c>
      <c r="B1115" s="5">
        <v>196.72</v>
      </c>
      <c r="C1115" s="5">
        <v>198.09</v>
      </c>
      <c r="D1115" s="5">
        <v>194.81</v>
      </c>
      <c r="E1115" s="5">
        <v>194.99</v>
      </c>
      <c r="F1115" s="6">
        <v>1658298</v>
      </c>
    </row>
    <row r="1116" spans="1:6" x14ac:dyDescent="0.2">
      <c r="A1116" s="4">
        <v>46092</v>
      </c>
      <c r="B1116" s="5">
        <v>194.22</v>
      </c>
      <c r="C1116" s="5">
        <v>194.83</v>
      </c>
      <c r="D1116" s="5">
        <v>192.31</v>
      </c>
      <c r="E1116" s="5">
        <v>193.31</v>
      </c>
      <c r="F1116" s="6">
        <v>1416810</v>
      </c>
    </row>
    <row r="1117" spans="1:6" x14ac:dyDescent="0.2">
      <c r="A1117" s="4">
        <v>46093</v>
      </c>
      <c r="B1117" s="5">
        <v>193.91</v>
      </c>
      <c r="C1117" s="5">
        <v>193.92</v>
      </c>
      <c r="D1117" s="5">
        <v>190.96</v>
      </c>
      <c r="E1117" s="5">
        <v>192.5</v>
      </c>
      <c r="F1117" s="6">
        <v>2154780</v>
      </c>
    </row>
    <row r="1118" spans="1:6" x14ac:dyDescent="0.2">
      <c r="A1118" s="4">
        <v>46094</v>
      </c>
      <c r="B1118" s="5">
        <v>192.64</v>
      </c>
      <c r="C1118" s="5">
        <v>193.65</v>
      </c>
      <c r="D1118" s="5">
        <v>189.43</v>
      </c>
      <c r="E1118" s="5">
        <v>189.9</v>
      </c>
      <c r="F1118" s="6">
        <v>1429046</v>
      </c>
    </row>
    <row r="1119" spans="1:6" x14ac:dyDescent="0.2">
      <c r="A1119" s="4">
        <v>46097</v>
      </c>
      <c r="B1119" s="5">
        <v>190.81</v>
      </c>
      <c r="C1119" s="5">
        <v>192.51</v>
      </c>
      <c r="D1119" s="5">
        <v>190.54</v>
      </c>
      <c r="E1119" s="5">
        <v>192.01</v>
      </c>
      <c r="F1119" s="6">
        <v>1828861</v>
      </c>
    </row>
    <row r="1120" spans="1:6" x14ac:dyDescent="0.2">
      <c r="A1120" s="4">
        <v>46098</v>
      </c>
      <c r="B1120" s="5">
        <v>193.96</v>
      </c>
      <c r="C1120" s="5">
        <v>193.96</v>
      </c>
      <c r="D1120" s="5">
        <v>190.95</v>
      </c>
      <c r="E1120" s="5">
        <v>191.29</v>
      </c>
      <c r="F1120" s="6">
        <v>1455582</v>
      </c>
    </row>
    <row r="1121" spans="1:6" x14ac:dyDescent="0.2">
      <c r="A1121" s="4">
        <v>46099</v>
      </c>
      <c r="B1121" s="5">
        <v>190.67</v>
      </c>
      <c r="C1121" s="5">
        <v>190.73</v>
      </c>
      <c r="D1121" s="5">
        <v>187.56</v>
      </c>
      <c r="E1121" s="5">
        <v>188.42</v>
      </c>
      <c r="F1121" s="6">
        <v>1174457</v>
      </c>
    </row>
    <row r="1122" spans="1:6" x14ac:dyDescent="0.2">
      <c r="A1122" s="4">
        <v>46100</v>
      </c>
      <c r="B1122" s="5">
        <v>186.73</v>
      </c>
      <c r="C1122" s="5">
        <v>189.79</v>
      </c>
      <c r="D1122" s="5">
        <v>186.33</v>
      </c>
      <c r="E1122" s="5">
        <v>188.93</v>
      </c>
      <c r="F1122" s="6">
        <v>1469956</v>
      </c>
    </row>
    <row r="1123" spans="1:6" x14ac:dyDescent="0.2">
      <c r="A1123" s="4">
        <v>46101</v>
      </c>
      <c r="B1123" s="5">
        <v>188.14</v>
      </c>
      <c r="C1123" s="5">
        <v>188.39500000000001</v>
      </c>
      <c r="D1123" s="5">
        <v>182.62</v>
      </c>
      <c r="E1123" s="5">
        <v>183.6</v>
      </c>
      <c r="F1123" s="6">
        <v>2068001</v>
      </c>
    </row>
    <row r="1124" spans="1:6" x14ac:dyDescent="0.2">
      <c r="A1124" s="4">
        <v>46104</v>
      </c>
      <c r="B1124" s="5">
        <v>183.86</v>
      </c>
      <c r="C1124" s="5">
        <v>186.78</v>
      </c>
      <c r="D1124" s="5">
        <v>183.76</v>
      </c>
      <c r="E1124" s="5">
        <v>184.07</v>
      </c>
      <c r="F1124" s="6">
        <v>2009404</v>
      </c>
    </row>
    <row r="1125" spans="1:6" x14ac:dyDescent="0.2">
      <c r="A1125" s="4">
        <v>46105</v>
      </c>
      <c r="B1125" s="5">
        <v>182.63</v>
      </c>
      <c r="C1125" s="5">
        <v>186.22</v>
      </c>
      <c r="D1125" s="5">
        <v>182.39</v>
      </c>
      <c r="E1125" s="5">
        <v>185.78</v>
      </c>
      <c r="F1125" s="6">
        <v>1596240</v>
      </c>
    </row>
    <row r="1126" spans="1:6" x14ac:dyDescent="0.2">
      <c r="A1126" s="4">
        <v>46106</v>
      </c>
      <c r="B1126" s="5">
        <v>187.67</v>
      </c>
      <c r="C1126" s="5">
        <v>188.72</v>
      </c>
      <c r="D1126" s="5">
        <v>186.435</v>
      </c>
      <c r="E1126" s="5">
        <v>187.14</v>
      </c>
      <c r="F1126" s="6">
        <v>1483981</v>
      </c>
    </row>
    <row r="1127" spans="1:6" x14ac:dyDescent="0.2">
      <c r="A1127" s="4">
        <v>46107</v>
      </c>
      <c r="B1127" s="5">
        <v>185.07499999999999</v>
      </c>
      <c r="C1127" s="5">
        <v>186.81</v>
      </c>
      <c r="D1127" s="5">
        <v>182.79</v>
      </c>
      <c r="E1127" s="5">
        <v>183.4</v>
      </c>
      <c r="F1127" s="6">
        <v>1850298</v>
      </c>
    </row>
    <row r="1128" spans="1:6" x14ac:dyDescent="0.2">
      <c r="A1128" s="4">
        <v>46108</v>
      </c>
      <c r="B1128" s="5">
        <v>190.88</v>
      </c>
      <c r="C1128" s="5">
        <v>192.97</v>
      </c>
      <c r="D1128" s="5">
        <v>187.95</v>
      </c>
      <c r="E1128" s="5">
        <v>188.42</v>
      </c>
      <c r="F1128" s="6">
        <v>2762995</v>
      </c>
    </row>
    <row r="1129" spans="1:6" x14ac:dyDescent="0.2">
      <c r="A1129" s="4">
        <v>46111</v>
      </c>
      <c r="B1129" s="5">
        <v>193.83</v>
      </c>
      <c r="C1129" s="5">
        <v>194.63720000000001</v>
      </c>
      <c r="D1129" s="5">
        <v>192.61</v>
      </c>
      <c r="E1129" s="5">
        <v>193.88</v>
      </c>
      <c r="F1129" s="6">
        <v>2114260</v>
      </c>
    </row>
    <row r="1130" spans="1:6" x14ac:dyDescent="0.2">
      <c r="A1130" s="4">
        <v>46112</v>
      </c>
      <c r="B1130" s="5">
        <v>194.85</v>
      </c>
      <c r="C1130" s="5">
        <v>197.27</v>
      </c>
      <c r="D1130" s="5">
        <v>193.55</v>
      </c>
      <c r="E1130" s="5">
        <v>197.22</v>
      </c>
      <c r="F1130" s="6">
        <v>2759743</v>
      </c>
    </row>
    <row r="1131" spans="1:6" x14ac:dyDescent="0.2">
      <c r="A1131" s="4">
        <v>46113</v>
      </c>
      <c r="B1131" s="5">
        <v>198.89</v>
      </c>
      <c r="C1131" s="5">
        <v>201.74</v>
      </c>
      <c r="D1131" s="5">
        <v>198.72</v>
      </c>
      <c r="E1131" s="5">
        <v>200.73</v>
      </c>
      <c r="F1131" s="6">
        <v>2158620</v>
      </c>
    </row>
    <row r="1132" spans="1:6" x14ac:dyDescent="0.2">
      <c r="A1132" s="4">
        <v>46114</v>
      </c>
      <c r="B1132" s="5">
        <v>199.78</v>
      </c>
      <c r="C1132" s="5">
        <v>204.34</v>
      </c>
      <c r="D1132" s="5">
        <v>199.23</v>
      </c>
      <c r="E1132" s="5">
        <v>203.49</v>
      </c>
      <c r="F1132" s="6">
        <v>2049295</v>
      </c>
    </row>
    <row r="1133" spans="1:6" x14ac:dyDescent="0.2">
      <c r="A1133" s="4">
        <v>46118</v>
      </c>
      <c r="B1133" s="5">
        <v>204.75</v>
      </c>
      <c r="C1133" s="5">
        <v>204.75</v>
      </c>
      <c r="D1133" s="5">
        <v>202.73</v>
      </c>
      <c r="E1133" s="5">
        <v>202.83</v>
      </c>
      <c r="F1133" s="6">
        <v>1554659</v>
      </c>
    </row>
    <row r="1134" spans="1:6" x14ac:dyDescent="0.2">
      <c r="A1134" s="4">
        <v>46119</v>
      </c>
      <c r="B1134" s="5">
        <v>198.70500000000001</v>
      </c>
      <c r="C1134" s="5">
        <v>202</v>
      </c>
      <c r="D1134" s="5">
        <v>196.95</v>
      </c>
      <c r="E1134" s="5">
        <v>200.81</v>
      </c>
      <c r="F1134" s="6">
        <v>2451170</v>
      </c>
    </row>
    <row r="1135" spans="1:6" x14ac:dyDescent="0.2">
      <c r="A1135" s="4">
        <v>46120</v>
      </c>
      <c r="B1135" s="5">
        <v>205.45</v>
      </c>
      <c r="C1135" s="5">
        <v>206.73</v>
      </c>
      <c r="D1135" s="5">
        <v>203.655</v>
      </c>
      <c r="E1135" s="5">
        <v>204.27</v>
      </c>
      <c r="F1135" s="6">
        <v>2282879</v>
      </c>
    </row>
    <row r="1136" spans="1:6" x14ac:dyDescent="0.2">
      <c r="A1136" s="4">
        <v>46121</v>
      </c>
      <c r="B1136" s="5">
        <v>202.63499999999999</v>
      </c>
      <c r="C1136" s="5">
        <v>206.49799999999999</v>
      </c>
      <c r="D1136" s="5">
        <v>201.97</v>
      </c>
      <c r="E1136" s="5">
        <v>204.99</v>
      </c>
      <c r="F1136" s="6">
        <v>1239244</v>
      </c>
    </row>
    <row r="1137" spans="1:6" x14ac:dyDescent="0.2">
      <c r="A1137" s="4">
        <v>46122</v>
      </c>
      <c r="B1137" s="5">
        <v>207.3</v>
      </c>
      <c r="C1137" s="5">
        <v>207.3</v>
      </c>
      <c r="D1137" s="5">
        <v>203.82</v>
      </c>
      <c r="E1137" s="5">
        <v>204.03</v>
      </c>
      <c r="F1137" s="6">
        <v>1565792</v>
      </c>
    </row>
    <row r="1138" spans="1:6" x14ac:dyDescent="0.2">
      <c r="A1138" s="4">
        <v>46125</v>
      </c>
      <c r="B1138" s="5">
        <v>202.48</v>
      </c>
      <c r="C1138" s="5">
        <v>203.18</v>
      </c>
      <c r="D1138" s="5">
        <v>200.69499999999999</v>
      </c>
      <c r="E1138" s="5">
        <v>202.24</v>
      </c>
      <c r="F1138" s="6">
        <v>1724282</v>
      </c>
    </row>
    <row r="1139" spans="1:6" x14ac:dyDescent="0.2">
      <c r="A1139" s="4">
        <v>46126</v>
      </c>
      <c r="B1139" s="5">
        <v>202.55</v>
      </c>
      <c r="C1139" s="5">
        <v>204.73</v>
      </c>
      <c r="D1139" s="5">
        <v>202.07</v>
      </c>
      <c r="E1139" s="5">
        <v>204.38</v>
      </c>
      <c r="F1139" s="6">
        <v>2257584</v>
      </c>
    </row>
    <row r="1140" spans="1:6" x14ac:dyDescent="0.2">
      <c r="A1140" s="4">
        <v>46127</v>
      </c>
      <c r="B1140" s="5">
        <v>204.2</v>
      </c>
      <c r="C1140" s="5">
        <v>204.39</v>
      </c>
      <c r="D1140" s="5">
        <v>199.495</v>
      </c>
      <c r="E1140" s="5">
        <v>201.21</v>
      </c>
      <c r="F1140" s="6">
        <v>1657894</v>
      </c>
    </row>
    <row r="1141" spans="1:6" x14ac:dyDescent="0.2">
      <c r="A1141" s="4">
        <v>46128</v>
      </c>
      <c r="B1141" s="5">
        <v>201.44</v>
      </c>
      <c r="C1141" s="5">
        <v>201.8</v>
      </c>
      <c r="D1141" s="5">
        <v>199.99</v>
      </c>
      <c r="E1141" s="5">
        <v>200.47</v>
      </c>
      <c r="F1141" s="6">
        <v>1414401</v>
      </c>
    </row>
    <row r="1142" spans="1:6" x14ac:dyDescent="0.2">
      <c r="A1142" s="4">
        <v>46129</v>
      </c>
      <c r="B1142" s="5">
        <v>202.81</v>
      </c>
      <c r="C1142" s="5">
        <v>205.3</v>
      </c>
      <c r="D1142" s="5">
        <v>202.55</v>
      </c>
      <c r="E1142" s="5">
        <v>204.8</v>
      </c>
      <c r="F1142" s="6">
        <v>1241363</v>
      </c>
    </row>
    <row r="1143" spans="1:6" x14ac:dyDescent="0.2">
      <c r="A1143" s="4">
        <v>46132</v>
      </c>
      <c r="B1143" s="5">
        <v>202.81</v>
      </c>
      <c r="C1143" s="5">
        <v>203.37</v>
      </c>
      <c r="D1143" s="5">
        <v>200.67</v>
      </c>
      <c r="E1143" s="5">
        <v>200.69</v>
      </c>
      <c r="F1143" s="6">
        <v>1104552</v>
      </c>
    </row>
    <row r="1144" spans="1:6" x14ac:dyDescent="0.2">
      <c r="A1144" s="4">
        <v>46133</v>
      </c>
      <c r="B1144" s="5">
        <v>198.85</v>
      </c>
      <c r="C1144" s="5">
        <v>198.99</v>
      </c>
      <c r="D1144" s="5">
        <v>195.77</v>
      </c>
      <c r="E1144" s="5">
        <v>195.78</v>
      </c>
      <c r="F1144" s="6">
        <v>2130707</v>
      </c>
    </row>
    <row r="1145" spans="1:6" x14ac:dyDescent="0.2">
      <c r="A1145" s="4">
        <v>46134</v>
      </c>
      <c r="B1145" s="5">
        <v>196.55</v>
      </c>
      <c r="C1145" s="5">
        <v>196.6532</v>
      </c>
      <c r="D1145" s="5">
        <v>194.8</v>
      </c>
      <c r="E1145" s="5">
        <v>194.81</v>
      </c>
      <c r="F1145" s="6">
        <v>1578964</v>
      </c>
    </row>
    <row r="1146" spans="1:6" x14ac:dyDescent="0.2">
      <c r="A1146" s="4">
        <v>46135</v>
      </c>
      <c r="B1146" s="5">
        <v>195.21</v>
      </c>
      <c r="C1146" s="5">
        <v>196.64</v>
      </c>
      <c r="D1146" s="5">
        <v>191.81</v>
      </c>
      <c r="E1146" s="5">
        <v>192.3</v>
      </c>
      <c r="F1146" s="6">
        <v>2179282</v>
      </c>
    </row>
    <row r="1147" spans="1:6" x14ac:dyDescent="0.2">
      <c r="A1147" s="4">
        <v>46136</v>
      </c>
      <c r="B1147" s="5">
        <v>189.15</v>
      </c>
      <c r="C1147" s="5">
        <v>189.94</v>
      </c>
      <c r="D1147" s="5">
        <v>187.56</v>
      </c>
      <c r="E1147" s="5">
        <v>189.75</v>
      </c>
      <c r="F1147" s="6">
        <v>2388277</v>
      </c>
    </row>
    <row r="1148" spans="1:6" x14ac:dyDescent="0.2">
      <c r="A1148" s="4">
        <v>46139</v>
      </c>
      <c r="B1148" s="5">
        <v>188.91</v>
      </c>
      <c r="C1148" s="5">
        <v>190.59</v>
      </c>
      <c r="D1148" s="5">
        <v>187.2</v>
      </c>
      <c r="E1148" s="5">
        <v>187.51</v>
      </c>
      <c r="F1148" s="6">
        <v>2102078</v>
      </c>
    </row>
    <row r="1149" spans="1:6" x14ac:dyDescent="0.2">
      <c r="A1149" s="4">
        <v>46140</v>
      </c>
      <c r="B1149" s="5">
        <v>186.91</v>
      </c>
      <c r="C1149" s="5">
        <v>187.97499999999999</v>
      </c>
      <c r="D1149" s="5">
        <v>185.405</v>
      </c>
      <c r="E1149" s="5">
        <v>186.68</v>
      </c>
      <c r="F1149" s="6">
        <v>2837504</v>
      </c>
    </row>
    <row r="1150" spans="1:6" x14ac:dyDescent="0.2">
      <c r="A1150" s="4">
        <v>46141</v>
      </c>
      <c r="B1150" s="5">
        <v>183.93</v>
      </c>
      <c r="C1150" s="5">
        <v>187</v>
      </c>
      <c r="D1150" s="5">
        <v>181.73</v>
      </c>
      <c r="E1150" s="5">
        <v>185.2</v>
      </c>
      <c r="F1150" s="6">
        <v>4443017</v>
      </c>
    </row>
    <row r="1151" spans="1:6" x14ac:dyDescent="0.2">
      <c r="A1151" s="4">
        <v>46142</v>
      </c>
      <c r="B1151" s="5">
        <v>188.47</v>
      </c>
      <c r="C1151" s="5">
        <v>190</v>
      </c>
      <c r="D1151" s="5">
        <v>186.87</v>
      </c>
      <c r="E1151" s="5">
        <v>187.37</v>
      </c>
      <c r="F1151" s="6">
        <v>2797434</v>
      </c>
    </row>
    <row r="1152" spans="1:6" x14ac:dyDescent="0.2">
      <c r="A1152" s="4">
        <v>46143</v>
      </c>
      <c r="B1152" s="5">
        <v>185.45</v>
      </c>
      <c r="C1152" s="5">
        <v>187.18</v>
      </c>
      <c r="D1152" s="5">
        <v>184.01</v>
      </c>
      <c r="E1152" s="5">
        <v>184.74</v>
      </c>
      <c r="F1152" s="6">
        <v>1793655</v>
      </c>
    </row>
    <row r="1153" spans="1:6" x14ac:dyDescent="0.2">
      <c r="A1153" s="4">
        <v>46146</v>
      </c>
      <c r="B1153" s="5">
        <v>184.36</v>
      </c>
      <c r="C1153" s="5">
        <v>185.19</v>
      </c>
      <c r="D1153" s="5">
        <v>182.8</v>
      </c>
      <c r="E1153" s="5">
        <v>183.46</v>
      </c>
      <c r="F1153" s="6">
        <v>1170156</v>
      </c>
    </row>
    <row r="1154" spans="1:6" x14ac:dyDescent="0.2">
      <c r="A1154" s="4">
        <v>46147</v>
      </c>
      <c r="B1154" s="5">
        <v>181.48</v>
      </c>
      <c r="C1154" s="5">
        <v>181.98</v>
      </c>
      <c r="D1154" s="5">
        <v>180</v>
      </c>
      <c r="E1154" s="5">
        <v>181.24</v>
      </c>
      <c r="F1154" s="6">
        <v>2459981</v>
      </c>
    </row>
    <row r="1155" spans="1:6" x14ac:dyDescent="0.2">
      <c r="A1155" s="4">
        <v>46148</v>
      </c>
      <c r="B1155" s="5">
        <v>184.52500000000001</v>
      </c>
      <c r="C1155" s="5">
        <v>185.61</v>
      </c>
      <c r="D1155" s="5">
        <v>183.55</v>
      </c>
      <c r="E1155" s="5">
        <v>184.92</v>
      </c>
      <c r="F1155" s="6">
        <v>1953704</v>
      </c>
    </row>
    <row r="1156" spans="1:6" x14ac:dyDescent="0.2">
      <c r="A1156" s="4">
        <v>46149</v>
      </c>
      <c r="B1156" s="5">
        <v>184.37</v>
      </c>
      <c r="C1156" s="5">
        <v>184.37</v>
      </c>
      <c r="D1156" s="5">
        <v>181.03</v>
      </c>
      <c r="E1156" s="5">
        <v>182.52</v>
      </c>
      <c r="F1156" s="6">
        <v>2749511</v>
      </c>
    </row>
    <row r="1157" spans="1:6" x14ac:dyDescent="0.2">
      <c r="A1157" s="4">
        <v>46150</v>
      </c>
      <c r="B1157" s="5">
        <v>182.71</v>
      </c>
      <c r="C1157" s="5">
        <v>183.55</v>
      </c>
      <c r="D1157" s="5">
        <v>181.57749999999999</v>
      </c>
      <c r="E1157" s="5">
        <v>182.85</v>
      </c>
      <c r="F1157" s="6">
        <v>1910488</v>
      </c>
    </row>
    <row r="1158" spans="1:6" x14ac:dyDescent="0.2">
      <c r="A1158" s="4">
        <v>46153</v>
      </c>
      <c r="B1158" s="5">
        <v>183.79</v>
      </c>
      <c r="C1158" s="5">
        <v>185.80500000000001</v>
      </c>
      <c r="D1158" s="5">
        <v>181.72499999999999</v>
      </c>
      <c r="E1158" s="5">
        <v>181.86</v>
      </c>
      <c r="F1158" s="6">
        <v>2106701</v>
      </c>
    </row>
    <row r="1159" spans="1:6" x14ac:dyDescent="0.2">
      <c r="A1159" s="4">
        <v>46154</v>
      </c>
      <c r="B1159" s="5">
        <v>183.01</v>
      </c>
      <c r="C1159" s="5">
        <v>185.82</v>
      </c>
      <c r="D1159" s="5">
        <v>182.7</v>
      </c>
      <c r="E1159" s="5">
        <v>184.54</v>
      </c>
      <c r="F1159" s="6">
        <v>1596094</v>
      </c>
    </row>
    <row r="1160" spans="1:6" x14ac:dyDescent="0.2">
      <c r="A1160" s="4">
        <v>46155</v>
      </c>
      <c r="B1160" s="5">
        <v>183.36</v>
      </c>
      <c r="C1160" s="5">
        <v>187.78</v>
      </c>
      <c r="D1160" s="5">
        <v>183.33</v>
      </c>
      <c r="E1160" s="5">
        <v>187.72</v>
      </c>
      <c r="F1160" s="6">
        <v>1733046</v>
      </c>
    </row>
    <row r="1161" spans="1:6" x14ac:dyDescent="0.2">
      <c r="A1161" s="4">
        <v>46156</v>
      </c>
      <c r="B1161" s="5">
        <v>186.69</v>
      </c>
      <c r="C1161" s="5">
        <v>186.7</v>
      </c>
      <c r="D1161" s="5">
        <v>184.7</v>
      </c>
      <c r="E1161" s="5">
        <v>184.96</v>
      </c>
      <c r="F1161" s="6">
        <v>1027756</v>
      </c>
    </row>
    <row r="1162" spans="1:6" x14ac:dyDescent="0.2">
      <c r="A1162" s="4">
        <v>46157</v>
      </c>
      <c r="B1162" s="5">
        <v>183.25</v>
      </c>
      <c r="C1162" s="5">
        <v>183.44</v>
      </c>
      <c r="D1162" s="5">
        <v>180.55</v>
      </c>
      <c r="E1162" s="5">
        <v>181.58</v>
      </c>
      <c r="F1162" s="6">
        <v>1379471</v>
      </c>
    </row>
    <row r="1163" spans="1:6" x14ac:dyDescent="0.2">
      <c r="A1163" s="4">
        <v>46160</v>
      </c>
      <c r="B1163" s="5">
        <v>183.43</v>
      </c>
      <c r="C1163" s="5">
        <v>184.74</v>
      </c>
      <c r="D1163" s="5">
        <v>182.67</v>
      </c>
      <c r="E1163" s="5">
        <v>183.92</v>
      </c>
      <c r="F1163" s="6">
        <v>1225224</v>
      </c>
    </row>
    <row r="1164" spans="1:6" x14ac:dyDescent="0.2">
      <c r="A1164" s="4">
        <v>46161</v>
      </c>
      <c r="B1164" s="5">
        <v>184.7</v>
      </c>
      <c r="C1164" s="5">
        <v>186.36</v>
      </c>
      <c r="D1164" s="5">
        <v>184.19</v>
      </c>
      <c r="E1164" s="5">
        <v>184.64</v>
      </c>
      <c r="F1164" s="6">
        <v>1616818</v>
      </c>
    </row>
    <row r="1165" spans="1:6" x14ac:dyDescent="0.2">
      <c r="A1165" s="4">
        <v>46162</v>
      </c>
      <c r="B1165" s="5">
        <v>186.69</v>
      </c>
      <c r="C1165" s="5">
        <v>188.31</v>
      </c>
      <c r="D1165" s="5">
        <v>185.73</v>
      </c>
      <c r="E1165" s="5">
        <v>187.46</v>
      </c>
      <c r="F1165" s="6">
        <v>1803544</v>
      </c>
    </row>
    <row r="1166" spans="1:6" x14ac:dyDescent="0.2">
      <c r="A1166" s="4">
        <v>46163</v>
      </c>
      <c r="B1166" s="5">
        <v>185.84</v>
      </c>
      <c r="C1166" s="5">
        <v>191.5</v>
      </c>
      <c r="D1166" s="5">
        <v>184.98</v>
      </c>
      <c r="E1166" s="5">
        <v>189.75</v>
      </c>
      <c r="F1166" s="6">
        <v>2192674</v>
      </c>
    </row>
    <row r="1167" spans="1:6" x14ac:dyDescent="0.2">
      <c r="A1167" s="4">
        <v>46164</v>
      </c>
      <c r="B1167" s="5">
        <v>188.22</v>
      </c>
      <c r="C1167" s="5">
        <v>189.08</v>
      </c>
      <c r="D1167" s="5">
        <v>186.44499999999999</v>
      </c>
      <c r="E1167" s="5">
        <v>187.03</v>
      </c>
      <c r="F1167" s="6">
        <v>2120800</v>
      </c>
    </row>
    <row r="1168" spans="1:6" x14ac:dyDescent="0.2">
      <c r="A1168" s="4">
        <v>46168</v>
      </c>
      <c r="B1168" s="5">
        <v>188.26</v>
      </c>
      <c r="C1168" s="5">
        <v>188.61</v>
      </c>
      <c r="D1168" s="5">
        <v>186.74</v>
      </c>
      <c r="E1168" s="5">
        <v>187.19</v>
      </c>
      <c r="F1168" s="6">
        <v>1412137</v>
      </c>
    </row>
    <row r="1169" spans="1:6" x14ac:dyDescent="0.2">
      <c r="A1169" s="4">
        <v>46169</v>
      </c>
      <c r="B1169" s="5">
        <v>187.43</v>
      </c>
      <c r="C1169" s="5">
        <v>188.72</v>
      </c>
      <c r="D1169" s="5">
        <v>185.38</v>
      </c>
      <c r="E1169" s="5">
        <v>185.65</v>
      </c>
      <c r="F1169" s="6">
        <v>2121835</v>
      </c>
    </row>
    <row r="1170" spans="1:6" x14ac:dyDescent="0.2">
      <c r="A1170" s="4">
        <v>46170</v>
      </c>
      <c r="B1170" s="5">
        <v>183.79499999999999</v>
      </c>
      <c r="C1170" s="5">
        <v>186.46</v>
      </c>
      <c r="D1170" s="5">
        <v>183.35499999999999</v>
      </c>
      <c r="E1170" s="5">
        <v>185.33</v>
      </c>
      <c r="F1170" s="6">
        <v>2059575</v>
      </c>
    </row>
    <row r="1171" spans="1:6" x14ac:dyDescent="0.2">
      <c r="A1171" s="4">
        <v>46171</v>
      </c>
      <c r="B1171" s="5">
        <v>185.99</v>
      </c>
      <c r="C1171" s="5">
        <v>187.1</v>
      </c>
      <c r="D1171" s="5">
        <v>184.65</v>
      </c>
      <c r="E1171" s="5">
        <v>185.67</v>
      </c>
      <c r="F1171" s="6">
        <v>1499235</v>
      </c>
    </row>
    <row r="1172" spans="1:6" x14ac:dyDescent="0.2">
      <c r="A1172" s="4">
        <v>46174</v>
      </c>
      <c r="B1172" s="5">
        <v>182.72</v>
      </c>
      <c r="C1172" s="5">
        <v>183.23</v>
      </c>
      <c r="D1172" s="5">
        <v>179.62</v>
      </c>
      <c r="E1172" s="5">
        <v>179.71</v>
      </c>
      <c r="F1172" s="6">
        <v>2892911</v>
      </c>
    </row>
    <row r="1173" spans="1:6" x14ac:dyDescent="0.2">
      <c r="A1173" s="4">
        <v>46175</v>
      </c>
      <c r="B1173" s="5">
        <v>179.1</v>
      </c>
      <c r="C1173" s="5">
        <v>179.55500000000001</v>
      </c>
      <c r="D1173" s="5">
        <v>176.03</v>
      </c>
      <c r="E1173" s="5">
        <v>177.45</v>
      </c>
      <c r="F1173" s="6">
        <v>2035193</v>
      </c>
    </row>
    <row r="1174" spans="1:6" x14ac:dyDescent="0.2">
      <c r="A1174" s="4">
        <v>46176</v>
      </c>
      <c r="B1174" s="5">
        <v>174.6</v>
      </c>
      <c r="C1174" s="5">
        <v>177.56</v>
      </c>
      <c r="D1174" s="5">
        <v>174.6</v>
      </c>
      <c r="E1174" s="5">
        <v>176.28</v>
      </c>
      <c r="F1174" s="6">
        <v>2396976</v>
      </c>
    </row>
    <row r="1175" spans="1:6" x14ac:dyDescent="0.2">
      <c r="A1175" s="4">
        <v>46177</v>
      </c>
      <c r="B1175" s="5">
        <v>180.58</v>
      </c>
      <c r="C1175" s="5">
        <v>183.37</v>
      </c>
      <c r="D1175" s="5">
        <v>180.24</v>
      </c>
      <c r="E1175" s="5">
        <v>181.8</v>
      </c>
      <c r="F1175" s="6">
        <v>2030356</v>
      </c>
    </row>
    <row r="1176" spans="1:6" x14ac:dyDescent="0.2">
      <c r="A1176" s="4">
        <v>46178</v>
      </c>
      <c r="B1176" s="5">
        <v>184.02</v>
      </c>
      <c r="C1176" s="5">
        <v>186.12</v>
      </c>
      <c r="D1176" s="5">
        <v>184.02</v>
      </c>
      <c r="E1176" s="5">
        <v>185.95</v>
      </c>
      <c r="F1176" s="6">
        <v>2346131</v>
      </c>
    </row>
    <row r="1177" spans="1:6" x14ac:dyDescent="0.2">
      <c r="A1177" s="4">
        <v>46181</v>
      </c>
      <c r="B1177" s="5">
        <v>184.16</v>
      </c>
      <c r="C1177" s="5">
        <v>185.31</v>
      </c>
      <c r="D1177" s="5">
        <v>181.36</v>
      </c>
      <c r="E1177" s="5">
        <v>181.55</v>
      </c>
      <c r="F1177" s="6">
        <v>2040149</v>
      </c>
    </row>
    <row r="1178" spans="1:6" x14ac:dyDescent="0.2">
      <c r="A1178" s="4">
        <v>46182</v>
      </c>
      <c r="B1178" s="5">
        <v>181.73</v>
      </c>
      <c r="C1178" s="5">
        <v>183.81</v>
      </c>
      <c r="D1178" s="5">
        <v>181.155</v>
      </c>
      <c r="E1178" s="5">
        <v>183.43</v>
      </c>
      <c r="F1178" s="6">
        <v>1963805</v>
      </c>
    </row>
    <row r="1179" spans="1:6" x14ac:dyDescent="0.2">
      <c r="A1179" s="4">
        <v>46183</v>
      </c>
      <c r="B1179" s="5">
        <v>180.935</v>
      </c>
      <c r="C1179" s="5">
        <v>181.715</v>
      </c>
      <c r="D1179" s="5">
        <v>177.88</v>
      </c>
      <c r="E1179" s="5">
        <v>178.96</v>
      </c>
      <c r="F1179" s="6">
        <v>2129693</v>
      </c>
    </row>
    <row r="1180" spans="1:6" x14ac:dyDescent="0.2">
      <c r="A1180" s="4">
        <v>46184</v>
      </c>
      <c r="B1180" s="5">
        <v>181.36</v>
      </c>
      <c r="C1180" s="5">
        <v>183.67</v>
      </c>
      <c r="D1180" s="5">
        <v>180.39009999999999</v>
      </c>
      <c r="E1180" s="5">
        <v>182.28</v>
      </c>
      <c r="F1180" s="6">
        <v>1749432</v>
      </c>
    </row>
    <row r="1181" spans="1:6" x14ac:dyDescent="0.2">
      <c r="A1181" s="4">
        <v>46185</v>
      </c>
      <c r="B1181" s="5">
        <v>182.52500000000001</v>
      </c>
      <c r="C1181" s="5">
        <v>182.7</v>
      </c>
      <c r="D1181" s="5">
        <v>178.59</v>
      </c>
      <c r="E1181" s="5">
        <v>178.75</v>
      </c>
      <c r="F1181" s="6">
        <v>2394262</v>
      </c>
    </row>
    <row r="1182" spans="1:6" x14ac:dyDescent="0.2">
      <c r="A1182" s="4">
        <v>46188</v>
      </c>
      <c r="B1182" s="5">
        <v>179.16</v>
      </c>
      <c r="C1182" s="5">
        <v>179.22</v>
      </c>
      <c r="D1182" s="5">
        <v>176.55</v>
      </c>
      <c r="E1182" s="5">
        <v>177.27</v>
      </c>
      <c r="F1182" s="6">
        <v>1329084</v>
      </c>
    </row>
    <row r="1183" spans="1:6" x14ac:dyDescent="0.2">
      <c r="A1183" s="4">
        <v>46189</v>
      </c>
      <c r="B1183" s="5">
        <v>178.32499999999999</v>
      </c>
      <c r="C1183" s="5">
        <v>179.12</v>
      </c>
      <c r="D1183" s="5">
        <v>176.63499999999999</v>
      </c>
      <c r="E1183" s="5">
        <v>178.71</v>
      </c>
      <c r="F1183" s="6">
        <v>1895809</v>
      </c>
    </row>
    <row r="1184" spans="1:6" x14ac:dyDescent="0.2">
      <c r="A1184" s="4">
        <v>46190</v>
      </c>
      <c r="B1184" s="5">
        <v>178.7</v>
      </c>
      <c r="C1184" s="5">
        <v>180.43989999999999</v>
      </c>
      <c r="D1184" s="5">
        <v>177.65299999999999</v>
      </c>
      <c r="E1184" s="5">
        <v>177.89</v>
      </c>
      <c r="F1184" s="6">
        <v>1868663</v>
      </c>
    </row>
    <row r="1185" spans="1:6" x14ac:dyDescent="0.2">
      <c r="A1185" s="4">
        <v>46191</v>
      </c>
      <c r="B1185" s="5">
        <v>177.67</v>
      </c>
      <c r="C1185" s="5">
        <v>177.8</v>
      </c>
      <c r="D1185" s="5">
        <v>173.655</v>
      </c>
      <c r="E1185" s="5">
        <v>174.93</v>
      </c>
      <c r="F1185" s="6">
        <v>1667045</v>
      </c>
    </row>
    <row r="1186" spans="1:6" x14ac:dyDescent="0.2">
      <c r="A1186" s="4">
        <v>46195</v>
      </c>
      <c r="B1186" s="5">
        <v>175.29</v>
      </c>
      <c r="C1186" s="5">
        <v>177.43</v>
      </c>
      <c r="D1186" s="5">
        <v>175.11</v>
      </c>
      <c r="E1186" s="5">
        <v>176.43</v>
      </c>
      <c r="F1186" s="6">
        <v>1489610</v>
      </c>
    </row>
    <row r="1187" spans="1:6" x14ac:dyDescent="0.2">
      <c r="A1187" s="4">
        <v>46196</v>
      </c>
      <c r="B1187" s="5">
        <v>179.81</v>
      </c>
      <c r="C1187" s="5">
        <v>181.15</v>
      </c>
      <c r="D1187" s="5">
        <v>179.27500000000001</v>
      </c>
      <c r="E1187" s="5">
        <v>181.02</v>
      </c>
      <c r="F1187" s="6">
        <v>1503883</v>
      </c>
    </row>
    <row r="1188" spans="1:6" x14ac:dyDescent="0.2">
      <c r="A1188" s="4">
        <v>46197</v>
      </c>
      <c r="B1188" s="5">
        <v>183.4</v>
      </c>
      <c r="C1188" s="5">
        <v>184.61</v>
      </c>
      <c r="D1188" s="5">
        <v>182.19</v>
      </c>
      <c r="E1188" s="5">
        <v>183.02</v>
      </c>
      <c r="F1188" s="6">
        <v>2377682</v>
      </c>
    </row>
    <row r="1189" spans="1:6" x14ac:dyDescent="0.2">
      <c r="A1189" s="4">
        <v>46198</v>
      </c>
      <c r="B1189" s="5">
        <v>184.82</v>
      </c>
      <c r="C1189" s="5">
        <v>186.58</v>
      </c>
      <c r="D1189" s="5">
        <v>184.55</v>
      </c>
      <c r="E1189" s="5">
        <v>185.68</v>
      </c>
      <c r="F1189" s="6">
        <v>1826301</v>
      </c>
    </row>
    <row r="1190" spans="1:6" x14ac:dyDescent="0.2">
      <c r="A1190" s="4">
        <v>46199</v>
      </c>
      <c r="B1190" s="5">
        <v>184.28</v>
      </c>
      <c r="C1190" s="5">
        <v>189.57</v>
      </c>
      <c r="D1190" s="5">
        <v>184.28</v>
      </c>
      <c r="E1190" s="5">
        <v>188.41</v>
      </c>
      <c r="F1190" s="6">
        <v>3235391</v>
      </c>
    </row>
    <row r="1191" spans="1:6" x14ac:dyDescent="0.2">
      <c r="A1191" s="4">
        <v>46202</v>
      </c>
      <c r="B1191" s="5">
        <v>189.25</v>
      </c>
      <c r="C1191" s="5">
        <v>191.13</v>
      </c>
      <c r="D1191" s="5">
        <v>188.45</v>
      </c>
      <c r="E1191" s="5">
        <v>190.95</v>
      </c>
      <c r="F1191" s="6">
        <v>1644471</v>
      </c>
    </row>
    <row r="1192" spans="1:6" x14ac:dyDescent="0.2">
      <c r="A1192" s="4">
        <v>46203</v>
      </c>
      <c r="B1192" s="5">
        <v>190.31</v>
      </c>
      <c r="C1192" s="5">
        <v>190.46</v>
      </c>
      <c r="D1192" s="5">
        <v>186.155</v>
      </c>
      <c r="E1192" s="5">
        <v>189.62</v>
      </c>
      <c r="F1192" s="6">
        <v>2598709</v>
      </c>
    </row>
    <row r="1193" spans="1:6" x14ac:dyDescent="0.2">
      <c r="A1193" s="4">
        <v>46204</v>
      </c>
      <c r="B1193" s="5">
        <v>187.07</v>
      </c>
      <c r="C1193" s="5">
        <v>187.65</v>
      </c>
      <c r="D1193" s="5">
        <v>183.49</v>
      </c>
      <c r="E1193" s="5">
        <v>183.86</v>
      </c>
      <c r="F1193" s="6">
        <v>2115466</v>
      </c>
    </row>
    <row r="1194" spans="1:6" x14ac:dyDescent="0.2">
      <c r="A1194" s="4">
        <v>46205</v>
      </c>
      <c r="B1194" s="5">
        <v>189.52</v>
      </c>
      <c r="C1194" s="5">
        <v>196.41</v>
      </c>
      <c r="D1194" s="5">
        <v>189.1651</v>
      </c>
      <c r="E1194" s="5">
        <v>195.15</v>
      </c>
      <c r="F1194" s="6">
        <v>2379657</v>
      </c>
    </row>
    <row r="1195" spans="1:6" x14ac:dyDescent="0.2">
      <c r="A1195" s="4">
        <v>46209</v>
      </c>
      <c r="B1195" s="5">
        <v>190.2</v>
      </c>
      <c r="C1195" s="5">
        <v>190.24</v>
      </c>
      <c r="D1195" s="5">
        <v>186.23500000000001</v>
      </c>
      <c r="E1195" s="5">
        <v>190.16</v>
      </c>
      <c r="F1195" s="6">
        <v>1872031</v>
      </c>
    </row>
    <row r="1196" spans="1:6" x14ac:dyDescent="0.2">
      <c r="A1196" s="4">
        <v>46210</v>
      </c>
      <c r="B1196" s="5">
        <v>192.98</v>
      </c>
      <c r="C1196" s="5">
        <v>193.79</v>
      </c>
      <c r="D1196" s="5">
        <v>191.6</v>
      </c>
      <c r="E1196" s="5">
        <v>193.12</v>
      </c>
      <c r="F1196" s="6">
        <v>2130028</v>
      </c>
    </row>
    <row r="1197" spans="1:6" x14ac:dyDescent="0.2">
      <c r="A1197" s="4">
        <v>46211</v>
      </c>
      <c r="B1197" s="5">
        <v>189.95</v>
      </c>
      <c r="C1197" s="5">
        <v>191.48</v>
      </c>
      <c r="D1197" s="5">
        <v>188.66499999999999</v>
      </c>
      <c r="E1197" s="5">
        <v>189.28</v>
      </c>
      <c r="F1197" s="6">
        <v>1967847</v>
      </c>
    </row>
    <row r="1198" spans="1:6" x14ac:dyDescent="0.2">
      <c r="A1198" s="4">
        <v>46212</v>
      </c>
      <c r="B1198" s="5">
        <v>173.45</v>
      </c>
      <c r="C1198" s="5">
        <v>180.20509999999999</v>
      </c>
      <c r="D1198" s="5">
        <v>172.76</v>
      </c>
      <c r="E1198" s="5">
        <v>178.49</v>
      </c>
      <c r="F1198" s="6">
        <v>6648956</v>
      </c>
    </row>
    <row r="1199" spans="1:6" x14ac:dyDescent="0.2">
      <c r="A1199" s="4">
        <v>46213</v>
      </c>
      <c r="B1199" s="5">
        <v>175.49</v>
      </c>
      <c r="C1199" s="5">
        <v>175.88</v>
      </c>
      <c r="D1199" s="5">
        <v>171.42</v>
      </c>
      <c r="E1199" s="5">
        <v>171.61</v>
      </c>
      <c r="F1199" s="6">
        <v>3596861</v>
      </c>
    </row>
    <row r="1200" spans="1:6" x14ac:dyDescent="0.2">
      <c r="A1200" s="4">
        <v>46216</v>
      </c>
      <c r="B1200" s="5">
        <v>168.75</v>
      </c>
      <c r="C1200" s="5">
        <v>170.47</v>
      </c>
      <c r="D1200" s="5">
        <v>168.11</v>
      </c>
      <c r="E1200" s="5">
        <v>169.47</v>
      </c>
      <c r="F1200" s="6">
        <v>4666131</v>
      </c>
    </row>
    <row r="1201" spans="1:6" x14ac:dyDescent="0.2">
      <c r="A1201" s="4">
        <v>46217</v>
      </c>
      <c r="B1201" s="5">
        <v>167.36</v>
      </c>
      <c r="C1201" s="5">
        <v>168.1</v>
      </c>
      <c r="D1201" s="5">
        <v>164.45</v>
      </c>
      <c r="E1201" s="5">
        <v>164.5</v>
      </c>
      <c r="F1201" s="6">
        <v>3605456</v>
      </c>
    </row>
    <row r="1202" spans="1:6" x14ac:dyDescent="0.2">
      <c r="A1202" s="4">
        <v>46218</v>
      </c>
      <c r="B1202" s="5">
        <v>166.22</v>
      </c>
      <c r="C1202" s="5">
        <v>169.57499999999999</v>
      </c>
      <c r="D1202" s="5">
        <v>166.21</v>
      </c>
      <c r="E1202" s="5">
        <v>168.37</v>
      </c>
      <c r="F1202" s="6">
        <v>2938306</v>
      </c>
    </row>
    <row r="1203" spans="1:6" x14ac:dyDescent="0.2">
      <c r="A1203" s="4">
        <v>46219</v>
      </c>
      <c r="B1203" s="5">
        <v>167.965</v>
      </c>
      <c r="C1203" s="5">
        <v>170.37</v>
      </c>
      <c r="D1203" s="5">
        <v>167.25</v>
      </c>
      <c r="E1203" s="5">
        <v>169.29</v>
      </c>
      <c r="F1203" s="6">
        <v>3018322</v>
      </c>
    </row>
    <row r="1204" spans="1:6" x14ac:dyDescent="0.2">
      <c r="A1204" s="4">
        <v>46220</v>
      </c>
      <c r="B1204" s="5">
        <v>168.15</v>
      </c>
      <c r="C1204" s="5">
        <v>170.31</v>
      </c>
      <c r="D1204" s="5">
        <v>167.15</v>
      </c>
      <c r="E1204" s="5">
        <v>168.9</v>
      </c>
      <c r="F1204" s="6">
        <v>1981328</v>
      </c>
    </row>
    <row r="1205" spans="1:6" x14ac:dyDescent="0.2">
      <c r="A1205" s="4">
        <v>46223</v>
      </c>
      <c r="B1205" s="5">
        <v>168.46</v>
      </c>
      <c r="C1205" s="5">
        <v>168.65</v>
      </c>
      <c r="D1205" s="5">
        <v>164.06</v>
      </c>
      <c r="E1205" s="5">
        <v>164.52</v>
      </c>
      <c r="F1205" s="6">
        <v>2552981</v>
      </c>
    </row>
    <row r="1206" spans="1:6" x14ac:dyDescent="0.2">
      <c r="A1206" s="4">
        <v>46224</v>
      </c>
      <c r="B1206" s="5">
        <v>165.35</v>
      </c>
      <c r="C1206" s="5">
        <v>169.43</v>
      </c>
      <c r="D1206" s="5">
        <v>164.815</v>
      </c>
      <c r="E1206" s="5">
        <v>169.34</v>
      </c>
      <c r="F1206" s="6">
        <v>1986357</v>
      </c>
    </row>
    <row r="1207" spans="1:6" x14ac:dyDescent="0.2">
      <c r="A1207" s="4">
        <v>46225</v>
      </c>
      <c r="B1207" s="5">
        <v>170.64</v>
      </c>
      <c r="C1207" s="5">
        <v>170.89</v>
      </c>
      <c r="D1207" s="5">
        <v>168.465</v>
      </c>
      <c r="E1207" s="5">
        <v>169.73</v>
      </c>
      <c r="F1207" s="6">
        <v>1683822</v>
      </c>
    </row>
    <row r="1208" spans="1:6" x14ac:dyDescent="0.2">
      <c r="A1208" s="4">
        <v>46226</v>
      </c>
      <c r="B1208" s="5">
        <v>166.37</v>
      </c>
      <c r="C1208" s="5">
        <v>169.49</v>
      </c>
      <c r="D1208" s="5">
        <v>166.04</v>
      </c>
      <c r="E1208" s="5">
        <v>168.27</v>
      </c>
      <c r="F1208" s="6">
        <v>2394069</v>
      </c>
    </row>
    <row r="1209" spans="1:6" x14ac:dyDescent="0.2">
      <c r="A1209" s="4">
        <v>46227</v>
      </c>
      <c r="B1209" s="5">
        <v>169.84</v>
      </c>
      <c r="C1209" s="5">
        <v>170.26</v>
      </c>
      <c r="D1209" s="5">
        <v>168.33</v>
      </c>
      <c r="E1209" s="5">
        <v>169.26</v>
      </c>
      <c r="F1209" s="6">
        <v>2009992</v>
      </c>
    </row>
    <row r="1210" spans="1:6" x14ac:dyDescent="0.2">
      <c r="A1210" s="4">
        <v>46230</v>
      </c>
      <c r="B1210" s="5">
        <v>170.08</v>
      </c>
      <c r="C1210" s="5">
        <v>173.24</v>
      </c>
      <c r="D1210" s="5">
        <v>167.79</v>
      </c>
      <c r="E1210" s="5">
        <v>169.64</v>
      </c>
      <c r="F1210" s="6">
        <v>3861406</v>
      </c>
    </row>
    <row r="1211" spans="1:6" x14ac:dyDescent="0.2">
      <c r="A1211" s="4">
        <v>46231</v>
      </c>
      <c r="B1211" s="5">
        <v>170.69499999999999</v>
      </c>
      <c r="C1211" s="5">
        <v>174.44</v>
      </c>
      <c r="D1211" s="5">
        <v>170.67</v>
      </c>
      <c r="E1211" s="5">
        <v>172.48</v>
      </c>
      <c r="F1211" s="6">
        <v>4740936</v>
      </c>
    </row>
    <row r="1212" spans="1:6" x14ac:dyDescent="0.2">
      <c r="A1212" s="4">
        <v>46232</v>
      </c>
      <c r="B1212" s="5">
        <v>174.24</v>
      </c>
      <c r="C1212" s="5">
        <v>175.035</v>
      </c>
      <c r="D1212" s="5">
        <v>172.63</v>
      </c>
      <c r="E1212" s="5">
        <v>173.3</v>
      </c>
      <c r="F1212" s="6">
        <v>2252203</v>
      </c>
    </row>
    <row r="1213" spans="1:6" x14ac:dyDescent="0.2">
      <c r="A1213" s="4">
        <v>46233</v>
      </c>
      <c r="B1213" s="5">
        <v>170.315</v>
      </c>
      <c r="C1213" s="5">
        <v>171.89</v>
      </c>
      <c r="D1213" s="5">
        <v>169.85</v>
      </c>
      <c r="E1213" s="5">
        <v>171.34</v>
      </c>
      <c r="F1213" s="6">
        <v>2260657</v>
      </c>
    </row>
    <row r="1214" spans="1:6" x14ac:dyDescent="0.2">
      <c r="A1214" s="4">
        <v>46234</v>
      </c>
      <c r="B1214" s="5">
        <v>170.53</v>
      </c>
      <c r="C1214" s="5">
        <v>170.74</v>
      </c>
      <c r="D1214" s="5">
        <v>168.44</v>
      </c>
      <c r="E1214" s="5">
        <v>169.64</v>
      </c>
      <c r="F1214" s="6">
        <v>1670008</v>
      </c>
    </row>
    <row r="1215" spans="1:6" x14ac:dyDescent="0.2">
      <c r="A1215" s="4">
        <v>46237</v>
      </c>
      <c r="B1215" s="5">
        <v>157.16499999999999</v>
      </c>
      <c r="C1215" s="5">
        <v>159.715</v>
      </c>
      <c r="D1215" s="5">
        <v>153.4134</v>
      </c>
      <c r="E1215" s="5">
        <v>157.97</v>
      </c>
      <c r="F1215" s="6">
        <v>16313050</v>
      </c>
    </row>
    <row r="1216" spans="1:6" x14ac:dyDescent="0.2">
      <c r="A1216" s="4">
        <v>46238</v>
      </c>
      <c r="B1216" s="5">
        <v>157.94999999999999</v>
      </c>
      <c r="C1216" s="5">
        <v>158.56</v>
      </c>
      <c r="D1216" s="5">
        <v>155.32</v>
      </c>
      <c r="E1216" s="5">
        <v>155.62</v>
      </c>
      <c r="F1216" s="6">
        <v>8095273</v>
      </c>
    </row>
    <row r="1217" spans="1:6" x14ac:dyDescent="0.2">
      <c r="A1217" s="4">
        <v>46239</v>
      </c>
      <c r="B1217" s="5">
        <v>163.79</v>
      </c>
      <c r="C1217" s="5">
        <v>164.45</v>
      </c>
      <c r="D1217" s="5">
        <v>160.72</v>
      </c>
      <c r="E1217" s="5">
        <v>161.5</v>
      </c>
      <c r="F1217" s="6">
        <v>7002933</v>
      </c>
    </row>
    <row r="1218" spans="1:6" x14ac:dyDescent="0.2">
      <c r="A1218" s="4">
        <v>46240</v>
      </c>
      <c r="B1218" s="5">
        <v>162.62</v>
      </c>
      <c r="C1218" s="5">
        <v>162.93</v>
      </c>
      <c r="D1218" s="5">
        <v>159.75</v>
      </c>
      <c r="E1218" s="5">
        <v>161.07</v>
      </c>
      <c r="F1218" s="6">
        <v>2353906</v>
      </c>
    </row>
    <row r="1219" spans="1:6" x14ac:dyDescent="0.2">
      <c r="A1219" s="4">
        <v>46241</v>
      </c>
      <c r="B1219" s="5">
        <v>162.13999999999999</v>
      </c>
      <c r="C1219" s="5">
        <v>162.18</v>
      </c>
      <c r="D1219" s="5">
        <v>160</v>
      </c>
      <c r="E1219" s="5">
        <v>161.41999999999999</v>
      </c>
      <c r="F1219" s="6">
        <v>3720555</v>
      </c>
    </row>
    <row r="1220" spans="1:6" x14ac:dyDescent="0.2">
      <c r="A1220" s="4">
        <v>46244</v>
      </c>
      <c r="B1220" s="5">
        <v>160.59</v>
      </c>
      <c r="C1220" s="5">
        <v>162.72</v>
      </c>
      <c r="D1220" s="5">
        <v>160.25</v>
      </c>
      <c r="E1220" s="5">
        <v>161.91</v>
      </c>
      <c r="F1220" s="6">
        <v>3745981</v>
      </c>
    </row>
    <row r="1221" spans="1:6" x14ac:dyDescent="0.2">
      <c r="A1221" s="4">
        <v>46245</v>
      </c>
      <c r="B1221" s="5">
        <v>162.06</v>
      </c>
      <c r="C1221" s="5">
        <v>162.26</v>
      </c>
      <c r="D1221" s="5">
        <v>158.61000000000001</v>
      </c>
      <c r="E1221" s="5">
        <v>158.75</v>
      </c>
      <c r="F1221" s="6">
        <v>2754804</v>
      </c>
    </row>
    <row r="1222" spans="1:6" x14ac:dyDescent="0.2">
      <c r="A1222" s="4">
        <v>46246</v>
      </c>
      <c r="B1222" s="5">
        <v>157.68</v>
      </c>
      <c r="C1222" s="5">
        <v>159.02260000000001</v>
      </c>
      <c r="D1222" s="5">
        <v>157.12</v>
      </c>
      <c r="E1222" s="5">
        <v>158.5</v>
      </c>
      <c r="F1222" s="6">
        <v>4140378</v>
      </c>
    </row>
    <row r="1223" spans="1:6" x14ac:dyDescent="0.2">
      <c r="A1223" s="4">
        <v>46247</v>
      </c>
      <c r="B1223" s="5">
        <v>157.85</v>
      </c>
      <c r="C1223" s="5">
        <v>158.44</v>
      </c>
      <c r="D1223" s="5">
        <v>156.97</v>
      </c>
      <c r="E1223" s="5">
        <v>157.24</v>
      </c>
      <c r="F1223" s="6">
        <v>3598337</v>
      </c>
    </row>
    <row r="1224" spans="1:6" x14ac:dyDescent="0.2">
      <c r="A1224" s="4">
        <v>46248</v>
      </c>
      <c r="B1224" s="5">
        <v>155.5</v>
      </c>
      <c r="C1224" s="5">
        <v>156.46</v>
      </c>
      <c r="D1224" s="5">
        <v>154.53</v>
      </c>
      <c r="E1224" s="5">
        <v>156.44999999999999</v>
      </c>
      <c r="F1224" s="6">
        <v>3697884</v>
      </c>
    </row>
    <row r="1225" spans="1:6" x14ac:dyDescent="0.2">
      <c r="A1225" s="4">
        <v>46251</v>
      </c>
      <c r="B1225" s="5">
        <v>156.30000000000001</v>
      </c>
      <c r="C1225" s="5">
        <v>157.26</v>
      </c>
      <c r="D1225" s="5">
        <v>155.78</v>
      </c>
      <c r="E1225" s="5">
        <v>156.88999999999999</v>
      </c>
      <c r="F1225" s="6">
        <v>3361580</v>
      </c>
    </row>
    <row r="1226" spans="1:6" x14ac:dyDescent="0.2">
      <c r="A1226" s="4">
        <v>46252</v>
      </c>
      <c r="B1226" s="5">
        <v>159.12</v>
      </c>
      <c r="C1226" s="5">
        <v>160.63999999999999</v>
      </c>
      <c r="D1226" s="5">
        <v>158.97999999999999</v>
      </c>
      <c r="E1226" s="5">
        <v>160.1</v>
      </c>
      <c r="F1226" s="6">
        <v>3001597</v>
      </c>
    </row>
    <row r="1227" spans="1:6" x14ac:dyDescent="0.2">
      <c r="A1227" s="4">
        <v>46253</v>
      </c>
      <c r="B1227" s="5">
        <v>162.13</v>
      </c>
      <c r="C1227" s="5">
        <v>165.91</v>
      </c>
      <c r="D1227" s="5">
        <v>162</v>
      </c>
      <c r="E1227" s="5">
        <v>164.95</v>
      </c>
      <c r="F1227" s="6">
        <v>3817873</v>
      </c>
    </row>
    <row r="1228" spans="1:6" x14ac:dyDescent="0.2">
      <c r="A1228" s="4">
        <v>46254</v>
      </c>
      <c r="B1228" s="5">
        <v>163.4</v>
      </c>
      <c r="C1228" s="5">
        <v>165.57</v>
      </c>
      <c r="D1228" s="5">
        <v>161.47499999999999</v>
      </c>
      <c r="E1228" s="5">
        <v>164.49</v>
      </c>
      <c r="F1228" s="6">
        <v>5094227</v>
      </c>
    </row>
    <row r="1229" spans="1:6" x14ac:dyDescent="0.2">
      <c r="A1229" s="4">
        <v>46255</v>
      </c>
      <c r="B1229" s="5">
        <v>164.04</v>
      </c>
      <c r="C1229" s="5">
        <v>167.25</v>
      </c>
      <c r="D1229" s="5">
        <v>163.96</v>
      </c>
      <c r="E1229" s="5">
        <v>165.98</v>
      </c>
      <c r="F1229" s="6">
        <v>3179849</v>
      </c>
    </row>
    <row r="1230" spans="1:6" x14ac:dyDescent="0.2">
      <c r="A1230" s="4">
        <v>46258</v>
      </c>
      <c r="B1230" s="5">
        <v>164.57</v>
      </c>
      <c r="C1230" s="5">
        <v>167.08</v>
      </c>
      <c r="D1230" s="5">
        <v>163.97</v>
      </c>
      <c r="E1230" s="5">
        <v>166.71</v>
      </c>
      <c r="F1230" s="6">
        <v>2780179</v>
      </c>
    </row>
    <row r="1231" spans="1:6" x14ac:dyDescent="0.2">
      <c r="A1231" s="4">
        <v>46259</v>
      </c>
      <c r="B1231" s="5">
        <v>167.08</v>
      </c>
      <c r="C1231" s="5">
        <v>170.18</v>
      </c>
      <c r="D1231" s="5">
        <v>166.78</v>
      </c>
      <c r="E1231" s="5">
        <v>169.66</v>
      </c>
      <c r="F1231" s="6">
        <v>3453733</v>
      </c>
    </row>
    <row r="1232" spans="1:6" x14ac:dyDescent="0.2">
      <c r="A1232" s="4">
        <v>46260</v>
      </c>
      <c r="B1232" s="5">
        <v>167.46</v>
      </c>
      <c r="C1232" s="5">
        <v>167.89</v>
      </c>
      <c r="D1232" s="5">
        <v>165.17</v>
      </c>
      <c r="E1232" s="5">
        <v>166.27</v>
      </c>
      <c r="F1232" s="6">
        <v>2680819</v>
      </c>
    </row>
    <row r="1233" spans="1:6" x14ac:dyDescent="0.2">
      <c r="A1233" s="4">
        <v>46261</v>
      </c>
      <c r="B1233" s="5">
        <v>165.27</v>
      </c>
      <c r="C1233" s="5">
        <v>165.58</v>
      </c>
      <c r="D1233" s="5">
        <v>163.98</v>
      </c>
      <c r="E1233" s="5">
        <v>164.52</v>
      </c>
      <c r="F1233" s="6">
        <v>2495241</v>
      </c>
    </row>
    <row r="1234" spans="1:6" x14ac:dyDescent="0.2">
      <c r="A1234" s="4">
        <v>46262</v>
      </c>
      <c r="B1234" s="5">
        <v>163.52000000000001</v>
      </c>
      <c r="C1234" s="5">
        <v>163.54</v>
      </c>
      <c r="D1234" s="5">
        <v>161.18</v>
      </c>
      <c r="E1234" s="5">
        <v>162.69999999999999</v>
      </c>
      <c r="F1234" s="6">
        <v>2880828</v>
      </c>
    </row>
    <row r="1235" spans="1:6" x14ac:dyDescent="0.2">
      <c r="A1235" s="4">
        <v>46265</v>
      </c>
      <c r="B1235" s="5">
        <v>162.69999999999999</v>
      </c>
      <c r="C1235" s="5">
        <v>163.75</v>
      </c>
      <c r="D1235" s="5">
        <v>161.94999999999999</v>
      </c>
      <c r="E1235" s="5">
        <v>162.13</v>
      </c>
      <c r="F1235" s="6">
        <v>3068214</v>
      </c>
    </row>
    <row r="1236" spans="1:6" x14ac:dyDescent="0.2">
      <c r="A1236" s="4">
        <v>46266</v>
      </c>
      <c r="B1236" s="5">
        <v>163.66</v>
      </c>
      <c r="C1236" s="5">
        <v>164.24</v>
      </c>
      <c r="D1236" s="5">
        <v>161.38499999999999</v>
      </c>
      <c r="E1236" s="5">
        <v>162.47</v>
      </c>
      <c r="F1236" s="6">
        <v>2598488</v>
      </c>
    </row>
    <row r="1237" spans="1:6" x14ac:dyDescent="0.2">
      <c r="A1237" s="4">
        <v>46267</v>
      </c>
      <c r="B1237" s="5">
        <v>162.54</v>
      </c>
      <c r="C1237" s="5">
        <v>164.69</v>
      </c>
      <c r="D1237" s="5">
        <v>160.87</v>
      </c>
      <c r="E1237" s="5">
        <v>161.63</v>
      </c>
      <c r="F1237" s="6">
        <v>3301432</v>
      </c>
    </row>
    <row r="1238" spans="1:6" x14ac:dyDescent="0.2">
      <c r="A1238" s="4">
        <v>46268</v>
      </c>
      <c r="B1238" s="5">
        <v>165.64</v>
      </c>
      <c r="C1238" s="5">
        <v>165.74</v>
      </c>
      <c r="D1238" s="5">
        <v>162.24</v>
      </c>
      <c r="E1238" s="5">
        <v>164.77</v>
      </c>
      <c r="F1238" s="6">
        <v>2425270</v>
      </c>
    </row>
    <row r="1239" spans="1:6" x14ac:dyDescent="0.2">
      <c r="A1239" s="4">
        <v>46269</v>
      </c>
      <c r="B1239" s="5">
        <v>162.82</v>
      </c>
      <c r="C1239" s="5">
        <v>163.78</v>
      </c>
      <c r="D1239" s="5">
        <v>161.13</v>
      </c>
      <c r="E1239" s="5">
        <v>162.69999999999999</v>
      </c>
      <c r="F1239" s="6">
        <v>3073349</v>
      </c>
    </row>
    <row r="1240" spans="1:6" x14ac:dyDescent="0.2">
      <c r="A1240" s="4">
        <v>46273</v>
      </c>
      <c r="B1240" s="5">
        <v>163.96</v>
      </c>
      <c r="C1240" s="5">
        <v>163.96</v>
      </c>
      <c r="D1240" s="5">
        <v>159.4</v>
      </c>
      <c r="E1240" s="5">
        <v>160.04</v>
      </c>
      <c r="F1240" s="6">
        <v>5146269</v>
      </c>
    </row>
    <row r="1241" spans="1:6" x14ac:dyDescent="0.2">
      <c r="A1241" s="4">
        <v>46274</v>
      </c>
      <c r="B1241" s="5">
        <v>158.31</v>
      </c>
      <c r="C1241" s="5">
        <v>159.1301</v>
      </c>
      <c r="D1241" s="5">
        <v>156.74</v>
      </c>
      <c r="E1241" s="5">
        <v>156.94</v>
      </c>
      <c r="F1241" s="6">
        <v>3874039</v>
      </c>
    </row>
    <row r="1242" spans="1:6" x14ac:dyDescent="0.2">
      <c r="A1242" s="4">
        <v>46275</v>
      </c>
      <c r="B1242" s="5">
        <v>157.68</v>
      </c>
      <c r="C1242" s="5">
        <v>160.30000000000001</v>
      </c>
      <c r="D1242" s="5">
        <v>157.22999999999999</v>
      </c>
      <c r="E1242" s="5">
        <v>159.63999999999999</v>
      </c>
      <c r="F1242" s="6">
        <v>2935497</v>
      </c>
    </row>
    <row r="1243" spans="1:6" x14ac:dyDescent="0.2">
      <c r="A1243" s="4">
        <v>46276</v>
      </c>
      <c r="B1243" s="5">
        <v>161.43</v>
      </c>
      <c r="C1243" s="5">
        <v>161.51</v>
      </c>
      <c r="D1243" s="5">
        <v>158.13</v>
      </c>
      <c r="E1243" s="5">
        <v>160.16999999999999</v>
      </c>
      <c r="F1243" s="6">
        <v>2229337</v>
      </c>
    </row>
    <row r="1244" spans="1:6" x14ac:dyDescent="0.2">
      <c r="A1244" s="4">
        <v>46279</v>
      </c>
      <c r="B1244" s="5">
        <v>164.08</v>
      </c>
      <c r="C1244" s="5">
        <v>164.55</v>
      </c>
      <c r="D1244" s="5">
        <v>162.13999999999999</v>
      </c>
      <c r="E1244" s="5">
        <v>163.78</v>
      </c>
      <c r="F1244" s="6">
        <v>3093646</v>
      </c>
    </row>
    <row r="1245" spans="1:6" x14ac:dyDescent="0.2">
      <c r="A1245" s="4">
        <v>46280</v>
      </c>
      <c r="B1245" s="5">
        <v>161.41999999999999</v>
      </c>
      <c r="C1245" s="5">
        <v>163.9</v>
      </c>
      <c r="D1245" s="5">
        <v>160.71</v>
      </c>
      <c r="E1245" s="5">
        <v>161.85</v>
      </c>
      <c r="F1245" s="6">
        <v>2939384</v>
      </c>
    </row>
    <row r="1246" spans="1:6" x14ac:dyDescent="0.2">
      <c r="A1246" s="4">
        <v>46281</v>
      </c>
      <c r="B1246" s="5">
        <v>164.21</v>
      </c>
      <c r="C1246" s="5">
        <v>165.42</v>
      </c>
      <c r="D1246" s="5">
        <v>162.02000000000001</v>
      </c>
      <c r="E1246" s="5">
        <v>162.88999999999999</v>
      </c>
      <c r="F1246" s="6">
        <v>3859290</v>
      </c>
    </row>
    <row r="1247" spans="1:6" x14ac:dyDescent="0.2">
      <c r="A1247" s="4">
        <v>46282</v>
      </c>
      <c r="B1247" s="5">
        <v>164.59</v>
      </c>
      <c r="C1247" s="5">
        <v>166.29</v>
      </c>
      <c r="D1247" s="5">
        <v>164.29499999999999</v>
      </c>
      <c r="E1247" s="5">
        <v>166.14</v>
      </c>
      <c r="F1247" s="6">
        <v>3807907</v>
      </c>
    </row>
    <row r="1248" spans="1:6" x14ac:dyDescent="0.2">
      <c r="A1248" s="4">
        <v>46283</v>
      </c>
      <c r="B1248" s="5">
        <v>167.15</v>
      </c>
      <c r="C1248" s="5">
        <v>167.83</v>
      </c>
      <c r="D1248" s="5">
        <v>165.54</v>
      </c>
      <c r="E1248" s="5">
        <v>166.08</v>
      </c>
      <c r="F1248" s="6">
        <v>3060377</v>
      </c>
    </row>
    <row r="1249" spans="1:6" x14ac:dyDescent="0.2">
      <c r="A1249" s="4">
        <v>46286</v>
      </c>
      <c r="B1249" s="5">
        <v>168.45</v>
      </c>
      <c r="C1249" s="5">
        <v>169</v>
      </c>
      <c r="D1249" s="5">
        <v>167.11</v>
      </c>
      <c r="E1249" s="5">
        <v>168.1</v>
      </c>
      <c r="F1249" s="6">
        <v>2937798</v>
      </c>
    </row>
    <row r="1250" spans="1:6" x14ac:dyDescent="0.2">
      <c r="A1250" s="4">
        <v>46287</v>
      </c>
      <c r="B1250" s="5">
        <v>167.84</v>
      </c>
      <c r="C1250" s="5">
        <v>169.35</v>
      </c>
      <c r="D1250" s="5">
        <v>166.74</v>
      </c>
      <c r="E1250" s="5">
        <v>168.37</v>
      </c>
      <c r="F1250" s="6">
        <v>2306260</v>
      </c>
    </row>
    <row r="1251" spans="1:6" x14ac:dyDescent="0.2">
      <c r="A1251" s="4">
        <v>46288</v>
      </c>
      <c r="B1251" s="5">
        <v>166.58</v>
      </c>
      <c r="C1251" s="5">
        <v>167.59</v>
      </c>
      <c r="D1251" s="5">
        <v>163.33000000000001</v>
      </c>
      <c r="E1251" s="5">
        <v>163.33000000000001</v>
      </c>
      <c r="F1251" s="6">
        <v>2361339</v>
      </c>
    </row>
    <row r="1252" spans="1:6" x14ac:dyDescent="0.2">
      <c r="A1252" s="4">
        <v>46289</v>
      </c>
      <c r="B1252" s="5">
        <v>162.91</v>
      </c>
      <c r="C1252" s="5">
        <v>166.25</v>
      </c>
      <c r="D1252" s="5">
        <v>162.91</v>
      </c>
      <c r="E1252" s="5">
        <v>164.56</v>
      </c>
      <c r="F1252" s="6">
        <v>3188582</v>
      </c>
    </row>
    <row r="1253" spans="1:6" x14ac:dyDescent="0.2">
      <c r="A1253" s="4">
        <v>46290</v>
      </c>
      <c r="B1253" s="5">
        <v>166.16</v>
      </c>
      <c r="C1253" s="5">
        <v>166.81</v>
      </c>
      <c r="D1253" s="5">
        <v>164.6</v>
      </c>
      <c r="E1253" s="5">
        <v>166.58</v>
      </c>
      <c r="F1253" s="6">
        <v>2067863</v>
      </c>
    </row>
    <row r="1254" spans="1:6" x14ac:dyDescent="0.2">
      <c r="A1254" s="4">
        <v>46293</v>
      </c>
      <c r="B1254" s="5">
        <v>165.69</v>
      </c>
      <c r="C1254" s="5">
        <v>167.52</v>
      </c>
      <c r="D1254" s="5">
        <v>165.39</v>
      </c>
      <c r="E1254" s="5">
        <v>166.15</v>
      </c>
      <c r="F1254" s="6">
        <v>1726644</v>
      </c>
    </row>
    <row r="1255" spans="1:6" x14ac:dyDescent="0.2">
      <c r="A1255" s="4">
        <v>46294</v>
      </c>
      <c r="B1255" s="5">
        <v>165.09</v>
      </c>
      <c r="C1255" s="5">
        <v>166.465</v>
      </c>
      <c r="D1255" s="5">
        <v>163.24</v>
      </c>
      <c r="E1255" s="5">
        <v>164.21</v>
      </c>
      <c r="F1255" s="6">
        <v>3372149</v>
      </c>
    </row>
    <row r="1256" spans="1:6" x14ac:dyDescent="0.2">
      <c r="A1256" s="4">
        <v>46295</v>
      </c>
      <c r="B1256" s="5">
        <v>164.47</v>
      </c>
      <c r="C1256" s="5">
        <v>164.48400000000001</v>
      </c>
      <c r="D1256" s="5">
        <v>161.46</v>
      </c>
      <c r="E1256" s="5">
        <v>161.47</v>
      </c>
      <c r="F1256" s="6">
        <v>2225476</v>
      </c>
    </row>
    <row r="1257" spans="1:6" x14ac:dyDescent="0.2">
      <c r="A1257" s="4">
        <v>46296</v>
      </c>
      <c r="B1257" s="5">
        <v>160.77000000000001</v>
      </c>
      <c r="C1257" s="5">
        <v>161.32499999999999</v>
      </c>
      <c r="D1257" s="5">
        <v>157.54</v>
      </c>
      <c r="E1257" s="5">
        <v>157.69999999999999</v>
      </c>
      <c r="F1257" s="6">
        <v>3378102</v>
      </c>
    </row>
    <row r="1258" spans="1:6" x14ac:dyDescent="0.2">
      <c r="A1258" s="4">
        <v>46297</v>
      </c>
      <c r="B1258" s="5">
        <v>158.46</v>
      </c>
      <c r="C1258" s="5">
        <v>158.79499999999999</v>
      </c>
      <c r="D1258" s="5">
        <v>156.41</v>
      </c>
      <c r="E1258" s="5">
        <v>156.9</v>
      </c>
      <c r="F1258" s="6">
        <v>3035561</v>
      </c>
    </row>
  </sheetData>
  <autoFilter ref="A4:F1258" xr:uid="{73FEACA6-94CC-4565-87D5-4A7DB8ED4DE5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10E0A0EC-58C9-4D2E-8E35-3D5D65306213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5AD1-1CC9-497D-A139-C6661E218F63}">
  <dimension ref="A1:AM1258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3" t="s">
        <v>50</v>
      </c>
      <c r="AC4" s="33" t="s">
        <v>22</v>
      </c>
      <c r="AD4" s="33" t="s">
        <v>65</v>
      </c>
      <c r="AE4" s="33" t="s">
        <v>66</v>
      </c>
      <c r="AF4" s="33" t="s">
        <v>67</v>
      </c>
      <c r="AG4" s="33" t="s">
        <v>68</v>
      </c>
      <c r="AH4" s="33" t="s">
        <v>69</v>
      </c>
      <c r="AI4" s="33" t="s">
        <v>70</v>
      </c>
      <c r="AJ4" s="33" t="s">
        <v>71</v>
      </c>
      <c r="AK4" s="33" t="s">
        <v>72</v>
      </c>
      <c r="AL4" s="33" t="s">
        <v>73</v>
      </c>
      <c r="AM4" s="33" t="s">
        <v>74</v>
      </c>
    </row>
    <row r="5" spans="1:39" x14ac:dyDescent="0.2">
      <c r="A5" s="16">
        <f>'Stock Price'!A5</f>
        <v>44474</v>
      </c>
      <c r="B5" s="17">
        <f>'Stock Price'!E5</f>
        <v>121</v>
      </c>
      <c r="C5" s="18">
        <v>79.164299999999997</v>
      </c>
      <c r="D5" s="18">
        <v>47.774999999999999</v>
      </c>
      <c r="E5" s="18">
        <v>46.7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2" t="s">
        <v>52</v>
      </c>
      <c r="AC5" s="34">
        <f ca="1">'Stock Price'!V49</f>
        <v>0.2966942148760332</v>
      </c>
      <c r="AD5" s="34">
        <f ca="1">IF(AC5="","",AC5-ROW()*0.000000001)</f>
        <v>0.29669420987603318</v>
      </c>
      <c r="AE5" s="32">
        <f ca="1">IF(AD5="","",COUNTIF($AD$5:$AD$16,"&gt;"&amp;AD5)+1)</f>
        <v>6</v>
      </c>
      <c r="AF5" s="32" t="str">
        <f ca="1">IF(AC5="",AB5,AB5&amp;" "&amp;TEXT(AC5,"+0.0%;-0.0%;0.0%"))</f>
        <v>AZN +29.7%</v>
      </c>
      <c r="AG5" s="34">
        <f ca="1">IF(AE5="","",INDEX($AK$5:$AK$16,AE5))</f>
        <v>0.7953433108772987</v>
      </c>
      <c r="AH5" s="32">
        <v>1</v>
      </c>
      <c r="AI5" s="34">
        <f ca="1">IF('Stock Price'!$I$11="OK",LARGE($AD$5:$AD$16,AH5),"")</f>
        <v>3.9489022517555528</v>
      </c>
      <c r="AJ5" s="34">
        <f ca="1">AI5</f>
        <v>3.9489022517555528</v>
      </c>
      <c r="AK5" s="34">
        <f ca="1">IF('Stock Price'!$I$11="OK",MAX(AJ5,AK6+$AL$5),"")</f>
        <v>3.9489022517555528</v>
      </c>
      <c r="AL5" s="34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4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120.27</v>
      </c>
      <c r="C6" s="18">
        <v>79.125600000000006</v>
      </c>
      <c r="D6" s="18">
        <v>47.662500000000001</v>
      </c>
      <c r="E6" s="18">
        <v>47.23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-6.0330578512397537E-3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-2.3547880690737433E-3</v>
      </c>
      <c r="R6" s="19">
        <f ca="1">IF('Stock Price'!$I$11="OK",E6/INDEX(E$5:E$1258,'Stock Price'!$I$9)-1,"")</f>
        <v>1.1349036402569457E-2</v>
      </c>
      <c r="S6" s="19">
        <f ca="1">IF('Stock Price'!$I$11="OK",F6/INDEX(F$5:F$1258,'Stock Price'!$I$9)-1,"")</f>
        <v>-2.4834437086092009E-3</v>
      </c>
      <c r="T6" s="19">
        <f ca="1">IF('Stock Price'!$I$11="OK",G6/INDEX(G$5:G$1258,'Stock Price'!$I$9)-1,"")</f>
        <v>3.6824434095092951E-3</v>
      </c>
      <c r="U6" s="19">
        <f ca="1">IF('Stock Price'!$I$11="OK",H6/INDEX(H$5:H$1258,'Stock Price'!$I$9)-1,"")</f>
        <v>-1.1519607843137214E-2</v>
      </c>
      <c r="V6" s="19">
        <f ca="1">IF('Stock Price'!$I$11="OK",I6/INDEX(I$5:I$1258,'Stock Price'!$I$9)-1,"")</f>
        <v>-7.0888468809072736E-3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2" t="s">
        <v>53</v>
      </c>
      <c r="AC6" s="34">
        <f ca="1">'Stock Price'!V50</f>
        <v>0.78110587727043646</v>
      </c>
      <c r="AD6" s="34">
        <f ca="1">IF(AC6="","",AC6-ROW()*0.000000001)</f>
        <v>0.7811058712704364</v>
      </c>
      <c r="AE6" s="32">
        <f ca="1">IF(AD6="","",COUNTIF($AD$5:$AD$16,"&gt;"&amp;AD6)+1)</f>
        <v>3</v>
      </c>
      <c r="AF6" s="32" t="str">
        <f ca="1">IF(AC6="",AB6,AB6&amp;" "&amp;TEXT(AC6,"+0.0%;-0.0%;0.0%"))</f>
        <v>NVS +78.1%</v>
      </c>
      <c r="AG6" s="34">
        <f ca="1">IF(AE6="","",INDEX($AK$5:$AK$16,AE6))</f>
        <v>1.4886393570881782</v>
      </c>
      <c r="AH6" s="32">
        <v>2</v>
      </c>
      <c r="AI6" s="34">
        <f ca="1">IF('Stock Price'!$I$11="OK",LARGE($AD$5:$AD$16,AH6),"")</f>
        <v>1.3999634576553737</v>
      </c>
      <c r="AJ6" s="34">
        <f ca="1">IF('Stock Price'!$I$11="OK",MIN(AI6,AJ5-$AL$5),"")</f>
        <v>1.3999634576553737</v>
      </c>
      <c r="AK6" s="34">
        <f ca="1">IF('Stock Price'!$I$11="OK",MAX(AJ6,AK7+$AL$5),"")</f>
        <v>1.7197380391584713</v>
      </c>
      <c r="AL6" s="32"/>
      <c r="AM6" s="32"/>
    </row>
    <row r="7" spans="1:39" x14ac:dyDescent="0.2">
      <c r="A7" s="16">
        <f>'Stock Price'!A7</f>
        <v>44476</v>
      </c>
      <c r="B7" s="17">
        <f>'Stock Price'!E7</f>
        <v>121.98</v>
      </c>
      <c r="C7" s="18">
        <v>79.793099999999995</v>
      </c>
      <c r="D7" s="18">
        <v>48.325000000000003</v>
      </c>
      <c r="E7" s="18">
        <v>48.05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8.0991735537190301E-3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1.151229722658309E-2</v>
      </c>
      <c r="R7" s="19">
        <f ca="1">IF('Stock Price'!$I$11="OK",E7/INDEX(E$5:E$1258,'Stock Price'!$I$9)-1,"")</f>
        <v>2.8907922912205342E-2</v>
      </c>
      <c r="S7" s="19">
        <f ca="1">IF('Stock Price'!$I$11="OK",F7/INDEX(F$5:F$1258,'Stock Price'!$I$9)-1,"")</f>
        <v>5.7947019867550242E-3</v>
      </c>
      <c r="T7" s="19">
        <f ca="1">IF('Stock Price'!$I$11="OK",G7/INDEX(G$5:G$1258,'Stock Price'!$I$9)-1,"")</f>
        <v>2.588541102566877E-2</v>
      </c>
      <c r="U7" s="19">
        <f ca="1">IF('Stock Price'!$I$11="OK",H7/INDEX(H$5:H$1258,'Stock Price'!$I$9)-1,"")</f>
        <v>4.1666666666666519E-3</v>
      </c>
      <c r="V7" s="19">
        <f ca="1">IF('Stock Price'!$I$11="OK",I7/INDEX(I$5:I$1258,'Stock Price'!$I$9)-1,"")</f>
        <v>9.9243856332704716E-3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2" t="s">
        <v>54</v>
      </c>
      <c r="AC7" s="34">
        <f ca="1">'Stock Price'!V51</f>
        <v>-1.5593929879644142E-2</v>
      </c>
      <c r="AD7" s="34">
        <f ca="1">IF(AC7="","",AC7-ROW()*0.000000001)</f>
        <v>-1.5593936879644141E-2</v>
      </c>
      <c r="AE7" s="32">
        <f ca="1">IF(AD7="","",COUNTIF($AD$5:$AD$16,"&gt;"&amp;AD7)+1)</f>
        <v>9</v>
      </c>
      <c r="AF7" s="32" t="str">
        <f ca="1">IF(AC7="",AB7,AB7&amp;" "&amp;TEXT(AC7,"+0.0%;-0.0%;0.0%"))</f>
        <v>GSK -1.6%</v>
      </c>
      <c r="AG7" s="34">
        <f ca="1">IF(AE7="","",INDEX($AK$5:$AK$16,AE7))</f>
        <v>0.10204726466641928</v>
      </c>
      <c r="AH7" s="32">
        <v>3</v>
      </c>
      <c r="AI7" s="34">
        <f ca="1">IF('Stock Price'!$I$11="OK",LARGE($AD$5:$AD$16,AH7),"")</f>
        <v>0.7811058712704364</v>
      </c>
      <c r="AJ7" s="34">
        <f ca="1">IF('Stock Price'!$I$11="OK",MIN(AI7,AJ6-$AL$5),"")</f>
        <v>0.7811058712704364</v>
      </c>
      <c r="AK7" s="34">
        <f ca="1">IF('Stock Price'!$I$11="OK",MAX(AJ7,AK8+$AL$5),"")</f>
        <v>1.4886393570881782</v>
      </c>
      <c r="AL7" s="32"/>
      <c r="AM7" s="32"/>
    </row>
    <row r="8" spans="1:39" x14ac:dyDescent="0.2">
      <c r="A8" s="16">
        <f>'Stock Price'!A8</f>
        <v>44477</v>
      </c>
      <c r="B8" s="17">
        <f>'Stock Price'!E8</f>
        <v>123.83</v>
      </c>
      <c r="C8" s="18">
        <v>80.131699999999995</v>
      </c>
      <c r="D8" s="18">
        <v>48.387500000000003</v>
      </c>
      <c r="E8" s="18">
        <v>49.89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2.338842975206612E-2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1.2820512820512997E-2</v>
      </c>
      <c r="R8" s="19">
        <f ca="1">IF('Stock Price'!$I$11="OK",E8/INDEX(E$5:E$1258,'Stock Price'!$I$9)-1,"")</f>
        <v>6.8308351177730042E-2</v>
      </c>
      <c r="S8" s="19">
        <f ca="1">IF('Stock Price'!$I$11="OK",F8/INDEX(F$5:F$1258,'Stock Price'!$I$9)-1,"")</f>
        <v>1.4279801324503349E-2</v>
      </c>
      <c r="T8" s="19">
        <f ca="1">IF('Stock Price'!$I$11="OK",G8/INDEX(G$5:G$1258,'Stock Price'!$I$9)-1,"")</f>
        <v>3.4333369435719741E-2</v>
      </c>
      <c r="U8" s="19">
        <f ca="1">IF('Stock Price'!$I$11="OK",H8/INDEX(H$5:H$1258,'Stock Price'!$I$9)-1,"")</f>
        <v>-1.1887254901960742E-2</v>
      </c>
      <c r="V8" s="19">
        <f ca="1">IF('Stock Price'!$I$11="OK",I8/INDEX(I$5:I$1258,'Stock Price'!$I$9)-1,"")</f>
        <v>3.0718336483932518E-3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2" t="s">
        <v>55</v>
      </c>
      <c r="AC8" s="34">
        <f ca="1">'Stock Price'!V52</f>
        <v>0.11884368308351179</v>
      </c>
      <c r="AD8" s="34">
        <f ca="1">IF(AC8="","",AC8-ROW()*0.000000001)</f>
        <v>0.11884367508351179</v>
      </c>
      <c r="AE8" s="32">
        <f ca="1">IF(AD8="","",COUNTIF($AD$5:$AD$16,"&gt;"&amp;AD8)+1)</f>
        <v>7</v>
      </c>
      <c r="AF8" s="32" t="str">
        <f ca="1">IF(AC8="",AB8,AB8&amp;" "&amp;TEXT(AC8,"+0.0%;-0.0%;0.0%"))</f>
        <v>ROG +11.9%</v>
      </c>
      <c r="AG8" s="34">
        <f ca="1">IF(AE8="","",INDEX($AK$5:$AK$16,AE8))</f>
        <v>0.56424462880700554</v>
      </c>
      <c r="AH8" s="32">
        <v>4</v>
      </c>
      <c r="AI8" s="34">
        <f ca="1">IF('Stock Price'!$I$11="OK",LARGE($AD$5:$AD$16,AH8),"")</f>
        <v>0.76838234194117661</v>
      </c>
      <c r="AJ8" s="34">
        <f ca="1">IF('Stock Price'!$I$11="OK",MIN(AI8,AJ7-$AL$5),"")</f>
        <v>0.55000718920014324</v>
      </c>
      <c r="AK8" s="34">
        <f ca="1">IF('Stock Price'!$I$11="OK",MAX(AJ8,AK9+$AL$5),"")</f>
        <v>1.257540675017885</v>
      </c>
      <c r="AL8" s="32"/>
      <c r="AM8" s="32"/>
    </row>
    <row r="9" spans="1:39" x14ac:dyDescent="0.2">
      <c r="A9" s="16">
        <f>'Stock Price'!A9</f>
        <v>44480</v>
      </c>
      <c r="B9" s="17">
        <f>'Stock Price'!E9</f>
        <v>123.4924</v>
      </c>
      <c r="C9" s="18">
        <v>79.657700000000006</v>
      </c>
      <c r="D9" s="18">
        <v>47.8</v>
      </c>
      <c r="E9" s="18">
        <v>48.83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2.059834710743802E-2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5.2328623757191828E-4</v>
      </c>
      <c r="R9" s="19">
        <f ca="1">IF('Stock Price'!$I$11="OK",E9/INDEX(E$5:E$1258,'Stock Price'!$I$9)-1,"")</f>
        <v>4.5610278372590907E-2</v>
      </c>
      <c r="S9" s="19">
        <f ca="1">IF('Stock Price'!$I$11="OK",F9/INDEX(F$5:F$1258,'Stock Price'!$I$9)-1,"")</f>
        <v>7.4503311258278249E-3</v>
      </c>
      <c r="T9" s="19">
        <f ca="1">IF('Stock Price'!$I$11="OK",G9/INDEX(G$5:G$1258,'Stock Price'!$I$9)-1,"")</f>
        <v>5.3070507960576219E-2</v>
      </c>
      <c r="U9" s="19">
        <f ca="1">IF('Stock Price'!$I$11="OK",H9/INDEX(H$5:H$1258,'Stock Price'!$I$9)-1,"")</f>
        <v>-2.046568627450962E-2</v>
      </c>
      <c r="V9" s="19">
        <f ca="1">IF('Stock Price'!$I$11="OK",I9/INDEX(I$5:I$1258,'Stock Price'!$I$9)-1,"")</f>
        <v>-6.1436672967863926E-3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2" t="s">
        <v>56</v>
      </c>
      <c r="AC9" s="34">
        <f ca="1">'Stock Price'!V53</f>
        <v>-0.17384105960264895</v>
      </c>
      <c r="AD9" s="34">
        <f ca="1">IF(AC9="","",AC9-ROW()*0.000000001)</f>
        <v>-0.17384106860264895</v>
      </c>
      <c r="AE9" s="32">
        <f ca="1">IF(AD9="","",COUNTIF($AD$5:$AD$16,"&gt;"&amp;AD9)+1)</f>
        <v>11</v>
      </c>
      <c r="AF9" s="32" t="str">
        <f ca="1">IF(AC9="",AB9,AB9&amp;" "&amp;TEXT(AC9,"+0.0%;-0.0%;0.0%"))</f>
        <v>SNY -17.4%</v>
      </c>
      <c r="AG9" s="34">
        <f ca="1">IF(AE9="","",INDEX($AK$5:$AK$16,AE9))</f>
        <v>-0.36015009947416693</v>
      </c>
      <c r="AH9" s="32">
        <v>5</v>
      </c>
      <c r="AI9" s="34">
        <f ca="1">IF('Stock Price'!$I$11="OK",LARGE($AD$5:$AD$16,AH9),"")</f>
        <v>0.6043990324996863</v>
      </c>
      <c r="AJ9" s="34">
        <f ca="1">IF('Stock Price'!$I$11="OK",MIN(AI9,AJ8-$AL$5),"")</f>
        <v>0.31890850712985014</v>
      </c>
      <c r="AK9" s="34">
        <f ca="1">IF('Stock Price'!$I$11="OK",MAX(AJ9,AK10+$AL$5),"")</f>
        <v>1.0264419929475919</v>
      </c>
      <c r="AL9" s="32"/>
      <c r="AM9" s="32"/>
    </row>
    <row r="10" spans="1:39" x14ac:dyDescent="0.2">
      <c r="A10" s="16">
        <f>'Stock Price'!A10</f>
        <v>44481</v>
      </c>
      <c r="B10" s="17">
        <f>'Stock Price'!E10</f>
        <v>122.92</v>
      </c>
      <c r="C10" s="18">
        <v>79.309399999999997</v>
      </c>
      <c r="D10" s="18">
        <v>48.3</v>
      </c>
      <c r="E10" s="18">
        <v>48.23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1.5867768595041243E-2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1.098901098901095E-2</v>
      </c>
      <c r="R10" s="19">
        <f ca="1">IF('Stock Price'!$I$11="OK",E10/INDEX(E$5:E$1258,'Stock Price'!$I$9)-1,"")</f>
        <v>3.276231263383278E-2</v>
      </c>
      <c r="S10" s="19">
        <f ca="1">IF('Stock Price'!$I$11="OK",F10/INDEX(F$5:F$1258,'Stock Price'!$I$9)-1,"")</f>
        <v>-4.1390728476831118E-4</v>
      </c>
      <c r="T10" s="19">
        <f ca="1">IF('Stock Price'!$I$11="OK",G10/INDEX(G$5:G$1258,'Stock Price'!$I$9)-1,"")</f>
        <v>3.3575219321997363E-2</v>
      </c>
      <c r="U10" s="19">
        <f ca="1">IF('Stock Price'!$I$11="OK",H10/INDEX(H$5:H$1258,'Stock Price'!$I$9)-1,"")</f>
        <v>-2.4632352941176383E-2</v>
      </c>
      <c r="V10" s="19">
        <f ca="1">IF('Stock Price'!$I$11="OK",I10/INDEX(I$5:I$1258,'Stock Price'!$I$9)-1,"")</f>
        <v>-1.1105860113421517E-2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2" t="s">
        <v>57</v>
      </c>
      <c r="AC10" s="34">
        <f ca="1">'Stock Price'!V54</f>
        <v>-2.6535253980288109E-2</v>
      </c>
      <c r="AD10" s="34">
        <f ca="1">IF(AC10="","",AC10-ROW()*0.000000001)</f>
        <v>-2.6535263980288111E-2</v>
      </c>
      <c r="AE10" s="32">
        <f ca="1">IF(AD10="","",COUNTIF($AD$5:$AD$16,"&gt;"&amp;AD10)+1)</f>
        <v>10</v>
      </c>
      <c r="AF10" s="32" t="str">
        <f ca="1">IF(AC10="",AB10,AB10&amp;" "&amp;TEXT(AC10,"+0.0%;-0.0%;0.0%"))</f>
        <v>BAYNr -2.7%</v>
      </c>
      <c r="AG10" s="34">
        <f ca="1">IF(AE10="","",INDEX($AK$5:$AK$16,AE10))</f>
        <v>-0.12905141740387382</v>
      </c>
      <c r="AH10" s="32">
        <v>6</v>
      </c>
      <c r="AI10" s="34">
        <f ca="1">IF('Stock Price'!$I$11="OK",LARGE($AD$5:$AD$16,AH10),"")</f>
        <v>0.29669420987603318</v>
      </c>
      <c r="AJ10" s="34">
        <f ca="1">IF('Stock Price'!$I$11="OK",MIN(AI10,AJ9-$AL$5),"")</f>
        <v>8.7809825059557034E-2</v>
      </c>
      <c r="AK10" s="34">
        <f ca="1">IF('Stock Price'!$I$11="OK",MAX(AJ10,AK11+$AL$5),"")</f>
        <v>0.7953433108772987</v>
      </c>
      <c r="AL10" s="32"/>
      <c r="AM10" s="32"/>
    </row>
    <row r="11" spans="1:39" x14ac:dyDescent="0.2">
      <c r="A11" s="16">
        <f>'Stock Price'!A11</f>
        <v>44482</v>
      </c>
      <c r="B11" s="17">
        <f>'Stock Price'!E11</f>
        <v>119.09</v>
      </c>
      <c r="C11" s="18">
        <v>79.744799999999998</v>
      </c>
      <c r="D11" s="18">
        <v>48.5</v>
      </c>
      <c r="E11" s="18">
        <v>48.22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-1.5785123966942094E-2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1.517530088958674E-2</v>
      </c>
      <c r="R11" s="19">
        <f ca="1">IF('Stock Price'!$I$11="OK",E11/INDEX(E$5:E$1258,'Stock Price'!$I$9)-1,"")</f>
        <v>3.2548179871520366E-2</v>
      </c>
      <c r="S11" s="19">
        <f ca="1">IF('Stock Price'!$I$11="OK",F11/INDEX(F$5:F$1258,'Stock Price'!$I$9)-1,"")</f>
        <v>-2.0695364238411118E-3</v>
      </c>
      <c r="T11" s="19">
        <f ca="1">IF('Stock Price'!$I$11="OK",G11/INDEX(G$5:G$1258,'Stock Price'!$I$9)-1,"")</f>
        <v>1.9928517274991897E-2</v>
      </c>
      <c r="U11" s="19">
        <f ca="1">IF('Stock Price'!$I$11="OK",H11/INDEX(H$5:H$1258,'Stock Price'!$I$9)-1,"")</f>
        <v>-3.2475490196078316E-2</v>
      </c>
      <c r="V11" s="19">
        <f ca="1">IF('Stock Price'!$I$11="OK",I11/INDEX(I$5:I$1258,'Stock Price'!$I$9)-1,"")</f>
        <v>-2.1266540642722043E-2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2" t="s">
        <v>58</v>
      </c>
      <c r="AC11" s="34">
        <f ca="1">'Stock Price'!V55</f>
        <v>0.76838235294117663</v>
      </c>
      <c r="AD11" s="34">
        <f ca="1">IF(AC11="","",AC11-ROW()*0.000000001)</f>
        <v>0.76838234194117661</v>
      </c>
      <c r="AE11" s="32">
        <f ca="1">IF(AD11="","",COUNTIF($AD$5:$AD$16,"&gt;"&amp;AD11)+1)</f>
        <v>4</v>
      </c>
      <c r="AF11" s="32" t="str">
        <f ca="1">IF(AC11="",AB11,AB11&amp;" "&amp;TEXT(AC11,"+0.0%;-0.0%;0.0%"))</f>
        <v>MRK +76.8%</v>
      </c>
      <c r="AG11" s="34">
        <f ca="1">IF(AE11="","",INDEX($AK$5:$AK$16,AE11))</f>
        <v>1.257540675017885</v>
      </c>
      <c r="AH11" s="32">
        <v>7</v>
      </c>
      <c r="AI11" s="34">
        <f ca="1">IF('Stock Price'!$I$11="OK",LARGE($AD$5:$AD$16,AH11),"")</f>
        <v>0.11884367508351179</v>
      </c>
      <c r="AJ11" s="34">
        <f ca="1">IF('Stock Price'!$I$11="OK",MIN(AI11,AJ10-$AL$5),"")</f>
        <v>-0.14328885701073607</v>
      </c>
      <c r="AK11" s="34">
        <f ca="1">IF('Stock Price'!$I$11="OK",MAX(AJ11,AK12+$AL$5),"")</f>
        <v>0.56424462880700554</v>
      </c>
      <c r="AL11" s="32"/>
      <c r="AM11" s="32"/>
    </row>
    <row r="12" spans="1:39" x14ac:dyDescent="0.2">
      <c r="A12" s="16">
        <f>'Stock Price'!A12</f>
        <v>44483</v>
      </c>
      <c r="B12" s="17">
        <f>'Stock Price'!E12</f>
        <v>121</v>
      </c>
      <c r="C12" s="18">
        <v>79.909199999999998</v>
      </c>
      <c r="D12" s="18">
        <v>48.4</v>
      </c>
      <c r="E12" s="18">
        <v>48.25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0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1.3082155939298845E-2</v>
      </c>
      <c r="R12" s="19">
        <f ca="1">IF('Stock Price'!$I$11="OK",E12/INDEX(E$5:E$1258,'Stock Price'!$I$9)-1,"")</f>
        <v>3.3190578158458273E-2</v>
      </c>
      <c r="S12" s="19">
        <f ca="1">IF('Stock Price'!$I$11="OK",F12/INDEX(F$5:F$1258,'Stock Price'!$I$9)-1,"")</f>
        <v>5.5877483443709242E-3</v>
      </c>
      <c r="T12" s="19">
        <f ca="1">IF('Stock Price'!$I$11="OK",G12/INDEX(G$5:G$1258,'Stock Price'!$I$9)-1,"")</f>
        <v>3.498321239033908E-2</v>
      </c>
      <c r="U12" s="19">
        <f ca="1">IF('Stock Price'!$I$11="OK",H12/INDEX(H$5:H$1258,'Stock Price'!$I$9)-1,"")</f>
        <v>-4.0073529411764675E-2</v>
      </c>
      <c r="V12" s="19">
        <f ca="1">IF('Stock Price'!$I$11="OK",I12/INDEX(I$5:I$1258,'Stock Price'!$I$9)-1,"")</f>
        <v>-1.5359168241965926E-2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2" t="s">
        <v>59</v>
      </c>
      <c r="AC12" s="34">
        <f ca="1">'Stock Price'!V56</f>
        <v>-0.34310018903591677</v>
      </c>
      <c r="AD12" s="34">
        <f ca="1">IF(AC12="","",AC12-ROW()*0.000000001)</f>
        <v>-0.34310020103591676</v>
      </c>
      <c r="AE12" s="32">
        <f ca="1">IF(AD12="","",COUNTIF($AD$5:$AD$16,"&gt;"&amp;AD12)+1)</f>
        <v>12</v>
      </c>
      <c r="AF12" s="32" t="str">
        <f ca="1">IF(AC12="",AB12,AB12&amp;" "&amp;TEXT(AC12,"+0.0%;-0.0%;0.0%"))</f>
        <v>PFE -34.3%</v>
      </c>
      <c r="AG12" s="34">
        <f ca="1">IF(AE12="","",INDEX($AK$5:$AK$16,AE12))</f>
        <v>-0.59124878154446003</v>
      </c>
      <c r="AH12" s="32">
        <v>8</v>
      </c>
      <c r="AI12" s="34">
        <f ca="1">IF('Stock Price'!$I$11="OK",LARGE($AD$5:$AD$16,AH12),"")</f>
        <v>3.381232750464918E-2</v>
      </c>
      <c r="AJ12" s="34">
        <f ca="1">IF('Stock Price'!$I$11="OK",MIN(AI12,AJ11-$AL$5),"")</f>
        <v>-0.37438753908102917</v>
      </c>
      <c r="AK12" s="34">
        <f ca="1">IF('Stock Price'!$I$11="OK",MAX(AJ12,AK13+$AL$5),"")</f>
        <v>0.33314594673671238</v>
      </c>
      <c r="AL12" s="32"/>
      <c r="AM12" s="32"/>
    </row>
    <row r="13" spans="1:39" x14ac:dyDescent="0.2">
      <c r="A13" s="16">
        <f>'Stock Price'!A13</f>
        <v>44484</v>
      </c>
      <c r="B13" s="17">
        <f>'Stock Price'!E13</f>
        <v>118.58</v>
      </c>
      <c r="C13" s="18">
        <v>80.615499999999997</v>
      </c>
      <c r="D13" s="18">
        <v>48.762500000000003</v>
      </c>
      <c r="E13" s="18">
        <v>48.92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-2.0000000000000018E-2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2.0669806384092215E-2</v>
      </c>
      <c r="R13" s="19">
        <f ca="1">IF('Stock Price'!$I$11="OK",E13/INDEX(E$5:E$1258,'Stock Price'!$I$9)-1,"")</f>
        <v>4.7537473233404626E-2</v>
      </c>
      <c r="S13" s="19">
        <f ca="1">IF('Stock Price'!$I$11="OK",F13/INDEX(F$5:F$1258,'Stock Price'!$I$9)-1,"")</f>
        <v>1.0968543046357748E-2</v>
      </c>
      <c r="T13" s="19">
        <f ca="1">IF('Stock Price'!$I$11="OK",G13/INDEX(G$5:G$1258,'Stock Price'!$I$9)-1,"")</f>
        <v>3.7257662731506436E-2</v>
      </c>
      <c r="U13" s="19">
        <f ca="1">IF('Stock Price'!$I$11="OK",H13/INDEX(H$5:H$1258,'Stock Price'!$I$9)-1,"")</f>
        <v>-4.0073529411764675E-2</v>
      </c>
      <c r="V13" s="19">
        <f ca="1">IF('Stock Price'!$I$11="OK",I13/INDEX(I$5:I$1258,'Stock Price'!$I$9)-1,"")</f>
        <v>-1.9612476370510334E-2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2" t="s">
        <v>60</v>
      </c>
      <c r="AC13" s="34">
        <f ca="1">'Stock Price'!V57</f>
        <v>3.9489022647555529</v>
      </c>
      <c r="AD13" s="34">
        <f ca="1">IF(AC13="","",AC13-ROW()*0.000000001)</f>
        <v>3.9489022517555528</v>
      </c>
      <c r="AE13" s="32">
        <f ca="1">IF(AD13="","",COUNTIF($AD$5:$AD$16,"&gt;"&amp;AD13)+1)</f>
        <v>1</v>
      </c>
      <c r="AF13" s="32" t="str">
        <f ca="1">IF(AC13="",AB13,AB13&amp;" "&amp;TEXT(AC13,"+0.0%;-0.0%;0.0%"))</f>
        <v>LLY +394.9%</v>
      </c>
      <c r="AG13" s="34">
        <f ca="1">IF(AE13="","",INDEX($AK$5:$AK$16,AE13))</f>
        <v>3.9489022517555528</v>
      </c>
      <c r="AH13" s="32">
        <v>9</v>
      </c>
      <c r="AI13" s="34">
        <f ca="1">IF('Stock Price'!$I$11="OK",LARGE($AD$5:$AD$16,AH13),"")</f>
        <v>-1.5593936879644141E-2</v>
      </c>
      <c r="AJ13" s="34">
        <f ca="1">IF('Stock Price'!$I$11="OK",MIN(AI13,AJ12-$AL$5),"")</f>
        <v>-0.60548622115132233</v>
      </c>
      <c r="AK13" s="34">
        <f ca="1">IF('Stock Price'!$I$11="OK",MAX(AJ13,AK14+$AL$5),"")</f>
        <v>0.10204726466641928</v>
      </c>
      <c r="AL13" s="32"/>
      <c r="AM13" s="32"/>
    </row>
    <row r="14" spans="1:39" x14ac:dyDescent="0.2">
      <c r="A14" s="16">
        <f>'Stock Price'!A14</f>
        <v>44487</v>
      </c>
      <c r="B14" s="17">
        <f>'Stock Price'!E14</f>
        <v>120.12</v>
      </c>
      <c r="C14" s="18">
        <v>79.657700000000006</v>
      </c>
      <c r="D14" s="18">
        <v>48.3125</v>
      </c>
      <c r="E14" s="18">
        <v>49.16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-7.2727272727272085E-3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1.125065410779702E-2</v>
      </c>
      <c r="R14" s="19">
        <f ca="1">IF('Stock Price'!$I$11="OK",E14/INDEX(E$5:E$1258,'Stock Price'!$I$9)-1,"")</f>
        <v>5.2676659528907877E-2</v>
      </c>
      <c r="S14" s="19">
        <f ca="1">IF('Stock Price'!$I$11="OK",F14/INDEX(F$5:F$1258,'Stock Price'!$I$9)-1,"")</f>
        <v>-6.0016556291390133E-3</v>
      </c>
      <c r="T14" s="19">
        <f ca="1">IF('Stock Price'!$I$11="OK",G14/INDEX(G$5:G$1258,'Stock Price'!$I$9)-1,"")</f>
        <v>9.74764431928965E-3</v>
      </c>
      <c r="U14" s="19">
        <f ca="1">IF('Stock Price'!$I$11="OK",H14/INDEX(H$5:H$1258,'Stock Price'!$I$9)-1,"")</f>
        <v>-5.4534313725490113E-2</v>
      </c>
      <c r="V14" s="19">
        <f ca="1">IF('Stock Price'!$I$11="OK",I14/INDEX(I$5:I$1258,'Stock Price'!$I$9)-1,"")</f>
        <v>-2.3629489603024578E-2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2" t="s">
        <v>61</v>
      </c>
      <c r="AC14" s="34">
        <f ca="1">'Stock Price'!V58</f>
        <v>3.3812341504649179E-2</v>
      </c>
      <c r="AD14" s="34">
        <f ca="1">IF(AC14="","",AC14-ROW()*0.000000001)</f>
        <v>3.381232750464918E-2</v>
      </c>
      <c r="AE14" s="32">
        <f ca="1">IF(AD14="","",COUNTIF($AD$5:$AD$16,"&gt;"&amp;AD14)+1)</f>
        <v>8</v>
      </c>
      <c r="AF14" s="32" t="str">
        <f ca="1">IF(AC14="",AB14,AB14&amp;" "&amp;TEXT(AC14,"+0.0%;-0.0%;0.0%"))</f>
        <v>BMY +3.4%</v>
      </c>
      <c r="AG14" s="34">
        <f ca="1">IF(AE14="","",INDEX($AK$5:$AK$16,AE14))</f>
        <v>0.33314594673671238</v>
      </c>
      <c r="AH14" s="32">
        <v>10</v>
      </c>
      <c r="AI14" s="34">
        <f ca="1">IF('Stock Price'!$I$11="OK",LARGE($AD$5:$AD$16,AH14),"")</f>
        <v>-2.6535263980288111E-2</v>
      </c>
      <c r="AJ14" s="34">
        <f ca="1">IF('Stock Price'!$I$11="OK",MIN(AI14,AJ13-$AL$5),"")</f>
        <v>-0.83658490322161549</v>
      </c>
      <c r="AK14" s="34">
        <f ca="1">IF('Stock Price'!$I$11="OK",MAX(AJ14,AK15+$AL$5),"")</f>
        <v>-0.12905141740387382</v>
      </c>
      <c r="AL14" s="32"/>
      <c r="AM14" s="32"/>
    </row>
    <row r="15" spans="1:39" x14ac:dyDescent="0.2">
      <c r="A15" s="16">
        <f>'Stock Price'!A15</f>
        <v>44488</v>
      </c>
      <c r="B15" s="17">
        <f>'Stock Price'!E15</f>
        <v>119.37</v>
      </c>
      <c r="C15" s="18">
        <v>80.441299999999998</v>
      </c>
      <c r="D15" s="18">
        <v>48.962499999999999</v>
      </c>
      <c r="E15" s="18">
        <v>48.55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-1.347107438016526E-2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2.4856096284667784E-2</v>
      </c>
      <c r="R15" s="19">
        <f ca="1">IF('Stock Price'!$I$11="OK",E15/INDEX(E$5:E$1258,'Stock Price'!$I$9)-1,"")</f>
        <v>3.9614561027837114E-2</v>
      </c>
      <c r="S15" s="19">
        <f ca="1">IF('Stock Price'!$I$11="OK",F15/INDEX(F$5:F$1258,'Stock Price'!$I$9)-1,"")</f>
        <v>-5.3807947019867131E-3</v>
      </c>
      <c r="T15" s="19">
        <f ca="1">IF('Stock Price'!$I$11="OK",G15/INDEX(G$5:G$1258,'Stock Price'!$I$9)-1,"")</f>
        <v>2.4152496480017271E-2</v>
      </c>
      <c r="U15" s="19">
        <f ca="1">IF('Stock Price'!$I$11="OK",H15/INDEX(H$5:H$1258,'Stock Price'!$I$9)-1,"")</f>
        <v>-2.5857843137254921E-2</v>
      </c>
      <c r="V15" s="19">
        <f ca="1">IF('Stock Price'!$I$11="OK",I15/INDEX(I$5:I$1258,'Stock Price'!$I$9)-1,"")</f>
        <v>-5.4347826086955653E-3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2" t="s">
        <v>62</v>
      </c>
      <c r="AC15" s="34">
        <f ca="1">'Stock Price'!V59</f>
        <v>0.60439904749968631</v>
      </c>
      <c r="AD15" s="34">
        <f ca="1">IF(AC15="","",AC15-ROW()*0.000000001)</f>
        <v>0.6043990324996863</v>
      </c>
      <c r="AE15" s="32">
        <f ca="1">IF(AD15="","",COUNTIF($AD$5:$AD$16,"&gt;"&amp;AD15)+1)</f>
        <v>5</v>
      </c>
      <c r="AF15" s="32" t="str">
        <f ca="1">IF(AC15="",AB15,AB15&amp;" "&amp;TEXT(AC15,"+0.0%;-0.0%;0.0%"))</f>
        <v>JnJ +60.4%</v>
      </c>
      <c r="AG15" s="34">
        <f ca="1">IF(AE15="","",INDEX($AK$5:$AK$16,AE15))</f>
        <v>1.0264419929475919</v>
      </c>
      <c r="AH15" s="32">
        <v>11</v>
      </c>
      <c r="AI15" s="34">
        <f ca="1">IF('Stock Price'!$I$11="OK",LARGE($AD$5:$AD$16,AH15),"")</f>
        <v>-0.17384106860264895</v>
      </c>
      <c r="AJ15" s="34">
        <f ca="1">IF('Stock Price'!$I$11="OK",MIN(AI15,AJ14-$AL$5),"")</f>
        <v>-1.0676835852919087</v>
      </c>
      <c r="AK15" s="34">
        <f ca="1">IF('Stock Price'!$I$11="OK",MAX(AJ15,AK16+$AL$5),"")</f>
        <v>-0.36015009947416693</v>
      </c>
      <c r="AL15" s="32"/>
      <c r="AM15" s="32"/>
    </row>
    <row r="16" spans="1:39" x14ac:dyDescent="0.2">
      <c r="A16" s="16">
        <f>'Stock Price'!A16</f>
        <v>44489</v>
      </c>
      <c r="B16" s="17">
        <f>'Stock Price'!E16</f>
        <v>122</v>
      </c>
      <c r="C16" s="18">
        <v>81.718299999999999</v>
      </c>
      <c r="D16" s="18">
        <v>49.325000000000003</v>
      </c>
      <c r="E16" s="18">
        <v>47.76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8.2644628099173278E-3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3.2443746729461154E-2</v>
      </c>
      <c r="R16" s="19">
        <f ca="1">IF('Stock Price'!$I$11="OK",E16/INDEX(E$5:E$1258,'Stock Price'!$I$9)-1,"")</f>
        <v>2.2698072805139136E-2</v>
      </c>
      <c r="S16" s="19">
        <f ca="1">IF('Stock Price'!$I$11="OK",F16/INDEX(F$5:F$1258,'Stock Price'!$I$9)-1,"")</f>
        <v>1.510761589403975E-2</v>
      </c>
      <c r="T16" s="19">
        <f ca="1">IF('Stock Price'!$I$11="OK",G16/INDEX(G$5:G$1258,'Stock Price'!$I$9)-1,"")</f>
        <v>4.3539477959493089E-2</v>
      </c>
      <c r="U16" s="19">
        <f ca="1">IF('Stock Price'!$I$11="OK",H16/INDEX(H$5:H$1258,'Stock Price'!$I$9)-1,"")</f>
        <v>-6.4950980392156632E-3</v>
      </c>
      <c r="V16" s="19">
        <f ca="1">IF('Stock Price'!$I$11="OK",I16/INDEX(I$5:I$1258,'Stock Price'!$I$9)-1,"")</f>
        <v>1.1342155009451682E-2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2" t="s">
        <v>63</v>
      </c>
      <c r="AC16" s="34">
        <f ca="1">'Stock Price'!V60</f>
        <v>1.3999634736553737</v>
      </c>
      <c r="AD16" s="34">
        <f ca="1">IF(AC16="","",AC16-ROW()*0.000000001)</f>
        <v>1.3999634576553737</v>
      </c>
      <c r="AE16" s="32">
        <f ca="1">IF(AD16="","",COUNTIF($AD$5:$AD$16,"&gt;"&amp;AD16)+1)</f>
        <v>2</v>
      </c>
      <c r="AF16" s="32" t="str">
        <f ca="1">IF(AC16="",AB16,AB16&amp;" "&amp;TEXT(AC16,"+0.0%;-0.0%;0.0%"))</f>
        <v>ABBV +140.0%</v>
      </c>
      <c r="AG16" s="34">
        <f ca="1">IF(AE16="","",INDEX($AK$5:$AK$16,AE16))</f>
        <v>1.7197380391584713</v>
      </c>
      <c r="AH16" s="32">
        <v>12</v>
      </c>
      <c r="AI16" s="34">
        <f ca="1">IF('Stock Price'!$I$11="OK",LARGE($AD$5:$AD$16,AH16),"")</f>
        <v>-0.34310020103591676</v>
      </c>
      <c r="AJ16" s="34">
        <f ca="1">IF('Stock Price'!$I$11="OK",MIN(AI16,AJ15-$AL$5),"")</f>
        <v>-1.2987822673622018</v>
      </c>
      <c r="AK16" s="34">
        <f ca="1">IF('Stock Price'!$I$11="OK",MAX(AJ16,$AM$5),"")</f>
        <v>-0.59124878154446003</v>
      </c>
      <c r="AL16" s="32"/>
      <c r="AM16" s="32"/>
    </row>
    <row r="17" spans="1:26" x14ac:dyDescent="0.2">
      <c r="A17" s="16">
        <f>'Stock Price'!A17</f>
        <v>44490</v>
      </c>
      <c r="B17" s="17">
        <f>'Stock Price'!E17</f>
        <v>122.4</v>
      </c>
      <c r="C17" s="18">
        <v>81.911799999999999</v>
      </c>
      <c r="D17" s="18">
        <v>49.4375</v>
      </c>
      <c r="E17" s="18">
        <v>48.84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1.1570247933884392E-2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3.4798534798534897E-2</v>
      </c>
      <c r="R17" s="19">
        <f ca="1">IF('Stock Price'!$I$11="OK",E17/INDEX(E$5:E$1258,'Stock Price'!$I$9)-1,"")</f>
        <v>4.5824411134903542E-2</v>
      </c>
      <c r="S17" s="19">
        <f ca="1">IF('Stock Price'!$I$11="OK",F17/INDEX(F$5:F$1258,'Stock Price'!$I$9)-1,"")</f>
        <v>1.8418874172185351E-2</v>
      </c>
      <c r="T17" s="19">
        <f ca="1">IF('Stock Price'!$I$11="OK",G17/INDEX(G$5:G$1258,'Stock Price'!$I$9)-1,"")</f>
        <v>4.3864399436802648E-2</v>
      </c>
      <c r="U17" s="19">
        <f ca="1">IF('Stock Price'!$I$11="OK",H17/INDEX(H$5:H$1258,'Stock Price'!$I$9)-1,"")</f>
        <v>-5.2696078431371252E-3</v>
      </c>
      <c r="V17" s="19">
        <f ca="1">IF('Stock Price'!$I$11="OK",I17/INDEX(I$5:I$1258,'Stock Price'!$I$9)-1,"")</f>
        <v>1.2759924385633337E-2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123.77500000000001</v>
      </c>
      <c r="C18" s="18">
        <v>82.153700000000001</v>
      </c>
      <c r="D18" s="18">
        <v>49.712499999999999</v>
      </c>
      <c r="E18" s="18">
        <v>48.74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2.2933884297520635E-2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4.055468341182622E-2</v>
      </c>
      <c r="R18" s="19">
        <f ca="1">IF('Stock Price'!$I$11="OK",E18/INDEX(E$5:E$1258,'Stock Price'!$I$9)-1,"")</f>
        <v>4.3683083511777188E-2</v>
      </c>
      <c r="S18" s="19">
        <f ca="1">IF('Stock Price'!$I$11="OK",F18/INDEX(F$5:F$1258,'Stock Price'!$I$9)-1,"")</f>
        <v>3.3112582781456901E-2</v>
      </c>
      <c r="T18" s="19">
        <f ca="1">IF('Stock Price'!$I$11="OK",G18/INDEX(G$5:G$1258,'Stock Price'!$I$9)-1,"")</f>
        <v>4.6680385573486527E-2</v>
      </c>
      <c r="U18" s="19">
        <f ca="1">IF('Stock Price'!$I$11="OK",H18/INDEX(H$5:H$1258,'Stock Price'!$I$9)-1,"")</f>
        <v>-5.5147058823528106E-3</v>
      </c>
      <c r="V18" s="19">
        <f ca="1">IF('Stock Price'!$I$11="OK",I18/INDEX(I$5:I$1258,'Stock Price'!$I$9)-1,"")</f>
        <v>1.9848771266540499E-2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124.82</v>
      </c>
      <c r="C19" s="18">
        <v>80.644499999999994</v>
      </c>
      <c r="D19" s="18">
        <v>49.762500000000003</v>
      </c>
      <c r="E19" s="18">
        <v>48.48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3.1570247933884188E-2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4.1601255886970279E-2</v>
      </c>
      <c r="R19" s="19">
        <f ca="1">IF('Stock Price'!$I$11="OK",E19/INDEX(E$5:E$1258,'Stock Price'!$I$9)-1,"")</f>
        <v>3.8115631691648666E-2</v>
      </c>
      <c r="S19" s="19">
        <f ca="1">IF('Stock Price'!$I$11="OK",F19/INDEX(F$5:F$1258,'Stock Price'!$I$9)-1,"")</f>
        <v>3.04221854304636E-2</v>
      </c>
      <c r="T19" s="19">
        <f ca="1">IF('Stock Price'!$I$11="OK",G19/INDEX(G$5:G$1258,'Stock Price'!$I$9)-1,"")</f>
        <v>4.9604678869273222E-2</v>
      </c>
      <c r="U19" s="19">
        <f ca="1">IF('Stock Price'!$I$11="OK",H19/INDEX(H$5:H$1258,'Stock Price'!$I$9)-1,"")</f>
        <v>7.3529411764705621E-4</v>
      </c>
      <c r="V19" s="19">
        <f ca="1">IF('Stock Price'!$I$11="OK",I19/INDEX(I$5:I$1258,'Stock Price'!$I$9)-1,"")</f>
        <v>1.9612476370510334E-2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123.13</v>
      </c>
      <c r="C20" s="18">
        <v>82.076300000000003</v>
      </c>
      <c r="D20" s="18">
        <v>50.225000000000001</v>
      </c>
      <c r="E20" s="18">
        <v>48.53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1.7603305785123924E-2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5.1282051282051322E-2</v>
      </c>
      <c r="R20" s="19">
        <f ca="1">IF('Stock Price'!$I$11="OK",E20/INDEX(E$5:E$1258,'Stock Price'!$I$9)-1,"")</f>
        <v>3.9186295503211843E-2</v>
      </c>
      <c r="S20" s="19">
        <f ca="1">IF('Stock Price'!$I$11="OK",F20/INDEX(F$5:F$1258,'Stock Price'!$I$9)-1,"")</f>
        <v>3.3940397350993301E-2</v>
      </c>
      <c r="T20" s="19">
        <f ca="1">IF('Stock Price'!$I$11="OK",G20/INDEX(G$5:G$1258,'Stock Price'!$I$9)-1,"")</f>
        <v>5.6861258529188774E-2</v>
      </c>
      <c r="U20" s="19">
        <f ca="1">IF('Stock Price'!$I$11="OK",H20/INDEX(H$5:H$1258,'Stock Price'!$I$9)-1,"")</f>
        <v>7.9656862745098866E-3</v>
      </c>
      <c r="V20" s="19">
        <f ca="1">IF('Stock Price'!$I$11="OK",I20/INDEX(I$5:I$1258,'Stock Price'!$I$9)-1,"")</f>
        <v>2.9300567107750419E-2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122.81</v>
      </c>
      <c r="C21" s="18">
        <v>80.034999999999997</v>
      </c>
      <c r="D21" s="18">
        <v>50.524999999999999</v>
      </c>
      <c r="E21" s="18">
        <v>48.04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1.4958677685950494E-2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5.7561486132914785E-2</v>
      </c>
      <c r="R21" s="19">
        <f ca="1">IF('Stock Price'!$I$11="OK",E21/INDEX(E$5:E$1258,'Stock Price'!$I$9)-1,"")</f>
        <v>2.8693790149892928E-2</v>
      </c>
      <c r="S21" s="19">
        <f ca="1">IF('Stock Price'!$I$11="OK",F21/INDEX(F$5:F$1258,'Stock Price'!$I$9)-1,"")</f>
        <v>2.5869205298013176E-2</v>
      </c>
      <c r="T21" s="19">
        <f ca="1">IF('Stock Price'!$I$11="OK",G21/INDEX(G$5:G$1258,'Stock Price'!$I$9)-1,"")</f>
        <v>5.26372793241634E-2</v>
      </c>
      <c r="U21" s="19">
        <f ca="1">IF('Stock Price'!$I$11="OK",H21/INDEX(H$5:H$1258,'Stock Price'!$I$9)-1,"")</f>
        <v>-7.3529411764694519E-4</v>
      </c>
      <c r="V21" s="19">
        <f ca="1">IF('Stock Price'!$I$11="OK",I21/INDEX(I$5:I$1258,'Stock Price'!$I$9)-1,"")</f>
        <v>1.5359168241966037E-2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127.25</v>
      </c>
      <c r="C22" s="18">
        <v>80.596100000000007</v>
      </c>
      <c r="D22" s="18">
        <v>52.65</v>
      </c>
      <c r="E22" s="18">
        <v>48.75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5.1652892561983466E-2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0.10204081632653073</v>
      </c>
      <c r="R22" s="19">
        <f ca="1">IF('Stock Price'!$I$11="OK",E22/INDEX(E$5:E$1258,'Stock Price'!$I$9)-1,"")</f>
        <v>4.3897216274089823E-2</v>
      </c>
      <c r="S22" s="19">
        <f ca="1">IF('Stock Price'!$I$11="OK",F22/INDEX(F$5:F$1258,'Stock Price'!$I$9)-1,"")</f>
        <v>3.7665562913907324E-2</v>
      </c>
      <c r="T22" s="19">
        <f ca="1">IF('Stock Price'!$I$11="OK",G22/INDEX(G$5:G$1258,'Stock Price'!$I$9)-1,"")</f>
        <v>5.5669879779053355E-2</v>
      </c>
      <c r="U22" s="19">
        <f ca="1">IF('Stock Price'!$I$11="OK",H22/INDEX(H$5:H$1258,'Stock Price'!$I$9)-1,"")</f>
        <v>6.066176470588247E-2</v>
      </c>
      <c r="V22" s="19">
        <f ca="1">IF('Stock Price'!$I$11="OK",I22/INDEX(I$5:I$1258,'Stock Price'!$I$9)-1,"")</f>
        <v>2.0321361058601051E-2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125.27500000000001</v>
      </c>
      <c r="C23" s="18">
        <v>80.063999999999993</v>
      </c>
      <c r="D23" s="18">
        <v>52.912500000000001</v>
      </c>
      <c r="E23" s="18">
        <v>48.33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3.5330578512396738E-2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0.1075353218210362</v>
      </c>
      <c r="R23" s="19">
        <f ca="1">IF('Stock Price'!$I$11="OK",E23/INDEX(E$5:E$1258,'Stock Price'!$I$9)-1,"")</f>
        <v>3.4903640256959134E-2</v>
      </c>
      <c r="S23" s="19">
        <f ca="1">IF('Stock Price'!$I$11="OK",F23/INDEX(F$5:F$1258,'Stock Price'!$I$9)-1,"")</f>
        <v>4.3667218543046449E-2</v>
      </c>
      <c r="T23" s="19">
        <f ca="1">IF('Stock Price'!$I$11="OK",G23/INDEX(G$5:G$1258,'Stock Price'!$I$9)-1,"")</f>
        <v>5.4261886710711638E-2</v>
      </c>
      <c r="U23" s="19">
        <f ca="1">IF('Stock Price'!$I$11="OK",H23/INDEX(H$5:H$1258,'Stock Price'!$I$9)-1,"")</f>
        <v>7.9044117647058876E-2</v>
      </c>
      <c r="V23" s="19">
        <f ca="1">IF('Stock Price'!$I$11="OK",I23/INDEX(I$5:I$1258,'Stock Price'!$I$9)-1,"")</f>
        <v>3.3553875236294939E-2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127.17</v>
      </c>
      <c r="C24" s="18">
        <v>81.311999999999998</v>
      </c>
      <c r="D24" s="18">
        <v>53.237499999999997</v>
      </c>
      <c r="E24" s="18">
        <v>49.34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5.0991735537190053E-2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0.11433804290947136</v>
      </c>
      <c r="R24" s="19">
        <f ca="1">IF('Stock Price'!$I$11="OK",E24/INDEX(E$5:E$1258,'Stock Price'!$I$9)-1,"")</f>
        <v>5.6531049250535315E-2</v>
      </c>
      <c r="S24" s="19">
        <f ca="1">IF('Stock Price'!$I$11="OK",F24/INDEX(F$5:F$1258,'Stock Price'!$I$9)-1,"")</f>
        <v>6.16721854304636E-2</v>
      </c>
      <c r="T24" s="19">
        <f ca="1">IF('Stock Price'!$I$11="OK",G24/INDEX(G$5:G$1258,'Stock Price'!$I$9)-1,"")</f>
        <v>7.1807646485432697E-2</v>
      </c>
      <c r="U24" s="19">
        <f ca="1">IF('Stock Price'!$I$11="OK",H24/INDEX(H$5:H$1258,'Stock Price'!$I$9)-1,"")</f>
        <v>7.647058823529429E-2</v>
      </c>
      <c r="V24" s="19">
        <f ca="1">IF('Stock Price'!$I$11="OK",I24/INDEX(I$5:I$1258,'Stock Price'!$I$9)-1,"")</f>
        <v>3.1190926275992403E-2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126.45</v>
      </c>
      <c r="C25" s="18">
        <v>81.021799999999999</v>
      </c>
      <c r="D25" s="18">
        <v>53.5</v>
      </c>
      <c r="E25" s="18">
        <v>50.07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4.5041322314049559E-2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0.11983254840397706</v>
      </c>
      <c r="R25" s="19">
        <f ca="1">IF('Stock Price'!$I$11="OK",E25/INDEX(E$5:E$1258,'Stock Price'!$I$9)-1,"")</f>
        <v>7.216274089935748E-2</v>
      </c>
      <c r="S25" s="19">
        <f ca="1">IF('Stock Price'!$I$11="OK",F25/INDEX(F$5:F$1258,'Stock Price'!$I$9)-1,"")</f>
        <v>7.4710264900662349E-2</v>
      </c>
      <c r="T25" s="19">
        <f ca="1">IF('Stock Price'!$I$11="OK",G25/INDEX(G$5:G$1258,'Stock Price'!$I$9)-1,"")</f>
        <v>8.2746669554857544E-2</v>
      </c>
      <c r="U25" s="19">
        <f ca="1">IF('Stock Price'!$I$11="OK",H25/INDEX(H$5:H$1258,'Stock Price'!$I$9)-1,"")</f>
        <v>9.0931372549019729E-2</v>
      </c>
      <c r="V25" s="19">
        <f ca="1">IF('Stock Price'!$I$11="OK",I25/INDEX(I$5:I$1258,'Stock Price'!$I$9)-1,"")</f>
        <v>7.3960302457466875E-2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129</v>
      </c>
      <c r="C26" s="18">
        <v>80.867000000000004</v>
      </c>
      <c r="D26" s="18">
        <v>54.412500000000001</v>
      </c>
      <c r="E26" s="18">
        <v>50.45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6.6115702479338845E-2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0.1389324960753533</v>
      </c>
      <c r="R26" s="19">
        <f ca="1">IF('Stock Price'!$I$11="OK",E26/INDEX(E$5:E$1258,'Stock Price'!$I$9)-1,"")</f>
        <v>8.0299785867237627E-2</v>
      </c>
      <c r="S26" s="19">
        <f ca="1">IF('Stock Price'!$I$11="OK",F26/INDEX(F$5:F$1258,'Stock Price'!$I$9)-1,"")</f>
        <v>8.3402317880794774E-2</v>
      </c>
      <c r="T26" s="19">
        <f ca="1">IF('Stock Price'!$I$11="OK",G26/INDEX(G$5:G$1258,'Stock Price'!$I$9)-1,"")</f>
        <v>8.8486948987328118E-2</v>
      </c>
      <c r="U26" s="19">
        <f ca="1">IF('Stock Price'!$I$11="OK",H26/INDEX(H$5:H$1258,'Stock Price'!$I$9)-1,"")</f>
        <v>8.6764705882353077E-2</v>
      </c>
      <c r="V26" s="19">
        <f ca="1">IF('Stock Price'!$I$11="OK",I26/INDEX(I$5:I$1258,'Stock Price'!$I$9)-1,"")</f>
        <v>5.907372400756139E-2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129.91999999999999</v>
      </c>
      <c r="C27" s="18">
        <v>80.963700000000003</v>
      </c>
      <c r="D27" s="18">
        <v>53.75</v>
      </c>
      <c r="E27" s="18">
        <v>51.02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7.371900826446276E-2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0.12506541077969646</v>
      </c>
      <c r="R27" s="19">
        <f ca="1">IF('Stock Price'!$I$11="OK",E27/INDEX(E$5:E$1258,'Stock Price'!$I$9)-1,"")</f>
        <v>9.2505353319057848E-2</v>
      </c>
      <c r="S27" s="19">
        <f ca="1">IF('Stock Price'!$I$11="OK",F27/INDEX(F$5:F$1258,'Stock Price'!$I$9)-1,"")</f>
        <v>7.1812913907284726E-2</v>
      </c>
      <c r="T27" s="19">
        <f ca="1">IF('Stock Price'!$I$11="OK",G27/INDEX(G$5:G$1258,'Stock Price'!$I$9)-1,"")</f>
        <v>8.1988519441135166E-2</v>
      </c>
      <c r="U27" s="19">
        <f ca="1">IF('Stock Price'!$I$11="OK",H27/INDEX(H$5:H$1258,'Stock Price'!$I$9)-1,"")</f>
        <v>0.10955882352941182</v>
      </c>
      <c r="V27" s="19">
        <f ca="1">IF('Stock Price'!$I$11="OK",I27/INDEX(I$5:I$1258,'Stock Price'!$I$9)-1,"")</f>
        <v>3.6153119092627639E-2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125.47</v>
      </c>
      <c r="C28" s="18">
        <v>80.924999999999997</v>
      </c>
      <c r="D28" s="18">
        <v>54.362499999999997</v>
      </c>
      <c r="E28" s="18">
        <v>50.2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3.6942148760330529E-2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0.13788592360020924</v>
      </c>
      <c r="R28" s="19">
        <f ca="1">IF('Stock Price'!$I$11="OK",E28/INDEX(E$5:E$1258,'Stock Price'!$I$9)-1,"")</f>
        <v>7.4946466809421741E-2</v>
      </c>
      <c r="S28" s="19">
        <f ca="1">IF('Stock Price'!$I$11="OK",F28/INDEX(F$5:F$1258,'Stock Price'!$I$9)-1,"")</f>
        <v>6.14652317880795E-2</v>
      </c>
      <c r="T28" s="19">
        <f ca="1">IF('Stock Price'!$I$11="OK",G28/INDEX(G$5:G$1258,'Stock Price'!$I$9)-1,"")</f>
        <v>7.7114697281490452E-2</v>
      </c>
      <c r="U28" s="19">
        <f ca="1">IF('Stock Price'!$I$11="OK",H28/INDEX(H$5:H$1258,'Stock Price'!$I$9)-1,"")</f>
        <v>1.2254901960795372E-4</v>
      </c>
      <c r="V28" s="19">
        <f ca="1">IF('Stock Price'!$I$11="OK",I28/INDEX(I$5:I$1258,'Stock Price'!$I$9)-1,"")</f>
        <v>0.14862948960302447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128.37</v>
      </c>
      <c r="C29" s="18">
        <v>80.509</v>
      </c>
      <c r="D29" s="18">
        <v>53.462499999999999</v>
      </c>
      <c r="E29" s="18">
        <v>50.21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6.0909090909091024E-2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0.11904761904761907</v>
      </c>
      <c r="R29" s="19">
        <f ca="1">IF('Stock Price'!$I$11="OK",E29/INDEX(E$5:E$1258,'Stock Price'!$I$9)-1,"")</f>
        <v>7.5160599571734377E-2</v>
      </c>
      <c r="S29" s="19">
        <f ca="1">IF('Stock Price'!$I$11="OK",F29/INDEX(F$5:F$1258,'Stock Price'!$I$9)-1,"")</f>
        <v>5.7740066225165476E-2</v>
      </c>
      <c r="T29" s="19">
        <f ca="1">IF('Stock Price'!$I$11="OK",G29/INDEX(G$5:G$1258,'Stock Price'!$I$9)-1,"")</f>
        <v>8.3288205350373623E-2</v>
      </c>
      <c r="U29" s="19">
        <f ca="1">IF('Stock Price'!$I$11="OK",H29/INDEX(H$5:H$1258,'Stock Price'!$I$9)-1,"")</f>
        <v>1.3235294117647234E-2</v>
      </c>
      <c r="V29" s="19">
        <f ca="1">IF('Stock Price'!$I$11="OK",I29/INDEX(I$5:I$1258,'Stock Price'!$I$9)-1,"")</f>
        <v>0.14201323251417763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126.42</v>
      </c>
      <c r="C30" s="18">
        <v>80.383300000000006</v>
      </c>
      <c r="D30" s="18">
        <v>53.412500000000001</v>
      </c>
      <c r="E30" s="18">
        <v>50.43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4.4793388429752001E-2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0.11800104657247523</v>
      </c>
      <c r="R30" s="19">
        <f ca="1">IF('Stock Price'!$I$11="OK",E30/INDEX(E$5:E$1258,'Stock Price'!$I$9)-1,"")</f>
        <v>7.9871520342612357E-2</v>
      </c>
      <c r="S30" s="19">
        <f ca="1">IF('Stock Price'!$I$11="OK",F30/INDEX(F$5:F$1258,'Stock Price'!$I$9)-1,"")</f>
        <v>6.0844370860927199E-2</v>
      </c>
      <c r="T30" s="19">
        <f ca="1">IF('Stock Price'!$I$11="OK",G30/INDEX(G$5:G$1258,'Stock Price'!$I$9)-1,"")</f>
        <v>9.9317664897649705E-2</v>
      </c>
      <c r="U30" s="19">
        <f ca="1">IF('Stock Price'!$I$11="OK",H30/INDEX(H$5:H$1258,'Stock Price'!$I$9)-1,"")</f>
        <v>1.3725490196078383E-2</v>
      </c>
      <c r="V30" s="19">
        <f ca="1">IF('Stock Price'!$I$11="OK",I30/INDEX(I$5:I$1258,'Stock Price'!$I$9)-1,"")</f>
        <v>0.11767485822306223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126.77</v>
      </c>
      <c r="C31" s="18">
        <v>80.460700000000003</v>
      </c>
      <c r="D31" s="18">
        <v>53.975000000000001</v>
      </c>
      <c r="E31" s="18">
        <v>50.22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4.768595041322321E-2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0.12977498691784417</v>
      </c>
      <c r="R31" s="19">
        <f ca="1">IF('Stock Price'!$I$11="OK",E31/INDEX(E$5:E$1258,'Stock Price'!$I$9)-1,"")</f>
        <v>7.5374732334047012E-2</v>
      </c>
      <c r="S31" s="19">
        <f ca="1">IF('Stock Price'!$I$11="OK",F31/INDEX(F$5:F$1258,'Stock Price'!$I$9)-1,"")</f>
        <v>6.25E-2</v>
      </c>
      <c r="T31" s="19">
        <f ca="1">IF('Stock Price'!$I$11="OK",G31/INDEX(G$5:G$1258,'Stock Price'!$I$9)-1,"")</f>
        <v>0.11014838080797151</v>
      </c>
      <c r="U31" s="19">
        <f ca="1">IF('Stock Price'!$I$11="OK",H31/INDEX(H$5:H$1258,'Stock Price'!$I$9)-1,"")</f>
        <v>2.9534313725490424E-2</v>
      </c>
      <c r="V31" s="19">
        <f ca="1">IF('Stock Price'!$I$11="OK",I31/INDEX(I$5:I$1258,'Stock Price'!$I$9)-1,"")</f>
        <v>0.15831758034026477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126.92</v>
      </c>
      <c r="C32" s="18">
        <v>80.141400000000004</v>
      </c>
      <c r="D32" s="18">
        <v>54.037500000000001</v>
      </c>
      <c r="E32" s="18">
        <v>50.39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4.8925619834710776E-2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0.13108320251177408</v>
      </c>
      <c r="R32" s="19">
        <f ca="1">IF('Stock Price'!$I$11="OK",E32/INDEX(E$5:E$1258,'Stock Price'!$I$9)-1,"")</f>
        <v>7.9014989293361815E-2</v>
      </c>
      <c r="S32" s="19">
        <f ca="1">IF('Stock Price'!$I$11="OK",F32/INDEX(F$5:F$1258,'Stock Price'!$I$9)-1,"")</f>
        <v>6.6846026490066102E-2</v>
      </c>
      <c r="T32" s="19">
        <f ca="1">IF('Stock Price'!$I$11="OK",G32/INDEX(G$5:G$1258,'Stock Price'!$I$9)-1,"")</f>
        <v>0.10170042239792054</v>
      </c>
      <c r="U32" s="19">
        <f ca="1">IF('Stock Price'!$I$11="OK",H32/INDEX(H$5:H$1258,'Stock Price'!$I$9)-1,"")</f>
        <v>2.9656862745098156E-2</v>
      </c>
      <c r="V32" s="19">
        <f ca="1">IF('Stock Price'!$I$11="OK",I32/INDEX(I$5:I$1258,'Stock Price'!$I$9)-1,"")</f>
        <v>0.18572778827977321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118.39</v>
      </c>
      <c r="C33" s="18">
        <v>79.802800000000005</v>
      </c>
      <c r="D33" s="18">
        <v>54.2</v>
      </c>
      <c r="E33" s="18">
        <v>50.05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-2.157024793388429E-2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0.13448456305599166</v>
      </c>
      <c r="R33" s="19">
        <f ca="1">IF('Stock Price'!$I$11="OK",E33/INDEX(E$5:E$1258,'Stock Price'!$I$9)-1,"")</f>
        <v>7.1734475374732209E-2</v>
      </c>
      <c r="S33" s="19">
        <f ca="1">IF('Stock Price'!$I$11="OK",F33/INDEX(F$5:F$1258,'Stock Price'!$I$9)-1,"")</f>
        <v>5.0703642384106073E-2</v>
      </c>
      <c r="T33" s="19">
        <f ca="1">IF('Stock Price'!$I$11="OK",G33/INDEX(G$5:G$1258,'Stock Price'!$I$9)-1,"")</f>
        <v>0.10018412217047556</v>
      </c>
      <c r="U33" s="19">
        <f ca="1">IF('Stock Price'!$I$11="OK",H33/INDEX(H$5:H$1258,'Stock Price'!$I$9)-1,"")</f>
        <v>2.941176470588247E-2</v>
      </c>
      <c r="V33" s="19">
        <f ca="1">IF('Stock Price'!$I$11="OK",I33/INDEX(I$5:I$1258,'Stock Price'!$I$9)-1,"")</f>
        <v>0.17509451795841202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123.13</v>
      </c>
      <c r="C34" s="18">
        <v>79.599699999999999</v>
      </c>
      <c r="D34" s="18">
        <v>53.962499999999999</v>
      </c>
      <c r="E34" s="18">
        <v>49.71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1.7603305785123924E-2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0.1295133437990581</v>
      </c>
      <c r="R34" s="19">
        <f ca="1">IF('Stock Price'!$I$11="OK",E34/INDEX(E$5:E$1258,'Stock Price'!$I$9)-1,"")</f>
        <v>6.4453961456102826E-2</v>
      </c>
      <c r="S34" s="19">
        <f ca="1">IF('Stock Price'!$I$11="OK",F34/INDEX(F$5:F$1258,'Stock Price'!$I$9)-1,"")</f>
        <v>5.7533112582781376E-2</v>
      </c>
      <c r="T34" s="19">
        <f ca="1">IF('Stock Price'!$I$11="OK",G34/INDEX(G$5:G$1258,'Stock Price'!$I$9)-1,"")</f>
        <v>9.1086320805805254E-2</v>
      </c>
      <c r="U34" s="19">
        <f ca="1">IF('Stock Price'!$I$11="OK",H34/INDEX(H$5:H$1258,'Stock Price'!$I$9)-1,"")</f>
        <v>2.5612745098039236E-2</v>
      </c>
      <c r="V34" s="19">
        <f ca="1">IF('Stock Price'!$I$11="OK",I34/INDEX(I$5:I$1258,'Stock Price'!$I$9)-1,"")</f>
        <v>0.17320415879017004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116.81</v>
      </c>
      <c r="C35" s="18">
        <v>79.241699999999994</v>
      </c>
      <c r="D35" s="18">
        <v>53.0625</v>
      </c>
      <c r="E35" s="18">
        <v>49.61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-3.4628099173553695E-2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0.11067503924646793</v>
      </c>
      <c r="R35" s="19">
        <f ca="1">IF('Stock Price'!$I$11="OK",E35/INDEX(E$5:E$1258,'Stock Price'!$I$9)-1,"")</f>
        <v>6.2312633832976472E-2</v>
      </c>
      <c r="S35" s="19">
        <f ca="1">IF('Stock Price'!$I$11="OK",F35/INDEX(F$5:F$1258,'Stock Price'!$I$9)-1,"")</f>
        <v>5.3600993377483475E-2</v>
      </c>
      <c r="T35" s="19">
        <f ca="1">IF('Stock Price'!$I$11="OK",G35/INDEX(G$5:G$1258,'Stock Price'!$I$9)-1,"")</f>
        <v>8.5670962850644461E-2</v>
      </c>
      <c r="U35" s="19">
        <f ca="1">IF('Stock Price'!$I$11="OK",H35/INDEX(H$5:H$1258,'Stock Price'!$I$9)-1,"")</f>
        <v>3.0759803921568629E-2</v>
      </c>
      <c r="V35" s="19">
        <f ca="1">IF('Stock Price'!$I$11="OK",I35/INDEX(I$5:I$1258,'Stock Price'!$I$9)-1,"")</f>
        <v>0.17202268431001899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115.94</v>
      </c>
      <c r="C36" s="18">
        <v>79.231999999999999</v>
      </c>
      <c r="D36" s="18">
        <v>53.1875</v>
      </c>
      <c r="E36" s="18">
        <v>49.86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-4.1818181818181865E-2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0.11329147043432752</v>
      </c>
      <c r="R36" s="19">
        <f ca="1">IF('Stock Price'!$I$11="OK",E36/INDEX(E$5:E$1258,'Stock Price'!$I$9)-1,"")</f>
        <v>6.7665952890792136E-2</v>
      </c>
      <c r="S36" s="19">
        <f ca="1">IF('Stock Price'!$I$11="OK",F36/INDEX(F$5:F$1258,'Stock Price'!$I$9)-1,"")</f>
        <v>5.5670529801324475E-2</v>
      </c>
      <c r="T36" s="19">
        <f ca="1">IF('Stock Price'!$I$11="OK",G36/INDEX(G$5:G$1258,'Stock Price'!$I$9)-1,"")</f>
        <v>8.0797140690999747E-2</v>
      </c>
      <c r="U36" s="19">
        <f ca="1">IF('Stock Price'!$I$11="OK",H36/INDEX(H$5:H$1258,'Stock Price'!$I$9)-1,"")</f>
        <v>1.225490196078427E-2</v>
      </c>
      <c r="V36" s="19">
        <f ca="1">IF('Stock Price'!$I$11="OK",I36/INDEX(I$5:I$1258,'Stock Price'!$I$9)-1,"")</f>
        <v>0.20203213610586013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112.42</v>
      </c>
      <c r="C37" s="18">
        <v>79.299800000000005</v>
      </c>
      <c r="D37" s="18">
        <v>51.875</v>
      </c>
      <c r="E37" s="18">
        <v>49.82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-7.0909090909090922E-2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8.5818942961800149E-2</v>
      </c>
      <c r="R37" s="19">
        <f ca="1">IF('Stock Price'!$I$11="OK",E37/INDEX(E$5:E$1258,'Stock Price'!$I$9)-1,"")</f>
        <v>6.6809421841541594E-2</v>
      </c>
      <c r="S37" s="19">
        <f ca="1">IF('Stock Price'!$I$11="OK",F37/INDEX(F$5:F$1258,'Stock Price'!$I$9)-1,"")</f>
        <v>3.8286423841059625E-2</v>
      </c>
      <c r="T37" s="19">
        <f ca="1">IF('Stock Price'!$I$11="OK",G37/INDEX(G$5:G$1258,'Stock Price'!$I$9)-1,"")</f>
        <v>6.7908588757716881E-2</v>
      </c>
      <c r="U37" s="19">
        <f ca="1">IF('Stock Price'!$I$11="OK",H37/INDEX(H$5:H$1258,'Stock Price'!$I$9)-1,"")</f>
        <v>1.7769607843137303E-2</v>
      </c>
      <c r="V37" s="19">
        <f ca="1">IF('Stock Price'!$I$11="OK",I37/INDEX(I$5:I$1258,'Stock Price'!$I$9)-1,"")</f>
        <v>0.21479206049149324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112.6</v>
      </c>
      <c r="C38" s="18">
        <v>78.999899999999997</v>
      </c>
      <c r="D38" s="18">
        <v>51.987499999999997</v>
      </c>
      <c r="E38" s="18">
        <v>49.75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-6.9421487603305798E-2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8.8173731030873892E-2</v>
      </c>
      <c r="R38" s="19">
        <f ca="1">IF('Stock Price'!$I$11="OK",E38/INDEX(E$5:E$1258,'Stock Price'!$I$9)-1,"")</f>
        <v>6.5310492505353146E-2</v>
      </c>
      <c r="S38" s="19">
        <f ca="1">IF('Stock Price'!$I$11="OK",F38/INDEX(F$5:F$1258,'Stock Price'!$I$9)-1,"")</f>
        <v>4.780629139072845E-2</v>
      </c>
      <c r="T38" s="19">
        <f ca="1">IF('Stock Price'!$I$11="OK",G38/INDEX(G$5:G$1258,'Stock Price'!$I$9)-1,"")</f>
        <v>4.2673020686667451E-2</v>
      </c>
      <c r="U38" s="19">
        <f ca="1">IF('Stock Price'!$I$11="OK",H38/INDEX(H$5:H$1258,'Stock Price'!$I$9)-1,"")</f>
        <v>-1.1029411764705732E-2</v>
      </c>
      <c r="V38" s="19">
        <f ca="1">IF('Stock Price'!$I$11="OK",I38/INDEX(I$5:I$1258,'Stock Price'!$I$9)-1,"")</f>
        <v>0.20037807183364831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114.21</v>
      </c>
      <c r="C39" s="18">
        <v>78.670900000000003</v>
      </c>
      <c r="D39" s="18">
        <v>51.612499999999997</v>
      </c>
      <c r="E39" s="18">
        <v>48.94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-5.6115702479338947E-2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8.0324437467294674E-2</v>
      </c>
      <c r="R39" s="19">
        <f ca="1">IF('Stock Price'!$I$11="OK",E39/INDEX(E$5:E$1258,'Stock Price'!$I$9)-1,"")</f>
        <v>4.7965738758029897E-2</v>
      </c>
      <c r="S39" s="19">
        <f ca="1">IF('Stock Price'!$I$11="OK",F39/INDEX(F$5:F$1258,'Stock Price'!$I$9)-1,"")</f>
        <v>3.4147350993377401E-2</v>
      </c>
      <c r="T39" s="19">
        <f ca="1">IF('Stock Price'!$I$11="OK",G39/INDEX(G$5:G$1258,'Stock Price'!$I$9)-1,"")</f>
        <v>4.4081013755009391E-2</v>
      </c>
      <c r="U39" s="19">
        <f ca="1">IF('Stock Price'!$I$11="OK",H39/INDEX(H$5:H$1258,'Stock Price'!$I$9)-1,"")</f>
        <v>4.9019607843137081E-4</v>
      </c>
      <c r="V39" s="19">
        <f ca="1">IF('Stock Price'!$I$11="OK",I39/INDEX(I$5:I$1258,'Stock Price'!$I$9)-1,"")</f>
        <v>0.20982986767485823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112.25</v>
      </c>
      <c r="C40" s="18">
        <v>79.977000000000004</v>
      </c>
      <c r="D40" s="18">
        <v>52</v>
      </c>
      <c r="E40" s="18">
        <v>48.14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-7.2314049586776896E-2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8.8435374149659962E-2</v>
      </c>
      <c r="R40" s="19">
        <f ca="1">IF('Stock Price'!$I$11="OK",E40/INDEX(E$5:E$1258,'Stock Price'!$I$9)-1,"")</f>
        <v>3.0835117773019283E-2</v>
      </c>
      <c r="S40" s="19">
        <f ca="1">IF('Stock Price'!$I$11="OK",F40/INDEX(F$5:F$1258,'Stock Price'!$I$9)-1,"")</f>
        <v>3.2905629139072801E-2</v>
      </c>
      <c r="T40" s="19">
        <f ca="1">IF('Stock Price'!$I$11="OK",G40/INDEX(G$5:G$1258,'Stock Price'!$I$9)-1,"")</f>
        <v>5.4586808188021196E-2</v>
      </c>
      <c r="U40" s="19">
        <f ca="1">IF('Stock Price'!$I$11="OK",H40/INDEX(H$5:H$1258,'Stock Price'!$I$9)-1,"")</f>
        <v>1.4705882352941124E-2</v>
      </c>
      <c r="V40" s="19">
        <f ca="1">IF('Stock Price'!$I$11="OK",I40/INDEX(I$5:I$1258,'Stock Price'!$I$9)-1,"")</f>
        <v>0.20699432892249514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113.72</v>
      </c>
      <c r="C41" s="18">
        <v>79.241699999999994</v>
      </c>
      <c r="D41" s="18">
        <v>52</v>
      </c>
      <c r="E41" s="18">
        <v>48.33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-6.0165289256198351E-2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8.8435374149659962E-2</v>
      </c>
      <c r="R41" s="19">
        <f ca="1">IF('Stock Price'!$I$11="OK",E41/INDEX(E$5:E$1258,'Stock Price'!$I$9)-1,"")</f>
        <v>3.4903640256959134E-2</v>
      </c>
      <c r="S41" s="19">
        <f ca="1">IF('Stock Price'!$I$11="OK",F41/INDEX(F$5:F$1258,'Stock Price'!$I$9)-1,"")</f>
        <v>1.676324503311255E-2</v>
      </c>
      <c r="T41" s="19">
        <f ca="1">IF('Stock Price'!$I$11="OK",G41/INDEX(G$5:G$1258,'Stock Price'!$I$9)-1,"")</f>
        <v>2.8268168525939608E-2</v>
      </c>
      <c r="U41" s="19">
        <f ca="1">IF('Stock Price'!$I$11="OK",H41/INDEX(H$5:H$1258,'Stock Price'!$I$9)-1,"")</f>
        <v>8.3333333333335258E-3</v>
      </c>
      <c r="V41" s="19">
        <f ca="1">IF('Stock Price'!$I$11="OK",I41/INDEX(I$5:I$1258,'Stock Price'!$I$9)-1,"")</f>
        <v>0.20250472589792068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112.355</v>
      </c>
      <c r="C42" s="18">
        <v>78.071100000000001</v>
      </c>
      <c r="D42" s="18">
        <v>51.274999999999999</v>
      </c>
      <c r="E42" s="18">
        <v>48.41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-7.1446280991735556E-2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7.3260073260073222E-2</v>
      </c>
      <c r="R42" s="19">
        <f ca="1">IF('Stock Price'!$I$11="OK",E42/INDEX(E$5:E$1258,'Stock Price'!$I$9)-1,"")</f>
        <v>3.6616702355460218E-2</v>
      </c>
      <c r="S42" s="19">
        <f ca="1">IF('Stock Price'!$I$11="OK",F42/INDEX(F$5:F$1258,'Stock Price'!$I$9)-1,"")</f>
        <v>-4.1390728476831118E-4</v>
      </c>
      <c r="T42" s="19">
        <f ca="1">IF('Stock Price'!$I$11="OK",G42/INDEX(G$5:G$1258,'Stock Price'!$I$9)-1,"")</f>
        <v>-1.3538394887902094E-2</v>
      </c>
      <c r="U42" s="19">
        <f ca="1">IF('Stock Price'!$I$11="OK",H42/INDEX(H$5:H$1258,'Stock Price'!$I$9)-1,"")</f>
        <v>-2.990196078431373E-2</v>
      </c>
      <c r="V42" s="19">
        <f ca="1">IF('Stock Price'!$I$11="OK",I42/INDEX(I$5:I$1258,'Stock Price'!$I$9)-1,"")</f>
        <v>0.275992438563327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112.35</v>
      </c>
      <c r="C43" s="18">
        <v>77.655100000000004</v>
      </c>
      <c r="D43" s="18">
        <v>51.7</v>
      </c>
      <c r="E43" s="18">
        <v>48.33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-7.1487603305785186E-2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8.2155939298796499E-2</v>
      </c>
      <c r="R43" s="19">
        <f ca="1">IF('Stock Price'!$I$11="OK",E43/INDEX(E$5:E$1258,'Stock Price'!$I$9)-1,"")</f>
        <v>3.4903640256959134E-2</v>
      </c>
      <c r="S43" s="19">
        <f ca="1">IF('Stock Price'!$I$11="OK",F43/INDEX(F$5:F$1258,'Stock Price'!$I$9)-1,"")</f>
        <v>-2.2764900662251009E-3</v>
      </c>
      <c r="T43" s="19">
        <f ca="1">IF('Stock Price'!$I$11="OK",G43/INDEX(G$5:G$1258,'Stock Price'!$I$9)-1,"")</f>
        <v>-1.8303909888443548E-2</v>
      </c>
      <c r="U43" s="19">
        <f ca="1">IF('Stock Price'!$I$11="OK",H43/INDEX(H$5:H$1258,'Stock Price'!$I$9)-1,"")</f>
        <v>-8.2230392156862675E-2</v>
      </c>
      <c r="V43" s="19">
        <f ca="1">IF('Stock Price'!$I$11="OK",I43/INDEX(I$5:I$1258,'Stock Price'!$I$9)-1,"")</f>
        <v>0.23818525519848777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111.57</v>
      </c>
      <c r="C44" s="18">
        <v>77.103700000000003</v>
      </c>
      <c r="D44" s="18">
        <v>51.4</v>
      </c>
      <c r="E44" s="18">
        <v>48.78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-7.7933884297520684E-2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7.5876504447933035E-2</v>
      </c>
      <c r="R44" s="19">
        <f ca="1">IF('Stock Price'!$I$11="OK",E44/INDEX(E$5:E$1258,'Stock Price'!$I$9)-1,"")</f>
        <v>4.4539614561027729E-2</v>
      </c>
      <c r="S44" s="19">
        <f ca="1">IF('Stock Price'!$I$11="OK",F44/INDEX(F$5:F$1258,'Stock Price'!$I$9)-1,"")</f>
        <v>-1.552152317880795E-2</v>
      </c>
      <c r="T44" s="19">
        <f ca="1">IF('Stock Price'!$I$11="OK",G44/INDEX(G$5:G$1258,'Stock Price'!$I$9)-1,"")</f>
        <v>-3.5633055344958198E-2</v>
      </c>
      <c r="U44" s="19">
        <f ca="1">IF('Stock Price'!$I$11="OK",H44/INDEX(H$5:H$1258,'Stock Price'!$I$9)-1,"")</f>
        <v>-8.198529411764699E-2</v>
      </c>
      <c r="V44" s="19">
        <f ca="1">IF('Stock Price'!$I$11="OK",I44/INDEX(I$5:I$1258,'Stock Price'!$I$9)-1,"")</f>
        <v>0.26961247637051033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109.35</v>
      </c>
      <c r="C45" s="18">
        <v>77.219800000000006</v>
      </c>
      <c r="D45" s="18">
        <v>51.712499999999999</v>
      </c>
      <c r="E45" s="18">
        <v>49.14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-9.628099173553728E-2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8.2417582417582347E-2</v>
      </c>
      <c r="R45" s="19">
        <f ca="1">IF('Stock Price'!$I$11="OK",E45/INDEX(E$5:E$1258,'Stock Price'!$I$9)-1,"")</f>
        <v>5.2248394004282606E-2</v>
      </c>
      <c r="S45" s="19">
        <f ca="1">IF('Stock Price'!$I$11="OK",F45/INDEX(F$5:F$1258,'Stock Price'!$I$9)-1,"")</f>
        <v>-5.3807947019867131E-3</v>
      </c>
      <c r="T45" s="19">
        <f ca="1">IF('Stock Price'!$I$11="OK",G45/INDEX(G$5:G$1258,'Stock Price'!$I$9)-1,"")</f>
        <v>-1.72208382974115E-2</v>
      </c>
      <c r="U45" s="19">
        <f ca="1">IF('Stock Price'!$I$11="OK",H45/INDEX(H$5:H$1258,'Stock Price'!$I$9)-1,"")</f>
        <v>-8.7745098039215597E-2</v>
      </c>
      <c r="V45" s="19">
        <f ca="1">IF('Stock Price'!$I$11="OK",I45/INDEX(I$5:I$1258,'Stock Price'!$I$9)-1,"")</f>
        <v>0.29206049149338376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111.42</v>
      </c>
      <c r="C46" s="18">
        <v>77.345600000000005</v>
      </c>
      <c r="D46" s="18">
        <v>51.837499999999999</v>
      </c>
      <c r="E46" s="18">
        <v>49.52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-7.9173553719008249E-2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8.503401360544216E-2</v>
      </c>
      <c r="R46" s="19">
        <f ca="1">IF('Stock Price'!$I$11="OK",E46/INDEX(E$5:E$1258,'Stock Price'!$I$9)-1,"")</f>
        <v>6.0385438972162753E-2</v>
      </c>
      <c r="S46" s="19">
        <f ca="1">IF('Stock Price'!$I$11="OK",F46/INDEX(F$5:F$1258,'Stock Price'!$I$9)-1,"")</f>
        <v>-1.3038079470198749E-2</v>
      </c>
      <c r="T46" s="19">
        <f ca="1">IF('Stock Price'!$I$11="OK",G46/INDEX(G$5:G$1258,'Stock Price'!$I$9)-1,"")</f>
        <v>-2.6643561139391259E-2</v>
      </c>
      <c r="U46" s="19">
        <f ca="1">IF('Stock Price'!$I$11="OK",H46/INDEX(H$5:H$1258,'Stock Price'!$I$9)-1,"")</f>
        <v>-9.4485294117646945E-2</v>
      </c>
      <c r="V46" s="19">
        <f ca="1">IF('Stock Price'!$I$11="OK",I46/INDEX(I$5:I$1258,'Stock Price'!$I$9)-1,"")</f>
        <v>0.25330812854442342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109.66</v>
      </c>
      <c r="C47" s="18">
        <v>77.393900000000002</v>
      </c>
      <c r="D47" s="18">
        <v>51.5625</v>
      </c>
      <c r="E47" s="18">
        <v>49.35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-9.3719008264462889E-2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7.9277864992150837E-2</v>
      </c>
      <c r="R47" s="19">
        <f ca="1">IF('Stock Price'!$I$11="OK",E47/INDEX(E$5:E$1258,'Stock Price'!$I$9)-1,"")</f>
        <v>5.674518201284795E-2</v>
      </c>
      <c r="S47" s="19">
        <f ca="1">IF('Stock Price'!$I$11="OK",F47/INDEX(F$5:F$1258,'Stock Price'!$I$9)-1,"")</f>
        <v>-2.5869205298013287E-2</v>
      </c>
      <c r="T47" s="19">
        <f ca="1">IF('Stock Price'!$I$11="OK",G47/INDEX(G$5:G$1258,'Stock Price'!$I$9)-1,"")</f>
        <v>-4.1373334777428661E-2</v>
      </c>
      <c r="U47" s="19">
        <f ca="1">IF('Stock Price'!$I$11="OK",H47/INDEX(H$5:H$1258,'Stock Price'!$I$9)-1,"")</f>
        <v>-0.10122549019607829</v>
      </c>
      <c r="V47" s="19">
        <f ca="1">IF('Stock Price'!$I$11="OK",I47/INDEX(I$5:I$1258,'Stock Price'!$I$9)-1,"")</f>
        <v>0.28237240075614367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110.93</v>
      </c>
      <c r="C48" s="18">
        <v>77.906700000000001</v>
      </c>
      <c r="D48" s="18">
        <v>52.2</v>
      </c>
      <c r="E48" s="18">
        <v>49.73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-8.3223140495867765E-2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9.262166405023553E-2</v>
      </c>
      <c r="R48" s="19">
        <f ca="1">IF('Stock Price'!$I$11="OK",E48/INDEX(E$5:E$1258,'Stock Price'!$I$9)-1,"")</f>
        <v>6.4882226980727875E-2</v>
      </c>
      <c r="S48" s="19">
        <f ca="1">IF('Stock Price'!$I$11="OK",F48/INDEX(F$5:F$1258,'Stock Price'!$I$9)-1,"")</f>
        <v>-1.572847682119205E-2</v>
      </c>
      <c r="T48" s="19">
        <f ca="1">IF('Stock Price'!$I$11="OK",G48/INDEX(G$5:G$1258,'Stock Price'!$I$9)-1,"")</f>
        <v>-3.422506227661648E-2</v>
      </c>
      <c r="U48" s="19">
        <f ca="1">IF('Stock Price'!$I$11="OK",H48/INDEX(H$5:H$1258,'Stock Price'!$I$9)-1,"")</f>
        <v>-0.10024509803921555</v>
      </c>
      <c r="V48" s="19">
        <f ca="1">IF('Stock Price'!$I$11="OK",I48/INDEX(I$5:I$1258,'Stock Price'!$I$9)-1,"")</f>
        <v>0.21644612476370506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108.63</v>
      </c>
      <c r="C49" s="18">
        <v>78.0518</v>
      </c>
      <c r="D49" s="18">
        <v>52.975000000000001</v>
      </c>
      <c r="E49" s="18">
        <v>49.77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-0.10223140495867777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0.10884353741496611</v>
      </c>
      <c r="R49" s="19">
        <f ca="1">IF('Stock Price'!$I$11="OK",E49/INDEX(E$5:E$1258,'Stock Price'!$I$9)-1,"")</f>
        <v>6.5738758029978639E-2</v>
      </c>
      <c r="S49" s="19">
        <f ca="1">IF('Stock Price'!$I$11="OK",F49/INDEX(F$5:F$1258,'Stock Price'!$I$9)-1,"")</f>
        <v>-8.4850993377484363E-3</v>
      </c>
      <c r="T49" s="19">
        <f ca="1">IF('Stock Price'!$I$11="OK",G49/INDEX(G$5:G$1258,'Stock Price'!$I$9)-1,"")</f>
        <v>-9.8559514783926883E-3</v>
      </c>
      <c r="U49" s="19">
        <f ca="1">IF('Stock Price'!$I$11="OK",H49/INDEX(H$5:H$1258,'Stock Price'!$I$9)-1,"")</f>
        <v>-0.11421568627450973</v>
      </c>
      <c r="V49" s="19">
        <f ca="1">IF('Stock Price'!$I$11="OK",I49/INDEX(I$5:I$1258,'Stock Price'!$I$9)-1,"")</f>
        <v>0.22211720226843101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112.47</v>
      </c>
      <c r="C50" s="18">
        <v>78.709599999999995</v>
      </c>
      <c r="D50" s="18">
        <v>53.35</v>
      </c>
      <c r="E50" s="18">
        <v>50.68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-7.0495867768595066E-2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0.11669283097854533</v>
      </c>
      <c r="R50" s="19">
        <f ca="1">IF('Stock Price'!$I$11="OK",E50/INDEX(E$5:E$1258,'Stock Price'!$I$9)-1,"")</f>
        <v>8.5224839400428243E-2</v>
      </c>
      <c r="S50" s="19">
        <f ca="1">IF('Stock Price'!$I$11="OK",F50/INDEX(F$5:F$1258,'Stock Price'!$I$9)-1,"")</f>
        <v>-6.8294701986754136E-3</v>
      </c>
      <c r="T50" s="19">
        <f ca="1">IF('Stock Price'!$I$11="OK",G50/INDEX(G$5:G$1258,'Stock Price'!$I$9)-1,"")</f>
        <v>-9.2061085237733487E-3</v>
      </c>
      <c r="U50" s="19">
        <f ca="1">IF('Stock Price'!$I$11="OK",H50/INDEX(H$5:H$1258,'Stock Price'!$I$9)-1,"")</f>
        <v>-0.10281862745098036</v>
      </c>
      <c r="V50" s="19">
        <f ca="1">IF('Stock Price'!$I$11="OK",I50/INDEX(I$5:I$1258,'Stock Price'!$I$9)-1,"")</f>
        <v>0.21455576559546308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109.25</v>
      </c>
      <c r="C51" s="18">
        <v>77.819599999999994</v>
      </c>
      <c r="D51" s="18">
        <v>53.5</v>
      </c>
      <c r="E51" s="18">
        <v>50.47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-9.710743801652888E-2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0.11983254840397706</v>
      </c>
      <c r="R51" s="19">
        <f ca="1">IF('Stock Price'!$I$11="OK",E51/INDEX(E$5:E$1258,'Stock Price'!$I$9)-1,"")</f>
        <v>8.0728051391862898E-2</v>
      </c>
      <c r="S51" s="19">
        <f ca="1">IF('Stock Price'!$I$11="OK",F51/INDEX(F$5:F$1258,'Stock Price'!$I$9)-1,"")</f>
        <v>-2.0902317880794663E-2</v>
      </c>
      <c r="T51" s="19">
        <f ca="1">IF('Stock Price'!$I$11="OK",G51/INDEX(G$5:G$1258,'Stock Price'!$I$9)-1,"")</f>
        <v>-8.2313440918445613E-3</v>
      </c>
      <c r="U51" s="19">
        <f ca="1">IF('Stock Price'!$I$11="OK",H51/INDEX(H$5:H$1258,'Stock Price'!$I$9)-1,"")</f>
        <v>-0.10710784313725485</v>
      </c>
      <c r="V51" s="19">
        <f ca="1">IF('Stock Price'!$I$11="OK",I51/INDEX(I$5:I$1258,'Stock Price'!$I$9)-1,"")</f>
        <v>0.23062381852551983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110.43</v>
      </c>
      <c r="C52" s="18">
        <v>78.042100000000005</v>
      </c>
      <c r="D52" s="18">
        <v>53.962499999999999</v>
      </c>
      <c r="E52" s="18">
        <v>51.12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-8.7355371900826428E-2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0.1295133437990581</v>
      </c>
      <c r="R52" s="19">
        <f ca="1">IF('Stock Price'!$I$11="OK",E52/INDEX(E$5:E$1258,'Stock Price'!$I$9)-1,"")</f>
        <v>9.4646680942183981E-2</v>
      </c>
      <c r="S52" s="19">
        <f ca="1">IF('Stock Price'!$I$11="OK",F52/INDEX(F$5:F$1258,'Stock Price'!$I$9)-1,"")</f>
        <v>1.552152317880795E-2</v>
      </c>
      <c r="T52" s="19">
        <f ca="1">IF('Stock Price'!$I$11="OK",G52/INDEX(G$5:G$1258,'Stock Price'!$I$9)-1,"")</f>
        <v>9.6393371601863898E-3</v>
      </c>
      <c r="U52" s="19">
        <f ca="1">IF('Stock Price'!$I$11="OK",H52/INDEX(H$5:H$1258,'Stock Price'!$I$9)-1,"")</f>
        <v>-0.11004901960784297</v>
      </c>
      <c r="V52" s="19">
        <f ca="1">IF('Stock Price'!$I$11="OK",I52/INDEX(I$5:I$1258,'Stock Price'!$I$9)-1,"")</f>
        <v>0.24716446124763713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107.28</v>
      </c>
      <c r="C53" s="18">
        <v>78.216200000000001</v>
      </c>
      <c r="D53" s="18">
        <v>53.887500000000003</v>
      </c>
      <c r="E53" s="18">
        <v>50.64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-0.11338842975206609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0.12794348508634235</v>
      </c>
      <c r="R53" s="19">
        <f ca="1">IF('Stock Price'!$I$11="OK",E53/INDEX(E$5:E$1258,'Stock Price'!$I$9)-1,"")</f>
        <v>8.4368308351177701E-2</v>
      </c>
      <c r="S53" s="19">
        <f ca="1">IF('Stock Price'!$I$11="OK",F53/INDEX(F$5:F$1258,'Stock Price'!$I$9)-1,"")</f>
        <v>9.3129139072847256E-3</v>
      </c>
      <c r="T53" s="19">
        <f ca="1">IF('Stock Price'!$I$11="OK",G53/INDEX(G$5:G$1258,'Stock Price'!$I$9)-1,"")</f>
        <v>8.8811870464637899E-3</v>
      </c>
      <c r="U53" s="19">
        <f ca="1">IF('Stock Price'!$I$11="OK",H53/INDEX(H$5:H$1258,'Stock Price'!$I$9)-1,"")</f>
        <v>-0.10024509803921555</v>
      </c>
      <c r="V53" s="19">
        <f ca="1">IF('Stock Price'!$I$11="OK",I53/INDEX(I$5:I$1258,'Stock Price'!$I$9)-1,"")</f>
        <v>0.30434782608695654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107.76</v>
      </c>
      <c r="C54" s="18">
        <v>77.964699999999993</v>
      </c>
      <c r="D54" s="18">
        <v>53.625</v>
      </c>
      <c r="E54" s="18">
        <v>49.37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-0.10942148760330572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0.12244897959183687</v>
      </c>
      <c r="R54" s="19">
        <f ca="1">IF('Stock Price'!$I$11="OK",E54/INDEX(E$5:E$1258,'Stock Price'!$I$9)-1,"")</f>
        <v>5.7173447537473221E-2</v>
      </c>
      <c r="S54" s="19">
        <f ca="1">IF('Stock Price'!$I$11="OK",F54/INDEX(F$5:F$1258,'Stock Price'!$I$9)-1,"")</f>
        <v>-5.5877483443709242E-3</v>
      </c>
      <c r="T54" s="19">
        <f ca="1">IF('Stock Price'!$I$11="OK",G54/INDEX(G$5:G$1258,'Stock Price'!$I$9)-1,"")</f>
        <v>5.1987436369544948E-3</v>
      </c>
      <c r="U54" s="19">
        <f ca="1">IF('Stock Price'!$I$11="OK",H54/INDEX(H$5:H$1258,'Stock Price'!$I$9)-1,"")</f>
        <v>-9.6568627450980382E-2</v>
      </c>
      <c r="V54" s="19">
        <f ca="1">IF('Stock Price'!$I$11="OK",I54/INDEX(I$5:I$1258,'Stock Price'!$I$9)-1,"")</f>
        <v>0.31238185255198481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110.34</v>
      </c>
      <c r="C55" s="18">
        <v>78.864400000000003</v>
      </c>
      <c r="D55" s="18">
        <v>54.575000000000003</v>
      </c>
      <c r="E55" s="18">
        <v>50.62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-8.809917355371899E-2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0.1423338566195711</v>
      </c>
      <c r="R55" s="19">
        <f ca="1">IF('Stock Price'!$I$11="OK",E55/INDEX(E$5:E$1258,'Stock Price'!$I$9)-1,"")</f>
        <v>8.394004282655243E-2</v>
      </c>
      <c r="S55" s="19">
        <f ca="1">IF('Stock Price'!$I$11="OK",F55/INDEX(F$5:F$1258,'Stock Price'!$I$9)-1,"")</f>
        <v>2.0281456953642252E-2</v>
      </c>
      <c r="T55" s="19">
        <f ca="1">IF('Stock Price'!$I$11="OK",G55/INDEX(G$5:G$1258,'Stock Price'!$I$9)-1,"")</f>
        <v>-4.7655150005415647E-3</v>
      </c>
      <c r="U55" s="19">
        <f ca="1">IF('Stock Price'!$I$11="OK",H55/INDEX(H$5:H$1258,'Stock Price'!$I$9)-1,"")</f>
        <v>-7.7328431372548856E-2</v>
      </c>
      <c r="V55" s="19">
        <f ca="1">IF('Stock Price'!$I$11="OK",I55/INDEX(I$5:I$1258,'Stock Price'!$I$9)-1,"")</f>
        <v>0.38941398865784493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113.92</v>
      </c>
      <c r="C56" s="18">
        <v>83.266199999999998</v>
      </c>
      <c r="D56" s="18">
        <v>54.774999999999999</v>
      </c>
      <c r="E56" s="18">
        <v>51.3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-5.8512396694214819E-2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0.14652014652014644</v>
      </c>
      <c r="R56" s="19">
        <f ca="1">IF('Stock Price'!$I$11="OK",E56/INDEX(E$5:E$1258,'Stock Price'!$I$9)-1,"")</f>
        <v>9.8501070663811419E-2</v>
      </c>
      <c r="S56" s="19">
        <f ca="1">IF('Stock Price'!$I$11="OK",F56/INDEX(F$5:F$1258,'Stock Price'!$I$9)-1,"")</f>
        <v>2.0074503311258152E-2</v>
      </c>
      <c r="T56" s="19">
        <f ca="1">IF('Stock Price'!$I$11="OK",G56/INDEX(G$5:G$1258,'Stock Price'!$I$9)-1,"")</f>
        <v>1.1697173183147447E-2</v>
      </c>
      <c r="U56" s="19">
        <f ca="1">IF('Stock Price'!$I$11="OK",H56/INDEX(H$5:H$1258,'Stock Price'!$I$9)-1,"")</f>
        <v>-6.9730392156862719E-2</v>
      </c>
      <c r="V56" s="19">
        <f ca="1">IF('Stock Price'!$I$11="OK",I56/INDEX(I$5:I$1258,'Stock Price'!$I$9)-1,"")</f>
        <v>0.44730623818525528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111.4</v>
      </c>
      <c r="C57" s="18">
        <v>83.101699999999994</v>
      </c>
      <c r="D57" s="18">
        <v>53.875</v>
      </c>
      <c r="E57" s="18">
        <v>51.19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-7.9338842975206547E-2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0.12768184196755628</v>
      </c>
      <c r="R57" s="19">
        <f ca="1">IF('Stock Price'!$I$11="OK",E57/INDEX(E$5:E$1258,'Stock Price'!$I$9)-1,"")</f>
        <v>9.6145610278372429E-2</v>
      </c>
      <c r="S57" s="19">
        <f ca="1">IF('Stock Price'!$I$11="OK",F57/INDEX(F$5:F$1258,'Stock Price'!$I$9)-1,"")</f>
        <v>1.1589403973510048E-2</v>
      </c>
      <c r="T57" s="19">
        <f ca="1">IF('Stock Price'!$I$11="OK",G57/INDEX(G$5:G$1258,'Stock Price'!$I$9)-1,"")</f>
        <v>7.7981154554316312E-3</v>
      </c>
      <c r="U57" s="19">
        <f ca="1">IF('Stock Price'!$I$11="OK",H57/INDEX(H$5:H$1258,'Stock Price'!$I$9)-1,"")</f>
        <v>-7.2426470588235259E-2</v>
      </c>
      <c r="V57" s="19">
        <f ca="1">IF('Stock Price'!$I$11="OK",I57/INDEX(I$5:I$1258,'Stock Price'!$I$9)-1,"")</f>
        <v>0.40548204158790169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109.56</v>
      </c>
      <c r="C58" s="18">
        <v>82.569599999999994</v>
      </c>
      <c r="D58" s="18">
        <v>53.825000000000003</v>
      </c>
      <c r="E58" s="18">
        <v>50.89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-9.4545454545454488E-2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0.12663526949241244</v>
      </c>
      <c r="R58" s="19">
        <f ca="1">IF('Stock Price'!$I$11="OK",E58/INDEX(E$5:E$1258,'Stock Price'!$I$9)-1,"")</f>
        <v>8.9721627408993587E-2</v>
      </c>
      <c r="S58" s="19">
        <f ca="1">IF('Stock Price'!$I$11="OK",F58/INDEX(F$5:F$1258,'Stock Price'!$I$9)-1,"")</f>
        <v>1.3451986754966949E-2</v>
      </c>
      <c r="T58" s="19">
        <f ca="1">IF('Stock Price'!$I$11="OK",G58/INDEX(G$5:G$1258,'Stock Price'!$I$9)-1,"")</f>
        <v>-1.754575977472117E-2</v>
      </c>
      <c r="U58" s="19">
        <f ca="1">IF('Stock Price'!$I$11="OK",H58/INDEX(H$5:H$1258,'Stock Price'!$I$9)-1,"")</f>
        <v>-6.3602941176470584E-2</v>
      </c>
      <c r="V58" s="19">
        <f ca="1">IF('Stock Price'!$I$11="OK",I58/INDEX(I$5:I$1258,'Stock Price'!$I$9)-1,"")</f>
        <v>0.44187145557655971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116</v>
      </c>
      <c r="C59" s="18">
        <v>83.188800000000001</v>
      </c>
      <c r="D59" s="18">
        <v>54.2</v>
      </c>
      <c r="E59" s="18">
        <v>51.52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-4.132231404958675E-2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0.13448456305599166</v>
      </c>
      <c r="R59" s="19">
        <f ca="1">IF('Stock Price'!$I$11="OK",E59/INDEX(E$5:E$1258,'Stock Price'!$I$9)-1,"")</f>
        <v>0.1032119914346894</v>
      </c>
      <c r="S59" s="19">
        <f ca="1">IF('Stock Price'!$I$11="OK",F59/INDEX(F$5:F$1258,'Stock Price'!$I$9)-1,"")</f>
        <v>2.5662251655629076E-2</v>
      </c>
      <c r="T59" s="19">
        <f ca="1">IF('Stock Price'!$I$11="OK",G59/INDEX(G$5:G$1258,'Stock Price'!$I$9)-1,"")</f>
        <v>-1.2130401819560377E-2</v>
      </c>
      <c r="U59" s="19">
        <f ca="1">IF('Stock Price'!$I$11="OK",H59/INDEX(H$5:H$1258,'Stock Price'!$I$9)-1,"")</f>
        <v>-7.4264705882352788E-2</v>
      </c>
      <c r="V59" s="19">
        <f ca="1">IF('Stock Price'!$I$11="OK",I59/INDEX(I$5:I$1258,'Stock Price'!$I$9)-1,"")</f>
        <v>0.39295841209829874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115.87</v>
      </c>
      <c r="C60" s="18">
        <v>83.498400000000004</v>
      </c>
      <c r="D60" s="18">
        <v>54.712499999999999</v>
      </c>
      <c r="E60" s="18">
        <v>51.52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-4.2396694214876018E-2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0.14521193092621654</v>
      </c>
      <c r="R60" s="19">
        <f ca="1">IF('Stock Price'!$I$11="OK",E60/INDEX(E$5:E$1258,'Stock Price'!$I$9)-1,"")</f>
        <v>0.1032119914346894</v>
      </c>
      <c r="S60" s="19">
        <f ca="1">IF('Stock Price'!$I$11="OK",F60/INDEX(F$5:F$1258,'Stock Price'!$I$9)-1,"")</f>
        <v>2.9180463576158777E-2</v>
      </c>
      <c r="T60" s="19">
        <f ca="1">IF('Stock Price'!$I$11="OK",G60/INDEX(G$5:G$1258,'Stock Price'!$I$9)-1,"")</f>
        <v>-9.4227228419798692E-3</v>
      </c>
      <c r="U60" s="19">
        <f ca="1">IF('Stock Price'!$I$11="OK",H60/INDEX(H$5:H$1258,'Stock Price'!$I$9)-1,"")</f>
        <v>-6.6666666666666652E-2</v>
      </c>
      <c r="V60" s="19">
        <f ca="1">IF('Stock Price'!$I$11="OK",I60/INDEX(I$5:I$1258,'Stock Price'!$I$9)-1,"")</f>
        <v>0.40713610586011328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115</v>
      </c>
      <c r="C61" s="18">
        <v>83.837000000000003</v>
      </c>
      <c r="D61" s="18">
        <v>54.7</v>
      </c>
      <c r="E61" s="18">
        <v>51.17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-4.9586776859504078E-2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0.14495028780743069</v>
      </c>
      <c r="R61" s="19">
        <f ca="1">IF('Stock Price'!$I$11="OK",E61/INDEX(E$5:E$1258,'Stock Price'!$I$9)-1,"")</f>
        <v>9.571734475374738E-2</v>
      </c>
      <c r="S61" s="19">
        <f ca="1">IF('Stock Price'!$I$11="OK",F61/INDEX(F$5:F$1258,'Stock Price'!$I$9)-1,"")</f>
        <v>3.125E-2</v>
      </c>
      <c r="T61" s="19">
        <f ca="1">IF('Stock Price'!$I$11="OK",G61/INDEX(G$5:G$1258,'Stock Price'!$I$9)-1,"")</f>
        <v>9.9642586374959485E-3</v>
      </c>
      <c r="U61" s="19">
        <f ca="1">IF('Stock Price'!$I$11="OK",H61/INDEX(H$5:H$1258,'Stock Price'!$I$9)-1,"")</f>
        <v>-7.1936274509803777E-2</v>
      </c>
      <c r="V61" s="19">
        <f ca="1">IF('Stock Price'!$I$11="OK",I61/INDEX(I$5:I$1258,'Stock Price'!$I$9)-1,"")</f>
        <v>0.38728733459357279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115</v>
      </c>
      <c r="C62" s="18">
        <v>84.756</v>
      </c>
      <c r="D62" s="18">
        <v>55.112499999999997</v>
      </c>
      <c r="E62" s="18">
        <v>51.96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-4.9586776859504078E-2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0.1535845107273679</v>
      </c>
      <c r="R62" s="19">
        <f ca="1">IF('Stock Price'!$I$11="OK",E62/INDEX(E$5:E$1258,'Stock Price'!$I$9)-1,"")</f>
        <v>0.11263383297644536</v>
      </c>
      <c r="S62" s="19">
        <f ca="1">IF('Stock Price'!$I$11="OK",F62/INDEX(F$5:F$1258,'Stock Price'!$I$9)-1,"")</f>
        <v>4.5115894039735149E-2</v>
      </c>
      <c r="T62" s="19">
        <f ca="1">IF('Stock Price'!$I$11="OK",G62/INDEX(G$5:G$1258,'Stock Price'!$I$9)-1,"")</f>
        <v>2.0036824434095157E-2</v>
      </c>
      <c r="U62" s="19">
        <f ca="1">IF('Stock Price'!$I$11="OK",H62/INDEX(H$5:H$1258,'Stock Price'!$I$9)-1,"")</f>
        <v>-6.1642156862745101E-2</v>
      </c>
      <c r="V62" s="19">
        <f ca="1">IF('Stock Price'!$I$11="OK",I62/INDEX(I$5:I$1258,'Stock Price'!$I$9)-1,"")</f>
        <v>0.39886578449905485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117.15</v>
      </c>
      <c r="C63" s="18">
        <v>85.259100000000004</v>
      </c>
      <c r="D63" s="18">
        <v>55.137500000000003</v>
      </c>
      <c r="E63" s="18">
        <v>52.3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-3.1818181818181746E-2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0.15410779696493981</v>
      </c>
      <c r="R63" s="19">
        <f ca="1">IF('Stock Price'!$I$11="OK",E63/INDEX(E$5:E$1258,'Stock Price'!$I$9)-1,"")</f>
        <v>0.11991434689507474</v>
      </c>
      <c r="S63" s="19">
        <f ca="1">IF('Stock Price'!$I$11="OK",F63/INDEX(F$5:F$1258,'Stock Price'!$I$9)-1,"")</f>
        <v>3.8700331125827825E-2</v>
      </c>
      <c r="T63" s="19">
        <f ca="1">IF('Stock Price'!$I$11="OK",G63/INDEX(G$5:G$1258,'Stock Price'!$I$9)-1,"")</f>
        <v>2.1336510343333615E-2</v>
      </c>
      <c r="U63" s="19">
        <f ca="1">IF('Stock Price'!$I$11="OK",H63/INDEX(H$5:H$1258,'Stock Price'!$I$9)-1,"")</f>
        <v>-5.8700980392156765E-2</v>
      </c>
      <c r="V63" s="19">
        <f ca="1">IF('Stock Price'!$I$11="OK",I63/INDEX(I$5:I$1258,'Stock Price'!$I$9)-1,"")</f>
        <v>0.37074669187145548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116.13</v>
      </c>
      <c r="C64" s="18">
        <v>85.249399999999994</v>
      </c>
      <c r="D64" s="18">
        <v>55.55</v>
      </c>
      <c r="E64" s="18">
        <v>52.3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-4.0247933884297593E-2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0.16274201988487702</v>
      </c>
      <c r="R64" s="19">
        <f ca="1">IF('Stock Price'!$I$11="OK",E64/INDEX(E$5:E$1258,'Stock Price'!$I$9)-1,"")</f>
        <v>0.11991434689507474</v>
      </c>
      <c r="S64" s="19">
        <f ca="1">IF('Stock Price'!$I$11="OK",F64/INDEX(F$5:F$1258,'Stock Price'!$I$9)-1,"")</f>
        <v>4.4701986754966727E-2</v>
      </c>
      <c r="T64" s="19">
        <f ca="1">IF('Stock Price'!$I$11="OK",G64/INDEX(G$5:G$1258,'Stock Price'!$I$9)-1,"")</f>
        <v>1.7004223979205202E-2</v>
      </c>
      <c r="U64" s="19">
        <f ca="1">IF('Stock Price'!$I$11="OK",H64/INDEX(H$5:H$1258,'Stock Price'!$I$9)-1,"")</f>
        <v>-5.6985294117646967E-2</v>
      </c>
      <c r="V64" s="19">
        <f ca="1">IF('Stock Price'!$I$11="OK",I64/INDEX(I$5:I$1258,'Stock Price'!$I$9)-1,"")</f>
        <v>0.36058601134215507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118</v>
      </c>
      <c r="C65" s="18">
        <v>84.610900000000001</v>
      </c>
      <c r="D65" s="18">
        <v>55.15</v>
      </c>
      <c r="E65" s="18">
        <v>51.66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-2.4793388429752095E-2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0.15436944008372588</v>
      </c>
      <c r="R65" s="19">
        <f ca="1">IF('Stock Price'!$I$11="OK",E65/INDEX(E$5:E$1258,'Stock Price'!$I$9)-1,"")</f>
        <v>0.10620985010706629</v>
      </c>
      <c r="S65" s="19">
        <f ca="1">IF('Stock Price'!$I$11="OK",F65/INDEX(F$5:F$1258,'Stock Price'!$I$9)-1,"")</f>
        <v>4.3460264900662349E-2</v>
      </c>
      <c r="T65" s="19">
        <f ca="1">IF('Stock Price'!$I$11="OK",G65/INDEX(G$5:G$1258,'Stock Price'!$I$9)-1,"")</f>
        <v>1.8087295570237139E-2</v>
      </c>
      <c r="U65" s="19">
        <f ca="1">IF('Stock Price'!$I$11="OK",H65/INDEX(H$5:H$1258,'Stock Price'!$I$9)-1,"")</f>
        <v>-5.4656862745097956E-2</v>
      </c>
      <c r="V65" s="19">
        <f ca="1">IF('Stock Price'!$I$11="OK",I65/INDEX(I$5:I$1258,'Stock Price'!$I$9)-1,"")</f>
        <v>0.37996219281663501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115.8501</v>
      </c>
      <c r="C66" s="18">
        <v>84.620599999999996</v>
      </c>
      <c r="D66" s="18">
        <v>55.125</v>
      </c>
      <c r="E66" s="18">
        <v>51.69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-4.2561157024793461E-2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0.15384615384615397</v>
      </c>
      <c r="R66" s="19">
        <f ca="1">IF('Stock Price'!$I$11="OK",E66/INDEX(E$5:E$1258,'Stock Price'!$I$9)-1,"")</f>
        <v>0.1068522483940042</v>
      </c>
      <c r="S66" s="19">
        <f ca="1">IF('Stock Price'!$I$11="OK",F66/INDEX(F$5:F$1258,'Stock Price'!$I$9)-1,"")</f>
        <v>3.6837748344370924E-2</v>
      </c>
      <c r="T66" s="19">
        <f ca="1">IF('Stock Price'!$I$11="OK",G66/INDEX(G$5:G$1258,'Stock Price'!$I$9)-1,"")</f>
        <v>1.8087295570237139E-2</v>
      </c>
      <c r="U66" s="19">
        <f ca="1">IF('Stock Price'!$I$11="OK",H66/INDEX(H$5:H$1258,'Stock Price'!$I$9)-1,"")</f>
        <v>-6.0784313725490091E-2</v>
      </c>
      <c r="V66" s="19">
        <f ca="1">IF('Stock Price'!$I$11="OK",I66/INDEX(I$5:I$1258,'Stock Price'!$I$9)-1,"")</f>
        <v>0.39532136105860105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115.785</v>
      </c>
      <c r="C67" s="18">
        <v>85.007599999999996</v>
      </c>
      <c r="D67" s="18">
        <v>54.587499999999999</v>
      </c>
      <c r="E67" s="18">
        <v>51.66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-4.3099173553719061E-2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0.14259549973835695</v>
      </c>
      <c r="R67" s="19">
        <f ca="1">IF('Stock Price'!$I$11="OK",E67/INDEX(E$5:E$1258,'Stock Price'!$I$9)-1,"")</f>
        <v>0.10620985010706629</v>
      </c>
      <c r="S67" s="19">
        <f ca="1">IF('Stock Price'!$I$11="OK",F67/INDEX(F$5:F$1258,'Stock Price'!$I$9)-1,"")</f>
        <v>4.9048013245033051E-2</v>
      </c>
      <c r="T67" s="19">
        <f ca="1">IF('Stock Price'!$I$11="OK",G67/INDEX(G$5:G$1258,'Stock Price'!$I$9)-1,"")</f>
        <v>3.2708762049171503E-2</v>
      </c>
      <c r="U67" s="19">
        <f ca="1">IF('Stock Price'!$I$11="OK",H67/INDEX(H$5:H$1258,'Stock Price'!$I$9)-1,"")</f>
        <v>-5.7965686274509709E-2</v>
      </c>
      <c r="V67" s="19">
        <f ca="1">IF('Stock Price'!$I$11="OK",I67/INDEX(I$5:I$1258,'Stock Price'!$I$9)-1,"")</f>
        <v>0.3386105860113422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115.66</v>
      </c>
      <c r="C68" s="18">
        <v>84.620599999999996</v>
      </c>
      <c r="D68" s="18">
        <v>54.424999999999997</v>
      </c>
      <c r="E68" s="18">
        <v>50.72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-4.4132231404958699E-2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0.13919413919413914</v>
      </c>
      <c r="R68" s="19">
        <f ca="1">IF('Stock Price'!$I$11="OK",E68/INDEX(E$5:E$1258,'Stock Price'!$I$9)-1,"")</f>
        <v>8.6081370449678785E-2</v>
      </c>
      <c r="S68" s="19">
        <f ca="1">IF('Stock Price'!$I$11="OK",F68/INDEX(F$5:F$1258,'Stock Price'!$I$9)-1,"")</f>
        <v>2.8766556291390799E-2</v>
      </c>
      <c r="T68" s="19">
        <f ca="1">IF('Stock Price'!$I$11="OK",G68/INDEX(G$5:G$1258,'Stock Price'!$I$9)-1,"")</f>
        <v>5.1012671937615162E-2</v>
      </c>
      <c r="U68" s="19">
        <f ca="1">IF('Stock Price'!$I$11="OK",H68/INDEX(H$5:H$1258,'Stock Price'!$I$9)-1,"")</f>
        <v>-5.6249999999999911E-2</v>
      </c>
      <c r="V68" s="19">
        <f ca="1">IF('Stock Price'!$I$11="OK",I68/INDEX(I$5:I$1258,'Stock Price'!$I$9)-1,"")</f>
        <v>0.28851606805293017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113.5</v>
      </c>
      <c r="C69" s="18">
        <v>85.162300000000002</v>
      </c>
      <c r="D69" s="18">
        <v>54.5</v>
      </c>
      <c r="E69" s="18">
        <v>50.49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-6.1983471074380181E-2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0.14076399790685512</v>
      </c>
      <c r="R69" s="19">
        <f ca="1">IF('Stock Price'!$I$11="OK",E69/INDEX(E$5:E$1258,'Stock Price'!$I$9)-1,"")</f>
        <v>8.1156316916488169E-2</v>
      </c>
      <c r="S69" s="19">
        <f ca="1">IF('Stock Price'!$I$11="OK",F69/INDEX(F$5:F$1258,'Stock Price'!$I$9)-1,"")</f>
        <v>2.8973509933774899E-2</v>
      </c>
      <c r="T69" s="19">
        <f ca="1">IF('Stock Price'!$I$11="OK",G69/INDEX(G$5:G$1258,'Stock Price'!$I$9)-1,"")</f>
        <v>5.6752951370085514E-2</v>
      </c>
      <c r="U69" s="19">
        <f ca="1">IF('Stock Price'!$I$11="OK",H69/INDEX(H$5:H$1258,'Stock Price'!$I$9)-1,"")</f>
        <v>-3.3333333333333326E-2</v>
      </c>
      <c r="V69" s="19">
        <f ca="1">IF('Stock Price'!$I$11="OK",I69/INDEX(I$5:I$1258,'Stock Price'!$I$9)-1,"")</f>
        <v>0.31450850661625718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114.7</v>
      </c>
      <c r="C70" s="18">
        <v>85.413899999999998</v>
      </c>
      <c r="D70" s="18">
        <v>54.212499999999999</v>
      </c>
      <c r="E70" s="18">
        <v>50.34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-5.2066115702479321E-2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0.13474620617477751</v>
      </c>
      <c r="R70" s="19">
        <f ca="1">IF('Stock Price'!$I$11="OK",E70/INDEX(E$5:E$1258,'Stock Price'!$I$9)-1,"")</f>
        <v>7.7944325481798638E-2</v>
      </c>
      <c r="S70" s="19">
        <f ca="1">IF('Stock Price'!$I$11="OK",F70/INDEX(F$5:F$1258,'Stock Price'!$I$9)-1,"")</f>
        <v>2.6490066225165476E-2</v>
      </c>
      <c r="T70" s="19">
        <f ca="1">IF('Stock Price'!$I$11="OK",G70/INDEX(G$5:G$1258,'Stock Price'!$I$9)-1,"")</f>
        <v>4.6896999891692825E-2</v>
      </c>
      <c r="U70" s="19">
        <f ca="1">IF('Stock Price'!$I$11="OK",H70/INDEX(H$5:H$1258,'Stock Price'!$I$9)-1,"")</f>
        <v>-3.3946078431372539E-2</v>
      </c>
      <c r="V70" s="19">
        <f ca="1">IF('Stock Price'!$I$11="OK",I70/INDEX(I$5:I$1258,'Stock Price'!$I$9)-1,"")</f>
        <v>0.29584120982986772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112.73</v>
      </c>
      <c r="C71" s="18">
        <v>86.400599999999997</v>
      </c>
      <c r="D71" s="18">
        <v>54.8125</v>
      </c>
      <c r="E71" s="18">
        <v>51.78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-6.834710743801653E-2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0.14730507587650443</v>
      </c>
      <c r="R71" s="19">
        <f ca="1">IF('Stock Price'!$I$11="OK",E71/INDEX(E$5:E$1258,'Stock Price'!$I$9)-1,"")</f>
        <v>0.10877944325481792</v>
      </c>
      <c r="S71" s="19">
        <f ca="1">IF('Stock Price'!$I$11="OK",F71/INDEX(F$5:F$1258,'Stock Price'!$I$9)-1,"")</f>
        <v>3.8700331125827825E-2</v>
      </c>
      <c r="T71" s="19">
        <f ca="1">IF('Stock Price'!$I$11="OK",G71/INDEX(G$5:G$1258,'Stock Price'!$I$9)-1,"")</f>
        <v>5.6861258529188774E-2</v>
      </c>
      <c r="U71" s="19">
        <f ca="1">IF('Stock Price'!$I$11="OK",H71/INDEX(H$5:H$1258,'Stock Price'!$I$9)-1,"")</f>
        <v>-1.5931372549019551E-2</v>
      </c>
      <c r="V71" s="19">
        <f ca="1">IF('Stock Price'!$I$11="OK",I71/INDEX(I$5:I$1258,'Stock Price'!$I$9)-1,"")</f>
        <v>0.31663516068052933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115.02</v>
      </c>
      <c r="C72" s="18">
        <v>87.145600000000002</v>
      </c>
      <c r="D72" s="18">
        <v>56.05</v>
      </c>
      <c r="E72" s="18">
        <v>50.67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-4.942148760330578E-2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0.17320774463631605</v>
      </c>
      <c r="R72" s="19">
        <f ca="1">IF('Stock Price'!$I$11="OK",E72/INDEX(E$5:E$1258,'Stock Price'!$I$9)-1,"")</f>
        <v>8.5010706638115607E-2</v>
      </c>
      <c r="S72" s="19">
        <f ca="1">IF('Stock Price'!$I$11="OK",F72/INDEX(F$5:F$1258,'Stock Price'!$I$9)-1,"")</f>
        <v>6.5811258278145601E-2</v>
      </c>
      <c r="T72" s="19">
        <f ca="1">IF('Stock Price'!$I$11="OK",G72/INDEX(G$5:G$1258,'Stock Price'!$I$9)-1,"")</f>
        <v>8.3938048304992963E-2</v>
      </c>
      <c r="U72" s="19">
        <f ca="1">IF('Stock Price'!$I$11="OK",H72/INDEX(H$5:H$1258,'Stock Price'!$I$9)-1,"")</f>
        <v>9.4362745098039991E-3</v>
      </c>
      <c r="V72" s="19">
        <f ca="1">IF('Stock Price'!$I$11="OK",I72/INDEX(I$5:I$1258,'Stock Price'!$I$9)-1,"")</f>
        <v>0.32892249527410211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115.51</v>
      </c>
      <c r="C73" s="18">
        <v>86.942400000000006</v>
      </c>
      <c r="D73" s="18">
        <v>56.3</v>
      </c>
      <c r="E73" s="18">
        <v>51.01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-4.5371900826446265E-2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0.17844060701203546</v>
      </c>
      <c r="R73" s="19">
        <f ca="1">IF('Stock Price'!$I$11="OK",E73/INDEX(E$5:E$1258,'Stock Price'!$I$9)-1,"")</f>
        <v>9.2291220556744991E-2</v>
      </c>
      <c r="S73" s="19">
        <f ca="1">IF('Stock Price'!$I$11="OK",F73/INDEX(F$5:F$1258,'Stock Price'!$I$9)-1,"")</f>
        <v>6.3948675496688701E-2</v>
      </c>
      <c r="T73" s="19">
        <f ca="1">IF('Stock Price'!$I$11="OK",G73/INDEX(G$5:G$1258,'Stock Price'!$I$9)-1,"")</f>
        <v>0.11123145239900345</v>
      </c>
      <c r="U73" s="19">
        <f ca="1">IF('Stock Price'!$I$11="OK",H73/INDEX(H$5:H$1258,'Stock Price'!$I$9)-1,"")</f>
        <v>8.5784313725500994E-4</v>
      </c>
      <c r="V73" s="19">
        <f ca="1">IF('Stock Price'!$I$11="OK",I73/INDEX(I$5:I$1258,'Stock Price'!$I$9)-1,"")</f>
        <v>0.33955576559546308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115.32</v>
      </c>
      <c r="C74" s="18">
        <v>86.864999999999995</v>
      </c>
      <c r="D74" s="18">
        <v>56.55</v>
      </c>
      <c r="E74" s="18">
        <v>50.1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-4.6942148760330649E-2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0.18367346938775508</v>
      </c>
      <c r="R74" s="19">
        <f ca="1">IF('Stock Price'!$I$11="OK",E74/INDEX(E$5:E$1258,'Stock Price'!$I$9)-1,"")</f>
        <v>7.2805139186295387E-2</v>
      </c>
      <c r="S74" s="19">
        <f ca="1">IF('Stock Price'!$I$11="OK",F74/INDEX(F$5:F$1258,'Stock Price'!$I$9)-1,"")</f>
        <v>6.6018211920529701E-2</v>
      </c>
      <c r="T74" s="19">
        <f ca="1">IF('Stock Price'!$I$11="OK",G74/INDEX(G$5:G$1258,'Stock Price'!$I$9)-1,"")</f>
        <v>0.10776562330770068</v>
      </c>
      <c r="U74" s="19">
        <f ca="1">IF('Stock Price'!$I$11="OK",H74/INDEX(H$5:H$1258,'Stock Price'!$I$9)-1,"")</f>
        <v>-4.9019607843135971E-3</v>
      </c>
      <c r="V74" s="19">
        <f ca="1">IF('Stock Price'!$I$11="OK",I74/INDEX(I$5:I$1258,'Stock Price'!$I$9)-1,"")</f>
        <v>0.3386105860113422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117.2</v>
      </c>
      <c r="C75" s="18">
        <v>87.668000000000006</v>
      </c>
      <c r="D75" s="18">
        <v>56.325000000000003</v>
      </c>
      <c r="E75" s="18">
        <v>49.48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-3.140495867768589E-2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0.1789638932496076</v>
      </c>
      <c r="R75" s="19">
        <f ca="1">IF('Stock Price'!$I$11="OK",E75/INDEX(E$5:E$1258,'Stock Price'!$I$9)-1,"")</f>
        <v>5.9528907922911989E-2</v>
      </c>
      <c r="S75" s="19">
        <f ca="1">IF('Stock Price'!$I$11="OK",F75/INDEX(F$5:F$1258,'Stock Price'!$I$9)-1,"")</f>
        <v>4.9875827814569451E-2</v>
      </c>
      <c r="T75" s="19">
        <f ca="1">IF('Stock Price'!$I$11="OK",G75/INDEX(G$5:G$1258,'Stock Price'!$I$9)-1,"")</f>
        <v>0.10603270876204918</v>
      </c>
      <c r="U75" s="19">
        <f ca="1">IF('Stock Price'!$I$11="OK",H75/INDEX(H$5:H$1258,'Stock Price'!$I$9)-1,"")</f>
        <v>-3.4313725490195957E-3</v>
      </c>
      <c r="V75" s="19">
        <f ca="1">IF('Stock Price'!$I$11="OK",I75/INDEX(I$5:I$1258,'Stock Price'!$I$9)-1,"")</f>
        <v>0.31238185255198481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118.1</v>
      </c>
      <c r="C76" s="18">
        <v>87.600300000000004</v>
      </c>
      <c r="D76" s="18">
        <v>56.837499999999999</v>
      </c>
      <c r="E76" s="18">
        <v>50.3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-2.3966942148760384E-2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0.18969126111983248</v>
      </c>
      <c r="R76" s="19">
        <f ca="1">IF('Stock Price'!$I$11="OK",E76/INDEX(E$5:E$1258,'Stock Price'!$I$9)-1,"")</f>
        <v>7.7087794432548096E-2</v>
      </c>
      <c r="S76" s="19">
        <f ca="1">IF('Stock Price'!$I$11="OK",F76/INDEX(F$5:F$1258,'Stock Price'!$I$9)-1,"")</f>
        <v>7.4710264900662349E-2</v>
      </c>
      <c r="T76" s="19">
        <f ca="1">IF('Stock Price'!$I$11="OK",G76/INDEX(G$5:G$1258,'Stock Price'!$I$9)-1,"")</f>
        <v>0.1391746994476335</v>
      </c>
      <c r="U76" s="19">
        <f ca="1">IF('Stock Price'!$I$11="OK",H76/INDEX(H$5:H$1258,'Stock Price'!$I$9)-1,"")</f>
        <v>-2.6960784313725394E-3</v>
      </c>
      <c r="V76" s="19">
        <f ca="1">IF('Stock Price'!$I$11="OK",I76/INDEX(I$5:I$1258,'Stock Price'!$I$9)-1,"")</f>
        <v>0.29844045368620042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119</v>
      </c>
      <c r="C77" s="18">
        <v>86.623199999999997</v>
      </c>
      <c r="D77" s="18">
        <v>58.524999999999999</v>
      </c>
      <c r="E77" s="18">
        <v>50.03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-1.6528925619834656E-2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0.22501308215593929</v>
      </c>
      <c r="R77" s="19">
        <f ca="1">IF('Stock Price'!$I$11="OK",E77/INDEX(E$5:E$1258,'Stock Price'!$I$9)-1,"")</f>
        <v>7.1306209850106939E-2</v>
      </c>
      <c r="S77" s="19">
        <f ca="1">IF('Stock Price'!$I$11="OK",F77/INDEX(F$5:F$1258,'Stock Price'!$I$9)-1,"")</f>
        <v>7.9677152317880751E-2</v>
      </c>
      <c r="T77" s="19">
        <f ca="1">IF('Stock Price'!$I$11="OK",G77/INDEX(G$5:G$1258,'Stock Price'!$I$9)-1,"")</f>
        <v>0.12769414058269257</v>
      </c>
      <c r="U77" s="19">
        <f ca="1">IF('Stock Price'!$I$11="OK",H77/INDEX(H$5:H$1258,'Stock Price'!$I$9)-1,"")</f>
        <v>-7.3529411764694519E-4</v>
      </c>
      <c r="V77" s="19">
        <f ca="1">IF('Stock Price'!$I$11="OK",I77/INDEX(I$5:I$1258,'Stock Price'!$I$9)-1,"")</f>
        <v>0.2785916824196597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119.67</v>
      </c>
      <c r="C78" s="18">
        <v>85.955600000000004</v>
      </c>
      <c r="D78" s="18">
        <v>57.112499999999997</v>
      </c>
      <c r="E78" s="18">
        <v>50.02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-1.0991735537190017E-2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0.19544740973312402</v>
      </c>
      <c r="R78" s="19">
        <f ca="1">IF('Stock Price'!$I$11="OK",E78/INDEX(E$5:E$1258,'Stock Price'!$I$9)-1,"")</f>
        <v>7.1092077087794525E-2</v>
      </c>
      <c r="S78" s="19">
        <f ca="1">IF('Stock Price'!$I$11="OK",F78/INDEX(F$5:F$1258,'Stock Price'!$I$9)-1,"")</f>
        <v>7.781456953642385E-2</v>
      </c>
      <c r="T78" s="19">
        <f ca="1">IF('Stock Price'!$I$11="OK",G78/INDEX(G$5:G$1258,'Stock Price'!$I$9)-1,"")</f>
        <v>0.12899382649193103</v>
      </c>
      <c r="U78" s="19">
        <f ca="1">IF('Stock Price'!$I$11="OK",H78/INDEX(H$5:H$1258,'Stock Price'!$I$9)-1,"")</f>
        <v>-3.7990196078430127E-3</v>
      </c>
      <c r="V78" s="19">
        <f ca="1">IF('Stock Price'!$I$11="OK",I78/INDEX(I$5:I$1258,'Stock Price'!$I$9)-1,"")</f>
        <v>0.26512287334593565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121.21</v>
      </c>
      <c r="C79" s="18">
        <v>85.317099999999996</v>
      </c>
      <c r="D79" s="18">
        <v>56.1</v>
      </c>
      <c r="E79" s="18">
        <v>49.4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1.735537190082681E-3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0.17425431711146011</v>
      </c>
      <c r="R79" s="19">
        <f ca="1">IF('Stock Price'!$I$11="OK",E79/INDEX(E$5:E$1258,'Stock Price'!$I$9)-1,"")</f>
        <v>5.7815845824411127E-2</v>
      </c>
      <c r="S79" s="19">
        <f ca="1">IF('Stock Price'!$I$11="OK",F79/INDEX(F$5:F$1258,'Stock Price'!$I$9)-1,"")</f>
        <v>7.802152317880795E-2</v>
      </c>
      <c r="T79" s="19">
        <f ca="1">IF('Stock Price'!$I$11="OK",G79/INDEX(G$5:G$1258,'Stock Price'!$I$9)-1,"")</f>
        <v>0.14155745694790434</v>
      </c>
      <c r="U79" s="19">
        <f ca="1">IF('Stock Price'!$I$11="OK",H79/INDEX(H$5:H$1258,'Stock Price'!$I$9)-1,"")</f>
        <v>-1.041666666666663E-2</v>
      </c>
      <c r="V79" s="19">
        <f ca="1">IF('Stock Price'!$I$11="OK",I79/INDEX(I$5:I$1258,'Stock Price'!$I$9)-1,"")</f>
        <v>0.27717391304347827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120.82</v>
      </c>
      <c r="C80" s="18">
        <v>84.194900000000004</v>
      </c>
      <c r="D80" s="18">
        <v>56.375</v>
      </c>
      <c r="E80" s="18">
        <v>49.12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-1.4876033057852345E-3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0.18001046572475143</v>
      </c>
      <c r="R80" s="19">
        <f ca="1">IF('Stock Price'!$I$11="OK",E80/INDEX(E$5:E$1258,'Stock Price'!$I$9)-1,"")</f>
        <v>5.1820128479657335E-2</v>
      </c>
      <c r="S80" s="19">
        <f ca="1">IF('Stock Price'!$I$11="OK",F80/INDEX(F$5:F$1258,'Stock Price'!$I$9)-1,"")</f>
        <v>6.0430463576158999E-2</v>
      </c>
      <c r="T80" s="19">
        <f ca="1">IF('Stock Price'!$I$11="OK",G80/INDEX(G$5:G$1258,'Stock Price'!$I$9)-1,"")</f>
        <v>0.11816311058160944</v>
      </c>
      <c r="U80" s="19">
        <f ca="1">IF('Stock Price'!$I$11="OK",H80/INDEX(H$5:H$1258,'Stock Price'!$I$9)-1,"")</f>
        <v>-1.9852941176470518E-2</v>
      </c>
      <c r="V80" s="19">
        <f ca="1">IF('Stock Price'!$I$11="OK",I80/INDEX(I$5:I$1258,'Stock Price'!$I$9)-1,"")</f>
        <v>0.2474007561436673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112.36</v>
      </c>
      <c r="C81" s="18">
        <v>82.356800000000007</v>
      </c>
      <c r="D81" s="18">
        <v>55.475000000000001</v>
      </c>
      <c r="E81" s="18">
        <v>47.8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-7.1404958677685926E-2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0.16117216117216127</v>
      </c>
      <c r="R81" s="19">
        <f ca="1">IF('Stock Price'!$I$11="OK",E81/INDEX(E$5:E$1258,'Stock Price'!$I$9)-1,"")</f>
        <v>2.3554603854389677E-2</v>
      </c>
      <c r="S81" s="19">
        <f ca="1">IF('Stock Price'!$I$11="OK",F81/INDEX(F$5:F$1258,'Stock Price'!$I$9)-1,"")</f>
        <v>5.2152317880794774E-2</v>
      </c>
      <c r="T81" s="19">
        <f ca="1">IF('Stock Price'!$I$11="OK",G81/INDEX(G$5:G$1258,'Stock Price'!$I$9)-1,"")</f>
        <v>8.3071591032167325E-2</v>
      </c>
      <c r="U81" s="19">
        <f ca="1">IF('Stock Price'!$I$11="OK",H81/INDEX(H$5:H$1258,'Stock Price'!$I$9)-1,"")</f>
        <v>-3.3946078431372539E-2</v>
      </c>
      <c r="V81" s="19">
        <f ca="1">IF('Stock Price'!$I$11="OK",I81/INDEX(I$5:I$1258,'Stock Price'!$I$9)-1,"")</f>
        <v>0.21786389413988649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113.35</v>
      </c>
      <c r="C82" s="18">
        <v>81.786000000000001</v>
      </c>
      <c r="D82" s="18">
        <v>55.462499999999999</v>
      </c>
      <c r="E82" s="18">
        <v>47.15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-6.3223140495867858E-2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0.1609105180533752</v>
      </c>
      <c r="R82" s="19">
        <f ca="1">IF('Stock Price'!$I$11="OK",E82/INDEX(E$5:E$1258,'Stock Price'!$I$9)-1,"")</f>
        <v>9.6359743040683732E-3</v>
      </c>
      <c r="S82" s="19">
        <f ca="1">IF('Stock Price'!$I$11="OK",F82/INDEX(F$5:F$1258,'Stock Price'!$I$9)-1,"")</f>
        <v>6.37417218543046E-2</v>
      </c>
      <c r="T82" s="19">
        <f ca="1">IF('Stock Price'!$I$11="OK",G82/INDEX(G$5:G$1258,'Stock Price'!$I$9)-1,"")</f>
        <v>0.1008339651250949</v>
      </c>
      <c r="U82" s="19">
        <f ca="1">IF('Stock Price'!$I$11="OK",H82/INDEX(H$5:H$1258,'Stock Price'!$I$9)-1,"")</f>
        <v>-2.6225490196078449E-2</v>
      </c>
      <c r="V82" s="19">
        <f ca="1">IF('Stock Price'!$I$11="OK",I82/INDEX(I$5:I$1258,'Stock Price'!$I$9)-1,"")</f>
        <v>0.24149338374291118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116.8</v>
      </c>
      <c r="C83" s="18">
        <v>81.495800000000003</v>
      </c>
      <c r="D83" s="18">
        <v>55.1875</v>
      </c>
      <c r="E83" s="18">
        <v>47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-3.4710743801652955E-2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0.15515436944008365</v>
      </c>
      <c r="R83" s="19">
        <f ca="1">IF('Stock Price'!$I$11="OK",E83/INDEX(E$5:E$1258,'Stock Price'!$I$9)-1,"")</f>
        <v>6.4239828693790635E-3</v>
      </c>
      <c r="S83" s="19">
        <f ca="1">IF('Stock Price'!$I$11="OK",F83/INDEX(F$5:F$1258,'Stock Price'!$I$9)-1,"")</f>
        <v>6.20860927152318E-2</v>
      </c>
      <c r="T83" s="19">
        <f ca="1">IF('Stock Price'!$I$11="OK",G83/INDEX(G$5:G$1258,'Stock Price'!$I$9)-1,"")</f>
        <v>0.11664681035416447</v>
      </c>
      <c r="U83" s="19">
        <f ca="1">IF('Stock Price'!$I$11="OK",H83/INDEX(H$5:H$1258,'Stock Price'!$I$9)-1,"")</f>
        <v>-3.0147058823529305E-2</v>
      </c>
      <c r="V83" s="19">
        <f ca="1">IF('Stock Price'!$I$11="OK",I83/INDEX(I$5:I$1258,'Stock Price'!$I$9)-1,"")</f>
        <v>0.2525992438563327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120.5</v>
      </c>
      <c r="C84" s="18">
        <v>82.366500000000002</v>
      </c>
      <c r="D84" s="18">
        <v>57.174999999999997</v>
      </c>
      <c r="E84" s="18">
        <v>47.7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-4.1322314049586639E-3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0.19675562532705393</v>
      </c>
      <c r="R84" s="19">
        <f ca="1">IF('Stock Price'!$I$11="OK",E84/INDEX(E$5:E$1258,'Stock Price'!$I$9)-1,"")</f>
        <v>2.1413276231263323E-2</v>
      </c>
      <c r="S84" s="19">
        <f ca="1">IF('Stock Price'!$I$11="OK",F84/INDEX(F$5:F$1258,'Stock Price'!$I$9)-1,"")</f>
        <v>9.39569536423841E-2</v>
      </c>
      <c r="T84" s="19">
        <f ca="1">IF('Stock Price'!$I$11="OK",G84/INDEX(G$5:G$1258,'Stock Price'!$I$9)-1,"")</f>
        <v>0.13895808512942698</v>
      </c>
      <c r="U84" s="19">
        <f ca="1">IF('Stock Price'!$I$11="OK",H84/INDEX(H$5:H$1258,'Stock Price'!$I$9)-1,"")</f>
        <v>-1.2499999999999956E-2</v>
      </c>
      <c r="V84" s="19">
        <f ca="1">IF('Stock Price'!$I$11="OK",I84/INDEX(I$5:I$1258,'Stock Price'!$I$9)-1,"")</f>
        <v>0.26110586011342152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116.25</v>
      </c>
      <c r="C85" s="18">
        <v>83.111400000000003</v>
      </c>
      <c r="D85" s="18">
        <v>56.5625</v>
      </c>
      <c r="E85" s="18">
        <v>48.31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-3.9256198347107474E-2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0.18393511250654115</v>
      </c>
      <c r="R85" s="19">
        <f ca="1">IF('Stock Price'!$I$11="OK",E85/INDEX(E$5:E$1258,'Stock Price'!$I$9)-1,"")</f>
        <v>3.4475374732334085E-2</v>
      </c>
      <c r="S85" s="19">
        <f ca="1">IF('Stock Price'!$I$11="OK",F85/INDEX(F$5:F$1258,'Stock Price'!$I$9)-1,"")</f>
        <v>9.1473509933774899E-2</v>
      </c>
      <c r="T85" s="19">
        <f ca="1">IF('Stock Price'!$I$11="OK",G85/INDEX(G$5:G$1258,'Stock Price'!$I$9)-1,"")</f>
        <v>0.14437344308458777</v>
      </c>
      <c r="U85" s="19">
        <f ca="1">IF('Stock Price'!$I$11="OK",H85/INDEX(H$5:H$1258,'Stock Price'!$I$9)-1,"")</f>
        <v>-8.5784313725488781E-3</v>
      </c>
      <c r="V85" s="19">
        <f ca="1">IF('Stock Price'!$I$11="OK",I85/INDEX(I$5:I$1258,'Stock Price'!$I$9)-1,"")</f>
        <v>0.2837901701323251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117.02</v>
      </c>
      <c r="C86" s="18">
        <v>84.078800000000001</v>
      </c>
      <c r="D86" s="18">
        <v>56.024999999999999</v>
      </c>
      <c r="E86" s="18">
        <v>48.59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-3.2892561983471125E-2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0.17268445839874413</v>
      </c>
      <c r="R86" s="19">
        <f ca="1">IF('Stock Price'!$I$11="OK",E86/INDEX(E$5:E$1258,'Stock Price'!$I$9)-1,"")</f>
        <v>4.0471092077087878E-2</v>
      </c>
      <c r="S86" s="19">
        <f ca="1">IF('Stock Price'!$I$11="OK",F86/INDEX(F$5:F$1258,'Stock Price'!$I$9)-1,"")</f>
        <v>7.6158940397351049E-2</v>
      </c>
      <c r="T86" s="19">
        <f ca="1">IF('Stock Price'!$I$11="OK",G86/INDEX(G$5:G$1258,'Stock Price'!$I$9)-1,"")</f>
        <v>0.16625148922343769</v>
      </c>
      <c r="U86" s="19">
        <f ca="1">IF('Stock Price'!$I$11="OK",H86/INDEX(H$5:H$1258,'Stock Price'!$I$9)-1,"")</f>
        <v>-1.4705882352940014E-3</v>
      </c>
      <c r="V86" s="19">
        <f ca="1">IF('Stock Price'!$I$11="OK",I86/INDEX(I$5:I$1258,'Stock Price'!$I$9)-1,"")</f>
        <v>0.24503780718336476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116.5</v>
      </c>
      <c r="C87" s="18">
        <v>85.307500000000005</v>
      </c>
      <c r="D87" s="18">
        <v>56.487499999999997</v>
      </c>
      <c r="E87" s="18">
        <v>49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-3.7190082644628086E-2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0.18236525379382518</v>
      </c>
      <c r="R87" s="19">
        <f ca="1">IF('Stock Price'!$I$11="OK",E87/INDEX(E$5:E$1258,'Stock Price'!$I$9)-1,"")</f>
        <v>4.9250535331905709E-2</v>
      </c>
      <c r="S87" s="19">
        <f ca="1">IF('Stock Price'!$I$11="OK",F87/INDEX(F$5:F$1258,'Stock Price'!$I$9)-1,"")</f>
        <v>6.8501655629139124E-2</v>
      </c>
      <c r="T87" s="19">
        <f ca="1">IF('Stock Price'!$I$11="OK",G87/INDEX(G$5:G$1258,'Stock Price'!$I$9)-1,"")</f>
        <v>0.17318314740604346</v>
      </c>
      <c r="U87" s="19">
        <f ca="1">IF('Stock Price'!$I$11="OK",H87/INDEX(H$5:H$1258,'Stock Price'!$I$9)-1,"")</f>
        <v>3.9215686274509665E-3</v>
      </c>
      <c r="V87" s="19">
        <f ca="1">IF('Stock Price'!$I$11="OK",I87/INDEX(I$5:I$1258,'Stock Price'!$I$9)-1,"")</f>
        <v>0.25401701323251413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117.68</v>
      </c>
      <c r="C88" s="18">
        <v>83.111400000000003</v>
      </c>
      <c r="D88" s="18">
        <v>57.125</v>
      </c>
      <c r="E88" s="18">
        <v>48.77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-2.7438016528925524E-2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0.19570905285191009</v>
      </c>
      <c r="R88" s="19">
        <f ca="1">IF('Stock Price'!$I$11="OK",E88/INDEX(E$5:E$1258,'Stock Price'!$I$9)-1,"")</f>
        <v>4.4325481798715316E-2</v>
      </c>
      <c r="S88" s="19">
        <f ca="1">IF('Stock Price'!$I$11="OK",F88/INDEX(F$5:F$1258,'Stock Price'!$I$9)-1,"")</f>
        <v>8.7334437086092676E-2</v>
      </c>
      <c r="T88" s="19">
        <f ca="1">IF('Stock Price'!$I$11="OK",G88/INDEX(G$5:G$1258,'Stock Price'!$I$9)-1,"")</f>
        <v>0.16386873172316685</v>
      </c>
      <c r="U88" s="19">
        <f ca="1">IF('Stock Price'!$I$11="OK",H88/INDEX(H$5:H$1258,'Stock Price'!$I$9)-1,"")</f>
        <v>5.0245098039216618E-3</v>
      </c>
      <c r="V88" s="19">
        <f ca="1">IF('Stock Price'!$I$11="OK",I88/INDEX(I$5:I$1258,'Stock Price'!$I$9)-1,"")</f>
        <v>0.27268431001890359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116.92</v>
      </c>
      <c r="C89" s="18">
        <v>83.604799999999997</v>
      </c>
      <c r="D89" s="18">
        <v>56.15</v>
      </c>
      <c r="E89" s="18">
        <v>47.11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-3.3719008264462835E-2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0.17530088958660395</v>
      </c>
      <c r="R89" s="19">
        <f ca="1">IF('Stock Price'!$I$11="OK",E89/INDEX(E$5:E$1258,'Stock Price'!$I$9)-1,"")</f>
        <v>8.7794432548178314E-3</v>
      </c>
      <c r="S89" s="19">
        <f ca="1">IF('Stock Price'!$I$11="OK",F89/INDEX(F$5:F$1258,'Stock Price'!$I$9)-1,"")</f>
        <v>8.5678807947019875E-2</v>
      </c>
      <c r="T89" s="19">
        <f ca="1">IF('Stock Price'!$I$11="OK",G89/INDEX(G$5:G$1258,'Stock Price'!$I$9)-1,"")</f>
        <v>0.14718942922127165</v>
      </c>
      <c r="U89" s="19">
        <f ca="1">IF('Stock Price'!$I$11="OK",H89/INDEX(H$5:H$1258,'Stock Price'!$I$9)-1,"")</f>
        <v>-3.174019607843126E-2</v>
      </c>
      <c r="V89" s="19">
        <f ca="1">IF('Stock Price'!$I$11="OK",I89/INDEX(I$5:I$1258,'Stock Price'!$I$9)-1,"")</f>
        <v>0.2613421550094519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110.53</v>
      </c>
      <c r="C90" s="18">
        <v>83.469399999999993</v>
      </c>
      <c r="D90" s="18">
        <v>56</v>
      </c>
      <c r="E90" s="18">
        <v>46.7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-8.6528925619834718E-2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0.17216117216117222</v>
      </c>
      <c r="R90" s="19">
        <f ca="1">IF('Stock Price'!$I$11="OK",E90/INDEX(E$5:E$1258,'Stock Price'!$I$9)-1,"")</f>
        <v>0</v>
      </c>
      <c r="S90" s="19">
        <f ca="1">IF('Stock Price'!$I$11="OK",F90/INDEX(F$5:F$1258,'Stock Price'!$I$9)-1,"")</f>
        <v>7.781456953642385E-2</v>
      </c>
      <c r="T90" s="19">
        <f ca="1">IF('Stock Price'!$I$11="OK",G90/INDEX(G$5:G$1258,'Stock Price'!$I$9)-1,"")</f>
        <v>0.13982454240225284</v>
      </c>
      <c r="U90" s="19">
        <f ca="1">IF('Stock Price'!$I$11="OK",H90/INDEX(H$5:H$1258,'Stock Price'!$I$9)-1,"")</f>
        <v>-3.7254901960784181E-2</v>
      </c>
      <c r="V90" s="19">
        <f ca="1">IF('Stock Price'!$I$11="OK",I90/INDEX(I$5:I$1258,'Stock Price'!$I$9)-1,"")</f>
        <v>0.25236294896030254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111.5</v>
      </c>
      <c r="C91" s="18">
        <v>84.369100000000003</v>
      </c>
      <c r="D91" s="18">
        <v>56.237499999999997</v>
      </c>
      <c r="E91" s="18">
        <v>46.74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-7.8512396694214837E-2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0.17713239141810577</v>
      </c>
      <c r="R91" s="19">
        <f ca="1">IF('Stock Price'!$I$11="OK",E91/INDEX(E$5:E$1258,'Stock Price'!$I$9)-1,"")</f>
        <v>8.565310492505418E-4</v>
      </c>
      <c r="S91" s="19">
        <f ca="1">IF('Stock Price'!$I$11="OK",F91/INDEX(F$5:F$1258,'Stock Price'!$I$9)-1,"")</f>
        <v>9.7889072847682002E-2</v>
      </c>
      <c r="T91" s="19">
        <f ca="1">IF('Stock Price'!$I$11="OK",G91/INDEX(G$5:G$1258,'Stock Price'!$I$9)-1,"")</f>
        <v>0.15000541535795531</v>
      </c>
      <c r="U91" s="19">
        <f ca="1">IF('Stock Price'!$I$11="OK",H91/INDEX(H$5:H$1258,'Stock Price'!$I$9)-1,"")</f>
        <v>-4.9264705882352877E-2</v>
      </c>
      <c r="V91" s="19">
        <f ca="1">IF('Stock Price'!$I$11="OK",I91/INDEX(I$5:I$1258,'Stock Price'!$I$9)-1,"")</f>
        <v>0.25732514177693755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112.87</v>
      </c>
      <c r="C92" s="18">
        <v>84.311000000000007</v>
      </c>
      <c r="D92" s="18">
        <v>56.524999999999999</v>
      </c>
      <c r="E92" s="18">
        <v>47.06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-6.7190082644628113E-2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0.18315018315018317</v>
      </c>
      <c r="R92" s="19">
        <f ca="1">IF('Stock Price'!$I$11="OK",E92/INDEX(E$5:E$1258,'Stock Price'!$I$9)-1,"")</f>
        <v>7.7087794432548762E-3</v>
      </c>
      <c r="S92" s="19">
        <f ca="1">IF('Stock Price'!$I$11="OK",F92/INDEX(F$5:F$1258,'Stock Price'!$I$9)-1,"")</f>
        <v>0.10947847682119205</v>
      </c>
      <c r="T92" s="19">
        <f ca="1">IF('Stock Price'!$I$11="OK",G92/INDEX(G$5:G$1258,'Stock Price'!$I$9)-1,"")</f>
        <v>0.14350698581176213</v>
      </c>
      <c r="U92" s="19">
        <f ca="1">IF('Stock Price'!$I$11="OK",H92/INDEX(H$5:H$1258,'Stock Price'!$I$9)-1,"")</f>
        <v>-5.7475490196078449E-2</v>
      </c>
      <c r="V92" s="19">
        <f ca="1">IF('Stock Price'!$I$11="OK",I92/INDEX(I$5:I$1258,'Stock Price'!$I$9)-1,"")</f>
        <v>0.22164461247637046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114.52</v>
      </c>
      <c r="C93" s="18">
        <v>84.359399999999994</v>
      </c>
      <c r="D93" s="18">
        <v>55.325000000000003</v>
      </c>
      <c r="E93" s="18">
        <v>48.19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-5.3553719008264444E-2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0.15803244374672953</v>
      </c>
      <c r="R93" s="19">
        <f ca="1">IF('Stock Price'!$I$11="OK",E93/INDEX(E$5:E$1258,'Stock Price'!$I$9)-1,"")</f>
        <v>3.1905781584582238E-2</v>
      </c>
      <c r="S93" s="19">
        <f ca="1">IF('Stock Price'!$I$11="OK",F93/INDEX(F$5:F$1258,'Stock Price'!$I$9)-1,"")</f>
        <v>0.11030629139072845</v>
      </c>
      <c r="T93" s="19">
        <f ca="1">IF('Stock Price'!$I$11="OK",G93/INDEX(G$5:G$1258,'Stock Price'!$I$9)-1,"")</f>
        <v>0.15455431604029024</v>
      </c>
      <c r="U93" s="19">
        <f ca="1">IF('Stock Price'!$I$11="OK",H93/INDEX(H$5:H$1258,'Stock Price'!$I$9)-1,"")</f>
        <v>-6.2132352941176361E-2</v>
      </c>
      <c r="V93" s="19">
        <f ca="1">IF('Stock Price'!$I$11="OK",I93/INDEX(I$5:I$1258,'Stock Price'!$I$9)-1,"")</f>
        <v>0.2162098298676749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115.751</v>
      </c>
      <c r="C94" s="18">
        <v>83.034000000000006</v>
      </c>
      <c r="D94" s="18">
        <v>55.55</v>
      </c>
      <c r="E94" s="18">
        <v>47.68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-4.3380165289256145E-2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0.16274201988487702</v>
      </c>
      <c r="R94" s="19">
        <f ca="1">IF('Stock Price'!$I$11="OK",E94/INDEX(E$5:E$1258,'Stock Price'!$I$9)-1,"")</f>
        <v>2.0985010706638052E-2</v>
      </c>
      <c r="S94" s="19">
        <f ca="1">IF('Stock Price'!$I$11="OK",F94/INDEX(F$5:F$1258,'Stock Price'!$I$9)-1,"")</f>
        <v>9.5405629139072801E-2</v>
      </c>
      <c r="T94" s="19">
        <f ca="1">IF('Stock Price'!$I$11="OK",G94/INDEX(G$5:G$1258,'Stock Price'!$I$9)-1,"")</f>
        <v>0.18249756308892029</v>
      </c>
      <c r="U94" s="19">
        <f ca="1">IF('Stock Price'!$I$11="OK",H94/INDEX(H$5:H$1258,'Stock Price'!$I$9)-1,"")</f>
        <v>-6.1764705882352833E-2</v>
      </c>
      <c r="V94" s="19">
        <f ca="1">IF('Stock Price'!$I$11="OK",I94/INDEX(I$5:I$1258,'Stock Price'!$I$9)-1,"")</f>
        <v>0.19565217391304346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114.15</v>
      </c>
      <c r="C95" s="18">
        <v>82.782499999999999</v>
      </c>
      <c r="D95" s="18">
        <v>55.375</v>
      </c>
      <c r="E95" s="18">
        <v>46.72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-5.661157024793384E-2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0.15907901622187337</v>
      </c>
      <c r="R95" s="19">
        <f ca="1">IF('Stock Price'!$I$11="OK",E95/INDEX(E$5:E$1258,'Stock Price'!$I$9)-1,"")</f>
        <v>4.282655246252709E-4</v>
      </c>
      <c r="S95" s="19">
        <f ca="1">IF('Stock Price'!$I$11="OK",F95/INDEX(F$5:F$1258,'Stock Price'!$I$9)-1,"")</f>
        <v>9.1473509933774899E-2</v>
      </c>
      <c r="T95" s="19">
        <f ca="1">IF('Stock Price'!$I$11="OK",G95/INDEX(G$5:G$1258,'Stock Price'!$I$9)-1,"")</f>
        <v>0.17231669013321782</v>
      </c>
      <c r="U95" s="19">
        <f ca="1">IF('Stock Price'!$I$11="OK",H95/INDEX(H$5:H$1258,'Stock Price'!$I$9)-1,"")</f>
        <v>-6.0784313725490091E-2</v>
      </c>
      <c r="V95" s="19">
        <f ca="1">IF('Stock Price'!$I$11="OK",I95/INDEX(I$5:I$1258,'Stock Price'!$I$9)-1,"")</f>
        <v>0.19990548204158798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111.36</v>
      </c>
      <c r="C96" s="18">
        <v>82.898600000000002</v>
      </c>
      <c r="D96" s="18">
        <v>53.587499999999999</v>
      </c>
      <c r="E96" s="18">
        <v>46.23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-7.9669421487603365E-2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0.12166405023547888</v>
      </c>
      <c r="R96" s="19">
        <f ca="1">IF('Stock Price'!$I$11="OK",E96/INDEX(E$5:E$1258,'Stock Price'!$I$9)-1,"")</f>
        <v>-1.0064239828693866E-2</v>
      </c>
      <c r="S96" s="19">
        <f ca="1">IF('Stock Price'!$I$11="OK",F96/INDEX(F$5:F$1258,'Stock Price'!$I$9)-1,"")</f>
        <v>8.1332781456953551E-2</v>
      </c>
      <c r="T96" s="19">
        <f ca="1">IF('Stock Price'!$I$11="OK",G96/INDEX(G$5:G$1258,'Stock Price'!$I$9)-1,"")</f>
        <v>0.14307375717534931</v>
      </c>
      <c r="U96" s="19">
        <f ca="1">IF('Stock Price'!$I$11="OK",H96/INDEX(H$5:H$1258,'Stock Price'!$I$9)-1,"")</f>
        <v>-6.2867647058823528E-2</v>
      </c>
      <c r="V96" s="19">
        <f ca="1">IF('Stock Price'!$I$11="OK",I96/INDEX(I$5:I$1258,'Stock Price'!$I$9)-1,"")</f>
        <v>0.17674858223062384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117.12</v>
      </c>
      <c r="C97" s="18">
        <v>83.604799999999997</v>
      </c>
      <c r="D97" s="18">
        <v>54.524999999999999</v>
      </c>
      <c r="E97" s="18">
        <v>46.92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-3.2066115702479303E-2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0.14128728414442704</v>
      </c>
      <c r="R97" s="19">
        <f ca="1">IF('Stock Price'!$I$11="OK",E97/INDEX(E$5:E$1258,'Stock Price'!$I$9)-1,"")</f>
        <v>4.7109207708779799E-3</v>
      </c>
      <c r="S97" s="19">
        <f ca="1">IF('Stock Price'!$I$11="OK",F97/INDEX(F$5:F$1258,'Stock Price'!$I$9)-1,"")</f>
        <v>9.7268211920529923E-2</v>
      </c>
      <c r="T97" s="19">
        <f ca="1">IF('Stock Price'!$I$11="OK",G97/INDEX(G$5:G$1258,'Stock Price'!$I$9)-1,"")</f>
        <v>0.16755117513267637</v>
      </c>
      <c r="U97" s="19">
        <f ca="1">IF('Stock Price'!$I$11="OK",H97/INDEX(H$5:H$1258,'Stock Price'!$I$9)-1,"")</f>
        <v>-4.6446078431372495E-2</v>
      </c>
      <c r="V97" s="19">
        <f ca="1">IF('Stock Price'!$I$11="OK",I97/INDEX(I$5:I$1258,'Stock Price'!$I$9)-1,"")</f>
        <v>0.17651228733459345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120.87</v>
      </c>
      <c r="C98" s="18">
        <v>85.075299999999999</v>
      </c>
      <c r="D98" s="18">
        <v>54.237499999999997</v>
      </c>
      <c r="E98" s="18">
        <v>47.57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-1.0743801652892682E-3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0.13526949241234942</v>
      </c>
      <c r="R98" s="19">
        <f ca="1">IF('Stock Price'!$I$11="OK",E98/INDEX(E$5:E$1258,'Stock Price'!$I$9)-1,"")</f>
        <v>1.8629550321199062E-2</v>
      </c>
      <c r="S98" s="19">
        <f ca="1">IF('Stock Price'!$I$11="OK",F98/INDEX(F$5:F$1258,'Stock Price'!$I$9)-1,"")</f>
        <v>0.10782284768211925</v>
      </c>
      <c r="T98" s="19">
        <f ca="1">IF('Stock Price'!$I$11="OK",G98/INDEX(G$5:G$1258,'Stock Price'!$I$9)-1,"")</f>
        <v>0.17123361854218566</v>
      </c>
      <c r="U98" s="19">
        <f ca="1">IF('Stock Price'!$I$11="OK",H98/INDEX(H$5:H$1258,'Stock Price'!$I$9)-1,"")</f>
        <v>-5.3676470588235214E-2</v>
      </c>
      <c r="V98" s="19">
        <f ca="1">IF('Stock Price'!$I$11="OK",I98/INDEX(I$5:I$1258,'Stock Price'!$I$9)-1,"")</f>
        <v>0.17391304347826075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122.4</v>
      </c>
      <c r="C99" s="18">
        <v>83.837000000000003</v>
      </c>
      <c r="D99" s="18">
        <v>54.15</v>
      </c>
      <c r="E99" s="18">
        <v>46.67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1.1570247933884392E-2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0.13343799058084782</v>
      </c>
      <c r="R99" s="19">
        <f ca="1">IF('Stock Price'!$I$11="OK",E99/INDEX(E$5:E$1258,'Stock Price'!$I$9)-1,"")</f>
        <v>-6.4239828693790635E-4</v>
      </c>
      <c r="S99" s="19">
        <f ca="1">IF('Stock Price'!$I$11="OK",F99/INDEX(F$5:F$1258,'Stock Price'!$I$9)-1,"")</f>
        <v>9.41639072847682E-2</v>
      </c>
      <c r="T99" s="19">
        <f ca="1">IF('Stock Price'!$I$11="OK",G99/INDEX(G$5:G$1258,'Stock Price'!$I$9)-1,"")</f>
        <v>0.17145023286039196</v>
      </c>
      <c r="U99" s="19">
        <f ca="1">IF('Stock Price'!$I$11="OK",H99/INDEX(H$5:H$1258,'Stock Price'!$I$9)-1,"")</f>
        <v>-6.4215686274509798E-2</v>
      </c>
      <c r="V99" s="19">
        <f ca="1">IF('Stock Price'!$I$11="OK",I99/INDEX(I$5:I$1258,'Stock Price'!$I$9)-1,"")</f>
        <v>0.15548204158790169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117.98</v>
      </c>
      <c r="C100" s="18">
        <v>83.575800000000001</v>
      </c>
      <c r="D100" s="18">
        <v>53.8</v>
      </c>
      <c r="E100" s="18">
        <v>46.34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-2.4958677685950392E-2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0.1261119832548403</v>
      </c>
      <c r="R100" s="19">
        <f ca="1">IF('Stock Price'!$I$11="OK",E100/INDEX(E$5:E$1258,'Stock Price'!$I$9)-1,"")</f>
        <v>-7.7087794432547652E-3</v>
      </c>
      <c r="S100" s="19">
        <f ca="1">IF('Stock Price'!$I$11="OK",F100/INDEX(F$5:F$1258,'Stock Price'!$I$9)-1,"")</f>
        <v>8.6506622516556275E-2</v>
      </c>
      <c r="T100" s="19">
        <f ca="1">IF('Stock Price'!$I$11="OK",G100/INDEX(G$5:G$1258,'Stock Price'!$I$9)-1,"")</f>
        <v>0.16971731831474068</v>
      </c>
      <c r="U100" s="19">
        <f ca="1">IF('Stock Price'!$I$11="OK",H100/INDEX(H$5:H$1258,'Stock Price'!$I$9)-1,"")</f>
        <v>-6.4093137254901844E-2</v>
      </c>
      <c r="V100" s="19">
        <f ca="1">IF('Stock Price'!$I$11="OK",I100/INDEX(I$5:I$1258,'Stock Price'!$I$9)-1,"")</f>
        <v>0.14673913043478271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120.3</v>
      </c>
      <c r="C101" s="18">
        <v>83.034000000000006</v>
      </c>
      <c r="D101" s="18">
        <v>53.362499999999997</v>
      </c>
      <c r="E101" s="18">
        <v>46.67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-5.7851239669421961E-3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0.11695447409733117</v>
      </c>
      <c r="R101" s="19">
        <f ca="1">IF('Stock Price'!$I$11="OK",E101/INDEX(E$5:E$1258,'Stock Price'!$I$9)-1,"")</f>
        <v>-6.4239828693790635E-4</v>
      </c>
      <c r="S101" s="19">
        <f ca="1">IF('Stock Price'!$I$11="OK",F101/INDEX(F$5:F$1258,'Stock Price'!$I$9)-1,"")</f>
        <v>7.781456953642385E-2</v>
      </c>
      <c r="T101" s="19">
        <f ca="1">IF('Stock Price'!$I$11="OK",G101/INDEX(G$5:G$1258,'Stock Price'!$I$9)-1,"")</f>
        <v>0.13527564171991768</v>
      </c>
      <c r="U101" s="19">
        <f ca="1">IF('Stock Price'!$I$11="OK",H101/INDEX(H$5:H$1258,'Stock Price'!$I$9)-1,"")</f>
        <v>-6.9240196078431238E-2</v>
      </c>
      <c r="V101" s="19">
        <f ca="1">IF('Stock Price'!$I$11="OK",I101/INDEX(I$5:I$1258,'Stock Price'!$I$9)-1,"")</f>
        <v>0.12310964083175802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120.97</v>
      </c>
      <c r="C102" s="18">
        <v>83.701499999999996</v>
      </c>
      <c r="D102" s="18">
        <v>53.9</v>
      </c>
      <c r="E102" s="18">
        <v>46.51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-2.4793388429755758E-4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0.12820512820512819</v>
      </c>
      <c r="R102" s="19">
        <f ca="1">IF('Stock Price'!$I$11="OK",E102/INDEX(E$5:E$1258,'Stock Price'!$I$9)-1,"")</f>
        <v>-4.0685224839401846E-3</v>
      </c>
      <c r="S102" s="19">
        <f ca="1">IF('Stock Price'!$I$11="OK",F102/INDEX(F$5:F$1258,'Stock Price'!$I$9)-1,"")</f>
        <v>8.6920529801324475E-2</v>
      </c>
      <c r="T102" s="19">
        <f ca="1">IF('Stock Price'!$I$11="OK",G102/INDEX(G$5:G$1258,'Stock Price'!$I$9)-1,"")</f>
        <v>0.14697281490306513</v>
      </c>
      <c r="U102" s="19">
        <f ca="1">IF('Stock Price'!$I$11="OK",H102/INDEX(H$5:H$1258,'Stock Price'!$I$9)-1,"")</f>
        <v>-7.0588235294117507E-2</v>
      </c>
      <c r="V102" s="19">
        <f ca="1">IF('Stock Price'!$I$11="OK",I102/INDEX(I$5:I$1258,'Stock Price'!$I$9)-1,"")</f>
        <v>0.10751417769376181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115.95</v>
      </c>
      <c r="C103" s="18">
        <v>82.888900000000007</v>
      </c>
      <c r="D103" s="18">
        <v>51.487499999999997</v>
      </c>
      <c r="E103" s="18">
        <v>46.42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-4.1735537190082606E-2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7.770800627943486E-2</v>
      </c>
      <c r="R103" s="19">
        <f ca="1">IF('Stock Price'!$I$11="OK",E103/INDEX(E$5:E$1258,'Stock Price'!$I$9)-1,"")</f>
        <v>-5.9957173447537926E-3</v>
      </c>
      <c r="S103" s="19">
        <f ca="1">IF('Stock Price'!$I$11="OK",F103/INDEX(F$5:F$1258,'Stock Price'!$I$9)-1,"")</f>
        <v>6.0223509933774677E-2</v>
      </c>
      <c r="T103" s="19">
        <f ca="1">IF('Stock Price'!$I$11="OK",G103/INDEX(G$5:G$1258,'Stock Price'!$I$9)-1,"")</f>
        <v>9.6068450124553229E-2</v>
      </c>
      <c r="U103" s="19">
        <f ca="1">IF('Stock Price'!$I$11="OK",H103/INDEX(H$5:H$1258,'Stock Price'!$I$9)-1,"")</f>
        <v>-9.9142156862744968E-2</v>
      </c>
      <c r="V103" s="19">
        <f ca="1">IF('Stock Price'!$I$11="OK",I103/INDEX(I$5:I$1258,'Stock Price'!$I$9)-1,"")</f>
        <v>8.6011342155009496E-2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121.27</v>
      </c>
      <c r="C104" s="18">
        <v>84.775400000000005</v>
      </c>
      <c r="D104" s="18">
        <v>53.35</v>
      </c>
      <c r="E104" s="18">
        <v>47.63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2.2314049586775742E-3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0.11669283097854533</v>
      </c>
      <c r="R104" s="19">
        <f ca="1">IF('Stock Price'!$I$11="OK",E104/INDEX(E$5:E$1258,'Stock Price'!$I$9)-1,"")</f>
        <v>1.9914346895074875E-2</v>
      </c>
      <c r="S104" s="19">
        <f ca="1">IF('Stock Price'!$I$11="OK",F104/INDEX(F$5:F$1258,'Stock Price'!$I$9)-1,"")</f>
        <v>9.7889072847682002E-2</v>
      </c>
      <c r="T104" s="19">
        <f ca="1">IF('Stock Price'!$I$11="OK",G104/INDEX(G$5:G$1258,'Stock Price'!$I$9)-1,"")</f>
        <v>0.14545651467562015</v>
      </c>
      <c r="U104" s="19">
        <f ca="1">IF('Stock Price'!$I$11="OK",H104/INDEX(H$5:H$1258,'Stock Price'!$I$9)-1,"")</f>
        <v>-6.4705882352941169E-2</v>
      </c>
      <c r="V104" s="19">
        <f ca="1">IF('Stock Price'!$I$11="OK",I104/INDEX(I$5:I$1258,'Stock Price'!$I$9)-1,"")</f>
        <v>0.1275992438563327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117.23</v>
      </c>
      <c r="C105" s="18">
        <v>84.610900000000001</v>
      </c>
      <c r="D105" s="18">
        <v>52.325000000000003</v>
      </c>
      <c r="E105" s="18">
        <v>47.23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-3.1157024793388444E-2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9.5238095238095344E-2</v>
      </c>
      <c r="R105" s="19">
        <f ca="1">IF('Stock Price'!$I$11="OK",E105/INDEX(E$5:E$1258,'Stock Price'!$I$9)-1,"")</f>
        <v>1.1349036402569457E-2</v>
      </c>
      <c r="S105" s="19">
        <f ca="1">IF('Stock Price'!$I$11="OK",F105/INDEX(F$5:F$1258,'Stock Price'!$I$9)-1,"")</f>
        <v>8.5471854304635775E-2</v>
      </c>
      <c r="T105" s="19">
        <f ca="1">IF('Stock Price'!$I$11="OK",G105/INDEX(G$5:G$1258,'Stock Price'!$I$9)-1,"")</f>
        <v>0.11578035308133861</v>
      </c>
      <c r="U105" s="19">
        <f ca="1">IF('Stock Price'!$I$11="OK",H105/INDEX(H$5:H$1258,'Stock Price'!$I$9)-1,"")</f>
        <v>-6.1519607843137258E-2</v>
      </c>
      <c r="V105" s="19">
        <f ca="1">IF('Stock Price'!$I$11="OK",I105/INDEX(I$5:I$1258,'Stock Price'!$I$9)-1,"")</f>
        <v>0.10916824196597341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122</v>
      </c>
      <c r="C106" s="18">
        <v>84.281999999999996</v>
      </c>
      <c r="D106" s="18">
        <v>51.9375</v>
      </c>
      <c r="E106" s="18">
        <v>47.41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8.2644628099173278E-3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8.7127158555730055E-2</v>
      </c>
      <c r="R106" s="19">
        <f ca="1">IF('Stock Price'!$I$11="OK",E106/INDEX(E$5:E$1258,'Stock Price'!$I$9)-1,"")</f>
        <v>1.5203426124196895E-2</v>
      </c>
      <c r="S106" s="19">
        <f ca="1">IF('Stock Price'!$I$11="OK",F106/INDEX(F$5:F$1258,'Stock Price'!$I$9)-1,"")</f>
        <v>5.6705298013244976E-2</v>
      </c>
      <c r="T106" s="19">
        <f ca="1">IF('Stock Price'!$I$11="OK",G106/INDEX(G$5:G$1258,'Stock Price'!$I$9)-1,"")</f>
        <v>0.12466154012780239</v>
      </c>
      <c r="U106" s="19">
        <f ca="1">IF('Stock Price'!$I$11="OK",H106/INDEX(H$5:H$1258,'Stock Price'!$I$9)-1,"")</f>
        <v>-6.4460784313725372E-2</v>
      </c>
      <c r="V106" s="19">
        <f ca="1">IF('Stock Price'!$I$11="OK",I106/INDEX(I$5:I$1258,'Stock Price'!$I$9)-1,"")</f>
        <v>8.104914933837426E-2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124.92</v>
      </c>
      <c r="C107" s="18">
        <v>84.823700000000002</v>
      </c>
      <c r="D107" s="18">
        <v>52.537500000000001</v>
      </c>
      <c r="E107" s="18">
        <v>47.02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3.2396694214876121E-2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9.9686028257456982E-2</v>
      </c>
      <c r="R107" s="19">
        <f ca="1">IF('Stock Price'!$I$11="OK",E107/INDEX(E$5:E$1258,'Stock Price'!$I$9)-1,"")</f>
        <v>6.8522483940043344E-3</v>
      </c>
      <c r="S107" s="19">
        <f ca="1">IF('Stock Price'!$I$11="OK",F107/INDEX(F$5:F$1258,'Stock Price'!$I$9)-1,"")</f>
        <v>5.6705298013244976E-2</v>
      </c>
      <c r="T107" s="19">
        <f ca="1">IF('Stock Price'!$I$11="OK",G107/INDEX(G$5:G$1258,'Stock Price'!$I$9)-1,"")</f>
        <v>0.16971731831474068</v>
      </c>
      <c r="U107" s="19">
        <f ca="1">IF('Stock Price'!$I$11="OK",H107/INDEX(H$5:H$1258,'Stock Price'!$I$9)-1,"")</f>
        <v>-6.0416666666666563E-2</v>
      </c>
      <c r="V107" s="19">
        <f ca="1">IF('Stock Price'!$I$11="OK",I107/INDEX(I$5:I$1258,'Stock Price'!$I$9)-1,"")</f>
        <v>0.12712665406427237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118.35</v>
      </c>
      <c r="C108" s="18">
        <v>83.3339</v>
      </c>
      <c r="D108" s="18">
        <v>51.8125</v>
      </c>
      <c r="E108" s="18">
        <v>46.33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-2.1900826446280997E-2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8.4510727367870242E-2</v>
      </c>
      <c r="R108" s="19">
        <f ca="1">IF('Stock Price'!$I$11="OK",E108/INDEX(E$5:E$1258,'Stock Price'!$I$9)-1,"")</f>
        <v>-7.9229122055675116E-3</v>
      </c>
      <c r="S108" s="19">
        <f ca="1">IF('Stock Price'!$I$11="OK",F108/INDEX(F$5:F$1258,'Stock Price'!$I$9)-1,"")</f>
        <v>3.8493377483443725E-2</v>
      </c>
      <c r="T108" s="19">
        <f ca="1">IF('Stock Price'!$I$11="OK",G108/INDEX(G$5:G$1258,'Stock Price'!$I$9)-1,"")</f>
        <v>0.16105274558648341</v>
      </c>
      <c r="U108" s="19">
        <f ca="1">IF('Stock Price'!$I$11="OK",H108/INDEX(H$5:H$1258,'Stock Price'!$I$9)-1,"")</f>
        <v>-5.4534313725490113E-2</v>
      </c>
      <c r="V108" s="19">
        <f ca="1">IF('Stock Price'!$I$11="OK",I108/INDEX(I$5:I$1258,'Stock Price'!$I$9)-1,"")</f>
        <v>0.1301984877126654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113.2401</v>
      </c>
      <c r="C109" s="18">
        <v>81.979500000000002</v>
      </c>
      <c r="D109" s="18">
        <v>50.225000000000001</v>
      </c>
      <c r="E109" s="18">
        <v>46.04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-6.4131404958677751E-2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5.1282051282051322E-2</v>
      </c>
      <c r="R109" s="19">
        <f ca="1">IF('Stock Price'!$I$11="OK",E109/INDEX(E$5:E$1258,'Stock Price'!$I$9)-1,"")</f>
        <v>-1.413276231263394E-2</v>
      </c>
      <c r="S109" s="19">
        <f ca="1">IF('Stock Price'!$I$11="OK",F109/INDEX(F$5:F$1258,'Stock Price'!$I$9)-1,"")</f>
        <v>3.3112582781456013E-3</v>
      </c>
      <c r="T109" s="19">
        <f ca="1">IF('Stock Price'!$I$11="OK",G109/INDEX(G$5:G$1258,'Stock Price'!$I$9)-1,"")</f>
        <v>0.10841546626232001</v>
      </c>
      <c r="U109" s="19">
        <f ca="1">IF('Stock Price'!$I$11="OK",H109/INDEX(H$5:H$1258,'Stock Price'!$I$9)-1,"")</f>
        <v>-4.620098039215681E-2</v>
      </c>
      <c r="V109" s="19">
        <f ca="1">IF('Stock Price'!$I$11="OK",I109/INDEX(I$5:I$1258,'Stock Price'!$I$9)-1,"")</f>
        <v>0.14957466918714557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114.27</v>
      </c>
      <c r="C110" s="18">
        <v>80.818600000000004</v>
      </c>
      <c r="D110" s="18">
        <v>49.325000000000003</v>
      </c>
      <c r="E110" s="18">
        <v>45.31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-5.5619834710743832E-2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3.2443746729461154E-2</v>
      </c>
      <c r="R110" s="19">
        <f ca="1">IF('Stock Price'!$I$11="OK",E110/INDEX(E$5:E$1258,'Stock Price'!$I$9)-1,"")</f>
        <v>-2.9764453961456105E-2</v>
      </c>
      <c r="S110" s="19">
        <f ca="1">IF('Stock Price'!$I$11="OK",F110/INDEX(F$5:F$1258,'Stock Price'!$I$9)-1,"")</f>
        <v>5.5877483443709242E-3</v>
      </c>
      <c r="T110" s="19">
        <f ca="1">IF('Stock Price'!$I$11="OK",G110/INDEX(G$5:G$1258,'Stock Price'!$I$9)-1,"")</f>
        <v>9.7801364670204727E-2</v>
      </c>
      <c r="U110" s="19">
        <f ca="1">IF('Stock Price'!$I$11="OK",H110/INDEX(H$5:H$1258,'Stock Price'!$I$9)-1,"")</f>
        <v>-4.7426470588235126E-2</v>
      </c>
      <c r="V110" s="19">
        <f ca="1">IF('Stock Price'!$I$11="OK",I110/INDEX(I$5:I$1258,'Stock Price'!$I$9)-1,"")</f>
        <v>0.13374291115311898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112.83</v>
      </c>
      <c r="C111" s="18">
        <v>77.500299999999996</v>
      </c>
      <c r="D111" s="18">
        <v>49.975000000000001</v>
      </c>
      <c r="E111" s="18">
        <v>46.31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-6.7520661157024819E-2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4.6049188906331917E-2</v>
      </c>
      <c r="R111" s="19">
        <f ca="1">IF('Stock Price'!$I$11="OK",E111/INDEX(E$5:E$1258,'Stock Price'!$I$9)-1,"")</f>
        <v>-8.3511777301927825E-3</v>
      </c>
      <c r="S111" s="19">
        <f ca="1">IF('Stock Price'!$I$11="OK",F111/INDEX(F$5:F$1258,'Stock Price'!$I$9)-1,"")</f>
        <v>3.8907284768211925E-2</v>
      </c>
      <c r="T111" s="19">
        <f ca="1">IF('Stock Price'!$I$11="OK",G111/INDEX(G$5:G$1258,'Stock Price'!$I$9)-1,"")</f>
        <v>9.411892126069521E-2</v>
      </c>
      <c r="U111" s="19">
        <f ca="1">IF('Stock Price'!$I$11="OK",H111/INDEX(H$5:H$1258,'Stock Price'!$I$9)-1,"")</f>
        <v>-5.6985294117646967E-2</v>
      </c>
      <c r="V111" s="19">
        <f ca="1">IF('Stock Price'!$I$11="OK",I111/INDEX(I$5:I$1258,'Stock Price'!$I$9)-1,"")</f>
        <v>0.12098298676748587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119.3</v>
      </c>
      <c r="C112" s="18">
        <v>79.4739</v>
      </c>
      <c r="D112" s="18">
        <v>51.674999999999997</v>
      </c>
      <c r="E112" s="18">
        <v>47.97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-1.4049586776859524E-2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8.1632653061224358E-2</v>
      </c>
      <c r="R112" s="19">
        <f ca="1">IF('Stock Price'!$I$11="OK",E112/INDEX(E$5:E$1258,'Stock Price'!$I$9)-1,"")</f>
        <v>2.719486081370448E-2</v>
      </c>
      <c r="S112" s="19">
        <f ca="1">IF('Stock Price'!$I$11="OK",F112/INDEX(F$5:F$1258,'Stock Price'!$I$9)-1,"")</f>
        <v>7.4606788079470077E-2</v>
      </c>
      <c r="T112" s="19">
        <f ca="1">IF('Stock Price'!$I$11="OK",G112/INDEX(G$5:G$1258,'Stock Price'!$I$9)-1,"")</f>
        <v>0.16473518899599271</v>
      </c>
      <c r="U112" s="19">
        <f ca="1">IF('Stock Price'!$I$11="OK",H112/INDEX(H$5:H$1258,'Stock Price'!$I$9)-1,"")</f>
        <v>-4.6691176470588069E-2</v>
      </c>
      <c r="V112" s="19">
        <f ca="1">IF('Stock Price'!$I$11="OK",I112/INDEX(I$5:I$1258,'Stock Price'!$I$9)-1,"")</f>
        <v>0.15193761814744811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122.42</v>
      </c>
      <c r="C113" s="18">
        <v>80.267200000000003</v>
      </c>
      <c r="D113" s="18">
        <v>51.037500000000001</v>
      </c>
      <c r="E113" s="18">
        <v>46.96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1.173553719008269E-2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6.8288854003139887E-2</v>
      </c>
      <c r="R113" s="19">
        <f ca="1">IF('Stock Price'!$I$11="OK",E113/INDEX(E$5:E$1258,'Stock Price'!$I$9)-1,"")</f>
        <v>5.5674518201285217E-3</v>
      </c>
      <c r="S113" s="19">
        <f ca="1">IF('Stock Price'!$I$11="OK",F113/INDEX(F$5:F$1258,'Stock Price'!$I$9)-1,"")</f>
        <v>6.37417218543046E-2</v>
      </c>
      <c r="T113" s="19">
        <f ca="1">IF('Stock Price'!$I$11="OK",G113/INDEX(G$5:G$1258,'Stock Price'!$I$9)-1,"")</f>
        <v>0.16473518899599271</v>
      </c>
      <c r="U113" s="19">
        <f ca="1">IF('Stock Price'!$I$11="OK",H113/INDEX(H$5:H$1258,'Stock Price'!$I$9)-1,"")</f>
        <v>-4.5465686274509753E-2</v>
      </c>
      <c r="V113" s="19">
        <f ca="1">IF('Stock Price'!$I$11="OK",I113/INDEX(I$5:I$1258,'Stock Price'!$I$9)-1,"")</f>
        <v>0.16257088846880907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119.85</v>
      </c>
      <c r="C114" s="18">
        <v>79.686700000000002</v>
      </c>
      <c r="D114" s="18">
        <v>50.7</v>
      </c>
      <c r="E114" s="18">
        <v>46.42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-9.5041322314050047E-3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6.1224489795918435E-2</v>
      </c>
      <c r="R114" s="19">
        <f ca="1">IF('Stock Price'!$I$11="OK",E114/INDEX(E$5:E$1258,'Stock Price'!$I$9)-1,"")</f>
        <v>-5.9957173447537926E-3</v>
      </c>
      <c r="S114" s="19">
        <f ca="1">IF('Stock Price'!$I$11="OK",F114/INDEX(F$5:F$1258,'Stock Price'!$I$9)-1,"")</f>
        <v>4.9461920529801251E-2</v>
      </c>
      <c r="T114" s="19">
        <f ca="1">IF('Stock Price'!$I$11="OK",G114/INDEX(G$5:G$1258,'Stock Price'!$I$9)-1,"")</f>
        <v>0.19939347990902201</v>
      </c>
      <c r="U114" s="19">
        <f ca="1">IF('Stock Price'!$I$11="OK",H114/INDEX(H$5:H$1258,'Stock Price'!$I$9)-1,"")</f>
        <v>-4.0931372549019462E-2</v>
      </c>
      <c r="V114" s="19">
        <f ca="1">IF('Stock Price'!$I$11="OK",I114/INDEX(I$5:I$1258,'Stock Price'!$I$9)-1,"")</f>
        <v>0.18785444234404536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120.73</v>
      </c>
      <c r="C115" s="18">
        <v>81.331299999999999</v>
      </c>
      <c r="D115" s="18">
        <v>50.962499999999999</v>
      </c>
      <c r="E115" s="18">
        <v>47.28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-2.2314049586776852E-3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6.671899529042391E-2</v>
      </c>
      <c r="R115" s="19">
        <f ca="1">IF('Stock Price'!$I$11="OK",E115/INDEX(E$5:E$1258,'Stock Price'!$I$9)-1,"")</f>
        <v>1.2419700214132634E-2</v>
      </c>
      <c r="S115" s="19">
        <f ca="1">IF('Stock Price'!$I$11="OK",F115/INDEX(F$5:F$1258,'Stock Price'!$I$9)-1,"")</f>
        <v>4.1597682119205226E-2</v>
      </c>
      <c r="T115" s="19">
        <f ca="1">IF('Stock Price'!$I$11="OK",G115/INDEX(G$5:G$1258,'Stock Price'!$I$9)-1,"")</f>
        <v>0.2080580526372795</v>
      </c>
      <c r="U115" s="19">
        <f ca="1">IF('Stock Price'!$I$11="OK",H115/INDEX(H$5:H$1258,'Stock Price'!$I$9)-1,"")</f>
        <v>-4.6813725490196023E-2</v>
      </c>
      <c r="V115" s="19">
        <f ca="1">IF('Stock Price'!$I$11="OK",I115/INDEX(I$5:I$1258,'Stock Price'!$I$9)-1,"")</f>
        <v>0.23464083175803396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121.32</v>
      </c>
      <c r="C116" s="18">
        <v>81.969800000000006</v>
      </c>
      <c r="D116" s="18">
        <v>52.125</v>
      </c>
      <c r="E116" s="18">
        <v>47.85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2.6446280991734294E-3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9.1051805337519554E-2</v>
      </c>
      <c r="R116" s="19">
        <f ca="1">IF('Stock Price'!$I$11="OK",E116/INDEX(E$5:E$1258,'Stock Price'!$I$9)-1,"")</f>
        <v>2.4625267665952855E-2</v>
      </c>
      <c r="S116" s="19">
        <f ca="1">IF('Stock Price'!$I$11="OK",F116/INDEX(F$5:F$1258,'Stock Price'!$I$9)-1,"")</f>
        <v>7.2640728476821126E-2</v>
      </c>
      <c r="T116" s="19">
        <f ca="1">IF('Stock Price'!$I$11="OK",G116/INDEX(G$5:G$1258,'Stock Price'!$I$9)-1,"")</f>
        <v>0.21174049604678857</v>
      </c>
      <c r="U116" s="19">
        <f ca="1">IF('Stock Price'!$I$11="OK",H116/INDEX(H$5:H$1258,'Stock Price'!$I$9)-1,"")</f>
        <v>-3.627450980392144E-2</v>
      </c>
      <c r="V116" s="19">
        <f ca="1">IF('Stock Price'!$I$11="OK",I116/INDEX(I$5:I$1258,'Stock Price'!$I$9)-1,"")</f>
        <v>0.23369565217391308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121.33</v>
      </c>
      <c r="C117" s="18">
        <v>81.882800000000003</v>
      </c>
      <c r="D117" s="18">
        <v>52.625</v>
      </c>
      <c r="E117" s="18">
        <v>48.06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2.7272727272726893E-3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0.10151753008895859</v>
      </c>
      <c r="R117" s="19">
        <f ca="1">IF('Stock Price'!$I$11="OK",E117/INDEX(E$5:E$1258,'Stock Price'!$I$9)-1,"")</f>
        <v>2.9122055674518199E-2</v>
      </c>
      <c r="S117" s="19">
        <f ca="1">IF('Stock Price'!$I$11="OK",F117/INDEX(F$5:F$1258,'Stock Price'!$I$9)-1,"")</f>
        <v>7.4089403973509826E-2</v>
      </c>
      <c r="T117" s="19">
        <f ca="1">IF('Stock Price'!$I$11="OK",G117/INDEX(G$5:G$1258,'Stock Price'!$I$9)-1,"")</f>
        <v>0.23426838514025783</v>
      </c>
      <c r="U117" s="19">
        <f ca="1">IF('Stock Price'!$I$11="OK",H117/INDEX(H$5:H$1258,'Stock Price'!$I$9)-1,"")</f>
        <v>-4.264705882352926E-2</v>
      </c>
      <c r="V117" s="19">
        <f ca="1">IF('Stock Price'!$I$11="OK",I117/INDEX(I$5:I$1258,'Stock Price'!$I$9)-1,"")</f>
        <v>0.25047258979206055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124.08</v>
      </c>
      <c r="C118" s="18">
        <v>83.624099999999999</v>
      </c>
      <c r="D118" s="18">
        <v>53.8125</v>
      </c>
      <c r="E118" s="18">
        <v>47.99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2.5454545454545396E-2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0.12637362637362637</v>
      </c>
      <c r="R118" s="19">
        <f ca="1">IF('Stock Price'!$I$11="OK",E118/INDEX(E$5:E$1258,'Stock Price'!$I$9)-1,"")</f>
        <v>2.7623126338329751E-2</v>
      </c>
      <c r="S118" s="19">
        <f ca="1">IF('Stock Price'!$I$11="OK",F118/INDEX(F$5:F$1258,'Stock Price'!$I$9)-1,"")</f>
        <v>8.8576158940397276E-2</v>
      </c>
      <c r="T118" s="19">
        <f ca="1">IF('Stock Price'!$I$11="OK",G118/INDEX(G$5:G$1258,'Stock Price'!$I$9)-1,"")</f>
        <v>0.25311383082421757</v>
      </c>
      <c r="U118" s="19">
        <f ca="1">IF('Stock Price'!$I$11="OK",H118/INDEX(H$5:H$1258,'Stock Price'!$I$9)-1,"")</f>
        <v>-3.259803921568627E-2</v>
      </c>
      <c r="V118" s="19">
        <f ca="1">IF('Stock Price'!$I$11="OK",I118/INDEX(I$5:I$1258,'Stock Price'!$I$9)-1,"")</f>
        <v>0.28166351606805295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127.92</v>
      </c>
      <c r="C119" s="18">
        <v>83.962699999999998</v>
      </c>
      <c r="D119" s="18">
        <v>53.774999999999999</v>
      </c>
      <c r="E119" s="18">
        <v>49.15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5.7190082644628104E-2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0.12558869701726838</v>
      </c>
      <c r="R119" s="19">
        <f ca="1">IF('Stock Price'!$I$11="OK",E119/INDEX(E$5:E$1258,'Stock Price'!$I$9)-1,"")</f>
        <v>5.2462526766595241E-2</v>
      </c>
      <c r="S119" s="19">
        <f ca="1">IF('Stock Price'!$I$11="OK",F119/INDEX(F$5:F$1258,'Stock Price'!$I$9)-1,"")</f>
        <v>7.802152317880795E-2</v>
      </c>
      <c r="T119" s="19">
        <f ca="1">IF('Stock Price'!$I$11="OK",G119/INDEX(G$5:G$1258,'Stock Price'!$I$9)-1,"")</f>
        <v>0.25657965991552034</v>
      </c>
      <c r="U119" s="19">
        <f ca="1">IF('Stock Price'!$I$11="OK",H119/INDEX(H$5:H$1258,'Stock Price'!$I$9)-1,"")</f>
        <v>-3.0514705882352833E-2</v>
      </c>
      <c r="V119" s="19">
        <f ca="1">IF('Stock Price'!$I$11="OK",I119/INDEX(I$5:I$1258,'Stock Price'!$I$9)-1,"")</f>
        <v>0.2880434782608694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121.79</v>
      </c>
      <c r="C120" s="18">
        <v>83.275899999999993</v>
      </c>
      <c r="D120" s="18">
        <v>53.55</v>
      </c>
      <c r="E120" s="18">
        <v>48.92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6.5289256198348689E-3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0.12087912087912089</v>
      </c>
      <c r="R120" s="19">
        <f ca="1">IF('Stock Price'!$I$11="OK",E120/INDEX(E$5:E$1258,'Stock Price'!$I$9)-1,"")</f>
        <v>4.7537473233404626E-2</v>
      </c>
      <c r="S120" s="19">
        <f ca="1">IF('Stock Price'!$I$11="OK",F120/INDEX(F$5:F$1258,'Stock Price'!$I$9)-1,"")</f>
        <v>5.4428807947019875E-2</v>
      </c>
      <c r="T120" s="19">
        <f ca="1">IF('Stock Price'!$I$11="OK",G120/INDEX(G$5:G$1258,'Stock Price'!$I$9)-1,"")</f>
        <v>0.27065959059893863</v>
      </c>
      <c r="U120" s="19">
        <f ca="1">IF('Stock Price'!$I$11="OK",H120/INDEX(H$5:H$1258,'Stock Price'!$I$9)-1,"")</f>
        <v>-3.1127450980392046E-2</v>
      </c>
      <c r="V120" s="19">
        <f ca="1">IF('Stock Price'!$I$11="OK",I120/INDEX(I$5:I$1258,'Stock Price'!$I$9)-1,"")</f>
        <v>0.28048204158790169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127.92</v>
      </c>
      <c r="C121" s="18">
        <v>83.111400000000003</v>
      </c>
      <c r="D121" s="18">
        <v>54.037500000000001</v>
      </c>
      <c r="E121" s="18">
        <v>49.08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5.7190082644628104E-2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0.13108320251177408</v>
      </c>
      <c r="R121" s="19">
        <f ca="1">IF('Stock Price'!$I$11="OK",E121/INDEX(E$5:E$1258,'Stock Price'!$I$9)-1,"")</f>
        <v>5.0963597430406793E-2</v>
      </c>
      <c r="S121" s="19">
        <f ca="1">IF('Stock Price'!$I$11="OK",F121/INDEX(F$5:F$1258,'Stock Price'!$I$9)-1,"")</f>
        <v>7.0157284768211925E-2</v>
      </c>
      <c r="T121" s="19">
        <f ca="1">IF('Stock Price'!$I$11="OK",G121/INDEX(G$5:G$1258,'Stock Price'!$I$9)-1,"")</f>
        <v>0.28170692082746673</v>
      </c>
      <c r="U121" s="19">
        <f ca="1">IF('Stock Price'!$I$11="OK",H121/INDEX(H$5:H$1258,'Stock Price'!$I$9)-1,"")</f>
        <v>-2.8186274509803932E-2</v>
      </c>
      <c r="V121" s="19">
        <f ca="1">IF('Stock Price'!$I$11="OK",I121/INDEX(I$5:I$1258,'Stock Price'!$I$9)-1,"")</f>
        <v>0.25330812854442342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129.77000000000001</v>
      </c>
      <c r="C122" s="18">
        <v>82.763099999999994</v>
      </c>
      <c r="D122" s="18">
        <v>53.637500000000003</v>
      </c>
      <c r="E122" s="18">
        <v>49.1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7.2479338842975194E-2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0.12271062271062272</v>
      </c>
      <c r="R122" s="19">
        <f ca="1">IF('Stock Price'!$I$11="OK",E122/INDEX(E$5:E$1258,'Stock Price'!$I$9)-1,"")</f>
        <v>5.1391862955032064E-2</v>
      </c>
      <c r="S122" s="19">
        <f ca="1">IF('Stock Price'!$I$11="OK",F122/INDEX(F$5:F$1258,'Stock Price'!$I$9)-1,"")</f>
        <v>6.7673841059602724E-2</v>
      </c>
      <c r="T122" s="19">
        <f ca="1">IF('Stock Price'!$I$11="OK",G122/INDEX(G$5:G$1258,'Stock Price'!$I$9)-1,"")</f>
        <v>0.28733889310083405</v>
      </c>
      <c r="U122" s="19">
        <f ca="1">IF('Stock Price'!$I$11="OK",H122/INDEX(H$5:H$1258,'Stock Price'!$I$9)-1,"")</f>
        <v>-2.2916666666666585E-2</v>
      </c>
      <c r="V122" s="19">
        <f ca="1">IF('Stock Price'!$I$11="OK",I122/INDEX(I$5:I$1258,'Stock Price'!$I$9)-1,"")</f>
        <v>0.23322306238185253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133.91999999999999</v>
      </c>
      <c r="C123" s="18">
        <v>83.817599999999999</v>
      </c>
      <c r="D123" s="18">
        <v>54.125</v>
      </c>
      <c r="E123" s="18">
        <v>50.1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0.10677685950413207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0.1329147043432759</v>
      </c>
      <c r="R123" s="19">
        <f ca="1">IF('Stock Price'!$I$11="OK",E123/INDEX(E$5:E$1258,'Stock Price'!$I$9)-1,"")</f>
        <v>7.2805139186295387E-2</v>
      </c>
      <c r="S123" s="19">
        <f ca="1">IF('Stock Price'!$I$11="OK",F123/INDEX(F$5:F$1258,'Stock Price'!$I$9)-1,"")</f>
        <v>5.9395695364238277E-2</v>
      </c>
      <c r="T123" s="19">
        <f ca="1">IF('Stock Price'!$I$11="OK",G123/INDEX(G$5:G$1258,'Stock Price'!$I$9)-1,"")</f>
        <v>0.28950503628289836</v>
      </c>
      <c r="U123" s="19">
        <f ca="1">IF('Stock Price'!$I$11="OK",H123/INDEX(H$5:H$1258,'Stock Price'!$I$9)-1,"")</f>
        <v>-1.4583333333333282E-2</v>
      </c>
      <c r="V123" s="19">
        <f ca="1">IF('Stock Price'!$I$11="OK",I123/INDEX(I$5:I$1258,'Stock Price'!$I$9)-1,"")</f>
        <v>0.24267485822306245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134.61000000000001</v>
      </c>
      <c r="C124" s="18">
        <v>84.030500000000004</v>
      </c>
      <c r="D124" s="18">
        <v>54.1</v>
      </c>
      <c r="E124" s="18">
        <v>50.51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0.11247933884297523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0.13239141810570398</v>
      </c>
      <c r="R124" s="19">
        <f ca="1">IF('Stock Price'!$I$11="OK",E124/INDEX(E$5:E$1258,'Stock Price'!$I$9)-1,"")</f>
        <v>8.158458244111344E-2</v>
      </c>
      <c r="S124" s="19">
        <f ca="1">IF('Stock Price'!$I$11="OK",F124/INDEX(F$5:F$1258,'Stock Price'!$I$9)-1,"")</f>
        <v>6.6432119205298124E-2</v>
      </c>
      <c r="T124" s="19">
        <f ca="1">IF('Stock Price'!$I$11="OK",G124/INDEX(G$5:G$1258,'Stock Price'!$I$9)-1,"")</f>
        <v>0.31311599696739956</v>
      </c>
      <c r="U124" s="19">
        <f ca="1">IF('Stock Price'!$I$11="OK",H124/INDEX(H$5:H$1258,'Stock Price'!$I$9)-1,"")</f>
        <v>-3.1862745098037992E-3</v>
      </c>
      <c r="V124" s="19">
        <f ca="1">IF('Stock Price'!$I$11="OK",I124/INDEX(I$5:I$1258,'Stock Price'!$I$9)-1,"")</f>
        <v>0.24716446124763713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133.43</v>
      </c>
      <c r="C125" s="18">
        <v>84.156199999999998</v>
      </c>
      <c r="D125" s="18">
        <v>54.212499999999999</v>
      </c>
      <c r="E125" s="18">
        <v>50.11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0.10272727272727278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0.13474620617477751</v>
      </c>
      <c r="R125" s="19">
        <f ca="1">IF('Stock Price'!$I$11="OK",E125/INDEX(E$5:E$1258,'Stock Price'!$I$9)-1,"")</f>
        <v>7.3019271948608022E-2</v>
      </c>
      <c r="S125" s="19">
        <f ca="1">IF('Stock Price'!$I$11="OK",F125/INDEX(F$5:F$1258,'Stock Price'!$I$9)-1,"")</f>
        <v>7.2640728476821126E-2</v>
      </c>
      <c r="T125" s="19">
        <f ca="1">IF('Stock Price'!$I$11="OK",G125/INDEX(G$5:G$1258,'Stock Price'!$I$9)-1,"")</f>
        <v>0.31939781219538599</v>
      </c>
      <c r="U125" s="19">
        <f ca="1">IF('Stock Price'!$I$11="OK",H125/INDEX(H$5:H$1258,'Stock Price'!$I$9)-1,"")</f>
        <v>-4.7794117647058654E-3</v>
      </c>
      <c r="V125" s="19">
        <f ca="1">IF('Stock Price'!$I$11="OK",I125/INDEX(I$5:I$1258,'Stock Price'!$I$9)-1,"")</f>
        <v>0.25897920604914937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136.11000000000001</v>
      </c>
      <c r="C126" s="18">
        <v>84.659300000000002</v>
      </c>
      <c r="D126" s="18">
        <v>54.112499999999997</v>
      </c>
      <c r="E126" s="18">
        <v>50.15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0.12487603305785133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0.13265306122448983</v>
      </c>
      <c r="R126" s="19">
        <f ca="1">IF('Stock Price'!$I$11="OK",E126/INDEX(E$5:E$1258,'Stock Price'!$I$9)-1,"")</f>
        <v>7.3875802997858564E-2</v>
      </c>
      <c r="S126" s="19">
        <f ca="1">IF('Stock Price'!$I$11="OK",F126/INDEX(F$5:F$1258,'Stock Price'!$I$9)-1,"")</f>
        <v>6.4155629139072801E-2</v>
      </c>
      <c r="T126" s="19">
        <f ca="1">IF('Stock Price'!$I$11="OK",G126/INDEX(G$5:G$1258,'Stock Price'!$I$9)-1,"")</f>
        <v>0.34235892992526806</v>
      </c>
      <c r="U126" s="19">
        <f ca="1">IF('Stock Price'!$I$11="OK",H126/INDEX(H$5:H$1258,'Stock Price'!$I$9)-1,"")</f>
        <v>-3.6764705882352811E-4</v>
      </c>
      <c r="V126" s="19">
        <f ca="1">IF('Stock Price'!$I$11="OK",I126/INDEX(I$5:I$1258,'Stock Price'!$I$9)-1,"")</f>
        <v>0.24621928166351603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131.46</v>
      </c>
      <c r="C127" s="18">
        <v>85.0946</v>
      </c>
      <c r="D127" s="18">
        <v>54.625</v>
      </c>
      <c r="E127" s="18">
        <v>50.06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8.644628099173568E-2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0.14338042909471493</v>
      </c>
      <c r="R127" s="19">
        <f ca="1">IF('Stock Price'!$I$11="OK",E127/INDEX(E$5:E$1258,'Stock Price'!$I$9)-1,"")</f>
        <v>7.1948608137044845E-2</v>
      </c>
      <c r="S127" s="19">
        <f ca="1">IF('Stock Price'!$I$11="OK",F127/INDEX(F$5:F$1258,'Stock Price'!$I$9)-1,"")</f>
        <v>6.7880794701986824E-2</v>
      </c>
      <c r="T127" s="19">
        <f ca="1">IF('Stock Price'!$I$11="OK",G127/INDEX(G$5:G$1258,'Stock Price'!$I$9)-1,"")</f>
        <v>0.34019278674320375</v>
      </c>
      <c r="U127" s="19">
        <f ca="1">IF('Stock Price'!$I$11="OK",H127/INDEX(H$5:H$1258,'Stock Price'!$I$9)-1,"")</f>
        <v>9.8039215686276382E-3</v>
      </c>
      <c r="V127" s="19">
        <f ca="1">IF('Stock Price'!$I$11="OK",I127/INDEX(I$5:I$1258,'Stock Price'!$I$9)-1,"")</f>
        <v>0.23913043478260865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134.63</v>
      </c>
      <c r="C128" s="18">
        <v>84.891499999999994</v>
      </c>
      <c r="D128" s="18">
        <v>54.45</v>
      </c>
      <c r="E128" s="18">
        <v>49.41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0.11264462809917353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0.13971742543171128</v>
      </c>
      <c r="R128" s="19">
        <f ca="1">IF('Stock Price'!$I$11="OK",E128/INDEX(E$5:E$1258,'Stock Price'!$I$9)-1,"")</f>
        <v>5.8029978586723541E-2</v>
      </c>
      <c r="S128" s="19">
        <f ca="1">IF('Stock Price'!$I$11="OK",F128/INDEX(F$5:F$1258,'Stock Price'!$I$9)-1,"")</f>
        <v>6.25E-2</v>
      </c>
      <c r="T128" s="19">
        <f ca="1">IF('Stock Price'!$I$11="OK",G128/INDEX(G$5:G$1258,'Stock Price'!$I$9)-1,"")</f>
        <v>0.34517491606195172</v>
      </c>
      <c r="U128" s="19">
        <f ca="1">IF('Stock Price'!$I$11="OK",H128/INDEX(H$5:H$1258,'Stock Price'!$I$9)-1,"")</f>
        <v>5.5147058823530326E-3</v>
      </c>
      <c r="V128" s="19">
        <f ca="1">IF('Stock Price'!$I$11="OK",I128/INDEX(I$5:I$1258,'Stock Price'!$I$9)-1,"")</f>
        <v>0.22329867674858228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133.25</v>
      </c>
      <c r="C129" s="18">
        <v>84.833399999999997</v>
      </c>
      <c r="D129" s="18">
        <v>54.862499999999997</v>
      </c>
      <c r="E129" s="18">
        <v>50.49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0.10123966942148765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0.14835164835164827</v>
      </c>
      <c r="R129" s="19">
        <f ca="1">IF('Stock Price'!$I$11="OK",E129/INDEX(E$5:E$1258,'Stock Price'!$I$9)-1,"")</f>
        <v>8.1156316916488169E-2</v>
      </c>
      <c r="S129" s="19">
        <f ca="1">IF('Stock Price'!$I$11="OK",F129/INDEX(F$5:F$1258,'Stock Price'!$I$9)-1,"")</f>
        <v>8.0298013245033273E-2</v>
      </c>
      <c r="T129" s="19">
        <f ca="1">IF('Stock Price'!$I$11="OK",G129/INDEX(G$5:G$1258,'Stock Price'!$I$9)-1,"")</f>
        <v>0.36510343333694362</v>
      </c>
      <c r="U129" s="19">
        <f ca="1">IF('Stock Price'!$I$11="OK",H129/INDEX(H$5:H$1258,'Stock Price'!$I$9)-1,"")</f>
        <v>2.3529411764705799E-2</v>
      </c>
      <c r="V129" s="19">
        <f ca="1">IF('Stock Price'!$I$11="OK",I129/INDEX(I$5:I$1258,'Stock Price'!$I$9)-1,"")</f>
        <v>0.21857277882797721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136.27000000000001</v>
      </c>
      <c r="C130" s="18">
        <v>84.485100000000003</v>
      </c>
      <c r="D130" s="18">
        <v>54.6875</v>
      </c>
      <c r="E130" s="18">
        <v>51.61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0.12619834710743816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0.14468864468864462</v>
      </c>
      <c r="R130" s="19">
        <f ca="1">IF('Stock Price'!$I$11="OK",E130/INDEX(E$5:E$1258,'Stock Price'!$I$9)-1,"")</f>
        <v>0.10513918629550312</v>
      </c>
      <c r="S130" s="19">
        <f ca="1">IF('Stock Price'!$I$11="OK",F130/INDEX(F$5:F$1258,'Stock Price'!$I$9)-1,"")</f>
        <v>8.7541390728476776E-2</v>
      </c>
      <c r="T130" s="19">
        <f ca="1">IF('Stock Price'!$I$11="OK",G130/INDEX(G$5:G$1258,'Stock Price'!$I$9)-1,"")</f>
        <v>0.40950936856926234</v>
      </c>
      <c r="U130" s="19">
        <f ca="1">IF('Stock Price'!$I$11="OK",H130/INDEX(H$5:H$1258,'Stock Price'!$I$9)-1,"")</f>
        <v>2.3161764705882382E-2</v>
      </c>
      <c r="V130" s="19">
        <f ca="1">IF('Stock Price'!$I$11="OK",I130/INDEX(I$5:I$1258,'Stock Price'!$I$9)-1,"")</f>
        <v>0.20368620037807172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133.61000000000001</v>
      </c>
      <c r="C131" s="18">
        <v>85.297799999999995</v>
      </c>
      <c r="D131" s="18">
        <v>55.712499999999999</v>
      </c>
      <c r="E131" s="18">
        <v>51.75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0.1042148760330579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0.16614338042909482</v>
      </c>
      <c r="R131" s="19">
        <f ca="1">IF('Stock Price'!$I$11="OK",E131/INDEX(E$5:E$1258,'Stock Price'!$I$9)-1,"")</f>
        <v>0.10813704496788001</v>
      </c>
      <c r="S131" s="19">
        <f ca="1">IF('Stock Price'!$I$11="OK",F131/INDEX(F$5:F$1258,'Stock Price'!$I$9)-1,"")</f>
        <v>9.47847682119205E-2</v>
      </c>
      <c r="T131" s="19">
        <f ca="1">IF('Stock Price'!$I$11="OK",G131/INDEX(G$5:G$1258,'Stock Price'!$I$9)-1,"")</f>
        <v>0.40929275425105605</v>
      </c>
      <c r="U131" s="19">
        <f ca="1">IF('Stock Price'!$I$11="OK",H131/INDEX(H$5:H$1258,'Stock Price'!$I$9)-1,"")</f>
        <v>2.5980392156862875E-2</v>
      </c>
      <c r="V131" s="19">
        <f ca="1">IF('Stock Price'!$I$11="OK",I131/INDEX(I$5:I$1258,'Stock Price'!$I$9)-1,"")</f>
        <v>0.21077504725897933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137.62</v>
      </c>
      <c r="C132" s="18">
        <v>87.697000000000003</v>
      </c>
      <c r="D132" s="18">
        <v>57.15</v>
      </c>
      <c r="E132" s="18">
        <v>52.63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0.13735537190082647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0.19623233908948201</v>
      </c>
      <c r="R132" s="19">
        <f ca="1">IF('Stock Price'!$I$11="OK",E132/INDEX(E$5:E$1258,'Stock Price'!$I$9)-1,"")</f>
        <v>0.12698072805139193</v>
      </c>
      <c r="S132" s="19">
        <f ca="1">IF('Stock Price'!$I$11="OK",F132/INDEX(F$5:F$1258,'Stock Price'!$I$9)-1,"")</f>
        <v>0.12044701986754958</v>
      </c>
      <c r="T132" s="19">
        <f ca="1">IF('Stock Price'!$I$11="OK",G132/INDEX(G$5:G$1258,'Stock Price'!$I$9)-1,"")</f>
        <v>0.41449149788801032</v>
      </c>
      <c r="U132" s="19">
        <f ca="1">IF('Stock Price'!$I$11="OK",H132/INDEX(H$5:H$1258,'Stock Price'!$I$9)-1,"")</f>
        <v>4.1299019607843102E-2</v>
      </c>
      <c r="V132" s="19">
        <f ca="1">IF('Stock Price'!$I$11="OK",I132/INDEX(I$5:I$1258,'Stock Price'!$I$9)-1,"")</f>
        <v>0.24929111531190928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139.88999999999999</v>
      </c>
      <c r="C133" s="18">
        <v>88.422600000000003</v>
      </c>
      <c r="D133" s="18">
        <v>57.787500000000001</v>
      </c>
      <c r="E133" s="18">
        <v>53.24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0.1561157024793387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0.2095761381475667</v>
      </c>
      <c r="R133" s="19">
        <f ca="1">IF('Stock Price'!$I$11="OK",E133/INDEX(E$5:E$1258,'Stock Price'!$I$9)-1,"")</f>
        <v>0.14004282655246247</v>
      </c>
      <c r="S133" s="19">
        <f ca="1">IF('Stock Price'!$I$11="OK",F133/INDEX(F$5:F$1258,'Stock Price'!$I$9)-1,"")</f>
        <v>0.14900662251655628</v>
      </c>
      <c r="T133" s="19">
        <f ca="1">IF('Stock Price'!$I$11="OK",G133/INDEX(G$5:G$1258,'Stock Price'!$I$9)-1,"")</f>
        <v>0.41882378425213918</v>
      </c>
      <c r="U133" s="19">
        <f ca="1">IF('Stock Price'!$I$11="OK",H133/INDEX(H$5:H$1258,'Stock Price'!$I$9)-1,"")</f>
        <v>6.3725490196078427E-2</v>
      </c>
      <c r="V133" s="19">
        <f ca="1">IF('Stock Price'!$I$11="OK",I133/INDEX(I$5:I$1258,'Stock Price'!$I$9)-1,"")</f>
        <v>0.30340264650283544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140.91999999999999</v>
      </c>
      <c r="C134" s="18">
        <v>89.709199999999996</v>
      </c>
      <c r="D134" s="18">
        <v>58.3</v>
      </c>
      <c r="E134" s="18">
        <v>53.44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0.16462809917355359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0.22030350601779181</v>
      </c>
      <c r="R134" s="19">
        <f ca="1">IF('Stock Price'!$I$11="OK",E134/INDEX(E$5:E$1258,'Stock Price'!$I$9)-1,"")</f>
        <v>0.14432548179871518</v>
      </c>
      <c r="S134" s="19">
        <f ca="1">IF('Stock Price'!$I$11="OK",F134/INDEX(F$5:F$1258,'Stock Price'!$I$9)-1,"")</f>
        <v>0.17446192052980125</v>
      </c>
      <c r="T134" s="19">
        <f ca="1">IF('Stock Price'!$I$11="OK",G134/INDEX(G$5:G$1258,'Stock Price'!$I$9)-1,"")</f>
        <v>0.44785010289180116</v>
      </c>
      <c r="U134" s="19">
        <f ca="1">IF('Stock Price'!$I$11="OK",H134/INDEX(H$5:H$1258,'Stock Price'!$I$9)-1,"")</f>
        <v>7.4509803921568807E-2</v>
      </c>
      <c r="V134" s="19">
        <f ca="1">IF('Stock Price'!$I$11="OK",I134/INDEX(I$5:I$1258,'Stock Price'!$I$9)-1,"")</f>
        <v>0.30363894139886582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137.94999999999999</v>
      </c>
      <c r="C135" s="18">
        <v>90.695999999999998</v>
      </c>
      <c r="D135" s="18">
        <v>58.1</v>
      </c>
      <c r="E135" s="18">
        <v>53.25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0.14008264462809916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0.21611721611721624</v>
      </c>
      <c r="R135" s="19">
        <f ca="1">IF('Stock Price'!$I$11="OK",E135/INDEX(E$5:E$1258,'Stock Price'!$I$9)-1,"")</f>
        <v>0.14025695931477511</v>
      </c>
      <c r="S135" s="19">
        <f ca="1">IF('Stock Price'!$I$11="OK",F135/INDEX(F$5:F$1258,'Stock Price'!$I$9)-1,"")</f>
        <v>0.1891556291390728</v>
      </c>
      <c r="T135" s="19">
        <f ca="1">IF('Stock Price'!$I$11="OK",G135/INDEX(G$5:G$1258,'Stock Price'!$I$9)-1,"")</f>
        <v>0.46712877721217394</v>
      </c>
      <c r="U135" s="19">
        <f ca="1">IF('Stock Price'!$I$11="OK",H135/INDEX(H$5:H$1258,'Stock Price'!$I$9)-1,"")</f>
        <v>6.1642156862745212E-2</v>
      </c>
      <c r="V135" s="19">
        <f ca="1">IF('Stock Price'!$I$11="OK",I135/INDEX(I$5:I$1258,'Stock Price'!$I$9)-1,"")</f>
        <v>0.27433837429111541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138.41999999999999</v>
      </c>
      <c r="C136" s="18">
        <v>89.651200000000003</v>
      </c>
      <c r="D136" s="18">
        <v>58.162500000000001</v>
      </c>
      <c r="E136" s="18">
        <v>52.05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0.14396694214876016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0.21742543171114614</v>
      </c>
      <c r="R136" s="19">
        <f ca="1">IF('Stock Price'!$I$11="OK",E136/INDEX(E$5:E$1258,'Stock Price'!$I$9)-1,"")</f>
        <v>0.11456102783725908</v>
      </c>
      <c r="S136" s="19">
        <f ca="1">IF('Stock Price'!$I$11="OK",F136/INDEX(F$5:F$1258,'Stock Price'!$I$9)-1,"")</f>
        <v>0.15314569536423828</v>
      </c>
      <c r="T136" s="19">
        <f ca="1">IF('Stock Price'!$I$11="OK",G136/INDEX(G$5:G$1258,'Stock Price'!$I$9)-1,"")</f>
        <v>0.46041373334777425</v>
      </c>
      <c r="U136" s="19">
        <f ca="1">IF('Stock Price'!$I$11="OK",H136/INDEX(H$5:H$1258,'Stock Price'!$I$9)-1,"")</f>
        <v>4.938725490196072E-2</v>
      </c>
      <c r="V136" s="19">
        <f ca="1">IF('Stock Price'!$I$11="OK",I136/INDEX(I$5:I$1258,'Stock Price'!$I$9)-1,"")</f>
        <v>0.25496219281663524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134.72</v>
      </c>
      <c r="C137" s="18">
        <v>89.912400000000005</v>
      </c>
      <c r="D137" s="18">
        <v>58.5625</v>
      </c>
      <c r="E137" s="18">
        <v>52.26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0.1133884297520662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0.22579801151229728</v>
      </c>
      <c r="R137" s="19">
        <f ca="1">IF('Stock Price'!$I$11="OK",E137/INDEX(E$5:E$1258,'Stock Price'!$I$9)-1,"")</f>
        <v>0.1190578158458242</v>
      </c>
      <c r="S137" s="19">
        <f ca="1">IF('Stock Price'!$I$11="OK",F137/INDEX(F$5:F$1258,'Stock Price'!$I$9)-1,"")</f>
        <v>0.17342715231788075</v>
      </c>
      <c r="T137" s="19">
        <f ca="1">IF('Stock Price'!$I$11="OK",G137/INDEX(G$5:G$1258,'Stock Price'!$I$9)-1,"")</f>
        <v>0.46257987652983856</v>
      </c>
      <c r="U137" s="19">
        <f ca="1">IF('Stock Price'!$I$11="OK",H137/INDEX(H$5:H$1258,'Stock Price'!$I$9)-1,"")</f>
        <v>5.5514705882352855E-2</v>
      </c>
      <c r="V137" s="19">
        <f ca="1">IF('Stock Price'!$I$11="OK",I137/INDEX(I$5:I$1258,'Stock Price'!$I$9)-1,"")</f>
        <v>0.25472589792060485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134</v>
      </c>
      <c r="C138" s="18">
        <v>89.506100000000004</v>
      </c>
      <c r="D138" s="18">
        <v>57.9</v>
      </c>
      <c r="E138" s="18">
        <v>51.63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0.10743801652892571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0.21193092621664045</v>
      </c>
      <c r="R138" s="19">
        <f ca="1">IF('Stock Price'!$I$11="OK",E138/INDEX(E$5:E$1258,'Stock Price'!$I$9)-1,"")</f>
        <v>0.10556745182012839</v>
      </c>
      <c r="S138" s="19">
        <f ca="1">IF('Stock Price'!$I$11="OK",F138/INDEX(F$5:F$1258,'Stock Price'!$I$9)-1,"")</f>
        <v>0.1537665562913908</v>
      </c>
      <c r="T138" s="19">
        <f ca="1">IF('Stock Price'!$I$11="OK",G138/INDEX(G$5:G$1258,'Stock Price'!$I$9)-1,"")</f>
        <v>0.45781436152929711</v>
      </c>
      <c r="U138" s="19">
        <f ca="1">IF('Stock Price'!$I$11="OK",H138/INDEX(H$5:H$1258,'Stock Price'!$I$9)-1,"")</f>
        <v>6.5073529411764808E-2</v>
      </c>
      <c r="V138" s="19">
        <f ca="1">IF('Stock Price'!$I$11="OK",I138/INDEX(I$5:I$1258,'Stock Price'!$I$9)-1,"")</f>
        <v>0.2551984877126654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141.57</v>
      </c>
      <c r="C139" s="18">
        <v>89.254499999999993</v>
      </c>
      <c r="D139" s="18">
        <v>57.75</v>
      </c>
      <c r="E139" s="18">
        <v>51.36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0.16999999999999993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0.20879120879120894</v>
      </c>
      <c r="R139" s="19">
        <f ca="1">IF('Stock Price'!$I$11="OK",E139/INDEX(E$5:E$1258,'Stock Price'!$I$9)-1,"")</f>
        <v>9.9785867237687231E-2</v>
      </c>
      <c r="S139" s="19">
        <f ca="1">IF('Stock Price'!$I$11="OK",F139/INDEX(F$5:F$1258,'Stock Price'!$I$9)-1,"")</f>
        <v>0.14217715231788075</v>
      </c>
      <c r="T139" s="19">
        <f ca="1">IF('Stock Price'!$I$11="OK",G139/INDEX(G$5:G$1258,'Stock Price'!$I$9)-1,"")</f>
        <v>0.45781436152929711</v>
      </c>
      <c r="U139" s="19">
        <f ca="1">IF('Stock Price'!$I$11="OK",H139/INDEX(H$5:H$1258,'Stock Price'!$I$9)-1,"")</f>
        <v>5.4779411764705799E-2</v>
      </c>
      <c r="V139" s="19">
        <f ca="1">IF('Stock Price'!$I$11="OK",I139/INDEX(I$5:I$1258,'Stock Price'!$I$9)-1,"")</f>
        <v>0.2249527410207941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135.08000000000001</v>
      </c>
      <c r="C140" s="18">
        <v>88.616</v>
      </c>
      <c r="D140" s="18">
        <v>57.362499999999997</v>
      </c>
      <c r="E140" s="18">
        <v>49.67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0.11636363636363645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0.20068027210884343</v>
      </c>
      <c r="R140" s="19">
        <f ca="1">IF('Stock Price'!$I$11="OK",E140/INDEX(E$5:E$1258,'Stock Price'!$I$9)-1,"")</f>
        <v>6.3597430406852284E-2</v>
      </c>
      <c r="S140" s="19">
        <f ca="1">IF('Stock Price'!$I$11="OK",F140/INDEX(F$5:F$1258,'Stock Price'!$I$9)-1,"")</f>
        <v>0.14238410596026485</v>
      </c>
      <c r="T140" s="19">
        <f ca="1">IF('Stock Price'!$I$11="OK",G140/INDEX(G$5:G$1258,'Stock Price'!$I$9)-1,"")</f>
        <v>0.43875230152713107</v>
      </c>
      <c r="U140" s="19">
        <f ca="1">IF('Stock Price'!$I$11="OK",H140/INDEX(H$5:H$1258,'Stock Price'!$I$9)-1,"")</f>
        <v>5.1348039215686425E-2</v>
      </c>
      <c r="V140" s="19">
        <f ca="1">IF('Stock Price'!$I$11="OK",I140/INDEX(I$5:I$1258,'Stock Price'!$I$9)-1,"")</f>
        <v>0.18572778827977321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136.83000000000001</v>
      </c>
      <c r="C141" s="18">
        <v>88.267799999999994</v>
      </c>
      <c r="D141" s="18">
        <v>57.3</v>
      </c>
      <c r="E141" s="18">
        <v>49.15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0.13082644628099183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0.19937205651491374</v>
      </c>
      <c r="R141" s="19">
        <f ca="1">IF('Stock Price'!$I$11="OK",E141/INDEX(E$5:E$1258,'Stock Price'!$I$9)-1,"")</f>
        <v>5.2462526766595241E-2</v>
      </c>
      <c r="S141" s="19">
        <f ca="1">IF('Stock Price'!$I$11="OK",F141/INDEX(F$5:F$1258,'Stock Price'!$I$9)-1,"")</f>
        <v>0.1558360927152318</v>
      </c>
      <c r="T141" s="19">
        <f ca="1">IF('Stock Price'!$I$11="OK",G141/INDEX(G$5:G$1258,'Stock Price'!$I$9)-1,"")</f>
        <v>0.40950936856926234</v>
      </c>
      <c r="U141" s="19">
        <f ca="1">IF('Stock Price'!$I$11="OK",H141/INDEX(H$5:H$1258,'Stock Price'!$I$9)-1,"")</f>
        <v>5.9558823529411775E-2</v>
      </c>
      <c r="V141" s="19">
        <f ca="1">IF('Stock Price'!$I$11="OK",I141/INDEX(I$5:I$1258,'Stock Price'!$I$9)-1,"")</f>
        <v>0.17556710775047257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135.38</v>
      </c>
      <c r="C142" s="18">
        <v>87.019800000000004</v>
      </c>
      <c r="D142" s="18">
        <v>57.112499999999997</v>
      </c>
      <c r="E142" s="18">
        <v>47.47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0.11884297520661158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0.19544740973312402</v>
      </c>
      <c r="R142" s="19">
        <f ca="1">IF('Stock Price'!$I$11="OK",E142/INDEX(E$5:E$1258,'Stock Price'!$I$9)-1,"")</f>
        <v>1.6488222698072708E-2</v>
      </c>
      <c r="S142" s="19">
        <f ca="1">IF('Stock Price'!$I$11="OK",F142/INDEX(F$5:F$1258,'Stock Price'!$I$9)-1,"")</f>
        <v>0.14300496688741715</v>
      </c>
      <c r="T142" s="19">
        <f ca="1">IF('Stock Price'!$I$11="OK",G142/INDEX(G$5:G$1258,'Stock Price'!$I$9)-1,"")</f>
        <v>0.43615292970865371</v>
      </c>
      <c r="U142" s="19">
        <f ca="1">IF('Stock Price'!$I$11="OK",H142/INDEX(H$5:H$1258,'Stock Price'!$I$9)-1,"")</f>
        <v>5.6740196078431504E-2</v>
      </c>
      <c r="V142" s="19">
        <f ca="1">IF('Stock Price'!$I$11="OK",I142/INDEX(I$5:I$1258,'Stock Price'!$I$9)-1,"")</f>
        <v>0.16044423440453692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134.66999999999999</v>
      </c>
      <c r="C143" s="18">
        <v>86.303899999999999</v>
      </c>
      <c r="D143" s="18">
        <v>56.087499999999999</v>
      </c>
      <c r="E143" s="18">
        <v>47.88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0.11297520661157012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0.17399267399267404</v>
      </c>
      <c r="R143" s="19">
        <f ca="1">IF('Stock Price'!$I$11="OK",E143/INDEX(E$5:E$1258,'Stock Price'!$I$9)-1,"")</f>
        <v>2.5267665952890761E-2</v>
      </c>
      <c r="S143" s="19">
        <f ca="1">IF('Stock Price'!$I$11="OK",F143/INDEX(F$5:F$1258,'Stock Price'!$I$9)-1,"")</f>
        <v>0.1225165562913908</v>
      </c>
      <c r="T143" s="19">
        <f ca="1">IF('Stock Price'!$I$11="OK",G143/INDEX(G$5:G$1258,'Stock Price'!$I$9)-1,"")</f>
        <v>0.4335535578901768</v>
      </c>
      <c r="U143" s="19">
        <f ca="1">IF('Stock Price'!$I$11="OK",H143/INDEX(H$5:H$1258,'Stock Price'!$I$9)-1,"")</f>
        <v>3.6642156862745301E-2</v>
      </c>
      <c r="V143" s="19">
        <f ca="1">IF('Stock Price'!$I$11="OK",I143/INDEX(I$5:I$1258,'Stock Price'!$I$9)-1,"")</f>
        <v>0.13728733459357279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129.33000000000001</v>
      </c>
      <c r="C144" s="18">
        <v>87.493799999999993</v>
      </c>
      <c r="D144" s="18">
        <v>56.424999999999997</v>
      </c>
      <c r="E144" s="18">
        <v>48.08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6.8842975206611756E-2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0.18105703819989527</v>
      </c>
      <c r="R144" s="19">
        <f ca="1">IF('Stock Price'!$I$11="OK",E144/INDEX(E$5:E$1258,'Stock Price'!$I$9)-1,"")</f>
        <v>2.955032119914347E-2</v>
      </c>
      <c r="S144" s="19">
        <f ca="1">IF('Stock Price'!$I$11="OK",F144/INDEX(F$5:F$1258,'Stock Price'!$I$9)-1,"")</f>
        <v>0.1287251655629138</v>
      </c>
      <c r="T144" s="19">
        <f ca="1">IF('Stock Price'!$I$11="OK",G144/INDEX(G$5:G$1258,'Stock Price'!$I$9)-1,"")</f>
        <v>0.3956460522040508</v>
      </c>
      <c r="U144" s="19">
        <f ca="1">IF('Stock Price'!$I$11="OK",H144/INDEX(H$5:H$1258,'Stock Price'!$I$9)-1,"")</f>
        <v>4.705882352941182E-2</v>
      </c>
      <c r="V144" s="19">
        <f ca="1">IF('Stock Price'!$I$11="OK",I144/INDEX(I$5:I$1258,'Stock Price'!$I$9)-1,"")</f>
        <v>0.15666351606805295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129.46</v>
      </c>
      <c r="C145" s="18">
        <v>86.061999999999998</v>
      </c>
      <c r="D145" s="18">
        <v>55.487499999999997</v>
      </c>
      <c r="E145" s="18">
        <v>46.25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6.9917355371900802E-2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0.16143380429094711</v>
      </c>
      <c r="R145" s="19">
        <f ca="1">IF('Stock Price'!$I$11="OK",E145/INDEX(E$5:E$1258,'Stock Price'!$I$9)-1,"")</f>
        <v>-9.6359743040685952E-3</v>
      </c>
      <c r="S145" s="19">
        <f ca="1">IF('Stock Price'!$I$11="OK",F145/INDEX(F$5:F$1258,'Stock Price'!$I$9)-1,"")</f>
        <v>0.11568708609271505</v>
      </c>
      <c r="T145" s="19">
        <f ca="1">IF('Stock Price'!$I$11="OK",G145/INDEX(G$5:G$1258,'Stock Price'!$I$9)-1,"")</f>
        <v>0.38633163652117397</v>
      </c>
      <c r="U145" s="19">
        <f ca="1">IF('Stock Price'!$I$11="OK",H145/INDEX(H$5:H$1258,'Stock Price'!$I$9)-1,"")</f>
        <v>3.529411764705892E-2</v>
      </c>
      <c r="V145" s="19">
        <f ca="1">IF('Stock Price'!$I$11="OK",I145/INDEX(I$5:I$1258,'Stock Price'!$I$9)-1,"")</f>
        <v>0.15855387523629494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129.33000000000001</v>
      </c>
      <c r="C146" s="18">
        <v>86.497399999999999</v>
      </c>
      <c r="D146" s="18">
        <v>56.8</v>
      </c>
      <c r="E146" s="18">
        <v>47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6.8842975206611756E-2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0.18890633176347449</v>
      </c>
      <c r="R146" s="19">
        <f ca="1">IF('Stock Price'!$I$11="OK",E146/INDEX(E$5:E$1258,'Stock Price'!$I$9)-1,"")</f>
        <v>6.4239828693790635E-3</v>
      </c>
      <c r="S146" s="19">
        <f ca="1">IF('Stock Price'!$I$11="OK",F146/INDEX(F$5:F$1258,'Stock Price'!$I$9)-1,"")</f>
        <v>0.1245860927152318</v>
      </c>
      <c r="T146" s="19">
        <f ca="1">IF('Stock Price'!$I$11="OK",G146/INDEX(G$5:G$1258,'Stock Price'!$I$9)-1,"")</f>
        <v>0.35817177515433785</v>
      </c>
      <c r="U146" s="19">
        <f ca="1">IF('Stock Price'!$I$11="OK",H146/INDEX(H$5:H$1258,'Stock Price'!$I$9)-1,"")</f>
        <v>3.443627450980391E-2</v>
      </c>
      <c r="V146" s="19">
        <f ca="1">IF('Stock Price'!$I$11="OK",I146/INDEX(I$5:I$1258,'Stock Price'!$I$9)-1,"")</f>
        <v>0.17533081285444241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129.83000000000001</v>
      </c>
      <c r="C147" s="18">
        <v>87.281000000000006</v>
      </c>
      <c r="D147" s="18">
        <v>57.174999999999997</v>
      </c>
      <c r="E147" s="18">
        <v>46.58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7.2975206611570309E-2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0.19675562532705393</v>
      </c>
      <c r="R147" s="19">
        <f ca="1">IF('Stock Price'!$I$11="OK",E147/INDEX(E$5:E$1258,'Stock Price'!$I$9)-1,"")</f>
        <v>-2.5695931477517364E-3</v>
      </c>
      <c r="S147" s="19">
        <f ca="1">IF('Stock Price'!$I$11="OK",F147/INDEX(F$5:F$1258,'Stock Price'!$I$9)-1,"")</f>
        <v>0.1260347682119205</v>
      </c>
      <c r="T147" s="19">
        <f ca="1">IF('Stock Price'!$I$11="OK",G147/INDEX(G$5:G$1258,'Stock Price'!$I$9)-1,"")</f>
        <v>0.3427921585616811</v>
      </c>
      <c r="U147" s="19">
        <f ca="1">IF('Stock Price'!$I$11="OK",H147/INDEX(H$5:H$1258,'Stock Price'!$I$9)-1,"")</f>
        <v>8.553921568627465E-2</v>
      </c>
      <c r="V147" s="19">
        <f ca="1">IF('Stock Price'!$I$11="OK",I147/INDEX(I$5:I$1258,'Stock Price'!$I$9)-1,"")</f>
        <v>0.19352551984877131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132.33000000000001</v>
      </c>
      <c r="C148" s="18">
        <v>85.162300000000002</v>
      </c>
      <c r="D148" s="18">
        <v>56.6</v>
      </c>
      <c r="E148" s="18">
        <v>46.18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9.363636363636374E-2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0.18472004186289914</v>
      </c>
      <c r="R148" s="19">
        <f ca="1">IF('Stock Price'!$I$11="OK",E148/INDEX(E$5:E$1258,'Stock Price'!$I$9)-1,"")</f>
        <v>-1.1134903640257043E-2</v>
      </c>
      <c r="S148" s="19">
        <f ca="1">IF('Stock Price'!$I$11="OK",F148/INDEX(F$5:F$1258,'Stock Price'!$I$9)-1,"")</f>
        <v>8.1332781456953551E-2</v>
      </c>
      <c r="T148" s="19">
        <f ca="1">IF('Stock Price'!$I$11="OK",G148/INDEX(G$5:G$1258,'Stock Price'!$I$9)-1,"")</f>
        <v>0.36250406151846626</v>
      </c>
      <c r="U148" s="19">
        <f ca="1">IF('Stock Price'!$I$11="OK",H148/INDEX(H$5:H$1258,'Stock Price'!$I$9)-1,"")</f>
        <v>8.6887254901960809E-2</v>
      </c>
      <c r="V148" s="19">
        <f ca="1">IF('Stock Price'!$I$11="OK",I148/INDEX(I$5:I$1258,'Stock Price'!$I$9)-1,"")</f>
        <v>0.15949905482041582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130</v>
      </c>
      <c r="C149" s="18">
        <v>84.794700000000006</v>
      </c>
      <c r="D149" s="18">
        <v>55.9</v>
      </c>
      <c r="E149" s="18">
        <v>45.5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7.4380165289256173E-2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0.17006802721088432</v>
      </c>
      <c r="R149" s="19">
        <f ca="1">IF('Stock Price'!$I$11="OK",E149/INDEX(E$5:E$1258,'Stock Price'!$I$9)-1,"")</f>
        <v>-2.5695931477516143E-2</v>
      </c>
      <c r="S149" s="19">
        <f ca="1">IF('Stock Price'!$I$11="OK",F149/INDEX(F$5:F$1258,'Stock Price'!$I$9)-1,"")</f>
        <v>9.8096026490066324E-2</v>
      </c>
      <c r="T149" s="19">
        <f ca="1">IF('Stock Price'!$I$11="OK",G149/INDEX(G$5:G$1258,'Stock Price'!$I$9)-1,"")</f>
        <v>0.30358496696631643</v>
      </c>
      <c r="U149" s="19">
        <f ca="1">IF('Stock Price'!$I$11="OK",H149/INDEX(H$5:H$1258,'Stock Price'!$I$9)-1,"")</f>
        <v>7.4142156862745168E-2</v>
      </c>
      <c r="V149" s="19">
        <f ca="1">IF('Stock Price'!$I$11="OK",I149/INDEX(I$5:I$1258,'Stock Price'!$I$9)-1,"")</f>
        <v>0.14224952741020802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130.08000000000001</v>
      </c>
      <c r="C150" s="18">
        <v>84.630300000000005</v>
      </c>
      <c r="D150" s="18">
        <v>56.4</v>
      </c>
      <c r="E150" s="18">
        <v>45.13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7.5041322314049586E-2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0.18053375196232335</v>
      </c>
      <c r="R150" s="19">
        <f ca="1">IF('Stock Price'!$I$11="OK",E150/INDEX(E$5:E$1258,'Stock Price'!$I$9)-1,"")</f>
        <v>-3.3618843683083544E-2</v>
      </c>
      <c r="S150" s="19">
        <f ca="1">IF('Stock Price'!$I$11="OK",F150/INDEX(F$5:F$1258,'Stock Price'!$I$9)-1,"")</f>
        <v>0.10554635761589415</v>
      </c>
      <c r="T150" s="19">
        <f ca="1">IF('Stock Price'!$I$11="OK",G150/INDEX(G$5:G$1258,'Stock Price'!$I$9)-1,"")</f>
        <v>0.32437994151413418</v>
      </c>
      <c r="U150" s="19">
        <f ca="1">IF('Stock Price'!$I$11="OK",H150/INDEX(H$5:H$1258,'Stock Price'!$I$9)-1,"")</f>
        <v>6.7401960784313708E-2</v>
      </c>
      <c r="V150" s="19">
        <f ca="1">IF('Stock Price'!$I$11="OK",I150/INDEX(I$5:I$1258,'Stock Price'!$I$9)-1,"")</f>
        <v>0.16469754253308122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129.25</v>
      </c>
      <c r="C151" s="18">
        <v>85.394499999999994</v>
      </c>
      <c r="D151" s="18">
        <v>56.45</v>
      </c>
      <c r="E151" s="18">
        <v>45.01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6.8181818181818121E-2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0.18158032443746741</v>
      </c>
      <c r="R151" s="19">
        <f ca="1">IF('Stock Price'!$I$11="OK",E151/INDEX(E$5:E$1258,'Stock Price'!$I$9)-1,"")</f>
        <v>-3.6188436830835169E-2</v>
      </c>
      <c r="S151" s="19">
        <f ca="1">IF('Stock Price'!$I$11="OK",F151/INDEX(F$5:F$1258,'Stock Price'!$I$9)-1,"")</f>
        <v>8.6299668874172175E-2</v>
      </c>
      <c r="T151" s="19">
        <f ca="1">IF('Stock Price'!$I$11="OK",G151/INDEX(G$5:G$1258,'Stock Price'!$I$9)-1,"")</f>
        <v>0.32351348424130832</v>
      </c>
      <c r="U151" s="19">
        <f ca="1">IF('Stock Price'!$I$11="OK",H151/INDEX(H$5:H$1258,'Stock Price'!$I$9)-1,"")</f>
        <v>8.4803921568627372E-2</v>
      </c>
      <c r="V151" s="19">
        <f ca="1">IF('Stock Price'!$I$11="OK",I151/INDEX(I$5:I$1258,'Stock Price'!$I$9)-1,"")</f>
        <v>0.1734404536862002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127.6</v>
      </c>
      <c r="C152" s="18">
        <v>83.401600000000002</v>
      </c>
      <c r="D152" s="18">
        <v>55.487499999999997</v>
      </c>
      <c r="E152" s="18">
        <v>43.75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5.4545454545454453E-2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0.16143380429094711</v>
      </c>
      <c r="R152" s="19">
        <f ca="1">IF('Stock Price'!$I$11="OK",E152/INDEX(E$5:E$1258,'Stock Price'!$I$9)-1,"")</f>
        <v>-6.3169164882227014E-2</v>
      </c>
      <c r="S152" s="19">
        <f ca="1">IF('Stock Price'!$I$11="OK",F152/INDEX(F$5:F$1258,'Stock Price'!$I$9)-1,"")</f>
        <v>6.5397350993377401E-2</v>
      </c>
      <c r="T152" s="19">
        <f ca="1">IF('Stock Price'!$I$11="OK",G152/INDEX(G$5:G$1258,'Stock Price'!$I$9)-1,"")</f>
        <v>0.31138308242174806</v>
      </c>
      <c r="U152" s="19">
        <f ca="1">IF('Stock Price'!$I$11="OK",H152/INDEX(H$5:H$1258,'Stock Price'!$I$9)-1,"")</f>
        <v>7.8553921568627505E-2</v>
      </c>
      <c r="V152" s="19">
        <f ca="1">IF('Stock Price'!$I$11="OK",I152/INDEX(I$5:I$1258,'Stock Price'!$I$9)-1,"")</f>
        <v>0.14484877126654072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125.58</v>
      </c>
      <c r="C153" s="18">
        <v>83.024299999999997</v>
      </c>
      <c r="D153" s="18">
        <v>55.112499999999997</v>
      </c>
      <c r="E153" s="18">
        <v>43.94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3.7851239669421499E-2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0.1535845107273679</v>
      </c>
      <c r="R153" s="19">
        <f ca="1">IF('Stock Price'!$I$11="OK",E153/INDEX(E$5:E$1258,'Stock Price'!$I$9)-1,"")</f>
        <v>-5.9100642398287051E-2</v>
      </c>
      <c r="S153" s="19">
        <f ca="1">IF('Stock Price'!$I$11="OK",F153/INDEX(F$5:F$1258,'Stock Price'!$I$9)-1,"")</f>
        <v>6.37417218543046E-2</v>
      </c>
      <c r="T153" s="19">
        <f ca="1">IF('Stock Price'!$I$11="OK",G153/INDEX(G$5:G$1258,'Stock Price'!$I$9)-1,"")</f>
        <v>0.29665330878371066</v>
      </c>
      <c r="U153" s="19">
        <f ca="1">IF('Stock Price'!$I$11="OK",H153/INDEX(H$5:H$1258,'Stock Price'!$I$9)-1,"")</f>
        <v>8.3210784313725528E-2</v>
      </c>
      <c r="V153" s="19">
        <f ca="1">IF('Stock Price'!$I$11="OK",I153/INDEX(I$5:I$1258,'Stock Price'!$I$9)-1,"")</f>
        <v>0.1587901701323251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121.53</v>
      </c>
      <c r="C154" s="18">
        <v>80.760599999999997</v>
      </c>
      <c r="D154" s="18">
        <v>53.95</v>
      </c>
      <c r="E154" s="18">
        <v>43.6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4.3801652892561105E-3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0.12925170068027225</v>
      </c>
      <c r="R154" s="19">
        <f ca="1">IF('Stock Price'!$I$11="OK",E154/INDEX(E$5:E$1258,'Stock Price'!$I$9)-1,"")</f>
        <v>-6.6381156316916545E-2</v>
      </c>
      <c r="S154" s="19">
        <f ca="1">IF('Stock Price'!$I$11="OK",F154/INDEX(F$5:F$1258,'Stock Price'!$I$9)-1,"")</f>
        <v>5.3807947019867575E-2</v>
      </c>
      <c r="T154" s="19">
        <f ca="1">IF('Stock Price'!$I$11="OK",G154/INDEX(G$5:G$1258,'Stock Price'!$I$9)-1,"")</f>
        <v>0.27195927650817708</v>
      </c>
      <c r="U154" s="19">
        <f ca="1">IF('Stock Price'!$I$11="OK",H154/INDEX(H$5:H$1258,'Stock Price'!$I$9)-1,"")</f>
        <v>7.4019607843137436E-2</v>
      </c>
      <c r="V154" s="19">
        <f ca="1">IF('Stock Price'!$I$11="OK",I154/INDEX(I$5:I$1258,'Stock Price'!$I$9)-1,"")</f>
        <v>0.14933837429111541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123.75</v>
      </c>
      <c r="C155" s="18">
        <v>81.640900000000002</v>
      </c>
      <c r="D155" s="18">
        <v>54.274999999999999</v>
      </c>
      <c r="E155" s="18">
        <v>44.62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2.2727272727272707E-2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0.13605442176870741</v>
      </c>
      <c r="R155" s="19">
        <f ca="1">IF('Stock Price'!$I$11="OK",E155/INDEX(E$5:E$1258,'Stock Price'!$I$9)-1,"")</f>
        <v>-4.4539614561027951E-2</v>
      </c>
      <c r="S155" s="19">
        <f ca="1">IF('Stock Price'!$I$11="OK",F155/INDEX(F$5:F$1258,'Stock Price'!$I$9)-1,"")</f>
        <v>7.9677152317880751E-2</v>
      </c>
      <c r="T155" s="19">
        <f ca="1">IF('Stock Price'!$I$11="OK",G155/INDEX(G$5:G$1258,'Stock Price'!$I$9)-1,"")</f>
        <v>0.34062601537961656</v>
      </c>
      <c r="U155" s="19">
        <f ca="1">IF('Stock Price'!$I$11="OK",H155/INDEX(H$5:H$1258,'Stock Price'!$I$9)-1,"")</f>
        <v>7.6102941176470651E-2</v>
      </c>
      <c r="V155" s="19">
        <f ca="1">IF('Stock Price'!$I$11="OK",I155/INDEX(I$5:I$1258,'Stock Price'!$I$9)-1,"")</f>
        <v>0.16942344045368629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122.7</v>
      </c>
      <c r="C156" s="18">
        <v>81.302300000000002</v>
      </c>
      <c r="D156" s="18">
        <v>53.162500000000001</v>
      </c>
      <c r="E156" s="18">
        <v>40.56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1.4049586776859524E-2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0.11276818419675561</v>
      </c>
      <c r="R156" s="19">
        <f ca="1">IF('Stock Price'!$I$11="OK",E156/INDEX(E$5:E$1258,'Stock Price'!$I$9)-1,"")</f>
        <v>-0.13147751605995717</v>
      </c>
      <c r="S156" s="19">
        <f ca="1">IF('Stock Price'!$I$11="OK",F156/INDEX(F$5:F$1258,'Stock Price'!$I$9)-1,"")</f>
        <v>4.9668874172185351E-2</v>
      </c>
      <c r="T156" s="19">
        <f ca="1">IF('Stock Price'!$I$11="OK",G156/INDEX(G$5:G$1258,'Stock Price'!$I$9)-1,"")</f>
        <v>0.25722950287013968</v>
      </c>
      <c r="U156" s="19">
        <f ca="1">IF('Stock Price'!$I$11="OK",H156/INDEX(H$5:H$1258,'Stock Price'!$I$9)-1,"")</f>
        <v>9.3014705882352944E-2</v>
      </c>
      <c r="V156" s="19">
        <f ca="1">IF('Stock Price'!$I$11="OK",I156/INDEX(I$5:I$1258,'Stock Price'!$I$9)-1,"")</f>
        <v>0.16847826086956519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120.72</v>
      </c>
      <c r="C157" s="18">
        <v>82.598699999999994</v>
      </c>
      <c r="D157" s="18">
        <v>53.087499999999999</v>
      </c>
      <c r="E157" s="18">
        <v>39.54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-2.314049586776834E-3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0.11119832548403985</v>
      </c>
      <c r="R157" s="19">
        <f ca="1">IF('Stock Price'!$I$11="OK",E157/INDEX(E$5:E$1258,'Stock Price'!$I$9)-1,"")</f>
        <v>-0.15331905781584587</v>
      </c>
      <c r="S157" s="19">
        <f ca="1">IF('Stock Price'!$I$11="OK",F157/INDEX(F$5:F$1258,'Stock Price'!$I$9)-1,"")</f>
        <v>6.0016556291390799E-2</v>
      </c>
      <c r="T157" s="19">
        <f ca="1">IF('Stock Price'!$I$11="OK",G157/INDEX(G$5:G$1258,'Stock Price'!$I$9)-1,"")</f>
        <v>0.3083504819668581</v>
      </c>
      <c r="U157" s="19">
        <f ca="1">IF('Stock Price'!$I$11="OK",H157/INDEX(H$5:H$1258,'Stock Price'!$I$9)-1,"")</f>
        <v>0.11311274509803937</v>
      </c>
      <c r="V157" s="19">
        <f ca="1">IF('Stock Price'!$I$11="OK",I157/INDEX(I$5:I$1258,'Stock Price'!$I$9)-1,"")</f>
        <v>0.19068998109640822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125.82</v>
      </c>
      <c r="C158" s="18">
        <v>83.024299999999997</v>
      </c>
      <c r="D158" s="18">
        <v>54.15</v>
      </c>
      <c r="E158" s="18">
        <v>39.75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3.9834710743801516E-2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0.13343799058084782</v>
      </c>
      <c r="R158" s="19">
        <f ca="1">IF('Stock Price'!$I$11="OK",E158/INDEX(E$5:E$1258,'Stock Price'!$I$9)-1,"")</f>
        <v>-0.14882226980728053</v>
      </c>
      <c r="S158" s="19">
        <f ca="1">IF('Stock Price'!$I$11="OK",F158/INDEX(F$5:F$1258,'Stock Price'!$I$9)-1,"")</f>
        <v>7.6779801324503349E-2</v>
      </c>
      <c r="T158" s="19">
        <f ca="1">IF('Stock Price'!$I$11="OK",G158/INDEX(G$5:G$1258,'Stock Price'!$I$9)-1,"")</f>
        <v>0.33304451424239145</v>
      </c>
      <c r="U158" s="19">
        <f ca="1">IF('Stock Price'!$I$11="OK",H158/INDEX(H$5:H$1258,'Stock Price'!$I$9)-1,"")</f>
        <v>0.10796568627450975</v>
      </c>
      <c r="V158" s="19">
        <f ca="1">IF('Stock Price'!$I$11="OK",I158/INDEX(I$5:I$1258,'Stock Price'!$I$9)-1,"")</f>
        <v>0.17958412098298671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126.58</v>
      </c>
      <c r="C159" s="18">
        <v>84.9495</v>
      </c>
      <c r="D159" s="18">
        <v>55.462499999999999</v>
      </c>
      <c r="E159" s="18">
        <v>40.119999999999997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4.6115702479338827E-2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0.1609105180533752</v>
      </c>
      <c r="R159" s="19">
        <f ca="1">IF('Stock Price'!$I$11="OK",E159/INDEX(E$5:E$1258,'Stock Price'!$I$9)-1,"")</f>
        <v>-0.14089935760171313</v>
      </c>
      <c r="S159" s="19">
        <f ca="1">IF('Stock Price'!$I$11="OK",F159/INDEX(F$5:F$1258,'Stock Price'!$I$9)-1,"")</f>
        <v>8.7748344370860876E-2</v>
      </c>
      <c r="T159" s="19">
        <f ca="1">IF('Stock Price'!$I$11="OK",G159/INDEX(G$5:G$1258,'Stock Price'!$I$9)-1,"")</f>
        <v>0.36921910538286595</v>
      </c>
      <c r="U159" s="19">
        <f ca="1">IF('Stock Price'!$I$11="OK",H159/INDEX(H$5:H$1258,'Stock Price'!$I$9)-1,"")</f>
        <v>0.13137254901960782</v>
      </c>
      <c r="V159" s="19">
        <f ca="1">IF('Stock Price'!$I$11="OK",I159/INDEX(I$5:I$1258,'Stock Price'!$I$9)-1,"")</f>
        <v>0.19730623818525528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129.22</v>
      </c>
      <c r="C160" s="18">
        <v>85.055899999999994</v>
      </c>
      <c r="D160" s="18">
        <v>55.887500000000003</v>
      </c>
      <c r="E160" s="18">
        <v>40.369999999999997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6.7933884297520564E-2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0.16980638409209847</v>
      </c>
      <c r="R160" s="19">
        <f ca="1">IF('Stock Price'!$I$11="OK",E160/INDEX(E$5:E$1258,'Stock Price'!$I$9)-1,"")</f>
        <v>-0.13554603854389735</v>
      </c>
      <c r="S160" s="19">
        <f ca="1">IF('Stock Price'!$I$11="OK",F160/INDEX(F$5:F$1258,'Stock Price'!$I$9)-1,"")</f>
        <v>9.47847682119205E-2</v>
      </c>
      <c r="T160" s="19">
        <f ca="1">IF('Stock Price'!$I$11="OK",G160/INDEX(G$5:G$1258,'Stock Price'!$I$9)-1,"")</f>
        <v>0.38893100833965133</v>
      </c>
      <c r="U160" s="19">
        <f ca="1">IF('Stock Price'!$I$11="OK",H160/INDEX(H$5:H$1258,'Stock Price'!$I$9)-1,"")</f>
        <v>0.13970588235294135</v>
      </c>
      <c r="V160" s="19">
        <f ca="1">IF('Stock Price'!$I$11="OK",I160/INDEX(I$5:I$1258,'Stock Price'!$I$9)-1,"")</f>
        <v>0.21313799621928164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125.49</v>
      </c>
      <c r="C161" s="18">
        <v>84.823700000000002</v>
      </c>
      <c r="D161" s="18">
        <v>54.537500000000001</v>
      </c>
      <c r="E161" s="18">
        <v>40.340000000000003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3.7107438016528826E-2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0.14154892726321311</v>
      </c>
      <c r="R161" s="19">
        <f ca="1">IF('Stock Price'!$I$11="OK",E161/INDEX(E$5:E$1258,'Stock Price'!$I$9)-1,"")</f>
        <v>-0.13618843683083515</v>
      </c>
      <c r="S161" s="19">
        <f ca="1">IF('Stock Price'!$I$11="OK",F161/INDEX(F$5:F$1258,'Stock Price'!$I$9)-1,"")</f>
        <v>8.4230132450331174E-2</v>
      </c>
      <c r="T161" s="19">
        <f ca="1">IF('Stock Price'!$I$11="OK",G161/INDEX(G$5:G$1258,'Stock Price'!$I$9)-1,"")</f>
        <v>0.38199935015704534</v>
      </c>
      <c r="U161" s="19">
        <f ca="1">IF('Stock Price'!$I$11="OK",H161/INDEX(H$5:H$1258,'Stock Price'!$I$9)-1,"")</f>
        <v>0.12867647058823528</v>
      </c>
      <c r="V161" s="19">
        <f ca="1">IF('Stock Price'!$I$11="OK",I161/INDEX(I$5:I$1258,'Stock Price'!$I$9)-1,"")</f>
        <v>0.19092627599243861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125.9</v>
      </c>
      <c r="C162" s="18">
        <v>85.762100000000004</v>
      </c>
      <c r="D162" s="18">
        <v>54.45</v>
      </c>
      <c r="E162" s="18">
        <v>40.74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4.0495867768595151E-2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0.13971742543171128</v>
      </c>
      <c r="R162" s="19">
        <f ca="1">IF('Stock Price'!$I$11="OK",E162/INDEX(E$5:E$1258,'Stock Price'!$I$9)-1,"")</f>
        <v>-0.12762312633832973</v>
      </c>
      <c r="S162" s="19">
        <f ca="1">IF('Stock Price'!$I$11="OK",F162/INDEX(F$5:F$1258,'Stock Price'!$I$9)-1,"")</f>
        <v>9.8096026490066324E-2</v>
      </c>
      <c r="T162" s="19">
        <f ca="1">IF('Stock Price'!$I$11="OK",G162/INDEX(G$5:G$1258,'Stock Price'!$I$9)-1,"")</f>
        <v>0.37333477742878807</v>
      </c>
      <c r="U162" s="19">
        <f ca="1">IF('Stock Price'!$I$11="OK",H162/INDEX(H$5:H$1258,'Stock Price'!$I$9)-1,"")</f>
        <v>0.12855392156862755</v>
      </c>
      <c r="V162" s="19">
        <f ca="1">IF('Stock Price'!$I$11="OK",I162/INDEX(I$5:I$1258,'Stock Price'!$I$9)-1,"")</f>
        <v>0.19683364839319473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127.06</v>
      </c>
      <c r="C163" s="18">
        <v>86.507099999999994</v>
      </c>
      <c r="D163" s="18">
        <v>55.65</v>
      </c>
      <c r="E163" s="18">
        <v>41.11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5.0082644628099082E-2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0.16483516483516492</v>
      </c>
      <c r="R163" s="19">
        <f ca="1">IF('Stock Price'!$I$11="OK",E163/INDEX(E$5:E$1258,'Stock Price'!$I$9)-1,"")</f>
        <v>-0.11970021413276233</v>
      </c>
      <c r="S163" s="19">
        <f ca="1">IF('Stock Price'!$I$11="OK",F163/INDEX(F$5:F$1258,'Stock Price'!$I$9)-1,"")</f>
        <v>0.1258278145695364</v>
      </c>
      <c r="T163" s="19">
        <f ca="1">IF('Stock Price'!$I$11="OK",G163/INDEX(G$5:G$1258,'Stock Price'!$I$9)-1,"")</f>
        <v>0.38069966424780688</v>
      </c>
      <c r="U163" s="19">
        <f ca="1">IF('Stock Price'!$I$11="OK",H163/INDEX(H$5:H$1258,'Stock Price'!$I$9)-1,"")</f>
        <v>0.14644607843137258</v>
      </c>
      <c r="V163" s="19">
        <f ca="1">IF('Stock Price'!$I$11="OK",I163/INDEX(I$5:I$1258,'Stock Price'!$I$9)-1,"")</f>
        <v>0.23983931947069936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131.08000000000001</v>
      </c>
      <c r="C164" s="18">
        <v>87.754999999999995</v>
      </c>
      <c r="D164" s="18">
        <v>55.9375</v>
      </c>
      <c r="E164" s="18">
        <v>41.86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8.3305785123967135E-2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0.17085295656724231</v>
      </c>
      <c r="R164" s="19">
        <f ca="1">IF('Stock Price'!$I$11="OK",E164/INDEX(E$5:E$1258,'Stock Price'!$I$9)-1,"")</f>
        <v>-0.10364025695931489</v>
      </c>
      <c r="S164" s="19">
        <f ca="1">IF('Stock Price'!$I$11="OK",F164/INDEX(F$5:F$1258,'Stock Price'!$I$9)-1,"")</f>
        <v>0.14714403973509937</v>
      </c>
      <c r="T164" s="19">
        <f ca="1">IF('Stock Price'!$I$11="OK",G164/INDEX(G$5:G$1258,'Stock Price'!$I$9)-1,"")</f>
        <v>0.39651250947687644</v>
      </c>
      <c r="U164" s="19">
        <f ca="1">IF('Stock Price'!$I$11="OK",H164/INDEX(H$5:H$1258,'Stock Price'!$I$9)-1,"")</f>
        <v>0.14987745098039218</v>
      </c>
      <c r="V164" s="19">
        <f ca="1">IF('Stock Price'!$I$11="OK",I164/INDEX(I$5:I$1258,'Stock Price'!$I$9)-1,"")</f>
        <v>0.24952741020793967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132.46</v>
      </c>
      <c r="C165" s="18">
        <v>88.935299999999998</v>
      </c>
      <c r="D165" s="18">
        <v>56.25</v>
      </c>
      <c r="E165" s="18">
        <v>43.23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9.4710743801653008E-2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0.17739403453689162</v>
      </c>
      <c r="R165" s="19">
        <f ca="1">IF('Stock Price'!$I$11="OK",E165/INDEX(E$5:E$1258,'Stock Price'!$I$9)-1,"")</f>
        <v>-7.4304068522484057E-2</v>
      </c>
      <c r="S165" s="19">
        <f ca="1">IF('Stock Price'!$I$11="OK",F165/INDEX(F$5:F$1258,'Stock Price'!$I$9)-1,"")</f>
        <v>0.16494205298013243</v>
      </c>
      <c r="T165" s="19">
        <f ca="1">IF('Stock Price'!$I$11="OK",G165/INDEX(G$5:G$1258,'Stock Price'!$I$9)-1,"")</f>
        <v>0.37095201992851723</v>
      </c>
      <c r="U165" s="19">
        <f ca="1">IF('Stock Price'!$I$11="OK",H165/INDEX(H$5:H$1258,'Stock Price'!$I$9)-1,"")</f>
        <v>0.15980392156862755</v>
      </c>
      <c r="V165" s="19">
        <f ca="1">IF('Stock Price'!$I$11="OK",I165/INDEX(I$5:I$1258,'Stock Price'!$I$9)-1,"")</f>
        <v>0.2620510396975424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134.13999999999999</v>
      </c>
      <c r="C166" s="18">
        <v>88.2774</v>
      </c>
      <c r="D166" s="18">
        <v>56.212499999999999</v>
      </c>
      <c r="E166" s="18">
        <v>42.99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0.10859504132231401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0.17660910518053385</v>
      </c>
      <c r="R166" s="19">
        <f ca="1">IF('Stock Price'!$I$11="OK",E166/INDEX(E$5:E$1258,'Stock Price'!$I$9)-1,"")</f>
        <v>-7.9443254817987197E-2</v>
      </c>
      <c r="S166" s="19">
        <f ca="1">IF('Stock Price'!$I$11="OK",F166/INDEX(F$5:F$1258,'Stock Price'!$I$9)-1,"")</f>
        <v>0.1558360927152318</v>
      </c>
      <c r="T166" s="19">
        <f ca="1">IF('Stock Price'!$I$11="OK",G166/INDEX(G$5:G$1258,'Stock Price'!$I$9)-1,"")</f>
        <v>0.38156612152063252</v>
      </c>
      <c r="U166" s="19">
        <f ca="1">IF('Stock Price'!$I$11="OK",H166/INDEX(H$5:H$1258,'Stock Price'!$I$9)-1,"")</f>
        <v>0.14889705882352944</v>
      </c>
      <c r="V166" s="19">
        <f ca="1">IF('Stock Price'!$I$11="OK",I166/INDEX(I$5:I$1258,'Stock Price'!$I$9)-1,"")</f>
        <v>0.26913988657845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134.12</v>
      </c>
      <c r="C167" s="18">
        <v>88.287099999999995</v>
      </c>
      <c r="D167" s="18">
        <v>55.524999999999999</v>
      </c>
      <c r="E167" s="18">
        <v>43.33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0.10842975206611571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0.1622187336473051</v>
      </c>
      <c r="R167" s="19">
        <f ca="1">IF('Stock Price'!$I$11="OK",E167/INDEX(E$5:E$1258,'Stock Price'!$I$9)-1,"")</f>
        <v>-7.2162740899357702E-2</v>
      </c>
      <c r="S167" s="19">
        <f ca="1">IF('Stock Price'!$I$11="OK",F167/INDEX(F$5:F$1258,'Stock Price'!$I$9)-1,"")</f>
        <v>0.14859271523178808</v>
      </c>
      <c r="T167" s="19">
        <f ca="1">IF('Stock Price'!$I$11="OK",G167/INDEX(G$5:G$1258,'Stock Price'!$I$9)-1,"")</f>
        <v>0.42748835698039644</v>
      </c>
      <c r="U167" s="19">
        <f ca="1">IF('Stock Price'!$I$11="OK",H167/INDEX(H$5:H$1258,'Stock Price'!$I$9)-1,"")</f>
        <v>0.13125000000000009</v>
      </c>
      <c r="V167" s="19">
        <f ca="1">IF('Stock Price'!$I$11="OK",I167/INDEX(I$5:I$1258,'Stock Price'!$I$9)-1,"")</f>
        <v>0.27575614366729684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130.75</v>
      </c>
      <c r="C168" s="18">
        <v>88.480599999999995</v>
      </c>
      <c r="D168" s="18">
        <v>55.075000000000003</v>
      </c>
      <c r="E168" s="18">
        <v>43.06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8.0578512396694224E-2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0.15279958137101013</v>
      </c>
      <c r="R168" s="19">
        <f ca="1">IF('Stock Price'!$I$11="OK",E168/INDEX(E$5:E$1258,'Stock Price'!$I$9)-1,"")</f>
        <v>-7.7944325481798749E-2</v>
      </c>
      <c r="S168" s="19">
        <f ca="1">IF('Stock Price'!$I$11="OK",F168/INDEX(F$5:F$1258,'Stock Price'!$I$9)-1,"")</f>
        <v>0.14134933774834435</v>
      </c>
      <c r="T168" s="19">
        <f ca="1">IF('Stock Price'!$I$11="OK",G168/INDEX(G$5:G$1258,'Stock Price'!$I$9)-1,"")</f>
        <v>0.44221813061843385</v>
      </c>
      <c r="U168" s="19">
        <f ca="1">IF('Stock Price'!$I$11="OK",H168/INDEX(H$5:H$1258,'Stock Price'!$I$9)-1,"")</f>
        <v>0.14068627450980409</v>
      </c>
      <c r="V168" s="19">
        <f ca="1">IF('Stock Price'!$I$11="OK",I168/INDEX(I$5:I$1258,'Stock Price'!$I$9)-1,"")</f>
        <v>0.27386578449905463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129.26</v>
      </c>
      <c r="C169" s="18">
        <v>87.977500000000006</v>
      </c>
      <c r="D169" s="18">
        <v>54.875</v>
      </c>
      <c r="E169" s="18">
        <v>42.54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6.8264462809917381E-2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0.14861329147043434</v>
      </c>
      <c r="R169" s="19">
        <f ca="1">IF('Stock Price'!$I$11="OK",E169/INDEX(E$5:E$1258,'Stock Price'!$I$9)-1,"")</f>
        <v>-8.9079229122055792E-2</v>
      </c>
      <c r="S169" s="19">
        <f ca="1">IF('Stock Price'!$I$11="OK",F169/INDEX(F$5:F$1258,'Stock Price'!$I$9)-1,"")</f>
        <v>0.10202814569536423</v>
      </c>
      <c r="T169" s="19">
        <f ca="1">IF('Stock Price'!$I$11="OK",G169/INDEX(G$5:G$1258,'Stock Price'!$I$9)-1,"")</f>
        <v>0.44221813061843385</v>
      </c>
      <c r="U169" s="19">
        <f ca="1">IF('Stock Price'!$I$11="OK",H169/INDEX(H$5:H$1258,'Stock Price'!$I$9)-1,"")</f>
        <v>0.12781862745098049</v>
      </c>
      <c r="V169" s="19">
        <f ca="1">IF('Stock Price'!$I$11="OK",I169/INDEX(I$5:I$1258,'Stock Price'!$I$9)-1,"")</f>
        <v>0.25330812854442342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132.13999999999999</v>
      </c>
      <c r="C170" s="18">
        <v>86.719899999999996</v>
      </c>
      <c r="D170" s="18">
        <v>53.8</v>
      </c>
      <c r="E170" s="18">
        <v>41.76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9.2066115702479134E-2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0.1261119832548403</v>
      </c>
      <c r="R170" s="19">
        <f ca="1">IF('Stock Price'!$I$11="OK",E170/INDEX(E$5:E$1258,'Stock Price'!$I$9)-1,"")</f>
        <v>-0.10578158458244125</v>
      </c>
      <c r="S170" s="19">
        <f ca="1">IF('Stock Price'!$I$11="OK",F170/INDEX(F$5:F$1258,'Stock Price'!$I$9)-1,"")</f>
        <v>0.10120033112582782</v>
      </c>
      <c r="T170" s="19">
        <f ca="1">IF('Stock Price'!$I$11="OK",G170/INDEX(G$5:G$1258,'Stock Price'!$I$9)-1,"")</f>
        <v>0.44568395970973662</v>
      </c>
      <c r="U170" s="19">
        <f ca="1">IF('Stock Price'!$I$11="OK",H170/INDEX(H$5:H$1258,'Stock Price'!$I$9)-1,"")</f>
        <v>0.11691176470588238</v>
      </c>
      <c r="V170" s="19">
        <f ca="1">IF('Stock Price'!$I$11="OK",I170/INDEX(I$5:I$1258,'Stock Price'!$I$9)-1,"")</f>
        <v>0.23747637051039683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128.72</v>
      </c>
      <c r="C171" s="18">
        <v>86.864999999999995</v>
      </c>
      <c r="D171" s="18">
        <v>54.237499999999997</v>
      </c>
      <c r="E171" s="18">
        <v>42.25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6.3801652892562011E-2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0.13526949241234942</v>
      </c>
      <c r="R171" s="19">
        <f ca="1">IF('Stock Price'!$I$11="OK",E171/INDEX(E$5:E$1258,'Stock Price'!$I$9)-1,"")</f>
        <v>-9.5289079229122109E-2</v>
      </c>
      <c r="S171" s="19">
        <f ca="1">IF('Stock Price'!$I$11="OK",F171/INDEX(F$5:F$1258,'Stock Price'!$I$9)-1,"")</f>
        <v>0.10596026490066213</v>
      </c>
      <c r="T171" s="19">
        <f ca="1">IF('Stock Price'!$I$11="OK",G171/INDEX(G$5:G$1258,'Stock Price'!$I$9)-1,"")</f>
        <v>0.4190403985703457</v>
      </c>
      <c r="U171" s="19">
        <f ca="1">IF('Stock Price'!$I$11="OK",H171/INDEX(H$5:H$1258,'Stock Price'!$I$9)-1,"")</f>
        <v>0.10294117647058831</v>
      </c>
      <c r="V171" s="19">
        <f ca="1">IF('Stock Price'!$I$11="OK",I171/INDEX(I$5:I$1258,'Stock Price'!$I$9)-1,"")</f>
        <v>0.2448015122873346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126.48</v>
      </c>
      <c r="C172" s="18">
        <v>86.216800000000006</v>
      </c>
      <c r="D172" s="18">
        <v>53.4</v>
      </c>
      <c r="E172" s="18">
        <v>41.55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4.5289256198347116E-2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0.11773940345368916</v>
      </c>
      <c r="R172" s="19">
        <f ca="1">IF('Stock Price'!$I$11="OK",E172/INDEX(E$5:E$1258,'Stock Price'!$I$9)-1,"")</f>
        <v>-0.11027837259100659</v>
      </c>
      <c r="S172" s="19">
        <f ca="1">IF('Stock Price'!$I$11="OK",F172/INDEX(F$5:F$1258,'Stock Price'!$I$9)-1,"")</f>
        <v>0.10782284768211925</v>
      </c>
      <c r="T172" s="19">
        <f ca="1">IF('Stock Price'!$I$11="OK",G172/INDEX(G$5:G$1258,'Stock Price'!$I$9)-1,"")</f>
        <v>0.43225387198093812</v>
      </c>
      <c r="U172" s="19">
        <f ca="1">IF('Stock Price'!$I$11="OK",H172/INDEX(H$5:H$1258,'Stock Price'!$I$9)-1,"")</f>
        <v>0.10183823529411762</v>
      </c>
      <c r="V172" s="19">
        <f ca="1">IF('Stock Price'!$I$11="OK",I172/INDEX(I$5:I$1258,'Stock Price'!$I$9)-1,"")</f>
        <v>0.25708884688090738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125.6</v>
      </c>
      <c r="C173" s="18">
        <v>85.781499999999994</v>
      </c>
      <c r="D173" s="18">
        <v>53.512500000000003</v>
      </c>
      <c r="E173" s="18">
        <v>41.23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3.8016528925619797E-2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0.12009419152276313</v>
      </c>
      <c r="R173" s="19">
        <f ca="1">IF('Stock Price'!$I$11="OK",E173/INDEX(E$5:E$1258,'Stock Price'!$I$9)-1,"")</f>
        <v>-0.11713062098501081</v>
      </c>
      <c r="S173" s="19">
        <f ca="1">IF('Stock Price'!$I$11="OK",F173/INDEX(F$5:F$1258,'Stock Price'!$I$9)-1,"")</f>
        <v>0.10099337748344372</v>
      </c>
      <c r="T173" s="19">
        <f ca="1">IF('Stock Price'!$I$11="OK",G173/INDEX(G$5:G$1258,'Stock Price'!$I$9)-1,"")</f>
        <v>0.44438427380049839</v>
      </c>
      <c r="U173" s="19">
        <f ca="1">IF('Stock Price'!$I$11="OK",H173/INDEX(H$5:H$1258,'Stock Price'!$I$9)-1,"")</f>
        <v>0.10098039215686283</v>
      </c>
      <c r="V173" s="19">
        <f ca="1">IF('Stock Price'!$I$11="OK",I173/INDEX(I$5:I$1258,'Stock Price'!$I$9)-1,"")</f>
        <v>0.25850661625708882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125.08</v>
      </c>
      <c r="C174" s="18">
        <v>85.984700000000004</v>
      </c>
      <c r="D174" s="18">
        <v>55.3125</v>
      </c>
      <c r="E174" s="18">
        <v>40.94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3.3719008264462724E-2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0.15777080062794346</v>
      </c>
      <c r="R174" s="19">
        <f ca="1">IF('Stock Price'!$I$11="OK",E174/INDEX(E$5:E$1258,'Stock Price'!$I$9)-1,"")</f>
        <v>-0.12334047109207724</v>
      </c>
      <c r="S174" s="19">
        <f ca="1">IF('Stock Price'!$I$11="OK",F174/INDEX(F$5:F$1258,'Stock Price'!$I$9)-1,"")</f>
        <v>0.11113410596026485</v>
      </c>
      <c r="T174" s="19">
        <f ca="1">IF('Stock Price'!$I$11="OK",G174/INDEX(G$5:G$1258,'Stock Price'!$I$9)-1,"")</f>
        <v>0.42792158561680926</v>
      </c>
      <c r="U174" s="19">
        <f ca="1">IF('Stock Price'!$I$11="OK",H174/INDEX(H$5:H$1258,'Stock Price'!$I$9)-1,"")</f>
        <v>0.10882352941176476</v>
      </c>
      <c r="V174" s="19">
        <f ca="1">IF('Stock Price'!$I$11="OK",I174/INDEX(I$5:I$1258,'Stock Price'!$I$9)-1,"")</f>
        <v>0.27504725897920612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125.08</v>
      </c>
      <c r="C175" s="18">
        <v>84.504499999999993</v>
      </c>
      <c r="D175" s="18">
        <v>55.25</v>
      </c>
      <c r="E175" s="18">
        <v>40.61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3.3719008264462724E-2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0.15646258503401356</v>
      </c>
      <c r="R175" s="19">
        <f ca="1">IF('Stock Price'!$I$11="OK",E175/INDEX(E$5:E$1258,'Stock Price'!$I$9)-1,"")</f>
        <v>-0.1304068522483941</v>
      </c>
      <c r="S175" s="19">
        <f ca="1">IF('Stock Price'!$I$11="OK",F175/INDEX(F$5:F$1258,'Stock Price'!$I$9)-1,"")</f>
        <v>9.43708609271523E-2</v>
      </c>
      <c r="T175" s="19">
        <f ca="1">IF('Stock Price'!$I$11="OK",G175/INDEX(G$5:G$1258,'Stock Price'!$I$9)-1,"")</f>
        <v>0.42683851402577733</v>
      </c>
      <c r="U175" s="19">
        <f ca="1">IF('Stock Price'!$I$11="OK",H175/INDEX(H$5:H$1258,'Stock Price'!$I$9)-1,"")</f>
        <v>9.6568627450980493E-2</v>
      </c>
      <c r="V175" s="19">
        <f ca="1">IF('Stock Price'!$I$11="OK",I175/INDEX(I$5:I$1258,'Stock Price'!$I$9)-1,"")</f>
        <v>0.26346880907372405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123.28</v>
      </c>
      <c r="C176" s="18">
        <v>83.566100000000006</v>
      </c>
      <c r="D176" s="18">
        <v>53.8</v>
      </c>
      <c r="E176" s="18">
        <v>40.25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1.884297520661149E-2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0.1261119832548403</v>
      </c>
      <c r="R176" s="19">
        <f ca="1">IF('Stock Price'!$I$11="OK",E176/INDEX(E$5:E$1258,'Stock Price'!$I$9)-1,"")</f>
        <v>-0.13811563169164887</v>
      </c>
      <c r="S176" s="19">
        <f ca="1">IF('Stock Price'!$I$11="OK",F176/INDEX(F$5:F$1258,'Stock Price'!$I$9)-1,"")</f>
        <v>7.5745033112582627E-2</v>
      </c>
      <c r="T176" s="19">
        <f ca="1">IF('Stock Price'!$I$11="OK",G176/INDEX(G$5:G$1258,'Stock Price'!$I$9)-1,"")</f>
        <v>0.41644102675186834</v>
      </c>
      <c r="U176" s="19">
        <f ca="1">IF('Stock Price'!$I$11="OK",H176/INDEX(H$5:H$1258,'Stock Price'!$I$9)-1,"")</f>
        <v>7.8431372549019773E-2</v>
      </c>
      <c r="V176" s="19">
        <f ca="1">IF('Stock Price'!$I$11="OK",I176/INDEX(I$5:I$1258,'Stock Price'!$I$9)-1,"")</f>
        <v>0.22353497164461245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122.99</v>
      </c>
      <c r="C177" s="18">
        <v>82.289100000000005</v>
      </c>
      <c r="D177" s="18">
        <v>54.75</v>
      </c>
      <c r="E177" s="18">
        <v>39.58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1.6446280991735396E-2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0.14599686028257453</v>
      </c>
      <c r="R177" s="19">
        <f ca="1">IF('Stock Price'!$I$11="OK",E177/INDEX(E$5:E$1258,'Stock Price'!$I$9)-1,"")</f>
        <v>-0.15246252676659533</v>
      </c>
      <c r="S177" s="19">
        <f ca="1">IF('Stock Price'!$I$11="OK",F177/INDEX(F$5:F$1258,'Stock Price'!$I$9)-1,"")</f>
        <v>5.3600993377483475E-2</v>
      </c>
      <c r="T177" s="19">
        <f ca="1">IF('Stock Price'!$I$11="OK",G177/INDEX(G$5:G$1258,'Stock Price'!$I$9)-1,"")</f>
        <v>0.37680060652009106</v>
      </c>
      <c r="U177" s="19">
        <f ca="1">IF('Stock Price'!$I$11="OK",H177/INDEX(H$5:H$1258,'Stock Price'!$I$9)-1,"")</f>
        <v>6.8382352941176672E-2</v>
      </c>
      <c r="V177" s="19">
        <f ca="1">IF('Stock Price'!$I$11="OK",I177/INDEX(I$5:I$1258,'Stock Price'!$I$9)-1,"")</f>
        <v>0.18076559546313797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115.61</v>
      </c>
      <c r="C178" s="18">
        <v>79.841499999999996</v>
      </c>
      <c r="D178" s="18">
        <v>53.125</v>
      </c>
      <c r="E178" s="18">
        <v>38.6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-4.4545454545454555E-2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0.11198325484039784</v>
      </c>
      <c r="R178" s="19">
        <f ca="1">IF('Stock Price'!$I$11="OK",E178/INDEX(E$5:E$1258,'Stock Price'!$I$9)-1,"")</f>
        <v>-0.17344753747323338</v>
      </c>
      <c r="S178" s="19">
        <f ca="1">IF('Stock Price'!$I$11="OK",F178/INDEX(F$5:F$1258,'Stock Price'!$I$9)-1,"")</f>
        <v>3.3112582781456901E-2</v>
      </c>
      <c r="T178" s="19">
        <f ca="1">IF('Stock Price'!$I$11="OK",G178/INDEX(G$5:G$1258,'Stock Price'!$I$9)-1,"")</f>
        <v>0.37485107765623304</v>
      </c>
      <c r="U178" s="19">
        <f ca="1">IF('Stock Price'!$I$11="OK",H178/INDEX(H$5:H$1258,'Stock Price'!$I$9)-1,"")</f>
        <v>4.1666666666666741E-2</v>
      </c>
      <c r="V178" s="19">
        <f ca="1">IF('Stock Price'!$I$11="OK",I178/INDEX(I$5:I$1258,'Stock Price'!$I$9)-1,"")</f>
        <v>0.13208884688090738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114.42100000000001</v>
      </c>
      <c r="C179" s="18">
        <v>77.897000000000006</v>
      </c>
      <c r="D179" s="18">
        <v>51.55</v>
      </c>
      <c r="E179" s="18">
        <v>38.21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-5.4371900826446273E-2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7.9016221873364767E-2</v>
      </c>
      <c r="R179" s="19">
        <f ca="1">IF('Stock Price'!$I$11="OK",E179/INDEX(E$5:E$1258,'Stock Price'!$I$9)-1,"")</f>
        <v>-0.18179871520342616</v>
      </c>
      <c r="S179" s="19">
        <f ca="1">IF('Stock Price'!$I$11="OK",F179/INDEX(F$5:F$1258,'Stock Price'!$I$9)-1,"")</f>
        <v>1.655629139072845E-2</v>
      </c>
      <c r="T179" s="19">
        <f ca="1">IF('Stock Price'!$I$11="OK",G179/INDEX(G$5:G$1258,'Stock Price'!$I$9)-1,"")</f>
        <v>0.37788367811112322</v>
      </c>
      <c r="U179" s="19">
        <f ca="1">IF('Stock Price'!$I$11="OK",H179/INDEX(H$5:H$1258,'Stock Price'!$I$9)-1,"")</f>
        <v>3.5539215686274606E-2</v>
      </c>
      <c r="V179" s="19">
        <f ca="1">IF('Stock Price'!$I$11="OK",I179/INDEX(I$5:I$1258,'Stock Price'!$I$9)-1,"")</f>
        <v>0.13232514177693755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115.9</v>
      </c>
      <c r="C180" s="18">
        <v>78.709599999999995</v>
      </c>
      <c r="D180" s="18">
        <v>52.4375</v>
      </c>
      <c r="E180" s="18">
        <v>38.53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-4.2148760330578461E-2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9.7592883307169087E-2</v>
      </c>
      <c r="R180" s="19">
        <f ca="1">IF('Stock Price'!$I$11="OK",E180/INDEX(E$5:E$1258,'Stock Price'!$I$9)-1,"")</f>
        <v>-0.17494646680942183</v>
      </c>
      <c r="S180" s="19">
        <f ca="1">IF('Stock Price'!$I$11="OK",F180/INDEX(F$5:F$1258,'Stock Price'!$I$9)-1,"")</f>
        <v>1.3865894039735149E-2</v>
      </c>
      <c r="T180" s="19">
        <f ca="1">IF('Stock Price'!$I$11="OK",G180/INDEX(G$5:G$1258,'Stock Price'!$I$9)-1,"")</f>
        <v>0.37636737788367802</v>
      </c>
      <c r="U180" s="19">
        <f ca="1">IF('Stock Price'!$I$11="OK",H180/INDEX(H$5:H$1258,'Stock Price'!$I$9)-1,"")</f>
        <v>3.713235294117645E-2</v>
      </c>
      <c r="V180" s="19">
        <f ca="1">IF('Stock Price'!$I$11="OK",I180/INDEX(I$5:I$1258,'Stock Price'!$I$9)-1,"")</f>
        <v>0.14626654064272215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118.75</v>
      </c>
      <c r="C181" s="18">
        <v>79.183700000000002</v>
      </c>
      <c r="D181" s="18">
        <v>52.05</v>
      </c>
      <c r="E181" s="18">
        <v>39.14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-1.8595041322314043E-2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8.9481946624803799E-2</v>
      </c>
      <c r="R181" s="19">
        <f ca="1">IF('Stock Price'!$I$11="OK",E181/INDEX(E$5:E$1258,'Stock Price'!$I$9)-1,"")</f>
        <v>-0.16188436830835118</v>
      </c>
      <c r="S181" s="19">
        <f ca="1">IF('Stock Price'!$I$11="OK",F181/INDEX(F$5:F$1258,'Stock Price'!$I$9)-1,"")</f>
        <v>1.9867549668874274E-2</v>
      </c>
      <c r="T181" s="19">
        <f ca="1">IF('Stock Price'!$I$11="OK",G181/INDEX(G$5:G$1258,'Stock Price'!$I$9)-1,"")</f>
        <v>0.33759341492472661</v>
      </c>
      <c r="U181" s="19">
        <f ca="1">IF('Stock Price'!$I$11="OK",H181/INDEX(H$5:H$1258,'Stock Price'!$I$9)-1,"")</f>
        <v>4.0318627450980582E-2</v>
      </c>
      <c r="V181" s="19">
        <f ca="1">IF('Stock Price'!$I$11="OK",I181/INDEX(I$5:I$1258,'Stock Price'!$I$9)-1,"")</f>
        <v>0.12192816635160675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120.22</v>
      </c>
      <c r="C182" s="18">
        <v>78.419399999999996</v>
      </c>
      <c r="D182" s="18">
        <v>51.587499999999999</v>
      </c>
      <c r="E182" s="18">
        <v>38.97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-6.446280991735498E-3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7.9801151229722755E-2</v>
      </c>
      <c r="R182" s="19">
        <f ca="1">IF('Stock Price'!$I$11="OK",E182/INDEX(E$5:E$1258,'Stock Price'!$I$9)-1,"")</f>
        <v>-0.16552462526766598</v>
      </c>
      <c r="S182" s="19">
        <f ca="1">IF('Stock Price'!$I$11="OK",F182/INDEX(F$5:F$1258,'Stock Price'!$I$9)-1,"")</f>
        <v>1.8211920529801473E-2</v>
      </c>
      <c r="T182" s="19">
        <f ca="1">IF('Stock Price'!$I$11="OK",G182/INDEX(G$5:G$1258,'Stock Price'!$I$9)-1,"")</f>
        <v>0.35492256038124115</v>
      </c>
      <c r="U182" s="19">
        <f ca="1">IF('Stock Price'!$I$11="OK",H182/INDEX(H$5:H$1258,'Stock Price'!$I$9)-1,"")</f>
        <v>3.7009803921568718E-2</v>
      </c>
      <c r="V182" s="19">
        <f ca="1">IF('Stock Price'!$I$11="OK",I182/INDEX(I$5:I$1258,'Stock Price'!$I$9)-1,"")</f>
        <v>9.9480151228733549E-2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121.9</v>
      </c>
      <c r="C183" s="18">
        <v>78.835400000000007</v>
      </c>
      <c r="D183" s="18">
        <v>52.212499999999999</v>
      </c>
      <c r="E183" s="18">
        <v>38.97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7.4380165289256173E-3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9.2883307169021379E-2</v>
      </c>
      <c r="R183" s="19">
        <f ca="1">IF('Stock Price'!$I$11="OK",E183/INDEX(E$5:E$1258,'Stock Price'!$I$9)-1,"")</f>
        <v>-0.16552462526766598</v>
      </c>
      <c r="S183" s="19">
        <f ca="1">IF('Stock Price'!$I$11="OK",F183/INDEX(F$5:F$1258,'Stock Price'!$I$9)-1,"")</f>
        <v>2.4213576158940375E-2</v>
      </c>
      <c r="T183" s="19">
        <f ca="1">IF('Stock Price'!$I$11="OK",G183/INDEX(G$5:G$1258,'Stock Price'!$I$9)-1,"")</f>
        <v>0.34430845878912608</v>
      </c>
      <c r="U183" s="19">
        <f ca="1">IF('Stock Price'!$I$11="OK",H183/INDEX(H$5:H$1258,'Stock Price'!$I$9)-1,"")</f>
        <v>7.879901960784319E-2</v>
      </c>
      <c r="V183" s="19">
        <f ca="1">IF('Stock Price'!$I$11="OK",I183/INDEX(I$5:I$1258,'Stock Price'!$I$9)-1,"")</f>
        <v>0.13681474480151223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125.4</v>
      </c>
      <c r="C184" s="18">
        <v>78.854699999999994</v>
      </c>
      <c r="D184" s="18">
        <v>52.462499999999999</v>
      </c>
      <c r="E184" s="18">
        <v>39.64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3.6363636363636376E-2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9.8116169544741005E-2</v>
      </c>
      <c r="R184" s="19">
        <f ca="1">IF('Stock Price'!$I$11="OK",E184/INDEX(E$5:E$1258,'Stock Price'!$I$9)-1,"")</f>
        <v>-0.15117773019271952</v>
      </c>
      <c r="S184" s="19">
        <f ca="1">IF('Stock Price'!$I$11="OK",F184/INDEX(F$5:F$1258,'Stock Price'!$I$9)-1,"")</f>
        <v>3.9528145695364225E-2</v>
      </c>
      <c r="T184" s="19">
        <f ca="1">IF('Stock Price'!$I$11="OK",G184/INDEX(G$5:G$1258,'Stock Price'!$I$9)-1,"")</f>
        <v>0.31571536878587692</v>
      </c>
      <c r="U184" s="19">
        <f ca="1">IF('Stock Price'!$I$11="OK",H184/INDEX(H$5:H$1258,'Stock Price'!$I$9)-1,"")</f>
        <v>9.2647058823529527E-2</v>
      </c>
      <c r="V184" s="19">
        <f ca="1">IF('Stock Price'!$I$11="OK",I184/INDEX(I$5:I$1258,'Stock Price'!$I$9)-1,"")</f>
        <v>0.15949905482041582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126.7</v>
      </c>
      <c r="C185" s="18">
        <v>79.193299999999994</v>
      </c>
      <c r="D185" s="18">
        <v>53.4375</v>
      </c>
      <c r="E185" s="18">
        <v>40.01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4.7107438016529057E-2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0.11852433281004715</v>
      </c>
      <c r="R185" s="19">
        <f ca="1">IF('Stock Price'!$I$11="OK",E185/INDEX(E$5:E$1258,'Stock Price'!$I$9)-1,"")</f>
        <v>-0.14325481798715212</v>
      </c>
      <c r="S185" s="19">
        <f ca="1">IF('Stock Price'!$I$11="OK",F185/INDEX(F$5:F$1258,'Stock Price'!$I$9)-1,"")</f>
        <v>4.3460264900662349E-2</v>
      </c>
      <c r="T185" s="19">
        <f ca="1">IF('Stock Price'!$I$11="OK",G185/INDEX(G$5:G$1258,'Stock Price'!$I$9)-1,"")</f>
        <v>0.26806021878046149</v>
      </c>
      <c r="U185" s="19">
        <f ca="1">IF('Stock Price'!$I$11="OK",H185/INDEX(H$5:H$1258,'Stock Price'!$I$9)-1,"")</f>
        <v>0.12745098039215685</v>
      </c>
      <c r="V185" s="19">
        <f ca="1">IF('Stock Price'!$I$11="OK",I185/INDEX(I$5:I$1258,'Stock Price'!$I$9)-1,"")</f>
        <v>0.18360113421550106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129.21</v>
      </c>
      <c r="C186" s="18">
        <v>82.066599999999994</v>
      </c>
      <c r="D186" s="18">
        <v>54.612499999999997</v>
      </c>
      <c r="E186" s="18">
        <v>41.64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6.7851239669421526E-2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0.14311878597592886</v>
      </c>
      <c r="R186" s="19">
        <f ca="1">IF('Stock Price'!$I$11="OK",E186/INDEX(E$5:E$1258,'Stock Price'!$I$9)-1,"")</f>
        <v>-0.10835117773019276</v>
      </c>
      <c r="S186" s="19">
        <f ca="1">IF('Stock Price'!$I$11="OK",F186/INDEX(F$5:F$1258,'Stock Price'!$I$9)-1,"")</f>
        <v>0.10554635761589415</v>
      </c>
      <c r="T186" s="19">
        <f ca="1">IF('Stock Price'!$I$11="OK",G186/INDEX(G$5:G$1258,'Stock Price'!$I$9)-1,"")</f>
        <v>0.25181414491497889</v>
      </c>
      <c r="U186" s="19">
        <f ca="1">IF('Stock Price'!$I$11="OK",H186/INDEX(H$5:H$1258,'Stock Price'!$I$9)-1,"")</f>
        <v>0.14129901960784319</v>
      </c>
      <c r="V186" s="19">
        <f ca="1">IF('Stock Price'!$I$11="OK",I186/INDEX(I$5:I$1258,'Stock Price'!$I$9)-1,"")</f>
        <v>0.21904536862003798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127.2501</v>
      </c>
      <c r="C187" s="18">
        <v>82.501900000000006</v>
      </c>
      <c r="D187" s="18">
        <v>54.625</v>
      </c>
      <c r="E187" s="18">
        <v>42.22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5.1653719008264432E-2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0.14338042909471493</v>
      </c>
      <c r="R187" s="19">
        <f ca="1">IF('Stock Price'!$I$11="OK",E187/INDEX(E$5:E$1258,'Stock Price'!$I$9)-1,"")</f>
        <v>-9.5931477516060015E-2</v>
      </c>
      <c r="S187" s="19">
        <f ca="1">IF('Stock Price'!$I$11="OK",F187/INDEX(F$5:F$1258,'Stock Price'!$I$9)-1,"")</f>
        <v>8.8576158940397276E-2</v>
      </c>
      <c r="T187" s="19">
        <f ca="1">IF('Stock Price'!$I$11="OK",G187/INDEX(G$5:G$1258,'Stock Price'!$I$9)-1,"")</f>
        <v>0.28668905014621471</v>
      </c>
      <c r="U187" s="19">
        <f ca="1">IF('Stock Price'!$I$11="OK",H187/INDEX(H$5:H$1258,'Stock Price'!$I$9)-1,"")</f>
        <v>0.15698529411764706</v>
      </c>
      <c r="V187" s="19">
        <f ca="1">IF('Stock Price'!$I$11="OK",I187/INDEX(I$5:I$1258,'Stock Price'!$I$9)-1,"")</f>
        <v>0.22589792060491498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131.69999999999999</v>
      </c>
      <c r="C188" s="18">
        <v>81.428100000000001</v>
      </c>
      <c r="D188" s="18">
        <v>54.1875</v>
      </c>
      <c r="E188" s="18">
        <v>41.36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8.8429752066115697E-2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0.13422291993720559</v>
      </c>
      <c r="R188" s="19">
        <f ca="1">IF('Stock Price'!$I$11="OK",E188/INDEX(E$5:E$1258,'Stock Price'!$I$9)-1,"")</f>
        <v>-0.11434689507494655</v>
      </c>
      <c r="S188" s="19">
        <f ca="1">IF('Stock Price'!$I$11="OK",F188/INDEX(F$5:F$1258,'Stock Price'!$I$9)-1,"")</f>
        <v>7.905629139072845E-2</v>
      </c>
      <c r="T188" s="19">
        <f ca="1">IF('Stock Price'!$I$11="OK",G188/INDEX(G$5:G$1258,'Stock Price'!$I$9)-1,"")</f>
        <v>0.30466803855734859</v>
      </c>
      <c r="U188" s="19">
        <f ca="1">IF('Stock Price'!$I$11="OK",H188/INDEX(H$5:H$1258,'Stock Price'!$I$9)-1,"")</f>
        <v>0.1261029411764707</v>
      </c>
      <c r="V188" s="19">
        <f ca="1">IF('Stock Price'!$I$11="OK",I188/INDEX(I$5:I$1258,'Stock Price'!$I$9)-1,"")</f>
        <v>0.19706994328922489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131</v>
      </c>
      <c r="C189" s="18">
        <v>82.008499999999998</v>
      </c>
      <c r="D189" s="18">
        <v>54.712499999999999</v>
      </c>
      <c r="E189" s="18">
        <v>41.81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8.2644628099173501E-2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0.14521193092621654</v>
      </c>
      <c r="R189" s="19">
        <f ca="1">IF('Stock Price'!$I$11="OK",E189/INDEX(E$5:E$1258,'Stock Price'!$I$9)-1,"")</f>
        <v>-0.10471092077087796</v>
      </c>
      <c r="S189" s="19">
        <f ca="1">IF('Stock Price'!$I$11="OK",F189/INDEX(F$5:F$1258,'Stock Price'!$I$9)-1,"")</f>
        <v>9.0024834437086199E-2</v>
      </c>
      <c r="T189" s="19">
        <f ca="1">IF('Stock Price'!$I$11="OK",G189/INDEX(G$5:G$1258,'Stock Price'!$I$9)-1,"")</f>
        <v>0.24813170150546937</v>
      </c>
      <c r="U189" s="19">
        <f ca="1">IF('Stock Price'!$I$11="OK",H189/INDEX(H$5:H$1258,'Stock Price'!$I$9)-1,"")</f>
        <v>0.13370098039215694</v>
      </c>
      <c r="V189" s="19">
        <f ca="1">IF('Stock Price'!$I$11="OK",I189/INDEX(I$5:I$1258,'Stock Price'!$I$9)-1,"")</f>
        <v>0.20368620037807172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128.91</v>
      </c>
      <c r="C190" s="18">
        <v>81.776399999999995</v>
      </c>
      <c r="D190" s="18">
        <v>54.412500000000001</v>
      </c>
      <c r="E190" s="18">
        <v>41.71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6.5371900826446172E-2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0.1389324960753533</v>
      </c>
      <c r="R190" s="19">
        <f ca="1">IF('Stock Price'!$I$11="OK",E190/INDEX(E$5:E$1258,'Stock Price'!$I$9)-1,"")</f>
        <v>-0.10685224839400431</v>
      </c>
      <c r="S190" s="19">
        <f ca="1">IF('Stock Price'!$I$11="OK",F190/INDEX(F$5:F$1258,'Stock Price'!$I$9)-1,"")</f>
        <v>3.5389072847682224E-2</v>
      </c>
      <c r="T190" s="19">
        <f ca="1">IF('Stock Price'!$I$11="OK",G190/INDEX(G$5:G$1258,'Stock Price'!$I$9)-1,"")</f>
        <v>0.22863641286689051</v>
      </c>
      <c r="U190" s="19">
        <f ca="1">IF('Stock Price'!$I$11="OK",H190/INDEX(H$5:H$1258,'Stock Price'!$I$9)-1,"")</f>
        <v>0.11727941176470602</v>
      </c>
      <c r="V190" s="19">
        <f ca="1">IF('Stock Price'!$I$11="OK",I190/INDEX(I$5:I$1258,'Stock Price'!$I$9)-1,"")</f>
        <v>0.23889413988657848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130.75</v>
      </c>
      <c r="C191" s="18">
        <v>81.611900000000006</v>
      </c>
      <c r="D191" s="18">
        <v>54.6875</v>
      </c>
      <c r="E191" s="18">
        <v>42.01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8.0578512396694224E-2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0.14468864468864462</v>
      </c>
      <c r="R191" s="19">
        <f ca="1">IF('Stock Price'!$I$11="OK",E191/INDEX(E$5:E$1258,'Stock Price'!$I$9)-1,"")</f>
        <v>-0.10042826552462536</v>
      </c>
      <c r="S191" s="19">
        <f ca="1">IF('Stock Price'!$I$11="OK",F191/INDEX(F$5:F$1258,'Stock Price'!$I$9)-1,"")</f>
        <v>5.5670529801324475E-2</v>
      </c>
      <c r="T191" s="19">
        <f ca="1">IF('Stock Price'!$I$11="OK",G191/INDEX(G$5:G$1258,'Stock Price'!$I$9)-1,"")</f>
        <v>0.24228311491389576</v>
      </c>
      <c r="U191" s="19">
        <f ca="1">IF('Stock Price'!$I$11="OK",H191/INDEX(H$5:H$1258,'Stock Price'!$I$9)-1,"")</f>
        <v>0.13259803921568647</v>
      </c>
      <c r="V191" s="19">
        <f ca="1">IF('Stock Price'!$I$11="OK",I191/INDEX(I$5:I$1258,'Stock Price'!$I$9)-1,"")</f>
        <v>0.23605860113421562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124.68</v>
      </c>
      <c r="C192" s="18">
        <v>81.534499999999994</v>
      </c>
      <c r="D192" s="18">
        <v>54.125</v>
      </c>
      <c r="E192" s="18">
        <v>41.57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3.0413223140495882E-2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0.1329147043432759</v>
      </c>
      <c r="R192" s="19">
        <f ca="1">IF('Stock Price'!$I$11="OK",E192/INDEX(E$5:E$1258,'Stock Price'!$I$9)-1,"")</f>
        <v>-0.10985010706638121</v>
      </c>
      <c r="S192" s="19">
        <f ca="1">IF('Stock Price'!$I$11="OK",F192/INDEX(F$5:F$1258,'Stock Price'!$I$9)-1,"")</f>
        <v>3.8493377483443725E-2</v>
      </c>
      <c r="T192" s="19">
        <f ca="1">IF('Stock Price'!$I$11="OK",G192/INDEX(G$5:G$1258,'Stock Price'!$I$9)-1,"")</f>
        <v>0.20264269468211848</v>
      </c>
      <c r="U192" s="19">
        <f ca="1">IF('Stock Price'!$I$11="OK",H192/INDEX(H$5:H$1258,'Stock Price'!$I$9)-1,"")</f>
        <v>0.13529411764705901</v>
      </c>
      <c r="V192" s="19">
        <f ca="1">IF('Stock Price'!$I$11="OK",I192/INDEX(I$5:I$1258,'Stock Price'!$I$9)-1,"")</f>
        <v>0.22022684310018903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130.16</v>
      </c>
      <c r="C193" s="18">
        <v>81.002399999999994</v>
      </c>
      <c r="D193" s="18">
        <v>53.887500000000003</v>
      </c>
      <c r="E193" s="18">
        <v>41.82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7.5702479338842998E-2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0.12794348508634235</v>
      </c>
      <c r="R193" s="19">
        <f ca="1">IF('Stock Price'!$I$11="OK",E193/INDEX(E$5:E$1258,'Stock Price'!$I$9)-1,"")</f>
        <v>-0.10449678800856532</v>
      </c>
      <c r="S193" s="19">
        <f ca="1">IF('Stock Price'!$I$11="OK",F193/INDEX(F$5:F$1258,'Stock Price'!$I$9)-1,"")</f>
        <v>3.5596026490066102E-2</v>
      </c>
      <c r="T193" s="19">
        <f ca="1">IF('Stock Price'!$I$11="OK",G193/INDEX(G$5:G$1258,'Stock Price'!$I$9)-1,"")</f>
        <v>0.21715585400194959</v>
      </c>
      <c r="U193" s="19">
        <f ca="1">IF('Stock Price'!$I$11="OK",H193/INDEX(H$5:H$1258,'Stock Price'!$I$9)-1,"")</f>
        <v>0.14129901960784319</v>
      </c>
      <c r="V193" s="19">
        <f ca="1">IF('Stock Price'!$I$11="OK",I193/INDEX(I$5:I$1258,'Stock Price'!$I$9)-1,"")</f>
        <v>0.2464555765595462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131.67500000000001</v>
      </c>
      <c r="C194" s="18">
        <v>81.650599999999997</v>
      </c>
      <c r="D194" s="18">
        <v>54.15</v>
      </c>
      <c r="E194" s="18">
        <v>41.81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8.8223140495867769E-2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0.13343799058084782</v>
      </c>
      <c r="R194" s="19">
        <f ca="1">IF('Stock Price'!$I$11="OK",E194/INDEX(E$5:E$1258,'Stock Price'!$I$9)-1,"")</f>
        <v>-0.10471092077087796</v>
      </c>
      <c r="S194" s="19">
        <f ca="1">IF('Stock Price'!$I$11="OK",F194/INDEX(F$5:F$1258,'Stock Price'!$I$9)-1,"")</f>
        <v>3.9321192052980125E-2</v>
      </c>
      <c r="T194" s="19">
        <f ca="1">IF('Stock Price'!$I$11="OK",G194/INDEX(G$5:G$1258,'Stock Price'!$I$9)-1,"")</f>
        <v>0.22582042673020686</v>
      </c>
      <c r="U194" s="19">
        <f ca="1">IF('Stock Price'!$I$11="OK",H194/INDEX(H$5:H$1258,'Stock Price'!$I$9)-1,"")</f>
        <v>0.13982843137254908</v>
      </c>
      <c r="V194" s="19">
        <f ca="1">IF('Stock Price'!$I$11="OK",I194/INDEX(I$5:I$1258,'Stock Price'!$I$9)-1,"")</f>
        <v>0.26228733459357279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130.5</v>
      </c>
      <c r="C195" s="18">
        <v>81.592500000000001</v>
      </c>
      <c r="D195" s="18">
        <v>52.924999999999997</v>
      </c>
      <c r="E195" s="18">
        <v>41.13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7.8512396694214948E-2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0.10779696493982205</v>
      </c>
      <c r="R195" s="19">
        <f ca="1">IF('Stock Price'!$I$11="OK",E195/INDEX(E$5:E$1258,'Stock Price'!$I$9)-1,"")</f>
        <v>-0.11927194860813706</v>
      </c>
      <c r="S195" s="19">
        <f ca="1">IF('Stock Price'!$I$11="OK",F195/INDEX(F$5:F$1258,'Stock Price'!$I$9)-1,"")</f>
        <v>3.8079470198675525E-2</v>
      </c>
      <c r="T195" s="19">
        <f ca="1">IF('Stock Price'!$I$11="OK",G195/INDEX(G$5:G$1258,'Stock Price'!$I$9)-1,"")</f>
        <v>0.25268060218780453</v>
      </c>
      <c r="U195" s="19">
        <f ca="1">IF('Stock Price'!$I$11="OK",H195/INDEX(H$5:H$1258,'Stock Price'!$I$9)-1,"")</f>
        <v>0.13700980392156881</v>
      </c>
      <c r="V195" s="19">
        <f ca="1">IF('Stock Price'!$I$11="OK",I195/INDEX(I$5:I$1258,'Stock Price'!$I$9)-1,"")</f>
        <v>0.25637996219281667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131.21</v>
      </c>
      <c r="C196" s="18">
        <v>81.737700000000004</v>
      </c>
      <c r="D196" s="18">
        <v>52.837499999999999</v>
      </c>
      <c r="E196" s="18">
        <v>41.55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8.4380165289256182E-2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0.10596546310832022</v>
      </c>
      <c r="R196" s="19">
        <f ca="1">IF('Stock Price'!$I$11="OK",E196/INDEX(E$5:E$1258,'Stock Price'!$I$9)-1,"")</f>
        <v>-0.11027837259100659</v>
      </c>
      <c r="S196" s="19">
        <f ca="1">IF('Stock Price'!$I$11="OK",F196/INDEX(F$5:F$1258,'Stock Price'!$I$9)-1,"")</f>
        <v>4.0769867549668826E-2</v>
      </c>
      <c r="T196" s="19">
        <f ca="1">IF('Stock Price'!$I$11="OK",G196/INDEX(G$5:G$1258,'Stock Price'!$I$9)-1,"")</f>
        <v>0.21628939672912373</v>
      </c>
      <c r="U196" s="19">
        <f ca="1">IF('Stock Price'!$I$11="OK",H196/INDEX(H$5:H$1258,'Stock Price'!$I$9)-1,"")</f>
        <v>0.1556372549019609</v>
      </c>
      <c r="V196" s="19">
        <f ca="1">IF('Stock Price'!$I$11="OK",I196/INDEX(I$5:I$1258,'Stock Price'!$I$9)-1,"")</f>
        <v>0.24976370510396984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132</v>
      </c>
      <c r="C197" s="18">
        <v>81.205600000000004</v>
      </c>
      <c r="D197" s="18">
        <v>51.8</v>
      </c>
      <c r="E197" s="18">
        <v>41.63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9.0909090909090828E-2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8.4249084249084172E-2</v>
      </c>
      <c r="R197" s="19">
        <f ca="1">IF('Stock Price'!$I$11="OK",E197/INDEX(E$5:E$1258,'Stock Price'!$I$9)-1,"")</f>
        <v>-0.1085653104925054</v>
      </c>
      <c r="S197" s="19">
        <f ca="1">IF('Stock Price'!$I$11="OK",F197/INDEX(F$5:F$1258,'Stock Price'!$I$9)-1,"")</f>
        <v>3.8286423841059625E-2</v>
      </c>
      <c r="T197" s="19">
        <f ca="1">IF('Stock Price'!$I$11="OK",G197/INDEX(G$5:G$1258,'Stock Price'!$I$9)-1,"")</f>
        <v>0.22257121195711038</v>
      </c>
      <c r="U197" s="19">
        <f ca="1">IF('Stock Price'!$I$11="OK",H197/INDEX(H$5:H$1258,'Stock Price'!$I$9)-1,"")</f>
        <v>0.14705882352941169</v>
      </c>
      <c r="V197" s="19">
        <f ca="1">IF('Stock Price'!$I$11="OK",I197/INDEX(I$5:I$1258,'Stock Price'!$I$9)-1,"")</f>
        <v>0.22967863894139873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129.97999999999999</v>
      </c>
      <c r="C198" s="18">
        <v>80.305899999999994</v>
      </c>
      <c r="D198" s="18">
        <v>51.15</v>
      </c>
      <c r="E198" s="18">
        <v>41.57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7.4214876033057875E-2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7.0643642072213408E-2</v>
      </c>
      <c r="R198" s="19">
        <f ca="1">IF('Stock Price'!$I$11="OK",E198/INDEX(E$5:E$1258,'Stock Price'!$I$9)-1,"")</f>
        <v>-0.10985010706638121</v>
      </c>
      <c r="S198" s="19">
        <f ca="1">IF('Stock Price'!$I$11="OK",F198/INDEX(F$5:F$1258,'Stock Price'!$I$9)-1,"")</f>
        <v>3.08360927152318E-2</v>
      </c>
      <c r="T198" s="19">
        <f ca="1">IF('Stock Price'!$I$11="OK",G198/INDEX(G$5:G$1258,'Stock Price'!$I$9)-1,"")</f>
        <v>0.21628939672912373</v>
      </c>
      <c r="U198" s="19">
        <f ca="1">IF('Stock Price'!$I$11="OK",H198/INDEX(H$5:H$1258,'Stock Price'!$I$9)-1,"")</f>
        <v>0.14914215686274512</v>
      </c>
      <c r="V198" s="19">
        <f ca="1">IF('Stock Price'!$I$11="OK",I198/INDEX(I$5:I$1258,'Stock Price'!$I$9)-1,"")</f>
        <v>0.22377126654064261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129.32</v>
      </c>
      <c r="C199" s="18">
        <v>79.909199999999998</v>
      </c>
      <c r="D199" s="18">
        <v>50.274999999999999</v>
      </c>
      <c r="E199" s="18">
        <v>41.43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6.8760330578512274E-2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5.2328623757195158E-2</v>
      </c>
      <c r="R199" s="19">
        <f ca="1">IF('Stock Price'!$I$11="OK",E199/INDEX(E$5:E$1258,'Stock Price'!$I$9)-1,"")</f>
        <v>-0.1128479657387581</v>
      </c>
      <c r="S199" s="19">
        <f ca="1">IF('Stock Price'!$I$11="OK",F199/INDEX(F$5:F$1258,'Stock Price'!$I$9)-1,"")</f>
        <v>2.3592715231788075E-2</v>
      </c>
      <c r="T199" s="19">
        <f ca="1">IF('Stock Price'!$I$11="OK",G199/INDEX(G$5:G$1258,'Stock Price'!$I$9)-1,"")</f>
        <v>0.17881511967941077</v>
      </c>
      <c r="U199" s="19">
        <f ca="1">IF('Stock Price'!$I$11="OK",H199/INDEX(H$5:H$1258,'Stock Price'!$I$9)-1,"")</f>
        <v>0.1504901960784315</v>
      </c>
      <c r="V199" s="19">
        <f ca="1">IF('Stock Price'!$I$11="OK",I199/INDEX(I$5:I$1258,'Stock Price'!$I$9)-1,"")</f>
        <v>0.21431947069943291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131.26</v>
      </c>
      <c r="C200" s="18">
        <v>81.882800000000003</v>
      </c>
      <c r="D200" s="18">
        <v>51.5625</v>
      </c>
      <c r="E200" s="18">
        <v>42.46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8.4793388429752037E-2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7.9277864992150837E-2</v>
      </c>
      <c r="R200" s="19">
        <f ca="1">IF('Stock Price'!$I$11="OK",E200/INDEX(E$5:E$1258,'Stock Price'!$I$9)-1,"")</f>
        <v>-9.0792291220556764E-2</v>
      </c>
      <c r="S200" s="19">
        <f ca="1">IF('Stock Price'!$I$11="OK",F200/INDEX(F$5:F$1258,'Stock Price'!$I$9)-1,"")</f>
        <v>4.4701986754966727E-2</v>
      </c>
      <c r="T200" s="19">
        <f ca="1">IF('Stock Price'!$I$11="OK",G200/INDEX(G$5:G$1258,'Stock Price'!$I$9)-1,"")</f>
        <v>0.20502545218238932</v>
      </c>
      <c r="U200" s="19">
        <f ca="1">IF('Stock Price'!$I$11="OK",H200/INDEX(H$5:H$1258,'Stock Price'!$I$9)-1,"")</f>
        <v>0.16372549019607852</v>
      </c>
      <c r="V200" s="19">
        <f ca="1">IF('Stock Price'!$I$11="OK",I200/INDEX(I$5:I$1258,'Stock Price'!$I$9)-1,"")</f>
        <v>0.22282608695652173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133.9</v>
      </c>
      <c r="C201" s="18">
        <v>80.006</v>
      </c>
      <c r="D201" s="18">
        <v>50.512500000000003</v>
      </c>
      <c r="E201" s="18">
        <v>41.8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0.106611570247934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5.7299843014128715E-2</v>
      </c>
      <c r="R201" s="19">
        <f ca="1">IF('Stock Price'!$I$11="OK",E201/INDEX(E$5:E$1258,'Stock Price'!$I$9)-1,"")</f>
        <v>-0.1049250535331907</v>
      </c>
      <c r="S201" s="19">
        <f ca="1">IF('Stock Price'!$I$11="OK",F201/INDEX(F$5:F$1258,'Stock Price'!$I$9)-1,"")</f>
        <v>3.7872516556291425E-2</v>
      </c>
      <c r="T201" s="19">
        <f ca="1">IF('Stock Price'!$I$11="OK",G201/INDEX(G$5:G$1258,'Stock Price'!$I$9)-1,"")</f>
        <v>0.20069316581826069</v>
      </c>
      <c r="U201" s="19">
        <f ca="1">IF('Stock Price'!$I$11="OK",H201/INDEX(H$5:H$1258,'Stock Price'!$I$9)-1,"")</f>
        <v>0.13161764705882373</v>
      </c>
      <c r="V201" s="19">
        <f ca="1">IF('Stock Price'!$I$11="OK",I201/INDEX(I$5:I$1258,'Stock Price'!$I$9)-1,"")</f>
        <v>0.19919659735349726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134.55000000000001</v>
      </c>
      <c r="C202" s="18">
        <v>83.198499999999996</v>
      </c>
      <c r="D202" s="18">
        <v>43.91</v>
      </c>
      <c r="E202" s="18">
        <v>42.77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0.11198347107438034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-8.090005232862385E-2</v>
      </c>
      <c r="R202" s="19">
        <f ca="1">IF('Stock Price'!$I$11="OK",E202/INDEX(E$5:E$1258,'Stock Price'!$I$9)-1,"")</f>
        <v>-8.4154175588865066E-2</v>
      </c>
      <c r="S202" s="19">
        <f ca="1">IF('Stock Price'!$I$11="OK",F202/INDEX(F$5:F$1258,'Stock Price'!$I$9)-1,"")</f>
        <v>6.7880794701986824E-2</v>
      </c>
      <c r="T202" s="19">
        <f ca="1">IF('Stock Price'!$I$11="OK",G202/INDEX(G$5:G$1258,'Stock Price'!$I$9)-1,"")</f>
        <v>0.25787934582475902</v>
      </c>
      <c r="U202" s="19">
        <f ca="1">IF('Stock Price'!$I$11="OK",H202/INDEX(H$5:H$1258,'Stock Price'!$I$9)-1,"")</f>
        <v>0.13186274509803919</v>
      </c>
      <c r="V202" s="19">
        <f ca="1">IF('Stock Price'!$I$11="OK",I202/INDEX(I$5:I$1258,'Stock Price'!$I$9)-1,"")</f>
        <v>0.21384688090737236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129.91</v>
      </c>
      <c r="C203" s="18">
        <v>81.476500000000001</v>
      </c>
      <c r="D203" s="18">
        <v>41.6</v>
      </c>
      <c r="E203" s="18">
        <v>42.18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7.36363636363635E-2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-0.12925170068027203</v>
      </c>
      <c r="R203" s="19">
        <f ca="1">IF('Stock Price'!$I$11="OK",E203/INDEX(E$5:E$1258,'Stock Price'!$I$9)-1,"")</f>
        <v>-9.6788008565310557E-2</v>
      </c>
      <c r="S203" s="19">
        <f ca="1">IF('Stock Price'!$I$11="OK",F203/INDEX(F$5:F$1258,'Stock Price'!$I$9)-1,"")</f>
        <v>3.24917218543046E-2</v>
      </c>
      <c r="T203" s="19">
        <f ca="1">IF('Stock Price'!$I$11="OK",G203/INDEX(G$5:G$1258,'Stock Price'!$I$9)-1,"")</f>
        <v>0.27455864832665444</v>
      </c>
      <c r="U203" s="19">
        <f ca="1">IF('Stock Price'!$I$11="OK",H203/INDEX(H$5:H$1258,'Stock Price'!$I$9)-1,"")</f>
        <v>9.865196078431393E-2</v>
      </c>
      <c r="V203" s="19">
        <f ca="1">IF('Stock Price'!$I$11="OK",I203/INDEX(I$5:I$1258,'Stock Price'!$I$9)-1,"")</f>
        <v>0.20085066162570886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125.55</v>
      </c>
      <c r="C204" s="18">
        <v>83.092100000000002</v>
      </c>
      <c r="D204" s="18">
        <v>41.98</v>
      </c>
      <c r="E204" s="18">
        <v>41.96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3.7603305785123942E-2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-0.12129774986917852</v>
      </c>
      <c r="R204" s="19">
        <f ca="1">IF('Stock Price'!$I$11="OK",E204/INDEX(E$5:E$1258,'Stock Price'!$I$9)-1,"")</f>
        <v>-0.10149892933618843</v>
      </c>
      <c r="S204" s="19">
        <f ca="1">IF('Stock Price'!$I$11="OK",F204/INDEX(F$5:F$1258,'Stock Price'!$I$9)-1,"")</f>
        <v>3.3940397350993301E-2</v>
      </c>
      <c r="T204" s="19">
        <f ca="1">IF('Stock Price'!$I$11="OK",G204/INDEX(G$5:G$1258,'Stock Price'!$I$9)-1,"")</f>
        <v>0.24336618650492792</v>
      </c>
      <c r="U204" s="19">
        <f ca="1">IF('Stock Price'!$I$11="OK",H204/INDEX(H$5:H$1258,'Stock Price'!$I$9)-1,"")</f>
        <v>0.10465686274509811</v>
      </c>
      <c r="V204" s="19">
        <f ca="1">IF('Stock Price'!$I$11="OK",I204/INDEX(I$5:I$1258,'Stock Price'!$I$9)-1,"")</f>
        <v>0.20793950850661624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128.64009999999999</v>
      </c>
      <c r="C205" s="18">
        <v>83.072699999999998</v>
      </c>
      <c r="D205" s="18">
        <v>42.29</v>
      </c>
      <c r="E205" s="18">
        <v>42.08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6.3141322314049564E-2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-0.11480900052328624</v>
      </c>
      <c r="R205" s="19">
        <f ca="1">IF('Stock Price'!$I$11="OK",E205/INDEX(E$5:E$1258,'Stock Price'!$I$9)-1,"")</f>
        <v>-9.8929336188436912E-2</v>
      </c>
      <c r="S205" s="19">
        <f ca="1">IF('Stock Price'!$I$11="OK",F205/INDEX(F$5:F$1258,'Stock Price'!$I$9)-1,"")</f>
        <v>3.125E-2</v>
      </c>
      <c r="T205" s="19">
        <f ca="1">IF('Stock Price'!$I$11="OK",G205/INDEX(G$5:G$1258,'Stock Price'!$I$9)-1,"")</f>
        <v>0.23015271309433549</v>
      </c>
      <c r="U205" s="19">
        <f ca="1">IF('Stock Price'!$I$11="OK",H205/INDEX(H$5:H$1258,'Stock Price'!$I$9)-1,"")</f>
        <v>0.10428921568627447</v>
      </c>
      <c r="V205" s="19">
        <f ca="1">IF('Stock Price'!$I$11="OK",I205/INDEX(I$5:I$1258,'Stock Price'!$I$9)-1,"")</f>
        <v>0.21053875236294894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129.06</v>
      </c>
      <c r="C206" s="18">
        <v>83.275899999999993</v>
      </c>
      <c r="D206" s="18">
        <v>42.16</v>
      </c>
      <c r="E206" s="18">
        <v>42.49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6.661157024793396E-2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-0.11753008895866046</v>
      </c>
      <c r="R206" s="19">
        <f ca="1">IF('Stock Price'!$I$11="OK",E206/INDEX(E$5:E$1258,'Stock Price'!$I$9)-1,"")</f>
        <v>-9.0149892933618858E-2</v>
      </c>
      <c r="S206" s="19">
        <f ca="1">IF('Stock Price'!$I$11="OK",F206/INDEX(F$5:F$1258,'Stock Price'!$I$9)-1,"")</f>
        <v>4.1183774834437026E-2</v>
      </c>
      <c r="T206" s="19">
        <f ca="1">IF('Stock Price'!$I$11="OK",G206/INDEX(G$5:G$1258,'Stock Price'!$I$9)-1,"")</f>
        <v>0.24964800173291457</v>
      </c>
      <c r="U206" s="19">
        <f ca="1">IF('Stock Price'!$I$11="OK",H206/INDEX(H$5:H$1258,'Stock Price'!$I$9)-1,"")</f>
        <v>0.10943627450980409</v>
      </c>
      <c r="V206" s="19">
        <f ca="1">IF('Stock Price'!$I$11="OK",I206/INDEX(I$5:I$1258,'Stock Price'!$I$9)-1,"")</f>
        <v>0.22329867674858228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131.30000000000001</v>
      </c>
      <c r="C207" s="18">
        <v>84.011099999999999</v>
      </c>
      <c r="D207" s="18">
        <v>42.52</v>
      </c>
      <c r="E207" s="18">
        <v>42.93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8.5123966942148854E-2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-0.10999476713762424</v>
      </c>
      <c r="R207" s="19">
        <f ca="1">IF('Stock Price'!$I$11="OK",E207/INDEX(E$5:E$1258,'Stock Price'!$I$9)-1,"")</f>
        <v>-8.0728051391863009E-2</v>
      </c>
      <c r="S207" s="19">
        <f ca="1">IF('Stock Price'!$I$11="OK",F207/INDEX(F$5:F$1258,'Stock Price'!$I$9)-1,"")</f>
        <v>4.2011589403973426E-2</v>
      </c>
      <c r="T207" s="19">
        <f ca="1">IF('Stock Price'!$I$11="OK",G207/INDEX(G$5:G$1258,'Stock Price'!$I$9)-1,"")</f>
        <v>0.24964800173291457</v>
      </c>
      <c r="U207" s="19">
        <f ca="1">IF('Stock Price'!$I$11="OK",H207/INDEX(H$5:H$1258,'Stock Price'!$I$9)-1,"")</f>
        <v>0.11875000000000013</v>
      </c>
      <c r="V207" s="19">
        <f ca="1">IF('Stock Price'!$I$11="OK",I207/INDEX(I$5:I$1258,'Stock Price'!$I$9)-1,"")</f>
        <v>0.23582230623818523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134.29</v>
      </c>
      <c r="C208" s="18">
        <v>83.924000000000007</v>
      </c>
      <c r="D208" s="18">
        <v>43.54</v>
      </c>
      <c r="E208" s="18">
        <v>42.64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0.10983471074380158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-8.8644688644688663E-2</v>
      </c>
      <c r="R208" s="19">
        <f ca="1">IF('Stock Price'!$I$11="OK",E208/INDEX(E$5:E$1258,'Stock Price'!$I$9)-1,"")</f>
        <v>-8.6937901498929326E-2</v>
      </c>
      <c r="S208" s="19">
        <f ca="1">IF('Stock Price'!$I$11="OK",F208/INDEX(F$5:F$1258,'Stock Price'!$I$9)-1,"")</f>
        <v>5.3807947019867575E-2</v>
      </c>
      <c r="T208" s="19">
        <f ca="1">IF('Stock Price'!$I$11="OK",G208/INDEX(G$5:G$1258,'Stock Price'!$I$9)-1,"")</f>
        <v>0.23513484241308369</v>
      </c>
      <c r="U208" s="19">
        <f ca="1">IF('Stock Price'!$I$11="OK",H208/INDEX(H$5:H$1258,'Stock Price'!$I$9)-1,"")</f>
        <v>0.11801470588235308</v>
      </c>
      <c r="V208" s="19">
        <f ca="1">IF('Stock Price'!$I$11="OK",I208/INDEX(I$5:I$1258,'Stock Price'!$I$9)-1,"")</f>
        <v>0.2275519848771268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131.1</v>
      </c>
      <c r="C209" s="18">
        <v>84.417400000000001</v>
      </c>
      <c r="D209" s="18">
        <v>42.93</v>
      </c>
      <c r="E209" s="18">
        <v>42.41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8.3471074380165211E-2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-0.10141287284144429</v>
      </c>
      <c r="R209" s="19">
        <f ca="1">IF('Stock Price'!$I$11="OK",E209/INDEX(E$5:E$1258,'Stock Price'!$I$9)-1,"")</f>
        <v>-9.1862955032120053E-2</v>
      </c>
      <c r="S209" s="19">
        <f ca="1">IF('Stock Price'!$I$11="OK",F209/INDEX(F$5:F$1258,'Stock Price'!$I$9)-1,"")</f>
        <v>5.3807947019867575E-2</v>
      </c>
      <c r="T209" s="19">
        <f ca="1">IF('Stock Price'!$I$11="OK",G209/INDEX(G$5:G$1258,'Stock Price'!$I$9)-1,"")</f>
        <v>0.23470161377667065</v>
      </c>
      <c r="U209" s="19">
        <f ca="1">IF('Stock Price'!$I$11="OK",H209/INDEX(H$5:H$1258,'Stock Price'!$I$9)-1,"")</f>
        <v>0.10220588235294126</v>
      </c>
      <c r="V209" s="19">
        <f ca="1">IF('Stock Price'!$I$11="OK",I209/INDEX(I$5:I$1258,'Stock Price'!$I$9)-1,"")</f>
        <v>0.19848771266540632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130.72</v>
      </c>
      <c r="C210" s="18">
        <v>83.034000000000006</v>
      </c>
      <c r="D210" s="18">
        <v>42.17</v>
      </c>
      <c r="E210" s="18">
        <v>41.47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8.0330578512396666E-2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-0.11732077446363154</v>
      </c>
      <c r="R210" s="19">
        <f ca="1">IF('Stock Price'!$I$11="OK",E210/INDEX(E$5:E$1258,'Stock Price'!$I$9)-1,"")</f>
        <v>-0.11199143468950756</v>
      </c>
      <c r="S210" s="19">
        <f ca="1">IF('Stock Price'!$I$11="OK",F210/INDEX(F$5:F$1258,'Stock Price'!$I$9)-1,"")</f>
        <v>2.8559602649006699E-2</v>
      </c>
      <c r="T210" s="19">
        <f ca="1">IF('Stock Price'!$I$11="OK",G210/INDEX(G$5:G$1258,'Stock Price'!$I$9)-1,"")</f>
        <v>0.23470161377667065</v>
      </c>
      <c r="U210" s="19">
        <f ca="1">IF('Stock Price'!$I$11="OK",H210/INDEX(H$5:H$1258,'Stock Price'!$I$9)-1,"")</f>
        <v>9.4852941176470695E-2</v>
      </c>
      <c r="V210" s="19">
        <f ca="1">IF('Stock Price'!$I$11="OK",I210/INDEX(I$5:I$1258,'Stock Price'!$I$9)-1,"")</f>
        <v>0.19352551984877131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132.63999999999999</v>
      </c>
      <c r="C211" s="18">
        <v>82.840500000000006</v>
      </c>
      <c r="D211" s="18">
        <v>41.63</v>
      </c>
      <c r="E211" s="18">
        <v>41.3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9.6198347107437909E-2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-0.12862375719518571</v>
      </c>
      <c r="R211" s="19">
        <f ca="1">IF('Stock Price'!$I$11="OK",E211/INDEX(E$5:E$1258,'Stock Price'!$I$9)-1,"")</f>
        <v>-0.11563169164882237</v>
      </c>
      <c r="S211" s="19">
        <f ca="1">IF('Stock Price'!$I$11="OK",F211/INDEX(F$5:F$1258,'Stock Price'!$I$9)-1,"")</f>
        <v>1.2003311258278027E-2</v>
      </c>
      <c r="T211" s="19">
        <f ca="1">IF('Stock Price'!$I$11="OK",G211/INDEX(G$5:G$1258,'Stock Price'!$I$9)-1,"")</f>
        <v>0.22863641286689051</v>
      </c>
      <c r="U211" s="19">
        <f ca="1">IF('Stock Price'!$I$11="OK",H211/INDEX(H$5:H$1258,'Stock Price'!$I$9)-1,"")</f>
        <v>8.4926470588235325E-2</v>
      </c>
      <c r="V211" s="19">
        <f ca="1">IF('Stock Price'!$I$11="OK",I211/INDEX(I$5:I$1258,'Stock Price'!$I$9)-1,"")</f>
        <v>0.19588846880907362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130.30000000000001</v>
      </c>
      <c r="C212" s="18">
        <v>82.289100000000005</v>
      </c>
      <c r="D212" s="18">
        <v>41.18</v>
      </c>
      <c r="E212" s="18">
        <v>41.28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7.6859504132231526E-2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-0.1380429094714809</v>
      </c>
      <c r="R212" s="19">
        <f ca="1">IF('Stock Price'!$I$11="OK",E212/INDEX(E$5:E$1258,'Stock Price'!$I$9)-1,"")</f>
        <v>-0.11605995717344753</v>
      </c>
      <c r="S212" s="19">
        <f ca="1">IF('Stock Price'!$I$11="OK",F212/INDEX(F$5:F$1258,'Stock Price'!$I$9)-1,"")</f>
        <v>9.9337748344370258E-3</v>
      </c>
      <c r="T212" s="19">
        <f ca="1">IF('Stock Price'!$I$11="OK",G212/INDEX(G$5:G$1258,'Stock Price'!$I$9)-1,"")</f>
        <v>0.25636304559731404</v>
      </c>
      <c r="U212" s="19">
        <f ca="1">IF('Stock Price'!$I$11="OK",H212/INDEX(H$5:H$1258,'Stock Price'!$I$9)-1,"")</f>
        <v>7.3651960784313797E-2</v>
      </c>
      <c r="V212" s="19">
        <f ca="1">IF('Stock Price'!$I$11="OK",I212/INDEX(I$5:I$1258,'Stock Price'!$I$9)-1,"")</f>
        <v>0.17414933837429114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130.30000000000001</v>
      </c>
      <c r="C213" s="18">
        <v>82.095600000000005</v>
      </c>
      <c r="D213" s="18">
        <v>40.82</v>
      </c>
      <c r="E213" s="18">
        <v>41.57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7.6859504132231526E-2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-0.14557823129251701</v>
      </c>
      <c r="R213" s="19">
        <f ca="1">IF('Stock Price'!$I$11="OK",E213/INDEX(E$5:E$1258,'Stock Price'!$I$9)-1,"")</f>
        <v>-0.10985010706638121</v>
      </c>
      <c r="S213" s="19">
        <f ca="1">IF('Stock Price'!$I$11="OK",F213/INDEX(F$5:F$1258,'Stock Price'!$I$9)-1,"")</f>
        <v>1.0761589403973648E-2</v>
      </c>
      <c r="T213" s="19">
        <f ca="1">IF('Stock Price'!$I$11="OK",G213/INDEX(G$5:G$1258,'Stock Price'!$I$9)-1,"")</f>
        <v>0.27282573378100294</v>
      </c>
      <c r="U213" s="19">
        <f ca="1">IF('Stock Price'!$I$11="OK",H213/INDEX(H$5:H$1258,'Stock Price'!$I$9)-1,"")</f>
        <v>7.3774509803921751E-2</v>
      </c>
      <c r="V213" s="19">
        <f ca="1">IF('Stock Price'!$I$11="OK",I213/INDEX(I$5:I$1258,'Stock Price'!$I$9)-1,"")</f>
        <v>0.17816635160680527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133.34</v>
      </c>
      <c r="C214" s="18">
        <v>82.453599999999994</v>
      </c>
      <c r="D214" s="18">
        <v>40.6</v>
      </c>
      <c r="E214" s="18">
        <v>41.2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0.10198347107438011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-0.15018315018315009</v>
      </c>
      <c r="R214" s="19">
        <f ca="1">IF('Stock Price'!$I$11="OK",E214/INDEX(E$5:E$1258,'Stock Price'!$I$9)-1,"")</f>
        <v>-0.11777301927194861</v>
      </c>
      <c r="S214" s="19">
        <f ca="1">IF('Stock Price'!$I$11="OK",F214/INDEX(F$5:F$1258,'Stock Price'!$I$9)-1,"")</f>
        <v>1.7798013245033051E-2</v>
      </c>
      <c r="T214" s="19">
        <f ca="1">IF('Stock Price'!$I$11="OK",G214/INDEX(G$5:G$1258,'Stock Price'!$I$9)-1,"")</f>
        <v>0.24076681468645078</v>
      </c>
      <c r="U214" s="19">
        <f ca="1">IF('Stock Price'!$I$11="OK",H214/INDEX(H$5:H$1258,'Stock Price'!$I$9)-1,"")</f>
        <v>6.3970588235294112E-2</v>
      </c>
      <c r="V214" s="19">
        <f ca="1">IF('Stock Price'!$I$11="OK",I214/INDEX(I$5:I$1258,'Stock Price'!$I$9)-1,"")</f>
        <v>0.17816635160680527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128.16</v>
      </c>
      <c r="C215" s="18">
        <v>82.782499999999999</v>
      </c>
      <c r="D215" s="18">
        <v>40.57</v>
      </c>
      <c r="E215" s="18">
        <v>41.16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5.9173553719008343E-2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-0.15081109366823653</v>
      </c>
      <c r="R215" s="19">
        <f ca="1">IF('Stock Price'!$I$11="OK",E215/INDEX(E$5:E$1258,'Stock Price'!$I$9)-1,"")</f>
        <v>-0.11862955032119926</v>
      </c>
      <c r="S215" s="19">
        <f ca="1">IF('Stock Price'!$I$11="OK",F215/INDEX(F$5:F$1258,'Stock Price'!$I$9)-1,"")</f>
        <v>2.8766556291390799E-2</v>
      </c>
      <c r="T215" s="19">
        <f ca="1">IF('Stock Price'!$I$11="OK",G215/INDEX(G$5:G$1258,'Stock Price'!$I$9)-1,"")</f>
        <v>0.15412108740387742</v>
      </c>
      <c r="U215" s="19">
        <f ca="1">IF('Stock Price'!$I$11="OK",H215/INDEX(H$5:H$1258,'Stock Price'!$I$9)-1,"")</f>
        <v>7.1200980392156943E-2</v>
      </c>
      <c r="V215" s="19">
        <f ca="1">IF('Stock Price'!$I$11="OK",I215/INDEX(I$5:I$1258,'Stock Price'!$I$9)-1,"")</f>
        <v>0.16422495274102089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133.34</v>
      </c>
      <c r="C216" s="18">
        <v>83.1404</v>
      </c>
      <c r="D216" s="18">
        <v>40.31</v>
      </c>
      <c r="E216" s="18">
        <v>41.36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0.10198347107438011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-0.15625327053898475</v>
      </c>
      <c r="R216" s="19">
        <f ca="1">IF('Stock Price'!$I$11="OK",E216/INDEX(E$5:E$1258,'Stock Price'!$I$9)-1,"")</f>
        <v>-0.11434689507494655</v>
      </c>
      <c r="S216" s="19">
        <f ca="1">IF('Stock Price'!$I$11="OK",F216/INDEX(F$5:F$1258,'Stock Price'!$I$9)-1,"")</f>
        <v>1.572847682119205E-2</v>
      </c>
      <c r="T216" s="19">
        <f ca="1">IF('Stock Price'!$I$11="OK",G216/INDEX(G$5:G$1258,'Stock Price'!$I$9)-1,"")</f>
        <v>0.14697281490306513</v>
      </c>
      <c r="U216" s="19">
        <f ca="1">IF('Stock Price'!$I$11="OK",H216/INDEX(H$5:H$1258,'Stock Price'!$I$9)-1,"")</f>
        <v>8.4436274509803955E-2</v>
      </c>
      <c r="V216" s="19">
        <f ca="1">IF('Stock Price'!$I$11="OK",I216/INDEX(I$5:I$1258,'Stock Price'!$I$9)-1,"")</f>
        <v>0.17131379962192828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128.16</v>
      </c>
      <c r="C217" s="18">
        <v>84.311000000000007</v>
      </c>
      <c r="D217" s="18">
        <v>40.03</v>
      </c>
      <c r="E217" s="18">
        <v>41.55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5.9173553719008343E-2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-0.16211407639979059</v>
      </c>
      <c r="R217" s="19">
        <f ca="1">IF('Stock Price'!$I$11="OK",E217/INDEX(E$5:E$1258,'Stock Price'!$I$9)-1,"")</f>
        <v>-0.11027837259100659</v>
      </c>
      <c r="S217" s="19">
        <f ca="1">IF('Stock Price'!$I$11="OK",F217/INDEX(F$5:F$1258,'Stock Price'!$I$9)-1,"")</f>
        <v>7.0364238410596247E-3</v>
      </c>
      <c r="T217" s="19">
        <f ca="1">IF('Stock Price'!$I$11="OK",G217/INDEX(G$5:G$1258,'Stock Price'!$I$9)-1,"")</f>
        <v>0.12986028376475689</v>
      </c>
      <c r="U217" s="19">
        <f ca="1">IF('Stock Price'!$I$11="OK",H217/INDEX(H$5:H$1258,'Stock Price'!$I$9)-1,"")</f>
        <v>9.7058823529411864E-2</v>
      </c>
      <c r="V217" s="19">
        <f ca="1">IF('Stock Price'!$I$11="OK",I217/INDEX(I$5:I$1258,'Stock Price'!$I$9)-1,"")</f>
        <v>0.17627599243856329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132.43</v>
      </c>
      <c r="C218" s="18">
        <v>84.581900000000005</v>
      </c>
      <c r="D218" s="18">
        <v>38.299999999999997</v>
      </c>
      <c r="E218" s="18">
        <v>42.09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9.446280991735545E-2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-0.19832548403976979</v>
      </c>
      <c r="R218" s="19">
        <f ca="1">IF('Stock Price'!$I$11="OK",E218/INDEX(E$5:E$1258,'Stock Price'!$I$9)-1,"")</f>
        <v>-9.8715203426124165E-2</v>
      </c>
      <c r="S218" s="19">
        <f ca="1">IF('Stock Price'!$I$11="OK",F218/INDEX(F$5:F$1258,'Stock Price'!$I$9)-1,"")</f>
        <v>-6.4569536423841001E-2</v>
      </c>
      <c r="T218" s="19">
        <f ca="1">IF('Stock Price'!$I$11="OK",G218/INDEX(G$5:G$1258,'Stock Price'!$I$9)-1,"")</f>
        <v>0.12422831149138958</v>
      </c>
      <c r="U218" s="19">
        <f ca="1">IF('Stock Price'!$I$11="OK",H218/INDEX(H$5:H$1258,'Stock Price'!$I$9)-1,"")</f>
        <v>9.3014705882352944E-2</v>
      </c>
      <c r="V218" s="19">
        <f ca="1">IF('Stock Price'!$I$11="OK",I218/INDEX(I$5:I$1258,'Stock Price'!$I$9)-1,"")</f>
        <v>0.18029300567107764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128.51499999999999</v>
      </c>
      <c r="C219" s="18">
        <v>82.792199999999994</v>
      </c>
      <c r="D219" s="18">
        <v>35.729999999999997</v>
      </c>
      <c r="E219" s="18">
        <v>41.04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6.2107438016528738E-2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-0.25211930926216641</v>
      </c>
      <c r="R219" s="19">
        <f ca="1">IF('Stock Price'!$I$11="OK",E219/INDEX(E$5:E$1258,'Stock Price'!$I$9)-1,"")</f>
        <v>-0.12119914346895078</v>
      </c>
      <c r="S219" s="19">
        <f ca="1">IF('Stock Price'!$I$11="OK",F219/INDEX(F$5:F$1258,'Stock Price'!$I$9)-1,"")</f>
        <v>-0.10140728476821192</v>
      </c>
      <c r="T219" s="19">
        <f ca="1">IF('Stock Price'!$I$11="OK",G219/INDEX(G$5:G$1258,'Stock Price'!$I$9)-1,"")</f>
        <v>0.11946279649084812</v>
      </c>
      <c r="U219" s="19">
        <f ca="1">IF('Stock Price'!$I$11="OK",H219/INDEX(H$5:H$1258,'Stock Price'!$I$9)-1,"")</f>
        <v>8.9828431372549256E-2</v>
      </c>
      <c r="V219" s="19">
        <f ca="1">IF('Stock Price'!$I$11="OK",I219/INDEX(I$5:I$1258,'Stock Price'!$I$9)-1,"")</f>
        <v>0.14106805293005675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127.39</v>
      </c>
      <c r="C220" s="18">
        <v>82.888900000000007</v>
      </c>
      <c r="D220" s="18">
        <v>36.03</v>
      </c>
      <c r="E220" s="18">
        <v>42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5.2809917355371994E-2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-0.24583987441130295</v>
      </c>
      <c r="R220" s="19">
        <f ca="1">IF('Stock Price'!$I$11="OK",E220/INDEX(E$5:E$1258,'Stock Price'!$I$9)-1,"")</f>
        <v>-0.100642398286938</v>
      </c>
      <c r="S220" s="19">
        <f ca="1">IF('Stock Price'!$I$11="OK",F220/INDEX(F$5:F$1258,'Stock Price'!$I$9)-1,"")</f>
        <v>-8.1746688741721862E-2</v>
      </c>
      <c r="T220" s="19">
        <f ca="1">IF('Stock Price'!$I$11="OK",G220/INDEX(G$5:G$1258,'Stock Price'!$I$9)-1,"")</f>
        <v>0.17296653308783716</v>
      </c>
      <c r="U220" s="19">
        <f ca="1">IF('Stock Price'!$I$11="OK",H220/INDEX(H$5:H$1258,'Stock Price'!$I$9)-1,"")</f>
        <v>0.11544117647058827</v>
      </c>
      <c r="V220" s="19">
        <f ca="1">IF('Stock Price'!$I$11="OK",I220/INDEX(I$5:I$1258,'Stock Price'!$I$9)-1,"")</f>
        <v>0.18407372400756139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131.54499999999999</v>
      </c>
      <c r="C221" s="18">
        <v>82.598699999999994</v>
      </c>
      <c r="D221" s="18">
        <v>34.950000000000003</v>
      </c>
      <c r="E221" s="18">
        <v>42.28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8.7148760330578501E-2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-0.26844583987441117</v>
      </c>
      <c r="R221" s="19">
        <f ca="1">IF('Stock Price'!$I$11="OK",E221/INDEX(E$5:E$1258,'Stock Price'!$I$9)-1,"")</f>
        <v>-9.4646680942184203E-2</v>
      </c>
      <c r="S221" s="19">
        <f ca="1">IF('Stock Price'!$I$11="OK",F221/INDEX(F$5:F$1258,'Stock Price'!$I$9)-1,"")</f>
        <v>-9.29221854304636E-2</v>
      </c>
      <c r="T221" s="19">
        <f ca="1">IF('Stock Price'!$I$11="OK",G221/INDEX(G$5:G$1258,'Stock Price'!$I$9)-1,"")</f>
        <v>0.16018628831365755</v>
      </c>
      <c r="U221" s="19">
        <f ca="1">IF('Stock Price'!$I$11="OK",H221/INDEX(H$5:H$1258,'Stock Price'!$I$9)-1,"")</f>
        <v>0.11029411764705888</v>
      </c>
      <c r="V221" s="19">
        <f ca="1">IF('Stock Price'!$I$11="OK",I221/INDEX(I$5:I$1258,'Stock Price'!$I$9)-1,"")</f>
        <v>0.17556710775047257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134.13</v>
      </c>
      <c r="C222" s="18">
        <v>83.024299999999997</v>
      </c>
      <c r="D222" s="18">
        <v>35.26</v>
      </c>
      <c r="E222" s="18">
        <v>41.57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0.10851239669421475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-0.26195709052851912</v>
      </c>
      <c r="R222" s="19">
        <f ca="1">IF('Stock Price'!$I$11="OK",E222/INDEX(E$5:E$1258,'Stock Price'!$I$9)-1,"")</f>
        <v>-0.10985010706638121</v>
      </c>
      <c r="S222" s="19">
        <f ca="1">IF('Stock Price'!$I$11="OK",F222/INDEX(F$5:F$1258,'Stock Price'!$I$9)-1,"")</f>
        <v>-7.2640728476821126E-2</v>
      </c>
      <c r="T222" s="19">
        <f ca="1">IF('Stock Price'!$I$11="OK",G222/INDEX(G$5:G$1258,'Stock Price'!$I$9)-1,"")</f>
        <v>0.17621574786093364</v>
      </c>
      <c r="U222" s="19">
        <f ca="1">IF('Stock Price'!$I$11="OK",H222/INDEX(H$5:H$1258,'Stock Price'!$I$9)-1,"")</f>
        <v>0.11017156862745114</v>
      </c>
      <c r="V222" s="19">
        <f ca="1">IF('Stock Price'!$I$11="OK",I222/INDEX(I$5:I$1258,'Stock Price'!$I$9)-1,"")</f>
        <v>0.17816635160680527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134.13</v>
      </c>
      <c r="C223" s="18">
        <v>82.443899999999999</v>
      </c>
      <c r="D223" s="18">
        <v>34.700000000000003</v>
      </c>
      <c r="E223" s="18">
        <v>41.64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0.10851239669421475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-0.27367870225013069</v>
      </c>
      <c r="R223" s="19">
        <f ca="1">IF('Stock Price'!$I$11="OK",E223/INDEX(E$5:E$1258,'Stock Price'!$I$9)-1,"")</f>
        <v>-0.10835117773019276</v>
      </c>
      <c r="S223" s="19">
        <f ca="1">IF('Stock Price'!$I$11="OK",F223/INDEX(F$5:F$1258,'Stock Price'!$I$9)-1,"")</f>
        <v>-0.12706953642384111</v>
      </c>
      <c r="T223" s="19">
        <f ca="1">IF('Stock Price'!$I$11="OK",G223/INDEX(G$5:G$1258,'Stock Price'!$I$9)-1,"")</f>
        <v>0.15607061626773522</v>
      </c>
      <c r="U223" s="19">
        <f ca="1">IF('Stock Price'!$I$11="OK",H223/INDEX(H$5:H$1258,'Stock Price'!$I$9)-1,"")</f>
        <v>0.11568627450980418</v>
      </c>
      <c r="V223" s="19">
        <f ca="1">IF('Stock Price'!$I$11="OK",I223/INDEX(I$5:I$1258,'Stock Price'!$I$9)-1,"")</f>
        <v>0.16422495274102089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130.16999999999999</v>
      </c>
      <c r="C224" s="18">
        <v>82.153700000000001</v>
      </c>
      <c r="D224" s="18">
        <v>34.25</v>
      </c>
      <c r="E224" s="18">
        <v>41.96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7.5785123966942036E-2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-0.28309785452642588</v>
      </c>
      <c r="R224" s="19">
        <f ca="1">IF('Stock Price'!$I$11="OK",E224/INDEX(E$5:E$1258,'Stock Price'!$I$9)-1,"")</f>
        <v>-0.10149892933618843</v>
      </c>
      <c r="S224" s="19">
        <f ca="1">IF('Stock Price'!$I$11="OK",F224/INDEX(F$5:F$1258,'Stock Price'!$I$9)-1,"")</f>
        <v>-0.14755794701986757</v>
      </c>
      <c r="T224" s="19">
        <f ca="1">IF('Stock Price'!$I$11="OK",G224/INDEX(G$5:G$1258,'Stock Price'!$I$9)-1,"")</f>
        <v>0.17101700422397936</v>
      </c>
      <c r="U224" s="19">
        <f ca="1">IF('Stock Price'!$I$11="OK",H224/INDEX(H$5:H$1258,'Stock Price'!$I$9)-1,"")</f>
        <v>0.12009803921568651</v>
      </c>
      <c r="V224" s="19">
        <f ca="1">IF('Stock Price'!$I$11="OK",I224/INDEX(I$5:I$1258,'Stock Price'!$I$9)-1,"")</f>
        <v>0.14792060491493375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131.15</v>
      </c>
      <c r="C225" s="18">
        <v>82.966300000000004</v>
      </c>
      <c r="D225" s="18">
        <v>34.06</v>
      </c>
      <c r="E225" s="18">
        <v>42.17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8.3884297520661288E-2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-0.28707482993197275</v>
      </c>
      <c r="R225" s="19">
        <f ca="1">IF('Stock Price'!$I$11="OK",E225/INDEX(E$5:E$1258,'Stock Price'!$I$9)-1,"")</f>
        <v>-9.7002141327623193E-2</v>
      </c>
      <c r="S225" s="19">
        <f ca="1">IF('Stock Price'!$I$11="OK",F225/INDEX(F$5:F$1258,'Stock Price'!$I$9)-1,"")</f>
        <v>-0.14590231788079466</v>
      </c>
      <c r="T225" s="19">
        <f ca="1">IF('Stock Price'!$I$11="OK",G225/INDEX(G$5:G$1258,'Stock Price'!$I$9)-1,"")</f>
        <v>0.17838189104299795</v>
      </c>
      <c r="U225" s="19">
        <f ca="1">IF('Stock Price'!$I$11="OK",H225/INDEX(H$5:H$1258,'Stock Price'!$I$9)-1,"")</f>
        <v>0.1284313725490196</v>
      </c>
      <c r="V225" s="19">
        <f ca="1">IF('Stock Price'!$I$11="OK",I225/INDEX(I$5:I$1258,'Stock Price'!$I$9)-1,"")</f>
        <v>0.1613894139886578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135.75</v>
      </c>
      <c r="C226" s="18">
        <v>81.640900000000002</v>
      </c>
      <c r="D226" s="18">
        <v>34.049999999999997</v>
      </c>
      <c r="E226" s="18">
        <v>41.81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0.12190082644628109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-0.28728414442700156</v>
      </c>
      <c r="R226" s="19">
        <f ca="1">IF('Stock Price'!$I$11="OK",E226/INDEX(E$5:E$1258,'Stock Price'!$I$9)-1,"")</f>
        <v>-0.10471092077087796</v>
      </c>
      <c r="S226" s="19">
        <f ca="1">IF('Stock Price'!$I$11="OK",F226/INDEX(F$5:F$1258,'Stock Price'!$I$9)-1,"")</f>
        <v>-0.15231788079470199</v>
      </c>
      <c r="T226" s="19">
        <f ca="1">IF('Stock Price'!$I$11="OK",G226/INDEX(G$5:G$1258,'Stock Price'!$I$9)-1,"")</f>
        <v>0.15693707354056108</v>
      </c>
      <c r="U226" s="19">
        <f ca="1">IF('Stock Price'!$I$11="OK",H226/INDEX(H$5:H$1258,'Stock Price'!$I$9)-1,"")</f>
        <v>0.11715686274509807</v>
      </c>
      <c r="V226" s="19">
        <f ca="1">IF('Stock Price'!$I$11="OK",I226/INDEX(I$5:I$1258,'Stock Price'!$I$9)-1,"")</f>
        <v>0.15548204158790169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133</v>
      </c>
      <c r="C227" s="18">
        <v>80.760599999999997</v>
      </c>
      <c r="D227" s="18">
        <v>33.729999999999997</v>
      </c>
      <c r="E227" s="18">
        <v>41.26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9.9173553719008156E-2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-0.29398220826792265</v>
      </c>
      <c r="R227" s="19">
        <f ca="1">IF('Stock Price'!$I$11="OK",E227/INDEX(E$5:E$1258,'Stock Price'!$I$9)-1,"")</f>
        <v>-0.11648822269807291</v>
      </c>
      <c r="S227" s="19">
        <f ca="1">IF('Stock Price'!$I$11="OK",F227/INDEX(F$5:F$1258,'Stock Price'!$I$9)-1,"")</f>
        <v>-0.15728476821192061</v>
      </c>
      <c r="T227" s="19">
        <f ca="1">IF('Stock Price'!$I$11="OK",G227/INDEX(G$5:G$1258,'Stock Price'!$I$9)-1,"")</f>
        <v>0.15866998808621258</v>
      </c>
      <c r="U227" s="19">
        <f ca="1">IF('Stock Price'!$I$11="OK",H227/INDEX(H$5:H$1258,'Stock Price'!$I$9)-1,"")</f>
        <v>0.10539215686274517</v>
      </c>
      <c r="V227" s="19">
        <f ca="1">IF('Stock Price'!$I$11="OK",I227/INDEX(I$5:I$1258,'Stock Price'!$I$9)-1,"")</f>
        <v>0.1344517958412097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128.01</v>
      </c>
      <c r="C228" s="18">
        <v>80.886300000000006</v>
      </c>
      <c r="D228" s="18">
        <v>33.53</v>
      </c>
      <c r="E228" s="18">
        <v>41.04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5.7933884297520555E-2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-0.29816849816849811</v>
      </c>
      <c r="R228" s="19">
        <f ca="1">IF('Stock Price'!$I$11="OK",E228/INDEX(E$5:E$1258,'Stock Price'!$I$9)-1,"")</f>
        <v>-0.12119914346895078</v>
      </c>
      <c r="S228" s="19">
        <f ca="1">IF('Stock Price'!$I$11="OK",F228/INDEX(F$5:F$1258,'Stock Price'!$I$9)-1,"")</f>
        <v>-0.16018211920529801</v>
      </c>
      <c r="T228" s="19">
        <f ca="1">IF('Stock Price'!$I$11="OK",G228/INDEX(G$5:G$1258,'Stock Price'!$I$9)-1,"")</f>
        <v>0.15823675944979954</v>
      </c>
      <c r="U228" s="19">
        <f ca="1">IF('Stock Price'!$I$11="OK",H228/INDEX(H$5:H$1258,'Stock Price'!$I$9)-1,"")</f>
        <v>0.10306372549019627</v>
      </c>
      <c r="V228" s="19">
        <f ca="1">IF('Stock Price'!$I$11="OK",I228/INDEX(I$5:I$1258,'Stock Price'!$I$9)-1,"")</f>
        <v>0.12074669187145548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128.01</v>
      </c>
      <c r="C229" s="18">
        <v>80.692800000000005</v>
      </c>
      <c r="D229" s="18">
        <v>33.729999999999997</v>
      </c>
      <c r="E229" s="18">
        <v>41.55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5.7933884297520555E-2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-0.29398220826792265</v>
      </c>
      <c r="R229" s="19">
        <f ca="1">IF('Stock Price'!$I$11="OK",E229/INDEX(E$5:E$1258,'Stock Price'!$I$9)-1,"")</f>
        <v>-0.11027837259100659</v>
      </c>
      <c r="S229" s="19">
        <f ca="1">IF('Stock Price'!$I$11="OK",F229/INDEX(F$5:F$1258,'Stock Price'!$I$9)-1,"")</f>
        <v>-0.16204470198675491</v>
      </c>
      <c r="T229" s="19">
        <f ca="1">IF('Stock Price'!$I$11="OK",G229/INDEX(G$5:G$1258,'Stock Price'!$I$9)-1,"")</f>
        <v>0.18163110581609443</v>
      </c>
      <c r="U229" s="19">
        <f ca="1">IF('Stock Price'!$I$11="OK",H229/INDEX(H$5:H$1258,'Stock Price'!$I$9)-1,"")</f>
        <v>0.10624999999999996</v>
      </c>
      <c r="V229" s="19">
        <f ca="1">IF('Stock Price'!$I$11="OK",I229/INDEX(I$5:I$1258,'Stock Price'!$I$9)-1,"")</f>
        <v>0.131852551984877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131.44</v>
      </c>
      <c r="C230" s="18">
        <v>79.986599999999996</v>
      </c>
      <c r="D230" s="18">
        <v>33.19</v>
      </c>
      <c r="E230" s="18">
        <v>40.619999999999997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8.628099173553716E-2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-0.30528519099947671</v>
      </c>
      <c r="R230" s="19">
        <f ca="1">IF('Stock Price'!$I$11="OK",E230/INDEX(E$5:E$1258,'Stock Price'!$I$9)-1,"")</f>
        <v>-0.13019271948608147</v>
      </c>
      <c r="S230" s="19">
        <f ca="1">IF('Stock Price'!$I$11="OK",F230/INDEX(F$5:F$1258,'Stock Price'!$I$9)-1,"")</f>
        <v>-0.1552152317880795</v>
      </c>
      <c r="T230" s="19">
        <f ca="1">IF('Stock Price'!$I$11="OK",G230/INDEX(G$5:G$1258,'Stock Price'!$I$9)-1,"")</f>
        <v>0.16321888876854773</v>
      </c>
      <c r="U230" s="19">
        <f ca="1">IF('Stock Price'!$I$11="OK",H230/INDEX(H$5:H$1258,'Stock Price'!$I$9)-1,"")</f>
        <v>9.3872549019607954E-2</v>
      </c>
      <c r="V230" s="19">
        <f ca="1">IF('Stock Price'!$I$11="OK",I230/INDEX(I$5:I$1258,'Stock Price'!$I$9)-1,"")</f>
        <v>0.10633270321361055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128.75</v>
      </c>
      <c r="C231" s="18">
        <v>79.570599999999999</v>
      </c>
      <c r="D231" s="18">
        <v>33.11</v>
      </c>
      <c r="E231" s="18">
        <v>40.549999999999997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6.4049586776859568E-2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-0.30695970695970698</v>
      </c>
      <c r="R231" s="19">
        <f ca="1">IF('Stock Price'!$I$11="OK",E231/INDEX(E$5:E$1258,'Stock Price'!$I$9)-1,"")</f>
        <v>-0.13169164882226991</v>
      </c>
      <c r="S231" s="19">
        <f ca="1">IF('Stock Price'!$I$11="OK",F231/INDEX(F$5:F$1258,'Stock Price'!$I$9)-1,"")</f>
        <v>-0.1576986754966887</v>
      </c>
      <c r="T231" s="19">
        <f ca="1">IF('Stock Price'!$I$11="OK",G231/INDEX(G$5:G$1258,'Stock Price'!$I$9)-1,"")</f>
        <v>0.1062493230802557</v>
      </c>
      <c r="U231" s="19">
        <f ca="1">IF('Stock Price'!$I$11="OK",H231/INDEX(H$5:H$1258,'Stock Price'!$I$9)-1,"")</f>
        <v>7.3406862745098111E-2</v>
      </c>
      <c r="V231" s="19">
        <f ca="1">IF('Stock Price'!$I$11="OK",I231/INDEX(I$5:I$1258,'Stock Price'!$I$9)-1,"")</f>
        <v>9.2391304347825942E-2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125.77</v>
      </c>
      <c r="C232" s="18">
        <v>78.129199999999997</v>
      </c>
      <c r="D232" s="18">
        <v>32.96</v>
      </c>
      <c r="E232" s="18">
        <v>40.340000000000003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3.942148760330566E-2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-0.3100994243851386</v>
      </c>
      <c r="R232" s="19">
        <f ca="1">IF('Stock Price'!$I$11="OK",E232/INDEX(E$5:E$1258,'Stock Price'!$I$9)-1,"")</f>
        <v>-0.13618843683083515</v>
      </c>
      <c r="S232" s="19">
        <f ca="1">IF('Stock Price'!$I$11="OK",F232/INDEX(F$5:F$1258,'Stock Price'!$I$9)-1,"")</f>
        <v>-0.14652317880794696</v>
      </c>
      <c r="T232" s="19">
        <f ca="1">IF('Stock Price'!$I$11="OK",G232/INDEX(G$5:G$1258,'Stock Price'!$I$9)-1,"")</f>
        <v>0.12336185421856394</v>
      </c>
      <c r="U232" s="19">
        <f ca="1">IF('Stock Price'!$I$11="OK",H232/INDEX(H$5:H$1258,'Stock Price'!$I$9)-1,"")</f>
        <v>6.4705882352941169E-2</v>
      </c>
      <c r="V232" s="19">
        <f ca="1">IF('Stock Price'!$I$11="OK",I232/INDEX(I$5:I$1258,'Stock Price'!$I$9)-1,"")</f>
        <v>8.3412098298676796E-2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124.44</v>
      </c>
      <c r="C233" s="18">
        <v>77.897000000000006</v>
      </c>
      <c r="D233" s="18">
        <v>32.479999999999997</v>
      </c>
      <c r="E233" s="18">
        <v>40.44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2.8429752066115643E-2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-0.32014652014652023</v>
      </c>
      <c r="R233" s="19">
        <f ca="1">IF('Stock Price'!$I$11="OK",E233/INDEX(E$5:E$1258,'Stock Price'!$I$9)-1,"")</f>
        <v>-0.1340471092077089</v>
      </c>
      <c r="S233" s="19">
        <f ca="1">IF('Stock Price'!$I$11="OK",F233/INDEX(F$5:F$1258,'Stock Price'!$I$9)-1,"")</f>
        <v>-0.15086920529801318</v>
      </c>
      <c r="T233" s="19">
        <f ca="1">IF('Stock Price'!$I$11="OK",G233/INDEX(G$5:G$1258,'Stock Price'!$I$9)-1,"")</f>
        <v>0.13939131376584002</v>
      </c>
      <c r="U233" s="19">
        <f ca="1">IF('Stock Price'!$I$11="OK",H233/INDEX(H$5:H$1258,'Stock Price'!$I$9)-1,"")</f>
        <v>4.6078431372549078E-2</v>
      </c>
      <c r="V233" s="19">
        <f ca="1">IF('Stock Price'!$I$11="OK",I233/INDEX(I$5:I$1258,'Stock Price'!$I$9)-1,"")</f>
        <v>6.8761814744801475E-2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118.06</v>
      </c>
      <c r="C234" s="18">
        <v>77.713200000000001</v>
      </c>
      <c r="D234" s="18">
        <v>31.69</v>
      </c>
      <c r="E234" s="18">
        <v>40.29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-2.4297520661156979E-2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-0.3366823652537938</v>
      </c>
      <c r="R234" s="19">
        <f ca="1">IF('Stock Price'!$I$11="OK",E234/INDEX(E$5:E$1258,'Stock Price'!$I$9)-1,"")</f>
        <v>-0.13725910064239832</v>
      </c>
      <c r="S234" s="19">
        <f ca="1">IF('Stock Price'!$I$11="OK",F234/INDEX(F$5:F$1258,'Stock Price'!$I$9)-1,"")</f>
        <v>-0.16390728476821192</v>
      </c>
      <c r="T234" s="19">
        <f ca="1">IF('Stock Price'!$I$11="OK",G234/INDEX(G$5:G$1258,'Stock Price'!$I$9)-1,"")</f>
        <v>0.10863208058052631</v>
      </c>
      <c r="U234" s="19">
        <f ca="1">IF('Stock Price'!$I$11="OK",H234/INDEX(H$5:H$1258,'Stock Price'!$I$9)-1,"")</f>
        <v>6.8014705882353033E-2</v>
      </c>
      <c r="V234" s="19">
        <f ca="1">IF('Stock Price'!$I$11="OK",I234/INDEX(I$5:I$1258,'Stock Price'!$I$9)-1,"")</f>
        <v>0.10184310018903586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126.59</v>
      </c>
      <c r="C235" s="18">
        <v>77.103700000000003</v>
      </c>
      <c r="D235" s="18">
        <v>31.85</v>
      </c>
      <c r="E235" s="18">
        <v>40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4.6198347107438087E-2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-0.33333333333333326</v>
      </c>
      <c r="R235" s="19">
        <f ca="1">IF('Stock Price'!$I$11="OK",E235/INDEX(E$5:E$1258,'Stock Price'!$I$9)-1,"")</f>
        <v>-0.14346895074946475</v>
      </c>
      <c r="S235" s="19">
        <f ca="1">IF('Stock Price'!$I$11="OK",F235/INDEX(F$5:F$1258,'Stock Price'!$I$9)-1,"")</f>
        <v>-0.17052980132450335</v>
      </c>
      <c r="T235" s="19">
        <f ca="1">IF('Stock Price'!$I$11="OK",G235/INDEX(G$5:G$1258,'Stock Price'!$I$9)-1,"")</f>
        <v>0.14004115672045936</v>
      </c>
      <c r="U235" s="19">
        <f ca="1">IF('Stock Price'!$I$11="OK",H235/INDEX(H$5:H$1258,'Stock Price'!$I$9)-1,"")</f>
        <v>5.6740196078431504E-2</v>
      </c>
      <c r="V235" s="19">
        <f ca="1">IF('Stock Price'!$I$11="OK",I235/INDEX(I$5:I$1258,'Stock Price'!$I$9)-1,"")</f>
        <v>7.9867674858223214E-2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117.01</v>
      </c>
      <c r="C236" s="18">
        <v>77.171400000000006</v>
      </c>
      <c r="D236" s="18">
        <v>31.47</v>
      </c>
      <c r="E236" s="18">
        <v>40.93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-3.2975206611570163E-2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-0.34128728414442699</v>
      </c>
      <c r="R236" s="19">
        <f ca="1">IF('Stock Price'!$I$11="OK",E236/INDEX(E$5:E$1258,'Stock Price'!$I$9)-1,"")</f>
        <v>-0.12355460385438977</v>
      </c>
      <c r="S236" s="19">
        <f ca="1">IF('Stock Price'!$I$11="OK",F236/INDEX(F$5:F$1258,'Stock Price'!$I$9)-1,"")</f>
        <v>-0.18067052980132448</v>
      </c>
      <c r="T236" s="19">
        <f ca="1">IF('Stock Price'!$I$11="OK",G236/INDEX(G$5:G$1258,'Stock Price'!$I$9)-1,"")</f>
        <v>0.11578035308133861</v>
      </c>
      <c r="U236" s="19">
        <f ca="1">IF('Stock Price'!$I$11="OK",H236/INDEX(H$5:H$1258,'Stock Price'!$I$9)-1,"")</f>
        <v>5.9068627450980404E-2</v>
      </c>
      <c r="V236" s="19">
        <f ca="1">IF('Stock Price'!$I$11="OK",I236/INDEX(I$5:I$1258,'Stock Price'!$I$9)-1,"")</f>
        <v>8.1285444234404425E-2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113.76</v>
      </c>
      <c r="C237" s="18">
        <v>78.303299999999993</v>
      </c>
      <c r="D237" s="18">
        <v>31.49</v>
      </c>
      <c r="E237" s="18">
        <v>41.62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-5.9834710743801645E-2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-0.34086865515436948</v>
      </c>
      <c r="R237" s="19">
        <f ca="1">IF('Stock Price'!$I$11="OK",E237/INDEX(E$5:E$1258,'Stock Price'!$I$9)-1,"")</f>
        <v>-0.10877944325481814</v>
      </c>
      <c r="S237" s="19">
        <f ca="1">IF('Stock Price'!$I$11="OK",F237/INDEX(F$5:F$1258,'Stock Price'!$I$9)-1,"")</f>
        <v>-0.16245860927152322</v>
      </c>
      <c r="T237" s="19">
        <f ca="1">IF('Stock Price'!$I$11="OK",G237/INDEX(G$5:G$1258,'Stock Price'!$I$9)-1,"")</f>
        <v>0.10603270876204918</v>
      </c>
      <c r="U237" s="19">
        <f ca="1">IF('Stock Price'!$I$11="OK",H237/INDEX(H$5:H$1258,'Stock Price'!$I$9)-1,"")</f>
        <v>6.4583333333333437E-2</v>
      </c>
      <c r="V237" s="19">
        <f ca="1">IF('Stock Price'!$I$11="OK",I237/INDEX(I$5:I$1258,'Stock Price'!$I$9)-1,"")</f>
        <v>9.0028355387523629E-2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118.96</v>
      </c>
      <c r="C238" s="18">
        <v>78.612899999999996</v>
      </c>
      <c r="D238" s="18">
        <v>31.51</v>
      </c>
      <c r="E238" s="18">
        <v>41.76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-1.6859504132231473E-2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-0.34045002616431186</v>
      </c>
      <c r="R238" s="19">
        <f ca="1">IF('Stock Price'!$I$11="OK",E238/INDEX(E$5:E$1258,'Stock Price'!$I$9)-1,"")</f>
        <v>-0.10578158458244125</v>
      </c>
      <c r="S238" s="19">
        <f ca="1">IF('Stock Price'!$I$11="OK",F238/INDEX(F$5:F$1258,'Stock Price'!$I$9)-1,"")</f>
        <v>-0.17052980132450335</v>
      </c>
      <c r="T238" s="19">
        <f ca="1">IF('Stock Price'!$I$11="OK",G238/INDEX(G$5:G$1258,'Stock Price'!$I$9)-1,"")</f>
        <v>0.12444492580959587</v>
      </c>
      <c r="U238" s="19">
        <f ca="1">IF('Stock Price'!$I$11="OK",H238/INDEX(H$5:H$1258,'Stock Price'!$I$9)-1,"")</f>
        <v>7.1323529411764897E-2</v>
      </c>
      <c r="V238" s="19">
        <f ca="1">IF('Stock Price'!$I$11="OK",I238/INDEX(I$5:I$1258,'Stock Price'!$I$9)-1,"")</f>
        <v>0.11247637051039683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122.71</v>
      </c>
      <c r="C239" s="18">
        <v>79.909199999999998</v>
      </c>
      <c r="D239" s="18">
        <v>31.89</v>
      </c>
      <c r="E239" s="18">
        <v>42.2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1.4132231404958562E-2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-0.33249607535321812</v>
      </c>
      <c r="R239" s="19">
        <f ca="1">IF('Stock Price'!$I$11="OK",E239/INDEX(E$5:E$1258,'Stock Price'!$I$9)-1,"")</f>
        <v>-9.6359743040685175E-2</v>
      </c>
      <c r="S239" s="19">
        <f ca="1">IF('Stock Price'!$I$11="OK",F239/INDEX(F$5:F$1258,'Stock Price'!$I$9)-1,"")</f>
        <v>-0.1556291390728477</v>
      </c>
      <c r="T239" s="19">
        <f ca="1">IF('Stock Price'!$I$11="OK",G239/INDEX(G$5:G$1258,'Stock Price'!$I$9)-1,"")</f>
        <v>0.14523990035741363</v>
      </c>
      <c r="U239" s="19">
        <f ca="1">IF('Stock Price'!$I$11="OK",H239/INDEX(H$5:H$1258,'Stock Price'!$I$9)-1,"")</f>
        <v>7.0343137254902155E-2</v>
      </c>
      <c r="V239" s="19">
        <f ca="1">IF('Stock Price'!$I$11="OK",I239/INDEX(I$5:I$1258,'Stock Price'!$I$9)-1,"")</f>
        <v>0.13043478260869579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118.91</v>
      </c>
      <c r="C240" s="18">
        <v>80.8767</v>
      </c>
      <c r="D240" s="18">
        <v>32.450000000000003</v>
      </c>
      <c r="E240" s="18">
        <v>42.19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-1.7272727272727328E-2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-0.32077446363160644</v>
      </c>
      <c r="R240" s="19">
        <f ca="1">IF('Stock Price'!$I$11="OK",E240/INDEX(E$5:E$1258,'Stock Price'!$I$9)-1,"")</f>
        <v>-9.6573875802997922E-2</v>
      </c>
      <c r="S240" s="19">
        <f ca="1">IF('Stock Price'!$I$11="OK",F240/INDEX(F$5:F$1258,'Stock Price'!$I$9)-1,"")</f>
        <v>-0.14134933774834435</v>
      </c>
      <c r="T240" s="19">
        <f ca="1">IF('Stock Price'!$I$11="OK",G240/INDEX(G$5:G$1258,'Stock Price'!$I$9)-1,"")</f>
        <v>0.1716668471785987</v>
      </c>
      <c r="U240" s="19">
        <f ca="1">IF('Stock Price'!$I$11="OK",H240/INDEX(H$5:H$1258,'Stock Price'!$I$9)-1,"")</f>
        <v>8.0392156862745034E-2</v>
      </c>
      <c r="V240" s="19">
        <f ca="1">IF('Stock Price'!$I$11="OK",I240/INDEX(I$5:I$1258,'Stock Price'!$I$9)-1,"")</f>
        <v>0.12854442344045358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117.46</v>
      </c>
      <c r="C241" s="18">
        <v>79.2804</v>
      </c>
      <c r="D241" s="18">
        <v>31.63</v>
      </c>
      <c r="E241" s="18">
        <v>41.97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-2.9256198347107465E-2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-0.33793825222396656</v>
      </c>
      <c r="R241" s="19">
        <f ca="1">IF('Stock Price'!$I$11="OK",E241/INDEX(E$5:E$1258,'Stock Price'!$I$9)-1,"")</f>
        <v>-0.1012847965738759</v>
      </c>
      <c r="S241" s="19">
        <f ca="1">IF('Stock Price'!$I$11="OK",F241/INDEX(F$5:F$1258,'Stock Price'!$I$9)-1,"")</f>
        <v>-0.16121688741721851</v>
      </c>
      <c r="T241" s="19">
        <f ca="1">IF('Stock Price'!$I$11="OK",G241/INDEX(G$5:G$1258,'Stock Price'!$I$9)-1,"")</f>
        <v>0.16668471785985051</v>
      </c>
      <c r="U241" s="19">
        <f ca="1">IF('Stock Price'!$I$11="OK",H241/INDEX(H$5:H$1258,'Stock Price'!$I$9)-1,"")</f>
        <v>5.7352941176470607E-2</v>
      </c>
      <c r="V241" s="19">
        <f ca="1">IF('Stock Price'!$I$11="OK",I241/INDEX(I$5:I$1258,'Stock Price'!$I$9)-1,"")</f>
        <v>9.1446124763705061E-2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116.37</v>
      </c>
      <c r="C242" s="18">
        <v>78.274299999999997</v>
      </c>
      <c r="D242" s="18">
        <v>31.2</v>
      </c>
      <c r="E242" s="18">
        <v>42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-3.8264462809917354E-2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-0.34693877551020402</v>
      </c>
      <c r="R242" s="19">
        <f ca="1">IF('Stock Price'!$I$11="OK",E242/INDEX(E$5:E$1258,'Stock Price'!$I$9)-1,"")</f>
        <v>-0.100642398286938</v>
      </c>
      <c r="S242" s="19">
        <f ca="1">IF('Stock Price'!$I$11="OK",F242/INDEX(F$5:F$1258,'Stock Price'!$I$9)-1,"")</f>
        <v>-0.17115066225165565</v>
      </c>
      <c r="T242" s="19">
        <f ca="1">IF('Stock Price'!$I$11="OK",G242/INDEX(G$5:G$1258,'Stock Price'!$I$9)-1,"")</f>
        <v>0.16386873172316685</v>
      </c>
      <c r="U242" s="19">
        <f ca="1">IF('Stock Price'!$I$11="OK",H242/INDEX(H$5:H$1258,'Stock Price'!$I$9)-1,"")</f>
        <v>6.5563725490196179E-2</v>
      </c>
      <c r="V242" s="19">
        <f ca="1">IF('Stock Price'!$I$11="OK",I242/INDEX(I$5:I$1258,'Stock Price'!$I$9)-1,"")</f>
        <v>9.050094517958418E-2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112.81</v>
      </c>
      <c r="C243" s="18">
        <v>78.109800000000007</v>
      </c>
      <c r="D243" s="18">
        <v>31.02</v>
      </c>
      <c r="E243" s="18">
        <v>42.62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-6.7685950413223117E-2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-0.35070643642072208</v>
      </c>
      <c r="R243" s="19">
        <f ca="1">IF('Stock Price'!$I$11="OK",E243/INDEX(E$5:E$1258,'Stock Price'!$I$9)-1,"")</f>
        <v>-8.7366167023554708E-2</v>
      </c>
      <c r="S243" s="19">
        <f ca="1">IF('Stock Price'!$I$11="OK",F243/INDEX(F$5:F$1258,'Stock Price'!$I$9)-1,"")</f>
        <v>-0.158319536423841</v>
      </c>
      <c r="T243" s="19">
        <f ca="1">IF('Stock Price'!$I$11="OK",G243/INDEX(G$5:G$1258,'Stock Price'!$I$9)-1,"")</f>
        <v>0.15065525831257442</v>
      </c>
      <c r="U243" s="19">
        <f ca="1">IF('Stock Price'!$I$11="OK",H243/INDEX(H$5:H$1258,'Stock Price'!$I$9)-1,"")</f>
        <v>6.3112745098039325E-2</v>
      </c>
      <c r="V243" s="19">
        <f ca="1">IF('Stock Price'!$I$11="OK",I243/INDEX(I$5:I$1258,'Stock Price'!$I$9)-1,"")</f>
        <v>8.5538752362948944E-2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113</v>
      </c>
      <c r="C244" s="18">
        <v>78.022800000000004</v>
      </c>
      <c r="D244" s="18">
        <v>30.83</v>
      </c>
      <c r="E244" s="18">
        <v>42.35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-6.6115702479338845E-2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-0.35468341182626895</v>
      </c>
      <c r="R244" s="19">
        <f ca="1">IF('Stock Price'!$I$11="OK",E244/INDEX(E$5:E$1258,'Stock Price'!$I$9)-1,"")</f>
        <v>-9.3147751605995754E-2</v>
      </c>
      <c r="S244" s="19">
        <f ca="1">IF('Stock Price'!$I$11="OK",F244/INDEX(F$5:F$1258,'Stock Price'!$I$9)-1,"")</f>
        <v>-0.1552152317880795</v>
      </c>
      <c r="T244" s="19">
        <f ca="1">IF('Stock Price'!$I$11="OK",G244/INDEX(G$5:G$1258,'Stock Price'!$I$9)-1,"")</f>
        <v>0.13267626990144055</v>
      </c>
      <c r="U244" s="19">
        <f ca="1">IF('Stock Price'!$I$11="OK",H244/INDEX(H$5:H$1258,'Stock Price'!$I$9)-1,"")</f>
        <v>7.4999999999999956E-2</v>
      </c>
      <c r="V244" s="19">
        <f ca="1">IF('Stock Price'!$I$11="OK",I244/INDEX(I$5:I$1258,'Stock Price'!$I$9)-1,"")</f>
        <v>8.7665406427221093E-2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110.96</v>
      </c>
      <c r="C245" s="18">
        <v>78.100099999999998</v>
      </c>
      <c r="D245" s="18">
        <v>30.78</v>
      </c>
      <c r="E245" s="18">
        <v>41.77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-8.2975206611570318E-2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-0.35572998430141278</v>
      </c>
      <c r="R245" s="19">
        <f ca="1">IF('Stock Price'!$I$11="OK",E245/INDEX(E$5:E$1258,'Stock Price'!$I$9)-1,"")</f>
        <v>-0.1055674518201285</v>
      </c>
      <c r="S245" s="19">
        <f ca="1">IF('Stock Price'!$I$11="OK",F245/INDEX(F$5:F$1258,'Stock Price'!$I$9)-1,"")</f>
        <v>-0.1599751655629138</v>
      </c>
      <c r="T245" s="19">
        <f ca="1">IF('Stock Price'!$I$11="OK",G245/INDEX(G$5:G$1258,'Stock Price'!$I$9)-1,"")</f>
        <v>0.1354922560381242</v>
      </c>
      <c r="U245" s="19">
        <f ca="1">IF('Stock Price'!$I$11="OK",H245/INDEX(H$5:H$1258,'Stock Price'!$I$9)-1,"")</f>
        <v>6.1764705882352944E-2</v>
      </c>
      <c r="V245" s="19">
        <f ca="1">IF('Stock Price'!$I$11="OK",I245/INDEX(I$5:I$1258,'Stock Price'!$I$9)-1,"")</f>
        <v>7.3724007561436711E-2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110.51</v>
      </c>
      <c r="C246" s="18">
        <v>76.9876</v>
      </c>
      <c r="D246" s="18">
        <v>30.49</v>
      </c>
      <c r="E246" s="18">
        <v>41.1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-8.6694214876033016E-2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-0.36180010465724755</v>
      </c>
      <c r="R246" s="19">
        <f ca="1">IF('Stock Price'!$I$11="OK",E246/INDEX(E$5:E$1258,'Stock Price'!$I$9)-1,"")</f>
        <v>-0.11991434689507496</v>
      </c>
      <c r="S246" s="19">
        <f ca="1">IF('Stock Price'!$I$11="OK",F246/INDEX(F$5:F$1258,'Stock Price'!$I$9)-1,"")</f>
        <v>-0.17342715231788086</v>
      </c>
      <c r="T246" s="19">
        <f ca="1">IF('Stock Price'!$I$11="OK",G246/INDEX(G$5:G$1258,'Stock Price'!$I$9)-1,"")</f>
        <v>0.12812736921910539</v>
      </c>
      <c r="U246" s="19">
        <f ca="1">IF('Stock Price'!$I$11="OK",H246/INDEX(H$5:H$1258,'Stock Price'!$I$9)-1,"")</f>
        <v>5.3921568627451011E-2</v>
      </c>
      <c r="V246" s="19">
        <f ca="1">IF('Stock Price'!$I$11="OK",I246/INDEX(I$5:I$1258,'Stock Price'!$I$9)-1,"")</f>
        <v>5.7892249527410344E-2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114.155</v>
      </c>
      <c r="C247" s="18">
        <v>75.014099999999999</v>
      </c>
      <c r="D247" s="18">
        <v>29.77</v>
      </c>
      <c r="E247" s="18">
        <v>40.090000000000003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-5.6570247933884321E-2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-0.37687074829931977</v>
      </c>
      <c r="R247" s="19">
        <f ca="1">IF('Stock Price'!$I$11="OK",E247/INDEX(E$5:E$1258,'Stock Price'!$I$9)-1,"")</f>
        <v>-0.14154175588865092</v>
      </c>
      <c r="S247" s="19">
        <f ca="1">IF('Stock Price'!$I$11="OK",F247/INDEX(F$5:F$1258,'Stock Price'!$I$9)-1,"")</f>
        <v>-0.19784768211920534</v>
      </c>
      <c r="T247" s="19">
        <f ca="1">IF('Stock Price'!$I$11="OK",G247/INDEX(G$5:G$1258,'Stock Price'!$I$9)-1,"")</f>
        <v>0.12964366944655037</v>
      </c>
      <c r="U247" s="19">
        <f ca="1">IF('Stock Price'!$I$11="OK",H247/INDEX(H$5:H$1258,'Stock Price'!$I$9)-1,"")</f>
        <v>3.5906862745098023E-2</v>
      </c>
      <c r="V247" s="19">
        <f ca="1">IF('Stock Price'!$I$11="OK",I247/INDEX(I$5:I$1258,'Stock Price'!$I$9)-1,"")</f>
        <v>3.7807183364839458E-2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111.6</v>
      </c>
      <c r="C248" s="18">
        <v>74.627099999999999</v>
      </c>
      <c r="D248" s="18">
        <v>30.01</v>
      </c>
      <c r="E248" s="18">
        <v>40.04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-7.7685950413223237E-2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-0.37184720041862895</v>
      </c>
      <c r="R248" s="19">
        <f ca="1">IF('Stock Price'!$I$11="OK",E248/INDEX(E$5:E$1258,'Stock Price'!$I$9)-1,"")</f>
        <v>-0.14261241970021421</v>
      </c>
      <c r="S248" s="19">
        <f ca="1">IF('Stock Price'!$I$11="OK",F248/INDEX(F$5:F$1258,'Stock Price'!$I$9)-1,"")</f>
        <v>-0.1901903973509933</v>
      </c>
      <c r="T248" s="19">
        <f ca="1">IF('Stock Price'!$I$11="OK",G248/INDEX(G$5:G$1258,'Stock Price'!$I$9)-1,"")</f>
        <v>0.11556373876313231</v>
      </c>
      <c r="U248" s="19">
        <f ca="1">IF('Stock Price'!$I$11="OK",H248/INDEX(H$5:H$1258,'Stock Price'!$I$9)-1,"")</f>
        <v>7.242647058823537E-2</v>
      </c>
      <c r="V248" s="19">
        <f ca="1">IF('Stock Price'!$I$11="OK",I248/INDEX(I$5:I$1258,'Stock Price'!$I$9)-1,"")</f>
        <v>5.3166351606805273E-2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108.35</v>
      </c>
      <c r="C249" s="18">
        <v>73.533900000000003</v>
      </c>
      <c r="D249" s="18">
        <v>29.36</v>
      </c>
      <c r="E249" s="18">
        <v>39.6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-0.10454545454545461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-0.38545264259549972</v>
      </c>
      <c r="R249" s="19">
        <f ca="1">IF('Stock Price'!$I$11="OK",E249/INDEX(E$5:E$1258,'Stock Price'!$I$9)-1,"")</f>
        <v>-0.15203426124197006</v>
      </c>
      <c r="S249" s="19">
        <f ca="1">IF('Stock Price'!$I$11="OK",F249/INDEX(F$5:F$1258,'Stock Price'!$I$9)-1,"")</f>
        <v>-0.20529801324503316</v>
      </c>
      <c r="T249" s="19">
        <f ca="1">IF('Stock Price'!$I$11="OK",G249/INDEX(G$5:G$1258,'Stock Price'!$I$9)-1,"")</f>
        <v>7.3865482508393976E-2</v>
      </c>
      <c r="U249" s="19">
        <f ca="1">IF('Stock Price'!$I$11="OK",H249/INDEX(H$5:H$1258,'Stock Price'!$I$9)-1,"")</f>
        <v>6.3480392156862742E-2</v>
      </c>
      <c r="V249" s="19">
        <f ca="1">IF('Stock Price'!$I$11="OK",I249/INDEX(I$5:I$1258,'Stock Price'!$I$9)-1,"")</f>
        <v>4.1587901701323204E-2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104.5</v>
      </c>
      <c r="C250" s="18">
        <v>72.179500000000004</v>
      </c>
      <c r="D250" s="18">
        <v>28.82</v>
      </c>
      <c r="E250" s="18">
        <v>38.69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-0.13636363636363635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-0.39675562532705388</v>
      </c>
      <c r="R250" s="19">
        <f ca="1">IF('Stock Price'!$I$11="OK",E250/INDEX(E$5:E$1258,'Stock Price'!$I$9)-1,"")</f>
        <v>-0.17152034261241977</v>
      </c>
      <c r="S250" s="19">
        <f ca="1">IF('Stock Price'!$I$11="OK",F250/INDEX(F$5:F$1258,'Stock Price'!$I$9)-1,"")</f>
        <v>-0.22909768211920534</v>
      </c>
      <c r="T250" s="19">
        <f ca="1">IF('Stock Price'!$I$11="OK",G250/INDEX(G$5:G$1258,'Stock Price'!$I$9)-1,"")</f>
        <v>4.7763457164518464E-2</v>
      </c>
      <c r="U250" s="19">
        <f ca="1">IF('Stock Price'!$I$11="OK",H250/INDEX(H$5:H$1258,'Stock Price'!$I$9)-1,"")</f>
        <v>5.6127450980392402E-2</v>
      </c>
      <c r="V250" s="19">
        <f ca="1">IF('Stock Price'!$I$11="OK",I250/INDEX(I$5:I$1258,'Stock Price'!$I$9)-1,"")</f>
        <v>3.5680529300567088E-2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106.5</v>
      </c>
      <c r="C251" s="18">
        <v>72.218199999999996</v>
      </c>
      <c r="D251" s="18">
        <v>28.66</v>
      </c>
      <c r="E251" s="18">
        <v>39.049999999999997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-0.1198347107438017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-0.40010465724751432</v>
      </c>
      <c r="R251" s="19">
        <f ca="1">IF('Stock Price'!$I$11="OK",E251/INDEX(E$5:E$1258,'Stock Price'!$I$9)-1,"")</f>
        <v>-0.16381156316916501</v>
      </c>
      <c r="S251" s="19">
        <f ca="1">IF('Stock Price'!$I$11="OK",F251/INDEX(F$5:F$1258,'Stock Price'!$I$9)-1,"")</f>
        <v>-0.22971854304635764</v>
      </c>
      <c r="T251" s="19">
        <f ca="1">IF('Stock Price'!$I$11="OK",G251/INDEX(G$5:G$1258,'Stock Price'!$I$9)-1,"")</f>
        <v>4.5272392505144587E-2</v>
      </c>
      <c r="U251" s="19">
        <f ca="1">IF('Stock Price'!$I$11="OK",H251/INDEX(H$5:H$1258,'Stock Price'!$I$9)-1,"")</f>
        <v>5.1960784313725528E-2</v>
      </c>
      <c r="V251" s="19">
        <f ca="1">IF('Stock Price'!$I$11="OK",I251/INDEX(I$5:I$1258,'Stock Price'!$I$9)-1,"")</f>
        <v>4.1824196597353591E-2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108.26</v>
      </c>
      <c r="C252" s="18">
        <v>73.833799999999997</v>
      </c>
      <c r="D252" s="18">
        <v>29.46</v>
      </c>
      <c r="E252" s="18">
        <v>41.75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-0.10528925619834706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-0.38335949764521193</v>
      </c>
      <c r="R252" s="19">
        <f ca="1">IF('Stock Price'!$I$11="OK",E252/INDEX(E$5:E$1258,'Stock Price'!$I$9)-1,"")</f>
        <v>-0.10599571734475377</v>
      </c>
      <c r="S252" s="19">
        <f ca="1">IF('Stock Price'!$I$11="OK",F252/INDEX(F$5:F$1258,'Stock Price'!$I$9)-1,"")</f>
        <v>-0.21005794701986746</v>
      </c>
      <c r="T252" s="19">
        <f ca="1">IF('Stock Price'!$I$11="OK",G252/INDEX(G$5:G$1258,'Stock Price'!$I$9)-1,"")</f>
        <v>4.3864399436802648E-2</v>
      </c>
      <c r="U252" s="19">
        <f ca="1">IF('Stock Price'!$I$11="OK",H252/INDEX(H$5:H$1258,'Stock Price'!$I$9)-1,"")</f>
        <v>6.3480392156862742E-2</v>
      </c>
      <c r="V252" s="19">
        <f ca="1">IF('Stock Price'!$I$11="OK",I252/INDEX(I$5:I$1258,'Stock Price'!$I$9)-1,"")</f>
        <v>4.9858223062381857E-2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109</v>
      </c>
      <c r="C253" s="18">
        <v>74.075699999999998</v>
      </c>
      <c r="D253" s="18">
        <v>29.36</v>
      </c>
      <c r="E253" s="18">
        <v>41.11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-9.9173553719008267E-2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-0.38545264259549972</v>
      </c>
      <c r="R253" s="19">
        <f ca="1">IF('Stock Price'!$I$11="OK",E253/INDEX(E$5:E$1258,'Stock Price'!$I$9)-1,"")</f>
        <v>-0.11970021413276233</v>
      </c>
      <c r="S253" s="19">
        <f ca="1">IF('Stock Price'!$I$11="OK",F253/INDEX(F$5:F$1258,'Stock Price'!$I$9)-1,"")</f>
        <v>-0.21357615894039739</v>
      </c>
      <c r="T253" s="19">
        <f ca="1">IF('Stock Price'!$I$11="OK",G253/INDEX(G$5:G$1258,'Stock Price'!$I$9)-1,"")</f>
        <v>3.3683526481100401E-2</v>
      </c>
      <c r="U253" s="19">
        <f ca="1">IF('Stock Price'!$I$11="OK",H253/INDEX(H$5:H$1258,'Stock Price'!$I$9)-1,"")</f>
        <v>6.1764705882352944E-2</v>
      </c>
      <c r="V253" s="19">
        <f ca="1">IF('Stock Price'!$I$11="OK",I253/INDEX(I$5:I$1258,'Stock Price'!$I$9)-1,"")</f>
        <v>4.3478260869565188E-2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107.1</v>
      </c>
      <c r="C254" s="18">
        <v>73.533900000000003</v>
      </c>
      <c r="D254" s="18">
        <v>29.43</v>
      </c>
      <c r="E254" s="18">
        <v>40.619999999999997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-0.11487603305785132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-0.38398744113029826</v>
      </c>
      <c r="R254" s="19">
        <f ca="1">IF('Stock Price'!$I$11="OK",E254/INDEX(E$5:E$1258,'Stock Price'!$I$9)-1,"")</f>
        <v>-0.13019271948608147</v>
      </c>
      <c r="S254" s="19">
        <f ca="1">IF('Stock Price'!$I$11="OK",F254/INDEX(F$5:F$1258,'Stock Price'!$I$9)-1,"")</f>
        <v>-0.21316225165562908</v>
      </c>
      <c r="T254" s="19">
        <f ca="1">IF('Stock Price'!$I$11="OK",G254/INDEX(G$5:G$1258,'Stock Price'!$I$9)-1,"")</f>
        <v>2.7076789775804189E-2</v>
      </c>
      <c r="U254" s="19">
        <f ca="1">IF('Stock Price'!$I$11="OK",H254/INDEX(H$5:H$1258,'Stock Price'!$I$9)-1,"")</f>
        <v>5.5392156862745123E-2</v>
      </c>
      <c r="V254" s="19">
        <f ca="1">IF('Stock Price'!$I$11="OK",I254/INDEX(I$5:I$1258,'Stock Price'!$I$9)-1,"")</f>
        <v>3.4026465028355268E-2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111.25</v>
      </c>
      <c r="C255" s="18">
        <v>74.172399999999996</v>
      </c>
      <c r="D255" s="18">
        <v>30.25</v>
      </c>
      <c r="E255" s="18">
        <v>40.47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-8.0578512396694224E-2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-0.36682365253793825</v>
      </c>
      <c r="R255" s="19">
        <f ca="1">IF('Stock Price'!$I$11="OK",E255/INDEX(E$5:E$1258,'Stock Price'!$I$9)-1,"")</f>
        <v>-0.133404710920771</v>
      </c>
      <c r="S255" s="19">
        <f ca="1">IF('Stock Price'!$I$11="OK",F255/INDEX(F$5:F$1258,'Stock Price'!$I$9)-1,"")</f>
        <v>-0.18894867549668881</v>
      </c>
      <c r="T255" s="19">
        <f ca="1">IF('Stock Price'!$I$11="OK",G255/INDEX(G$5:G$1258,'Stock Price'!$I$9)-1,"")</f>
        <v>3.8773962958951635E-2</v>
      </c>
      <c r="U255" s="19">
        <f ca="1">IF('Stock Price'!$I$11="OK",H255/INDEX(H$5:H$1258,'Stock Price'!$I$9)-1,"")</f>
        <v>7.2916666666666741E-2</v>
      </c>
      <c r="V255" s="19">
        <f ca="1">IF('Stock Price'!$I$11="OK",I255/INDEX(I$5:I$1258,'Stock Price'!$I$9)-1,"")</f>
        <v>4.3005671077504637E-2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113</v>
      </c>
      <c r="C256" s="18">
        <v>75.681600000000003</v>
      </c>
      <c r="D256" s="18">
        <v>30.71</v>
      </c>
      <c r="E256" s="18">
        <v>42.43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-6.6115702479338845E-2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-0.35719518576661435</v>
      </c>
      <c r="R256" s="19">
        <f ca="1">IF('Stock Price'!$I$11="OK",E256/INDEX(E$5:E$1258,'Stock Price'!$I$9)-1,"")</f>
        <v>-9.1434689507494671E-2</v>
      </c>
      <c r="S256" s="19">
        <f ca="1">IF('Stock Price'!$I$11="OK",F256/INDEX(F$5:F$1258,'Stock Price'!$I$9)-1,"")</f>
        <v>-0.16970198675496695</v>
      </c>
      <c r="T256" s="19">
        <f ca="1">IF('Stock Price'!$I$11="OK",G256/INDEX(G$5:G$1258,'Stock Price'!$I$9)-1,"")</f>
        <v>5.3720350915195558E-2</v>
      </c>
      <c r="U256" s="19">
        <f ca="1">IF('Stock Price'!$I$11="OK",H256/INDEX(H$5:H$1258,'Stock Price'!$I$9)-1,"")</f>
        <v>8.3210784313725528E-2</v>
      </c>
      <c r="V256" s="19">
        <f ca="1">IF('Stock Price'!$I$11="OK",I256/INDEX(I$5:I$1258,'Stock Price'!$I$9)-1,"")</f>
        <v>5.0567107750472573E-2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112.14</v>
      </c>
      <c r="C257" s="18">
        <v>74.849599999999995</v>
      </c>
      <c r="D257" s="18">
        <v>30.41</v>
      </c>
      <c r="E257" s="18">
        <v>41.73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-7.3223140495867756E-2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-0.36347462061747771</v>
      </c>
      <c r="R257" s="19">
        <f ca="1">IF('Stock Price'!$I$11="OK",E257/INDEX(E$5:E$1258,'Stock Price'!$I$9)-1,"")</f>
        <v>-0.10642398286937915</v>
      </c>
      <c r="S257" s="19">
        <f ca="1">IF('Stock Price'!$I$11="OK",F257/INDEX(F$5:F$1258,'Stock Price'!$I$9)-1,"")</f>
        <v>-0.17591059602649006</v>
      </c>
      <c r="T257" s="19">
        <f ca="1">IF('Stock Price'!$I$11="OK",G257/INDEX(G$5:G$1258,'Stock Price'!$I$9)-1,"")</f>
        <v>5.3828658074298597E-2</v>
      </c>
      <c r="U257" s="19">
        <f ca="1">IF('Stock Price'!$I$11="OK",H257/INDEX(H$5:H$1258,'Stock Price'!$I$9)-1,"")</f>
        <v>8.3210784313725528E-2</v>
      </c>
      <c r="V257" s="19">
        <f ca="1">IF('Stock Price'!$I$11="OK",I257/INDEX(I$5:I$1258,'Stock Price'!$I$9)-1,"")</f>
        <v>4.2533081285444085E-2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109.12</v>
      </c>
      <c r="C258" s="18">
        <v>73.562899999999999</v>
      </c>
      <c r="D258" s="18">
        <v>30</v>
      </c>
      <c r="E258" s="18">
        <v>41.05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-9.8181818181818148E-2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-0.37205651491365777</v>
      </c>
      <c r="R258" s="19">
        <f ca="1">IF('Stock Price'!$I$11="OK",E258/INDEX(E$5:E$1258,'Stock Price'!$I$9)-1,"")</f>
        <v>-0.12098501070663825</v>
      </c>
      <c r="S258" s="19">
        <f ca="1">IF('Stock Price'!$I$11="OK",F258/INDEX(F$5:F$1258,'Stock Price'!$I$9)-1,"")</f>
        <v>-0.19495033112582782</v>
      </c>
      <c r="T258" s="19">
        <f ca="1">IF('Stock Price'!$I$11="OK",G258/INDEX(G$5:G$1258,'Stock Price'!$I$9)-1,"")</f>
        <v>3.3358605003790842E-2</v>
      </c>
      <c r="U258" s="19">
        <f ca="1">IF('Stock Price'!$I$11="OK",H258/INDEX(H$5:H$1258,'Stock Price'!$I$9)-1,"")</f>
        <v>7.156862745098036E-2</v>
      </c>
      <c r="V258" s="19">
        <f ca="1">IF('Stock Price'!$I$11="OK",I258/INDEX(I$5:I$1258,'Stock Price'!$I$9)-1,"")</f>
        <v>1.8194706994328902E-2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109.5</v>
      </c>
      <c r="C259" s="18">
        <v>73.185599999999994</v>
      </c>
      <c r="D259" s="18">
        <v>30.11</v>
      </c>
      <c r="E259" s="18">
        <v>40.619999999999997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-9.5041322314049603E-2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-0.36975405546834117</v>
      </c>
      <c r="R259" s="19">
        <f ca="1">IF('Stock Price'!$I$11="OK",E259/INDEX(E$5:E$1258,'Stock Price'!$I$9)-1,"")</f>
        <v>-0.13019271948608147</v>
      </c>
      <c r="S259" s="19">
        <f ca="1">IF('Stock Price'!$I$11="OK",F259/INDEX(F$5:F$1258,'Stock Price'!$I$9)-1,"")</f>
        <v>-0.19577814569536423</v>
      </c>
      <c r="T259" s="19">
        <f ca="1">IF('Stock Price'!$I$11="OK",G259/INDEX(G$5:G$1258,'Stock Price'!$I$9)-1,"")</f>
        <v>2.7185096934907449E-2</v>
      </c>
      <c r="U259" s="19">
        <f ca="1">IF('Stock Price'!$I$11="OK",H259/INDEX(H$5:H$1258,'Stock Price'!$I$9)-1,"")</f>
        <v>7.3529411764705843E-2</v>
      </c>
      <c r="V259" s="19">
        <f ca="1">IF('Stock Price'!$I$11="OK",I259/INDEX(I$5:I$1258,'Stock Price'!$I$9)-1,"")</f>
        <v>0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110.6</v>
      </c>
      <c r="C260" s="18">
        <v>73.088899999999995</v>
      </c>
      <c r="D260" s="18">
        <v>30.19</v>
      </c>
      <c r="E260" s="18">
        <v>39.97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-8.5950413223140565E-2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-0.3680795395081109</v>
      </c>
      <c r="R260" s="19">
        <f ca="1">IF('Stock Price'!$I$11="OK",E260/INDEX(E$5:E$1258,'Stock Price'!$I$9)-1,"")</f>
        <v>-0.14411134903640266</v>
      </c>
      <c r="S260" s="19">
        <f ca="1">IF('Stock Price'!$I$11="OK",F260/INDEX(F$5:F$1258,'Stock Price'!$I$9)-1,"")</f>
        <v>-0.19081125827814571</v>
      </c>
      <c r="T260" s="19">
        <f ca="1">IF('Stock Price'!$I$11="OK",G260/INDEX(G$5:G$1258,'Stock Price'!$I$9)-1,"")</f>
        <v>2.9676161594281325E-2</v>
      </c>
      <c r="U260" s="19">
        <f ca="1">IF('Stock Price'!$I$11="OK",H260/INDEX(H$5:H$1258,'Stock Price'!$I$9)-1,"")</f>
        <v>0.10882352941176476</v>
      </c>
      <c r="V260" s="19">
        <f ca="1">IF('Stock Price'!$I$11="OK",I260/INDEX(I$5:I$1258,'Stock Price'!$I$9)-1,"")</f>
        <v>-1.3468809073724053E-2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109.16</v>
      </c>
      <c r="C261" s="18">
        <v>73.388800000000003</v>
      </c>
      <c r="D261" s="18">
        <v>30.43</v>
      </c>
      <c r="E261" s="18">
        <v>40.53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-9.7851239669421552E-2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-0.36305599162742019</v>
      </c>
      <c r="R261" s="19">
        <f ca="1">IF('Stock Price'!$I$11="OK",E261/INDEX(E$5:E$1258,'Stock Price'!$I$9)-1,"")</f>
        <v>-0.13211991434689507</v>
      </c>
      <c r="S261" s="19">
        <f ca="1">IF('Stock Price'!$I$11="OK",F261/INDEX(F$5:F$1258,'Stock Price'!$I$9)-1,"")</f>
        <v>-0.17860099337748347</v>
      </c>
      <c r="T261" s="19">
        <f ca="1">IF('Stock Price'!$I$11="OK",G261/INDEX(G$5:G$1258,'Stock Price'!$I$9)-1,"")</f>
        <v>4.8738221596447584E-2</v>
      </c>
      <c r="U261" s="19">
        <f ca="1">IF('Stock Price'!$I$11="OK",H261/INDEX(H$5:H$1258,'Stock Price'!$I$9)-1,"")</f>
        <v>0.11580882352941191</v>
      </c>
      <c r="V261" s="19">
        <f ca="1">IF('Stock Price'!$I$11="OK",I261/INDEX(I$5:I$1258,'Stock Price'!$I$9)-1,"")</f>
        <v>-9.4517958412098091E-3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109.1</v>
      </c>
      <c r="C262" s="18">
        <v>72.856700000000004</v>
      </c>
      <c r="D262" s="18">
        <v>30.37</v>
      </c>
      <c r="E262" s="18">
        <v>40.08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-9.8347107438016557E-2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-0.36431187859759284</v>
      </c>
      <c r="R262" s="19">
        <f ca="1">IF('Stock Price'!$I$11="OK",E262/INDEX(E$5:E$1258,'Stock Price'!$I$9)-1,"")</f>
        <v>-0.14175588865096367</v>
      </c>
      <c r="S262" s="19">
        <f ca="1">IF('Stock Price'!$I$11="OK",F262/INDEX(F$5:F$1258,'Stock Price'!$I$9)-1,"")</f>
        <v>-0.1879139072847682</v>
      </c>
      <c r="T262" s="19">
        <f ca="1">IF('Stock Price'!$I$11="OK",G262/INDEX(G$5:G$1258,'Stock Price'!$I$9)-1,"")</f>
        <v>6.5634138416549304E-2</v>
      </c>
      <c r="U262" s="19">
        <f ca="1">IF('Stock Price'!$I$11="OK",H262/INDEX(H$5:H$1258,'Stock Price'!$I$9)-1,"")</f>
        <v>0.10808823529411771</v>
      </c>
      <c r="V262" s="19">
        <f ca="1">IF('Stock Price'!$I$11="OK",I262/INDEX(I$5:I$1258,'Stock Price'!$I$9)-1,"")</f>
        <v>-6.8525519848771088E-3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107.6</v>
      </c>
      <c r="C263" s="18">
        <v>73.533900000000003</v>
      </c>
      <c r="D263" s="18">
        <v>30.65</v>
      </c>
      <c r="E263" s="18">
        <v>40.380000000000003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-0.11074380165289266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-0.358451072736787</v>
      </c>
      <c r="R263" s="19">
        <f ca="1">IF('Stock Price'!$I$11="OK",E263/INDEX(E$5:E$1258,'Stock Price'!$I$9)-1,"")</f>
        <v>-0.1353319057815846</v>
      </c>
      <c r="S263" s="19">
        <f ca="1">IF('Stock Price'!$I$11="OK",F263/INDEX(F$5:F$1258,'Stock Price'!$I$9)-1,"")</f>
        <v>-0.17384105960264895</v>
      </c>
      <c r="T263" s="19">
        <f ca="1">IF('Stock Price'!$I$11="OK",G263/INDEX(G$5:G$1258,'Stock Price'!$I$9)-1,"")</f>
        <v>7.863099750893543E-2</v>
      </c>
      <c r="U263" s="19">
        <f ca="1">IF('Stock Price'!$I$11="OK",H263/INDEX(H$5:H$1258,'Stock Price'!$I$9)-1,"")</f>
        <v>0.13345588235294126</v>
      </c>
      <c r="V263" s="19">
        <f ca="1">IF('Stock Price'!$I$11="OK",I263/INDEX(I$5:I$1258,'Stock Price'!$I$9)-1,"")</f>
        <v>1.5595463137996202E-2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111.35</v>
      </c>
      <c r="C264" s="18">
        <v>73.108199999999997</v>
      </c>
      <c r="D264" s="18">
        <v>30.71</v>
      </c>
      <c r="E264" s="18">
        <v>40.479999999999997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-7.9752066115702513E-2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-0.35719518576661435</v>
      </c>
      <c r="R264" s="19">
        <f ca="1">IF('Stock Price'!$I$11="OK",E264/INDEX(E$5:E$1258,'Stock Price'!$I$9)-1,"")</f>
        <v>-0.13319057815845836</v>
      </c>
      <c r="S264" s="19">
        <f ca="1">IF('Stock Price'!$I$11="OK",F264/INDEX(F$5:F$1258,'Stock Price'!$I$9)-1,"")</f>
        <v>-0.18087748344370869</v>
      </c>
      <c r="T264" s="19">
        <f ca="1">IF('Stock Price'!$I$11="OK",G264/INDEX(G$5:G$1258,'Stock Price'!$I$9)-1,"")</f>
        <v>6.1410159211523929E-2</v>
      </c>
      <c r="U264" s="19">
        <f ca="1">IF('Stock Price'!$I$11="OK",H264/INDEX(H$5:H$1258,'Stock Price'!$I$9)-1,"")</f>
        <v>0.12965686274509824</v>
      </c>
      <c r="V264" s="19">
        <f ca="1">IF('Stock Price'!$I$11="OK",I264/INDEX(I$5:I$1258,'Stock Price'!$I$9)-1,"")</f>
        <v>1.2759924385633337E-2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114.3</v>
      </c>
      <c r="C265" s="18">
        <v>74.752899999999997</v>
      </c>
      <c r="D265" s="18">
        <v>31.3</v>
      </c>
      <c r="E265" s="18">
        <v>41.2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-5.5371900826446274E-2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-0.34484563055991624</v>
      </c>
      <c r="R265" s="19">
        <f ca="1">IF('Stock Price'!$I$11="OK",E265/INDEX(E$5:E$1258,'Stock Price'!$I$9)-1,"")</f>
        <v>-0.11777301927194861</v>
      </c>
      <c r="S265" s="19">
        <f ca="1">IF('Stock Price'!$I$11="OK",F265/INDEX(F$5:F$1258,'Stock Price'!$I$9)-1,"")</f>
        <v>-0.16307947019867552</v>
      </c>
      <c r="T265" s="19">
        <f ca="1">IF('Stock Price'!$I$11="OK",G265/INDEX(G$5:G$1258,'Stock Price'!$I$9)-1,"")</f>
        <v>8.7837106032708778E-2</v>
      </c>
      <c r="U265" s="19">
        <f ca="1">IF('Stock Price'!$I$11="OK",H265/INDEX(H$5:H$1258,'Stock Price'!$I$9)-1,"")</f>
        <v>0.15343137254901973</v>
      </c>
      <c r="V265" s="19">
        <f ca="1">IF('Stock Price'!$I$11="OK",I265/INDEX(I$5:I$1258,'Stock Price'!$I$9)-1,"")</f>
        <v>3.1427221172022568E-2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109.88</v>
      </c>
      <c r="C266" s="18">
        <v>74.965699999999998</v>
      </c>
      <c r="D266" s="18">
        <v>31.25</v>
      </c>
      <c r="E266" s="18">
        <v>41.08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-9.1900826446281059E-2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-0.34589220303506019</v>
      </c>
      <c r="R266" s="19">
        <f ca="1">IF('Stock Price'!$I$11="OK",E266/INDEX(E$5:E$1258,'Stock Price'!$I$9)-1,"")</f>
        <v>-0.12034261241970035</v>
      </c>
      <c r="S266" s="19">
        <f ca="1">IF('Stock Price'!$I$11="OK",F266/INDEX(F$5:F$1258,'Stock Price'!$I$9)-1,"")</f>
        <v>-0.17115066225165565</v>
      </c>
      <c r="T266" s="19">
        <f ca="1">IF('Stock Price'!$I$11="OK",G266/INDEX(G$5:G$1258,'Stock Price'!$I$9)-1,"")</f>
        <v>7.733131159969675E-2</v>
      </c>
      <c r="U266" s="19">
        <f ca="1">IF('Stock Price'!$I$11="OK",H266/INDEX(H$5:H$1258,'Stock Price'!$I$9)-1,"")</f>
        <v>0.15943627450980391</v>
      </c>
      <c r="V266" s="19">
        <f ca="1">IF('Stock Price'!$I$11="OK",I266/INDEX(I$5:I$1258,'Stock Price'!$I$9)-1,"")</f>
        <v>4.1824196597353591E-2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108.25</v>
      </c>
      <c r="C267" s="18">
        <v>74.017600000000002</v>
      </c>
      <c r="D267" s="18">
        <v>31.31</v>
      </c>
      <c r="E267" s="18">
        <v>40.5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-0.10537190082644632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-0.34463631606488754</v>
      </c>
      <c r="R267" s="19">
        <f ca="1">IF('Stock Price'!$I$11="OK",E267/INDEX(E$5:E$1258,'Stock Price'!$I$9)-1,"")</f>
        <v>-0.13276231263383298</v>
      </c>
      <c r="S267" s="19">
        <f ca="1">IF('Stock Price'!$I$11="OK",F267/INDEX(F$5:F$1258,'Stock Price'!$I$9)-1,"")</f>
        <v>-0.17963576158940397</v>
      </c>
      <c r="T267" s="19">
        <f ca="1">IF('Stock Price'!$I$11="OK",G267/INDEX(G$5:G$1258,'Stock Price'!$I$9)-1,"")</f>
        <v>7.7656233077006309E-2</v>
      </c>
      <c r="U267" s="19">
        <f ca="1">IF('Stock Price'!$I$11="OK",H267/INDEX(H$5:H$1258,'Stock Price'!$I$9)-1,"")</f>
        <v>0.14289215686274526</v>
      </c>
      <c r="V267" s="19">
        <f ca="1">IF('Stock Price'!$I$11="OK",I267/INDEX(I$5:I$1258,'Stock Price'!$I$9)-1,"")</f>
        <v>1.8667296786389453E-2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109.88</v>
      </c>
      <c r="C268" s="18">
        <v>73.088899999999995</v>
      </c>
      <c r="D268" s="18">
        <v>31.06</v>
      </c>
      <c r="E268" s="18">
        <v>40.06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-9.1900826446281059E-2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-0.34986917844060705</v>
      </c>
      <c r="R268" s="19">
        <f ca="1">IF('Stock Price'!$I$11="OK",E268/INDEX(E$5:E$1258,'Stock Price'!$I$9)-1,"")</f>
        <v>-0.14218415417558883</v>
      </c>
      <c r="S268" s="19">
        <f ca="1">IF('Stock Price'!$I$11="OK",F268/INDEX(F$5:F$1258,'Stock Price'!$I$9)-1,"")</f>
        <v>-0.17984271523178808</v>
      </c>
      <c r="T268" s="19">
        <f ca="1">IF('Stock Price'!$I$11="OK",G268/INDEX(G$5:G$1258,'Stock Price'!$I$9)-1,"")</f>
        <v>7.8739304668038468E-2</v>
      </c>
      <c r="U268" s="19">
        <f ca="1">IF('Stock Price'!$I$11="OK",H268/INDEX(H$5:H$1258,'Stock Price'!$I$9)-1,"")</f>
        <v>0.13897058823529407</v>
      </c>
      <c r="V268" s="19">
        <f ca="1">IF('Stock Price'!$I$11="OK",I268/INDEX(I$5:I$1258,'Stock Price'!$I$9)-1,"")</f>
        <v>1.3941398865784382E-2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109.9</v>
      </c>
      <c r="C269" s="18">
        <v>74.588399999999993</v>
      </c>
      <c r="D269" s="18">
        <v>31.87</v>
      </c>
      <c r="E269" s="18">
        <v>40.76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-9.173553719008265E-2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-0.33291470434327575</v>
      </c>
      <c r="R269" s="19">
        <f ca="1">IF('Stock Price'!$I$11="OK",E269/INDEX(E$5:E$1258,'Stock Price'!$I$9)-1,"")</f>
        <v>-0.12719486081370457</v>
      </c>
      <c r="S269" s="19">
        <f ca="1">IF('Stock Price'!$I$11="OK",F269/INDEX(F$5:F$1258,'Stock Price'!$I$9)-1,"")</f>
        <v>-0.16307947019867552</v>
      </c>
      <c r="T269" s="19">
        <f ca="1">IF('Stock Price'!$I$11="OK",G269/INDEX(G$5:G$1258,'Stock Price'!$I$9)-1,"")</f>
        <v>8.3071591032167325E-2</v>
      </c>
      <c r="U269" s="19">
        <f ca="1">IF('Stock Price'!$I$11="OK",H269/INDEX(H$5:H$1258,'Stock Price'!$I$9)-1,"")</f>
        <v>0.17242647058823546</v>
      </c>
      <c r="V269" s="19">
        <f ca="1">IF('Stock Price'!$I$11="OK",I269/INDEX(I$5:I$1258,'Stock Price'!$I$9)-1,"")</f>
        <v>6.2145557655954642E-2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108.96</v>
      </c>
      <c r="C270" s="18">
        <v>75.1785</v>
      </c>
      <c r="D270" s="18">
        <v>31.76</v>
      </c>
      <c r="E270" s="18">
        <v>40.67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-9.9504132231404974E-2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-0.33521716378859234</v>
      </c>
      <c r="R270" s="19">
        <f ca="1">IF('Stock Price'!$I$11="OK",E270/INDEX(E$5:E$1258,'Stock Price'!$I$9)-1,"")</f>
        <v>-0.12912205567451818</v>
      </c>
      <c r="S270" s="19">
        <f ca="1">IF('Stock Price'!$I$11="OK",F270/INDEX(F$5:F$1258,'Stock Price'!$I$9)-1,"")</f>
        <v>-0.1552152317880795</v>
      </c>
      <c r="T270" s="19">
        <f ca="1">IF('Stock Price'!$I$11="OK",G270/INDEX(G$5:G$1258,'Stock Price'!$I$9)-1,"")</f>
        <v>0.1047330228528105</v>
      </c>
      <c r="U270" s="19">
        <f ca="1">IF('Stock Price'!$I$11="OK",H270/INDEX(H$5:H$1258,'Stock Price'!$I$9)-1,"")</f>
        <v>0.19325980392156872</v>
      </c>
      <c r="V270" s="19">
        <f ca="1">IF('Stock Price'!$I$11="OK",I270/INDEX(I$5:I$1258,'Stock Price'!$I$9)-1,"")</f>
        <v>7.6086956521739024E-2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111.1999</v>
      </c>
      <c r="C271" s="18">
        <v>75.952500000000001</v>
      </c>
      <c r="D271" s="18">
        <v>32.24</v>
      </c>
      <c r="E271" s="18">
        <v>41.7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-8.0992561983471045E-2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-0.32517006802721082</v>
      </c>
      <c r="R271" s="19">
        <f ca="1">IF('Stock Price'!$I$11="OK",E271/INDEX(E$5:E$1258,'Stock Price'!$I$9)-1,"")</f>
        <v>-0.10706638115631695</v>
      </c>
      <c r="S271" s="19">
        <f ca="1">IF('Stock Price'!$I$11="OK",F271/INDEX(F$5:F$1258,'Stock Price'!$I$9)-1,"")</f>
        <v>-0.14569536423841056</v>
      </c>
      <c r="T271" s="19">
        <f ca="1">IF('Stock Price'!$I$11="OK",G271/INDEX(G$5:G$1258,'Stock Price'!$I$9)-1,"")</f>
        <v>0.10191703671612684</v>
      </c>
      <c r="U271" s="19">
        <f ca="1">IF('Stock Price'!$I$11="OK",H271/INDEX(H$5:H$1258,'Stock Price'!$I$9)-1,"")</f>
        <v>0.19742647058823537</v>
      </c>
      <c r="V271" s="19">
        <f ca="1">IF('Stock Price'!$I$11="OK",I271/INDEX(I$5:I$1258,'Stock Price'!$I$9)-1,"")</f>
        <v>7.7268431001890514E-2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114.47499999999999</v>
      </c>
      <c r="C272" s="18">
        <v>77.016599999999997</v>
      </c>
      <c r="D272" s="18">
        <v>32.69</v>
      </c>
      <c r="E272" s="18">
        <v>41.74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-5.3925619834710781E-2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-0.31575091575091574</v>
      </c>
      <c r="R272" s="19">
        <f ca="1">IF('Stock Price'!$I$11="OK",E272/INDEX(E$5:E$1258,'Stock Price'!$I$9)-1,"")</f>
        <v>-0.10620985010706641</v>
      </c>
      <c r="S272" s="19">
        <f ca="1">IF('Stock Price'!$I$11="OK",F272/INDEX(F$5:F$1258,'Stock Price'!$I$9)-1,"")</f>
        <v>-0.13389900662251653</v>
      </c>
      <c r="T272" s="19">
        <f ca="1">IF('Stock Price'!$I$11="OK",G272/INDEX(G$5:G$1258,'Stock Price'!$I$9)-1,"")</f>
        <v>0.12162893967291244</v>
      </c>
      <c r="U272" s="19">
        <f ca="1">IF('Stock Price'!$I$11="OK",H272/INDEX(H$5:H$1258,'Stock Price'!$I$9)-1,"")</f>
        <v>0.20600490196078436</v>
      </c>
      <c r="V272" s="19">
        <f ca="1">IF('Stock Price'!$I$11="OK",I272/INDEX(I$5:I$1258,'Stock Price'!$I$9)-1,"")</f>
        <v>8.8374291115312031E-2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115.35</v>
      </c>
      <c r="C273" s="18">
        <v>76.948899999999995</v>
      </c>
      <c r="D273" s="18">
        <v>32.72</v>
      </c>
      <c r="E273" s="18">
        <v>41.05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-4.6694214876033091E-2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-0.31512297226582942</v>
      </c>
      <c r="R273" s="19">
        <f ca="1">IF('Stock Price'!$I$11="OK",E273/INDEX(E$5:E$1258,'Stock Price'!$I$9)-1,"")</f>
        <v>-0.12098501070663825</v>
      </c>
      <c r="S273" s="19">
        <f ca="1">IF('Stock Price'!$I$11="OK",F273/INDEX(F$5:F$1258,'Stock Price'!$I$9)-1,"")</f>
        <v>-0.13948675496688745</v>
      </c>
      <c r="T273" s="19">
        <f ca="1">IF('Stock Price'!$I$11="OK",G273/INDEX(G$5:G$1258,'Stock Price'!$I$9)-1,"")</f>
        <v>0.12812736921910539</v>
      </c>
      <c r="U273" s="19">
        <f ca="1">IF('Stock Price'!$I$11="OK",H273/INDEX(H$5:H$1258,'Stock Price'!$I$9)-1,"")</f>
        <v>0.22230392156862755</v>
      </c>
      <c r="V273" s="19">
        <f ca="1">IF('Stock Price'!$I$11="OK",I273/INDEX(I$5:I$1258,'Stock Price'!$I$9)-1,"")</f>
        <v>8.0812854442344095E-2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114.4</v>
      </c>
      <c r="C274" s="18">
        <v>78.129199999999997</v>
      </c>
      <c r="D274" s="18">
        <v>33.270000000000003</v>
      </c>
      <c r="E274" s="18">
        <v>41.61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-5.4545454545454453E-2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-0.30361067503924644</v>
      </c>
      <c r="R274" s="19">
        <f ca="1">IF('Stock Price'!$I$11="OK",E274/INDEX(E$5:E$1258,'Stock Price'!$I$9)-1,"")</f>
        <v>-0.10899357601713067</v>
      </c>
      <c r="S274" s="19">
        <f ca="1">IF('Stock Price'!$I$11="OK",F274/INDEX(F$5:F$1258,'Stock Price'!$I$9)-1,"")</f>
        <v>-0.10906456953642385</v>
      </c>
      <c r="T274" s="19">
        <f ca="1">IF('Stock Price'!$I$11="OK",G274/INDEX(G$5:G$1258,'Stock Price'!$I$9)-1,"")</f>
        <v>0.14155745694790434</v>
      </c>
      <c r="U274" s="19">
        <f ca="1">IF('Stock Price'!$I$11="OK",H274/INDEX(H$5:H$1258,'Stock Price'!$I$9)-1,"")</f>
        <v>0.23492647058823524</v>
      </c>
      <c r="V274" s="19">
        <f ca="1">IF('Stock Price'!$I$11="OK",I274/INDEX(I$5:I$1258,'Stock Price'!$I$9)-1,"")</f>
        <v>0.12074669187145548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116.44</v>
      </c>
      <c r="C275" s="18">
        <v>78.487099999999998</v>
      </c>
      <c r="D275" s="18">
        <v>33.17</v>
      </c>
      <c r="E275" s="18">
        <v>41.34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-3.7685950413223201E-2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-0.30570381998953422</v>
      </c>
      <c r="R275" s="19">
        <f ca="1">IF('Stock Price'!$I$11="OK",E275/INDEX(E$5:E$1258,'Stock Price'!$I$9)-1,"")</f>
        <v>-0.11477516059957171</v>
      </c>
      <c r="S275" s="19">
        <f ca="1">IF('Stock Price'!$I$11="OK",F275/INDEX(F$5:F$1258,'Stock Price'!$I$9)-1,"")</f>
        <v>-0.10533940397351005</v>
      </c>
      <c r="T275" s="19">
        <f ca="1">IF('Stock Price'!$I$11="OK",G275/INDEX(G$5:G$1258,'Stock Price'!$I$9)-1,"")</f>
        <v>0.15282140149463874</v>
      </c>
      <c r="U275" s="19">
        <f ca="1">IF('Stock Price'!$I$11="OK",H275/INDEX(H$5:H$1258,'Stock Price'!$I$9)-1,"")</f>
        <v>0.24019607843137258</v>
      </c>
      <c r="V275" s="19">
        <f ca="1">IF('Stock Price'!$I$11="OK",I275/INDEX(I$5:I$1258,'Stock Price'!$I$9)-1,"")</f>
        <v>9.9952741020793878E-2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118.1</v>
      </c>
      <c r="C276" s="18">
        <v>78.419399999999996</v>
      </c>
      <c r="D276" s="18">
        <v>33.46</v>
      </c>
      <c r="E276" s="18">
        <v>41.18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-2.3966942148760384E-2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-0.29963369963369957</v>
      </c>
      <c r="R276" s="19">
        <f ca="1">IF('Stock Price'!$I$11="OK",E276/INDEX(E$5:E$1258,'Stock Price'!$I$9)-1,"")</f>
        <v>-0.11820128479657399</v>
      </c>
      <c r="S276" s="19">
        <f ca="1">IF('Stock Price'!$I$11="OK",F276/INDEX(F$5:F$1258,'Stock Price'!$I$9)-1,"")</f>
        <v>-0.11030629139072845</v>
      </c>
      <c r="T276" s="19">
        <f ca="1">IF('Stock Price'!$I$11="OK",G276/INDEX(G$5:G$1258,'Stock Price'!$I$9)-1,"")</f>
        <v>0.16668471785985051</v>
      </c>
      <c r="U276" s="19">
        <f ca="1">IF('Stock Price'!$I$11="OK",H276/INDEX(H$5:H$1258,'Stock Price'!$I$9)-1,"")</f>
        <v>0.22254901960784323</v>
      </c>
      <c r="V276" s="19">
        <f ca="1">IF('Stock Price'!$I$11="OK",I276/INDEX(I$5:I$1258,'Stock Price'!$I$9)-1,"")</f>
        <v>0.1344517958412097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120</v>
      </c>
      <c r="C277" s="18">
        <v>77.964699999999993</v>
      </c>
      <c r="D277" s="18">
        <v>33.119999999999997</v>
      </c>
      <c r="E277" s="18">
        <v>41.19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-8.2644628099173278E-3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-0.30675039246467817</v>
      </c>
      <c r="R277" s="19">
        <f ca="1">IF('Stock Price'!$I$11="OK",E277/INDEX(E$5:E$1258,'Stock Price'!$I$9)-1,"")</f>
        <v>-0.11798715203426136</v>
      </c>
      <c r="S277" s="19">
        <f ca="1">IF('Stock Price'!$I$11="OK",F277/INDEX(F$5:F$1258,'Stock Price'!$I$9)-1,"")</f>
        <v>-0.11134105960264906</v>
      </c>
      <c r="T277" s="19">
        <f ca="1">IF('Stock Price'!$I$11="OK",G277/INDEX(G$5:G$1258,'Stock Price'!$I$9)-1,"")</f>
        <v>0.15693707354056108</v>
      </c>
      <c r="U277" s="19">
        <f ca="1">IF('Stock Price'!$I$11="OK",H277/INDEX(H$5:H$1258,'Stock Price'!$I$9)-1,"")</f>
        <v>0.2181372549019609</v>
      </c>
      <c r="V277" s="19">
        <f ca="1">IF('Stock Price'!$I$11="OK",I277/INDEX(I$5:I$1258,'Stock Price'!$I$9)-1,"")</f>
        <v>0.11224007561436666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120.95</v>
      </c>
      <c r="C278" s="18">
        <v>77.761499999999998</v>
      </c>
      <c r="D278" s="18">
        <v>32.840000000000003</v>
      </c>
      <c r="E278" s="18">
        <v>40.909999999999997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-4.1322314049585529E-4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-0.3126111983254839</v>
      </c>
      <c r="R278" s="19">
        <f ca="1">IF('Stock Price'!$I$11="OK",E278/INDEX(E$5:E$1258,'Stock Price'!$I$9)-1,"")</f>
        <v>-0.12398286937901515</v>
      </c>
      <c r="S278" s="19">
        <f ca="1">IF('Stock Price'!$I$11="OK",F278/INDEX(F$5:F$1258,'Stock Price'!$I$9)-1,"")</f>
        <v>-0.11341059602648995</v>
      </c>
      <c r="T278" s="19">
        <f ca="1">IF('Stock Price'!$I$11="OK",G278/INDEX(G$5:G$1258,'Stock Price'!$I$9)-1,"")</f>
        <v>0.14957218672154227</v>
      </c>
      <c r="U278" s="19">
        <f ca="1">IF('Stock Price'!$I$11="OK",H278/INDEX(H$5:H$1258,'Stock Price'!$I$9)-1,"")</f>
        <v>0.21017156862745101</v>
      </c>
      <c r="V278" s="19">
        <f ca="1">IF('Stock Price'!$I$11="OK",I278/INDEX(I$5:I$1258,'Stock Price'!$I$9)-1,"")</f>
        <v>0.10042533081285443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119.94</v>
      </c>
      <c r="C279" s="18">
        <v>79.057900000000004</v>
      </c>
      <c r="D279" s="18">
        <v>32.99</v>
      </c>
      <c r="E279" s="18">
        <v>41.05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-8.760330578512443E-3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-0.30947148090005228</v>
      </c>
      <c r="R279" s="19">
        <f ca="1">IF('Stock Price'!$I$11="OK",E279/INDEX(E$5:E$1258,'Stock Price'!$I$9)-1,"")</f>
        <v>-0.12098501070663825</v>
      </c>
      <c r="S279" s="19">
        <f ca="1">IF('Stock Price'!$I$11="OK",F279/INDEX(F$5:F$1258,'Stock Price'!$I$9)-1,"")</f>
        <v>-9.7268211920529812E-2</v>
      </c>
      <c r="T279" s="19">
        <f ca="1">IF('Stock Price'!$I$11="OK",G279/INDEX(G$5:G$1258,'Stock Price'!$I$9)-1,"")</f>
        <v>0.16711794649626355</v>
      </c>
      <c r="U279" s="19">
        <f ca="1">IF('Stock Price'!$I$11="OK",H279/INDEX(H$5:H$1258,'Stock Price'!$I$9)-1,"")</f>
        <v>0.21568627450980404</v>
      </c>
      <c r="V279" s="19">
        <f ca="1">IF('Stock Price'!$I$11="OK",I279/INDEX(I$5:I$1258,'Stock Price'!$I$9)-1,"")</f>
        <v>0.11578449905482047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120.22</v>
      </c>
      <c r="C280" s="18">
        <v>79.144999999999996</v>
      </c>
      <c r="D280" s="18">
        <v>31.94</v>
      </c>
      <c r="E280" s="18">
        <v>40.83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-6.446280991735498E-3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-0.33144950287807429</v>
      </c>
      <c r="R280" s="19">
        <f ca="1">IF('Stock Price'!$I$11="OK",E280/INDEX(E$5:E$1258,'Stock Price'!$I$9)-1,"")</f>
        <v>-0.12569593147751612</v>
      </c>
      <c r="S280" s="19">
        <f ca="1">IF('Stock Price'!$I$11="OK",F280/INDEX(F$5:F$1258,'Stock Price'!$I$9)-1,"")</f>
        <v>-0.10078642384105951</v>
      </c>
      <c r="T280" s="19">
        <f ca="1">IF('Stock Price'!$I$11="OK",G280/INDEX(G$5:G$1258,'Stock Price'!$I$9)-1,"")</f>
        <v>0.17578251922452082</v>
      </c>
      <c r="U280" s="19">
        <f ca="1">IF('Stock Price'!$I$11="OK",H280/INDEX(H$5:H$1258,'Stock Price'!$I$9)-1,"")</f>
        <v>0.22634803921568625</v>
      </c>
      <c r="V280" s="19">
        <f ca="1">IF('Stock Price'!$I$11="OK",I280/INDEX(I$5:I$1258,'Stock Price'!$I$9)-1,"")</f>
        <v>0.11271266540642721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121.24</v>
      </c>
      <c r="C281" s="18">
        <v>79.164299999999997</v>
      </c>
      <c r="D281" s="18">
        <v>32.22</v>
      </c>
      <c r="E281" s="18">
        <v>40.840000000000003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1.9834710743800166E-3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-0.32558869701726845</v>
      </c>
      <c r="R281" s="19">
        <f ca="1">IF('Stock Price'!$I$11="OK",E281/INDEX(E$5:E$1258,'Stock Price'!$I$9)-1,"")</f>
        <v>-0.12548179871520337</v>
      </c>
      <c r="S281" s="19">
        <f ca="1">IF('Stock Price'!$I$11="OK",F281/INDEX(F$5:F$1258,'Stock Price'!$I$9)-1,"")</f>
        <v>-0.10099337748344372</v>
      </c>
      <c r="T281" s="19">
        <f ca="1">IF('Stock Price'!$I$11="OK",G281/INDEX(G$5:G$1258,'Stock Price'!$I$9)-1,"")</f>
        <v>0.11989602512726094</v>
      </c>
      <c r="U281" s="19">
        <f ca="1">IF('Stock Price'!$I$11="OK",H281/INDEX(H$5:H$1258,'Stock Price'!$I$9)-1,"")</f>
        <v>0.24387254901960786</v>
      </c>
      <c r="V281" s="19">
        <f ca="1">IF('Stock Price'!$I$11="OK",I281/INDEX(I$5:I$1258,'Stock Price'!$I$9)-1,"")</f>
        <v>0.11885633270321372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120.5</v>
      </c>
      <c r="C282" s="18">
        <v>80.267200000000003</v>
      </c>
      <c r="D282" s="18">
        <v>32.42</v>
      </c>
      <c r="E282" s="18">
        <v>41.36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-4.1322314049586639E-3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-0.32140240711669277</v>
      </c>
      <c r="R282" s="19">
        <f ca="1">IF('Stock Price'!$I$11="OK",E282/INDEX(E$5:E$1258,'Stock Price'!$I$9)-1,"")</f>
        <v>-0.11434689507494655</v>
      </c>
      <c r="S282" s="19">
        <f ca="1">IF('Stock Price'!$I$11="OK",F282/INDEX(F$5:F$1258,'Stock Price'!$I$9)-1,"")</f>
        <v>-0.10306291390728473</v>
      </c>
      <c r="T282" s="19">
        <f ca="1">IF('Stock Price'!$I$11="OK",G282/INDEX(G$5:G$1258,'Stock Price'!$I$9)-1,"")</f>
        <v>8.8703563305534416E-2</v>
      </c>
      <c r="U282" s="19">
        <f ca="1">IF('Stock Price'!$I$11="OK",H282/INDEX(H$5:H$1258,'Stock Price'!$I$9)-1,"")</f>
        <v>0.24497549019607856</v>
      </c>
      <c r="V282" s="19">
        <f ca="1">IF('Stock Price'!$I$11="OK",I282/INDEX(I$5:I$1258,'Stock Price'!$I$9)-1,"")</f>
        <v>0.10396975425330801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127.28</v>
      </c>
      <c r="C283" s="18">
        <v>82.356800000000007</v>
      </c>
      <c r="D283" s="18">
        <v>33.47</v>
      </c>
      <c r="E283" s="18">
        <v>42.53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5.1900826446281023E-2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-0.29942438513867087</v>
      </c>
      <c r="R283" s="19">
        <f ca="1">IF('Stock Price'!$I$11="OK",E283/INDEX(E$5:E$1258,'Stock Price'!$I$9)-1,"")</f>
        <v>-8.9293361884368316E-2</v>
      </c>
      <c r="S283" s="19">
        <f ca="1">IF('Stock Price'!$I$11="OK",F283/INDEX(F$5:F$1258,'Stock Price'!$I$9)-1,"")</f>
        <v>-8.2988410596026463E-2</v>
      </c>
      <c r="T283" s="19">
        <f ca="1">IF('Stock Price'!$I$11="OK",G283/INDEX(G$5:G$1258,'Stock Price'!$I$9)-1,"")</f>
        <v>0.11361420989927429</v>
      </c>
      <c r="U283" s="19">
        <f ca="1">IF('Stock Price'!$I$11="OK",H283/INDEX(H$5:H$1258,'Stock Price'!$I$9)-1,"")</f>
        <v>0.24865196078431384</v>
      </c>
      <c r="V283" s="19">
        <f ca="1">IF('Stock Price'!$I$11="OK",I283/INDEX(I$5:I$1258,'Stock Price'!$I$9)-1,"")</f>
        <v>0.11956521739130443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123.85</v>
      </c>
      <c r="C284" s="18">
        <v>81.283000000000001</v>
      </c>
      <c r="D284" s="18">
        <v>31.58</v>
      </c>
      <c r="E284" s="18">
        <v>43.25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2.3553719008264418E-2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-0.3389848246991104</v>
      </c>
      <c r="R284" s="19">
        <f ca="1">IF('Stock Price'!$I$11="OK",E284/INDEX(E$5:E$1258,'Stock Price'!$I$9)-1,"")</f>
        <v>-7.3875802997858675E-2</v>
      </c>
      <c r="S284" s="19">
        <f ca="1">IF('Stock Price'!$I$11="OK",F284/INDEX(F$5:F$1258,'Stock Price'!$I$9)-1,"")</f>
        <v>-0.11423841059602657</v>
      </c>
      <c r="T284" s="19">
        <f ca="1">IF('Stock Price'!$I$11="OK",G284/INDEX(G$5:G$1258,'Stock Price'!$I$9)-1,"")</f>
        <v>8.7187263078089439E-2</v>
      </c>
      <c r="U284" s="19">
        <f ca="1">IF('Stock Price'!$I$11="OK",H284/INDEX(H$5:H$1258,'Stock Price'!$I$9)-1,"")</f>
        <v>0.20049019607843133</v>
      </c>
      <c r="V284" s="19">
        <f ca="1">IF('Stock Price'!$I$11="OK",I284/INDEX(I$5:I$1258,'Stock Price'!$I$9)-1,"")</f>
        <v>0.12476370510396984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126.44</v>
      </c>
      <c r="C285" s="18">
        <v>80.731499999999997</v>
      </c>
      <c r="D285" s="18">
        <v>32.54</v>
      </c>
      <c r="E285" s="18">
        <v>41.27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4.4958677685950299E-2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-0.31889063317634747</v>
      </c>
      <c r="R285" s="19">
        <f ca="1">IF('Stock Price'!$I$11="OK",E285/INDEX(E$5:E$1258,'Stock Price'!$I$9)-1,"")</f>
        <v>-0.11627408993576016</v>
      </c>
      <c r="S285" s="19">
        <f ca="1">IF('Stock Price'!$I$11="OK",F285/INDEX(F$5:F$1258,'Stock Price'!$I$9)-1,"")</f>
        <v>-0.10575331125827814</v>
      </c>
      <c r="T285" s="19">
        <f ca="1">IF('Stock Price'!$I$11="OK",G285/INDEX(G$5:G$1258,'Stock Price'!$I$9)-1,"")</f>
        <v>0.11166468103541649</v>
      </c>
      <c r="U285" s="19">
        <f ca="1">IF('Stock Price'!$I$11="OK",H285/INDEX(H$5:H$1258,'Stock Price'!$I$9)-1,"")</f>
        <v>0.22977941176470584</v>
      </c>
      <c r="V285" s="19">
        <f ca="1">IF('Stock Price'!$I$11="OK",I285/INDEX(I$5:I$1258,'Stock Price'!$I$9)-1,"")</f>
        <v>0.16351606805293017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125.94</v>
      </c>
      <c r="C286" s="18">
        <v>81.099199999999996</v>
      </c>
      <c r="D286" s="18">
        <v>32.29</v>
      </c>
      <c r="E286" s="18">
        <v>41.36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4.0826446280991746E-2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-0.32412349555206699</v>
      </c>
      <c r="R286" s="19">
        <f ca="1">IF('Stock Price'!$I$11="OK",E286/INDEX(E$5:E$1258,'Stock Price'!$I$9)-1,"")</f>
        <v>-0.11434689507494655</v>
      </c>
      <c r="S286" s="19">
        <f ca="1">IF('Stock Price'!$I$11="OK",F286/INDEX(F$5:F$1258,'Stock Price'!$I$9)-1,"")</f>
        <v>-9.8716887417218624E-2</v>
      </c>
      <c r="T286" s="19">
        <f ca="1">IF('Stock Price'!$I$11="OK",G286/INDEX(G$5:G$1258,'Stock Price'!$I$9)-1,"")</f>
        <v>0.1571536878587676</v>
      </c>
      <c r="U286" s="19">
        <f ca="1">IF('Stock Price'!$I$11="OK",H286/INDEX(H$5:H$1258,'Stock Price'!$I$9)-1,"")</f>
        <v>0.22058823529411775</v>
      </c>
      <c r="V286" s="19">
        <f ca="1">IF('Stock Price'!$I$11="OK",I286/INDEX(I$5:I$1258,'Stock Price'!$I$9)-1,"")</f>
        <v>0.14768431001890359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126.2</v>
      </c>
      <c r="C287" s="18">
        <v>80.828299999999999</v>
      </c>
      <c r="D287" s="18">
        <v>32.909999999999997</v>
      </c>
      <c r="E287" s="18">
        <v>41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4.2975206611570282E-2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-0.31114599686028266</v>
      </c>
      <c r="R287" s="19">
        <f ca="1">IF('Stock Price'!$I$11="OK",E287/INDEX(E$5:E$1258,'Stock Price'!$I$9)-1,"")</f>
        <v>-0.12205567451820132</v>
      </c>
      <c r="S287" s="19">
        <f ca="1">IF('Stock Price'!$I$11="OK",F287/INDEX(F$5:F$1258,'Stock Price'!$I$9)-1,"")</f>
        <v>-9.2301324503311299E-2</v>
      </c>
      <c r="T287" s="19">
        <f ca="1">IF('Stock Price'!$I$11="OK",G287/INDEX(G$5:G$1258,'Stock Price'!$I$9)-1,"")</f>
        <v>0.13982454240225284</v>
      </c>
      <c r="U287" s="19">
        <f ca="1">IF('Stock Price'!$I$11="OK",H287/INDEX(H$5:H$1258,'Stock Price'!$I$9)-1,"")</f>
        <v>0.22463235294117667</v>
      </c>
      <c r="V287" s="19">
        <f ca="1">IF('Stock Price'!$I$11="OK",I287/INDEX(I$5:I$1258,'Stock Price'!$I$9)-1,"")</f>
        <v>0.1353969754253308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126.4599</v>
      </c>
      <c r="C288" s="18">
        <v>80.741200000000006</v>
      </c>
      <c r="D288" s="18">
        <v>32.590000000000003</v>
      </c>
      <c r="E288" s="18">
        <v>40.18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4.5123140495867853E-2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-0.31784406070120341</v>
      </c>
      <c r="R288" s="19">
        <f ca="1">IF('Stock Price'!$I$11="OK",E288/INDEX(E$5:E$1258,'Stock Price'!$I$9)-1,"")</f>
        <v>-0.13961456102783731</v>
      </c>
      <c r="S288" s="19">
        <f ca="1">IF('Stock Price'!$I$11="OK",F288/INDEX(F$5:F$1258,'Stock Price'!$I$9)-1,"")</f>
        <v>-9.5405629139072801E-2</v>
      </c>
      <c r="T288" s="19">
        <f ca="1">IF('Stock Price'!$I$11="OK",G288/INDEX(G$5:G$1258,'Stock Price'!$I$9)-1,"")</f>
        <v>0.13787501353839504</v>
      </c>
      <c r="U288" s="19">
        <f ca="1">IF('Stock Price'!$I$11="OK",H288/INDEX(H$5:H$1258,'Stock Price'!$I$9)-1,"")</f>
        <v>0.25379901960784323</v>
      </c>
      <c r="V288" s="19">
        <f ca="1">IF('Stock Price'!$I$11="OK",I288/INDEX(I$5:I$1258,'Stock Price'!$I$9)-1,"")</f>
        <v>0.14201323251417763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127.9</v>
      </c>
      <c r="C289" s="18">
        <v>82.908199999999994</v>
      </c>
      <c r="D289" s="18">
        <v>32.89</v>
      </c>
      <c r="E289" s="18">
        <v>40.15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5.7024793388429806E-2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-0.31156462585034006</v>
      </c>
      <c r="R289" s="19">
        <f ca="1">IF('Stock Price'!$I$11="OK",E289/INDEX(E$5:E$1258,'Stock Price'!$I$9)-1,"")</f>
        <v>-0.14025695931477522</v>
      </c>
      <c r="S289" s="19">
        <f ca="1">IF('Stock Price'!$I$11="OK",F289/INDEX(F$5:F$1258,'Stock Price'!$I$9)-1,"")</f>
        <v>-7.8849337748344461E-2</v>
      </c>
      <c r="T289" s="19">
        <f ca="1">IF('Stock Price'!$I$11="OK",G289/INDEX(G$5:G$1258,'Stock Price'!$I$9)-1,"")</f>
        <v>0.16516841763240553</v>
      </c>
      <c r="U289" s="19">
        <f ca="1">IF('Stock Price'!$I$11="OK",H289/INDEX(H$5:H$1258,'Stock Price'!$I$9)-1,"")</f>
        <v>0.27732843137254926</v>
      </c>
      <c r="V289" s="19">
        <f ca="1">IF('Stock Price'!$I$11="OK",I289/INDEX(I$5:I$1258,'Stock Price'!$I$9)-1,"")</f>
        <v>0.1396502835538751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129.75989999999999</v>
      </c>
      <c r="C290" s="18">
        <v>83.962699999999998</v>
      </c>
      <c r="D290" s="18">
        <v>33.44</v>
      </c>
      <c r="E290" s="18">
        <v>39.909999999999997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7.2395867768594968E-2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-0.30005232862375719</v>
      </c>
      <c r="R290" s="19">
        <f ca="1">IF('Stock Price'!$I$11="OK",E290/INDEX(E$5:E$1258,'Stock Price'!$I$9)-1,"")</f>
        <v>-0.14539614561027847</v>
      </c>
      <c r="S290" s="19">
        <f ca="1">IF('Stock Price'!$I$11="OK",F290/INDEX(F$5:F$1258,'Stock Price'!$I$9)-1,"")</f>
        <v>-7.4089403973509937E-2</v>
      </c>
      <c r="T290" s="19">
        <f ca="1">IF('Stock Price'!$I$11="OK",G290/INDEX(G$5:G$1258,'Stock Price'!$I$9)-1,"")</f>
        <v>0.17838189104299795</v>
      </c>
      <c r="U290" s="19">
        <f ca="1">IF('Stock Price'!$I$11="OK",H290/INDEX(H$5:H$1258,'Stock Price'!$I$9)-1,"")</f>
        <v>0.29424019607843155</v>
      </c>
      <c r="V290" s="19">
        <f ca="1">IF('Stock Price'!$I$11="OK",I290/INDEX(I$5:I$1258,'Stock Price'!$I$9)-1,"")</f>
        <v>0.13846880907372405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130.125</v>
      </c>
      <c r="C291" s="18">
        <v>84.843100000000007</v>
      </c>
      <c r="D291" s="18">
        <v>33.85</v>
      </c>
      <c r="E291" s="18">
        <v>39.86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7.5413223140495811E-2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-0.29147043432757713</v>
      </c>
      <c r="R291" s="19">
        <f ca="1">IF('Stock Price'!$I$11="OK",E291/INDEX(E$5:E$1258,'Stock Price'!$I$9)-1,"")</f>
        <v>-0.14646680942184165</v>
      </c>
      <c r="S291" s="19">
        <f ca="1">IF('Stock Price'!$I$11="OK",F291/INDEX(F$5:F$1258,'Stock Price'!$I$9)-1,"")</f>
        <v>-6.7673841059602724E-2</v>
      </c>
      <c r="T291" s="19">
        <f ca="1">IF('Stock Price'!$I$11="OK",G291/INDEX(G$5:G$1258,'Stock Price'!$I$9)-1,"")</f>
        <v>0.18293079172533311</v>
      </c>
      <c r="U291" s="19">
        <f ca="1">IF('Stock Price'!$I$11="OK",H291/INDEX(H$5:H$1258,'Stock Price'!$I$9)-1,"")</f>
        <v>0.31004901960784337</v>
      </c>
      <c r="V291" s="19">
        <f ca="1">IF('Stock Price'!$I$11="OK",I291/INDEX(I$5:I$1258,'Stock Price'!$I$9)-1,"")</f>
        <v>0.15973534971644598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130.56</v>
      </c>
      <c r="C292" s="18">
        <v>84.446399999999997</v>
      </c>
      <c r="D292" s="18">
        <v>33.69</v>
      </c>
      <c r="E292" s="18">
        <v>40.619999999999997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7.9008264462809841E-2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-0.29481946624803768</v>
      </c>
      <c r="R292" s="19">
        <f ca="1">IF('Stock Price'!$I$11="OK",E292/INDEX(E$5:E$1258,'Stock Price'!$I$9)-1,"")</f>
        <v>-0.13019271948608147</v>
      </c>
      <c r="S292" s="19">
        <f ca="1">IF('Stock Price'!$I$11="OK",F292/INDEX(F$5:F$1258,'Stock Price'!$I$9)-1,"")</f>
        <v>-6.7880794701986824E-2</v>
      </c>
      <c r="T292" s="19">
        <f ca="1">IF('Stock Price'!$I$11="OK",G292/INDEX(G$5:G$1258,'Stock Price'!$I$9)-1,"")</f>
        <v>0.18033141990685597</v>
      </c>
      <c r="U292" s="19">
        <f ca="1">IF('Stock Price'!$I$11="OK",H292/INDEX(H$5:H$1258,'Stock Price'!$I$9)-1,"")</f>
        <v>0.3090686274509804</v>
      </c>
      <c r="V292" s="19">
        <f ca="1">IF('Stock Price'!$I$11="OK",I292/INDEX(I$5:I$1258,'Stock Price'!$I$9)-1,"")</f>
        <v>0.15430056710775042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133.25</v>
      </c>
      <c r="C293" s="18">
        <v>84.852800000000002</v>
      </c>
      <c r="D293" s="18">
        <v>33.99</v>
      </c>
      <c r="E293" s="18">
        <v>41.06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0.10123966942148765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-0.28854003139717421</v>
      </c>
      <c r="R293" s="19">
        <f ca="1">IF('Stock Price'!$I$11="OK",E293/INDEX(E$5:E$1258,'Stock Price'!$I$9)-1,"")</f>
        <v>-0.12077087794432551</v>
      </c>
      <c r="S293" s="19">
        <f ca="1">IF('Stock Price'!$I$11="OK",F293/INDEX(F$5:F$1258,'Stock Price'!$I$9)-1,"")</f>
        <v>-6.0637417218542988E-2</v>
      </c>
      <c r="T293" s="19">
        <f ca="1">IF('Stock Price'!$I$11="OK",G293/INDEX(G$5:G$1258,'Stock Price'!$I$9)-1,"")</f>
        <v>0.20112639445467351</v>
      </c>
      <c r="U293" s="19">
        <f ca="1">IF('Stock Price'!$I$11="OK",H293/INDEX(H$5:H$1258,'Stock Price'!$I$9)-1,"")</f>
        <v>0.31740196078431371</v>
      </c>
      <c r="V293" s="19">
        <f ca="1">IF('Stock Price'!$I$11="OK",I293/INDEX(I$5:I$1258,'Stock Price'!$I$9)-1,"")</f>
        <v>0.16280718336483924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133.9</v>
      </c>
      <c r="C294" s="18">
        <v>84.823700000000002</v>
      </c>
      <c r="D294" s="18">
        <v>33.76</v>
      </c>
      <c r="E294" s="18">
        <v>41.09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0.106611570247934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-0.29335426478283622</v>
      </c>
      <c r="R294" s="19">
        <f ca="1">IF('Stock Price'!$I$11="OK",E294/INDEX(E$5:E$1258,'Stock Price'!$I$9)-1,"")</f>
        <v>-0.1201284796573876</v>
      </c>
      <c r="S294" s="19">
        <f ca="1">IF('Stock Price'!$I$11="OK",F294/INDEX(F$5:F$1258,'Stock Price'!$I$9)-1,"")</f>
        <v>-5.7533112582781487E-2</v>
      </c>
      <c r="T294" s="19">
        <f ca="1">IF('Stock Price'!$I$11="OK",G294/INDEX(G$5:G$1258,'Stock Price'!$I$9)-1,"")</f>
        <v>0.20762482400086646</v>
      </c>
      <c r="U294" s="19">
        <f ca="1">IF('Stock Price'!$I$11="OK",H294/INDEX(H$5:H$1258,'Stock Price'!$I$9)-1,"")</f>
        <v>0.32904411764705888</v>
      </c>
      <c r="V294" s="19">
        <f ca="1">IF('Stock Price'!$I$11="OK",I294/INDEX(I$5:I$1258,'Stock Price'!$I$9)-1,"")</f>
        <v>0.17131379962192828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131.31</v>
      </c>
      <c r="C295" s="18">
        <v>84.514200000000002</v>
      </c>
      <c r="D295" s="18">
        <v>34.36</v>
      </c>
      <c r="E295" s="18">
        <v>40.659999999999997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8.5206611570247892E-2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-0.2807953950811094</v>
      </c>
      <c r="R295" s="19">
        <f ca="1">IF('Stock Price'!$I$11="OK",E295/INDEX(E$5:E$1258,'Stock Price'!$I$9)-1,"")</f>
        <v>-0.12933618843683092</v>
      </c>
      <c r="S295" s="19">
        <f ca="1">IF('Stock Price'!$I$11="OK",F295/INDEX(F$5:F$1258,'Stock Price'!$I$9)-1,"")</f>
        <v>-5.0703642384106073E-2</v>
      </c>
      <c r="T295" s="19">
        <f ca="1">IF('Stock Price'!$I$11="OK",G295/INDEX(G$5:G$1258,'Stock Price'!$I$9)-1,"")</f>
        <v>0.21217372468320161</v>
      </c>
      <c r="U295" s="19">
        <f ca="1">IF('Stock Price'!$I$11="OK",H295/INDEX(H$5:H$1258,'Stock Price'!$I$9)-1,"")</f>
        <v>0.33382352941176485</v>
      </c>
      <c r="V295" s="19">
        <f ca="1">IF('Stock Price'!$I$11="OK",I295/INDEX(I$5:I$1258,'Stock Price'!$I$9)-1,"")</f>
        <v>0.16942344045368629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132.1</v>
      </c>
      <c r="C296" s="18">
        <v>86.642499999999998</v>
      </c>
      <c r="D296" s="18">
        <v>34.590000000000003</v>
      </c>
      <c r="E296" s="18">
        <v>40.92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9.1735537190082539E-2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-0.27598116169544729</v>
      </c>
      <c r="R296" s="19">
        <f ca="1">IF('Stock Price'!$I$11="OK",E296/INDEX(E$5:E$1258,'Stock Price'!$I$9)-1,"")</f>
        <v>-0.1237687366167024</v>
      </c>
      <c r="S296" s="19">
        <f ca="1">IF('Stock Price'!$I$11="OK",F296/INDEX(F$5:F$1258,'Stock Price'!$I$9)-1,"")</f>
        <v>-6.14652317880795E-2</v>
      </c>
      <c r="T296" s="19">
        <f ca="1">IF('Stock Price'!$I$11="OK",G296/INDEX(G$5:G$1258,'Stock Price'!$I$9)-1,"")</f>
        <v>0.19961009422722853</v>
      </c>
      <c r="U296" s="19">
        <f ca="1">IF('Stock Price'!$I$11="OK",H296/INDEX(H$5:H$1258,'Stock Price'!$I$9)-1,"")</f>
        <v>0.34950980392156872</v>
      </c>
      <c r="V296" s="19">
        <f ca="1">IF('Stock Price'!$I$11="OK",I296/INDEX(I$5:I$1258,'Stock Price'!$I$9)-1,"")</f>
        <v>0.18454631379962194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138.25</v>
      </c>
      <c r="C297" s="18">
        <v>86.894000000000005</v>
      </c>
      <c r="D297" s="18">
        <v>35.03</v>
      </c>
      <c r="E297" s="18">
        <v>41.14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0.14256198347107429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-0.26677132391418101</v>
      </c>
      <c r="R297" s="19">
        <f ca="1">IF('Stock Price'!$I$11="OK",E297/INDEX(E$5:E$1258,'Stock Price'!$I$9)-1,"")</f>
        <v>-0.11905781584582442</v>
      </c>
      <c r="S297" s="19">
        <f ca="1">IF('Stock Price'!$I$11="OK",F297/INDEX(F$5:F$1258,'Stock Price'!$I$9)-1,"")</f>
        <v>-5.0703642384106073E-2</v>
      </c>
      <c r="T297" s="19">
        <f ca="1">IF('Stock Price'!$I$11="OK",G297/INDEX(G$5:G$1258,'Stock Price'!$I$9)-1,"")</f>
        <v>0.1920285930900032</v>
      </c>
      <c r="U297" s="19">
        <f ca="1">IF('Stock Price'!$I$11="OK",H297/INDEX(H$5:H$1258,'Stock Price'!$I$9)-1,"")</f>
        <v>0.34558823529411775</v>
      </c>
      <c r="V297" s="19">
        <f ca="1">IF('Stock Price'!$I$11="OK",I297/INDEX(I$5:I$1258,'Stock Price'!$I$9)-1,"")</f>
        <v>0.20699432892249514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137</v>
      </c>
      <c r="C298" s="18">
        <v>87.058499999999995</v>
      </c>
      <c r="D298" s="18">
        <v>35.35</v>
      </c>
      <c r="E298" s="18">
        <v>41.08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0.13223140495867769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-0.26007326007326004</v>
      </c>
      <c r="R298" s="19">
        <f ca="1">IF('Stock Price'!$I$11="OK",E298/INDEX(E$5:E$1258,'Stock Price'!$I$9)-1,"")</f>
        <v>-0.12034261241970035</v>
      </c>
      <c r="S298" s="19">
        <f ca="1">IF('Stock Price'!$I$11="OK",F298/INDEX(F$5:F$1258,'Stock Price'!$I$9)-1,"")</f>
        <v>-6.8501655629139124E-2</v>
      </c>
      <c r="T298" s="19">
        <f ca="1">IF('Stock Price'!$I$11="OK",G298/INDEX(G$5:G$1258,'Stock Price'!$I$9)-1,"")</f>
        <v>0.18791292104408108</v>
      </c>
      <c r="U298" s="19">
        <f ca="1">IF('Stock Price'!$I$11="OK",H298/INDEX(H$5:H$1258,'Stock Price'!$I$9)-1,"")</f>
        <v>0.34852941176470598</v>
      </c>
      <c r="V298" s="19">
        <f ca="1">IF('Stock Price'!$I$11="OK",I298/INDEX(I$5:I$1258,'Stock Price'!$I$9)-1,"")</f>
        <v>0.20297731568998101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136.75</v>
      </c>
      <c r="C299" s="18">
        <v>87.996899999999997</v>
      </c>
      <c r="D299" s="18">
        <v>35.159999999999997</v>
      </c>
      <c r="E299" s="18">
        <v>40.82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0.13016528925619841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-0.26405023547880691</v>
      </c>
      <c r="R299" s="19">
        <f ca="1">IF('Stock Price'!$I$11="OK",E299/INDEX(E$5:E$1258,'Stock Price'!$I$9)-1,"")</f>
        <v>-0.12591006423982876</v>
      </c>
      <c r="S299" s="19">
        <f ca="1">IF('Stock Price'!$I$11="OK",F299/INDEX(F$5:F$1258,'Stock Price'!$I$9)-1,"")</f>
        <v>-7.0157284768211925E-2</v>
      </c>
      <c r="T299" s="19">
        <f ca="1">IF('Stock Price'!$I$11="OK",G299/INDEX(G$5:G$1258,'Stock Price'!$I$9)-1,"")</f>
        <v>0.15000541535795531</v>
      </c>
      <c r="U299" s="19">
        <f ca="1">IF('Stock Price'!$I$11="OK",H299/INDEX(H$5:H$1258,'Stock Price'!$I$9)-1,"")</f>
        <v>0.34816176470588256</v>
      </c>
      <c r="V299" s="19">
        <f ca="1">IF('Stock Price'!$I$11="OK",I299/INDEX(I$5:I$1258,'Stock Price'!$I$9)-1,"")</f>
        <v>0.19872400756143649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136.75</v>
      </c>
      <c r="C300" s="18">
        <v>87.784099999999995</v>
      </c>
      <c r="D300" s="18">
        <v>37.92</v>
      </c>
      <c r="E300" s="18">
        <v>40.270000000000003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0.13016528925619841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-0.20627943485086331</v>
      </c>
      <c r="R300" s="19">
        <f ca="1">IF('Stock Price'!$I$11="OK",E300/INDEX(E$5:E$1258,'Stock Price'!$I$9)-1,"")</f>
        <v>-0.13768736616702359</v>
      </c>
      <c r="S300" s="19">
        <f ca="1">IF('Stock Price'!$I$11="OK",F300/INDEX(F$5:F$1258,'Stock Price'!$I$9)-1,"")</f>
        <v>4.7599337748343018E-3</v>
      </c>
      <c r="T300" s="19">
        <f ca="1">IF('Stock Price'!$I$11="OK",G300/INDEX(G$5:G$1258,'Stock Price'!$I$9)-1,"")</f>
        <v>0.14567312899382645</v>
      </c>
      <c r="U300" s="19">
        <f ca="1">IF('Stock Price'!$I$11="OK",H300/INDEX(H$5:H$1258,'Stock Price'!$I$9)-1,"")</f>
        <v>0.33492647058823555</v>
      </c>
      <c r="V300" s="19">
        <f ca="1">IF('Stock Price'!$I$11="OK",I300/INDEX(I$5:I$1258,'Stock Price'!$I$9)-1,"")</f>
        <v>0.17462192816635169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136</v>
      </c>
      <c r="C301" s="18">
        <v>88.741799999999998</v>
      </c>
      <c r="D301" s="18">
        <v>36.880000000000003</v>
      </c>
      <c r="E301" s="18">
        <v>39.950000000000003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0.12396694214876036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-0.22804814233385651</v>
      </c>
      <c r="R301" s="19">
        <f ca="1">IF('Stock Price'!$I$11="OK",E301/INDEX(E$5:E$1258,'Stock Price'!$I$9)-1,"")</f>
        <v>-0.14453961456102782</v>
      </c>
      <c r="S301" s="19">
        <f ca="1">IF('Stock Price'!$I$11="OK",F301/INDEX(F$5:F$1258,'Stock Price'!$I$9)-1,"")</f>
        <v>-7.864238410596025E-3</v>
      </c>
      <c r="T301" s="19">
        <f ca="1">IF('Stock Price'!$I$11="OK",G301/INDEX(G$5:G$1258,'Stock Price'!$I$9)-1,"")</f>
        <v>0.14372360012996865</v>
      </c>
      <c r="U301" s="19">
        <f ca="1">IF('Stock Price'!$I$11="OK",H301/INDEX(H$5:H$1258,'Stock Price'!$I$9)-1,"")</f>
        <v>0.3491421568627453</v>
      </c>
      <c r="V301" s="19">
        <f ca="1">IF('Stock Price'!$I$11="OK",I301/INDEX(I$5:I$1258,'Stock Price'!$I$9)-1,"")</f>
        <v>0.18714555765595464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139.04</v>
      </c>
      <c r="C302" s="18">
        <v>88.596699999999998</v>
      </c>
      <c r="D302" s="18">
        <v>36.6</v>
      </c>
      <c r="E302" s="18">
        <v>40.47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0.14909090909090894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-0.23390894819466246</v>
      </c>
      <c r="R302" s="19">
        <f ca="1">IF('Stock Price'!$I$11="OK",E302/INDEX(E$5:E$1258,'Stock Price'!$I$9)-1,"")</f>
        <v>-0.133404710920771</v>
      </c>
      <c r="S302" s="19">
        <f ca="1">IF('Stock Price'!$I$11="OK",F302/INDEX(F$5:F$1258,'Stock Price'!$I$9)-1,"")</f>
        <v>-2.8973509933774788E-2</v>
      </c>
      <c r="T302" s="19">
        <f ca="1">IF('Stock Price'!$I$11="OK",G302/INDEX(G$5:G$1258,'Stock Price'!$I$9)-1,"")</f>
        <v>0.14220729990252345</v>
      </c>
      <c r="U302" s="19">
        <f ca="1">IF('Stock Price'!$I$11="OK",H302/INDEX(H$5:H$1258,'Stock Price'!$I$9)-1,"")</f>
        <v>0.35845588235294112</v>
      </c>
      <c r="V302" s="19">
        <f ca="1">IF('Stock Price'!$I$11="OK",I302/INDEX(I$5:I$1258,'Stock Price'!$I$9)-1,"")</f>
        <v>0.22353497164461245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139.44999999999999</v>
      </c>
      <c r="C303" s="18">
        <v>87.987200000000001</v>
      </c>
      <c r="D303" s="18">
        <v>35.97</v>
      </c>
      <c r="E303" s="18">
        <v>40.51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0.15247933884297504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-0.24709576138147571</v>
      </c>
      <c r="R303" s="19">
        <f ca="1">IF('Stock Price'!$I$11="OK",E303/INDEX(E$5:E$1258,'Stock Price'!$I$9)-1,"")</f>
        <v>-0.13254817987152046</v>
      </c>
      <c r="S303" s="19">
        <f ca="1">IF('Stock Price'!$I$11="OK",F303/INDEX(F$5:F$1258,'Stock Price'!$I$9)-1,"")</f>
        <v>-4.2632450331125837E-2</v>
      </c>
      <c r="T303" s="19">
        <f ca="1">IF('Stock Price'!$I$11="OK",G303/INDEX(G$5:G$1258,'Stock Price'!$I$9)-1,"")</f>
        <v>0.14545651467562015</v>
      </c>
      <c r="U303" s="19">
        <f ca="1">IF('Stock Price'!$I$11="OK",H303/INDEX(H$5:H$1258,'Stock Price'!$I$9)-1,"")</f>
        <v>0.3330882352941178</v>
      </c>
      <c r="V303" s="19">
        <f ca="1">IF('Stock Price'!$I$11="OK",I303/INDEX(I$5:I$1258,'Stock Price'!$I$9)-1,"")</f>
        <v>0.22211720226843101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138.55009999999999</v>
      </c>
      <c r="C304" s="18">
        <v>87.919499999999999</v>
      </c>
      <c r="D304" s="18">
        <v>35.71</v>
      </c>
      <c r="E304" s="18">
        <v>40.49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0.14504214876033039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-0.25253793825222393</v>
      </c>
      <c r="R304" s="19">
        <f ca="1">IF('Stock Price'!$I$11="OK",E304/INDEX(E$5:E$1258,'Stock Price'!$I$9)-1,"")</f>
        <v>-0.13297644539614561</v>
      </c>
      <c r="S304" s="19">
        <f ca="1">IF('Stock Price'!$I$11="OK",F304/INDEX(F$5:F$1258,'Stock Price'!$I$9)-1,"")</f>
        <v>-3.4354304635761612E-2</v>
      </c>
      <c r="T304" s="19">
        <f ca="1">IF('Stock Price'!$I$11="OK",G304/INDEX(G$5:G$1258,'Stock Price'!$I$9)-1,"")</f>
        <v>0.13332611285605989</v>
      </c>
      <c r="U304" s="19">
        <f ca="1">IF('Stock Price'!$I$11="OK",H304/INDEX(H$5:H$1258,'Stock Price'!$I$9)-1,"")</f>
        <v>0.3354166666666667</v>
      </c>
      <c r="V304" s="19">
        <f ca="1">IF('Stock Price'!$I$11="OK",I304/INDEX(I$5:I$1258,'Stock Price'!$I$9)-1,"")</f>
        <v>0.23251417769376181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139.5</v>
      </c>
      <c r="C305" s="18">
        <v>88.238799999999998</v>
      </c>
      <c r="D305" s="18">
        <v>36.15</v>
      </c>
      <c r="E305" s="18">
        <v>41.17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0.15289256198347112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-0.24332810047095765</v>
      </c>
      <c r="R305" s="19">
        <f ca="1">IF('Stock Price'!$I$11="OK",E305/INDEX(E$5:E$1258,'Stock Price'!$I$9)-1,"")</f>
        <v>-0.11841541755888652</v>
      </c>
      <c r="S305" s="19">
        <f ca="1">IF('Stock Price'!$I$11="OK",F305/INDEX(F$5:F$1258,'Stock Price'!$I$9)-1,"")</f>
        <v>-2.6490066225165587E-2</v>
      </c>
      <c r="T305" s="19">
        <f ca="1">IF('Stock Price'!$I$11="OK",G305/INDEX(G$5:G$1258,'Stock Price'!$I$9)-1,"")</f>
        <v>0.13614209899274354</v>
      </c>
      <c r="U305" s="19">
        <f ca="1">IF('Stock Price'!$I$11="OK",H305/INDEX(H$5:H$1258,'Stock Price'!$I$9)-1,"")</f>
        <v>0.35919117647058818</v>
      </c>
      <c r="V305" s="19">
        <f ca="1">IF('Stock Price'!$I$11="OK",I305/INDEX(I$5:I$1258,'Stock Price'!$I$9)-1,"")</f>
        <v>0.25401701323251413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139.75989999999999</v>
      </c>
      <c r="C306" s="18">
        <v>89.515799999999999</v>
      </c>
      <c r="D306" s="18">
        <v>35.92</v>
      </c>
      <c r="E306" s="18">
        <v>41.22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0.15504049586776847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-0.24814233385661955</v>
      </c>
      <c r="R306" s="19">
        <f ca="1">IF('Stock Price'!$I$11="OK",E306/INDEX(E$5:E$1258,'Stock Price'!$I$9)-1,"")</f>
        <v>-0.11734475374732345</v>
      </c>
      <c r="S306" s="19">
        <f ca="1">IF('Stock Price'!$I$11="OK",F306/INDEX(F$5:F$1258,'Stock Price'!$I$9)-1,"")</f>
        <v>-7.6572847682118139E-3</v>
      </c>
      <c r="T306" s="19">
        <f ca="1">IF('Stock Price'!$I$11="OK",G306/INDEX(G$5:G$1258,'Stock Price'!$I$9)-1,"")</f>
        <v>0.12747752626448605</v>
      </c>
      <c r="U306" s="19">
        <f ca="1">IF('Stock Price'!$I$11="OK",H306/INDEX(H$5:H$1258,'Stock Price'!$I$9)-1,"")</f>
        <v>0.36703431372549034</v>
      </c>
      <c r="V306" s="19">
        <f ca="1">IF('Stock Price'!$I$11="OK",I306/INDEX(I$5:I$1258,'Stock Price'!$I$9)-1,"")</f>
        <v>0.28733459357277868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137.97989999999999</v>
      </c>
      <c r="C307" s="18">
        <v>87.929199999999994</v>
      </c>
      <c r="D307" s="18">
        <v>35.630000000000003</v>
      </c>
      <c r="E307" s="18">
        <v>40.56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0.14032975206611553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-0.25421245421245409</v>
      </c>
      <c r="R307" s="19">
        <f ca="1">IF('Stock Price'!$I$11="OK",E307/INDEX(E$5:E$1258,'Stock Price'!$I$9)-1,"")</f>
        <v>-0.13147751605995717</v>
      </c>
      <c r="S307" s="19">
        <f ca="1">IF('Stock Price'!$I$11="OK",F307/INDEX(F$5:F$1258,'Stock Price'!$I$9)-1,"")</f>
        <v>-2.4006622516556386E-2</v>
      </c>
      <c r="T307" s="19">
        <f ca="1">IF('Stock Price'!$I$11="OK",G307/INDEX(G$5:G$1258,'Stock Price'!$I$9)-1,"")</f>
        <v>9.3469078306076092E-2</v>
      </c>
      <c r="U307" s="19">
        <f ca="1">IF('Stock Price'!$I$11="OK",H307/INDEX(H$5:H$1258,'Stock Price'!$I$9)-1,"")</f>
        <v>0.34350490196078431</v>
      </c>
      <c r="V307" s="19">
        <f ca="1">IF('Stock Price'!$I$11="OK",I307/INDEX(I$5:I$1258,'Stock Price'!$I$9)-1,"")</f>
        <v>0.26677693761814747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135.09989999999999</v>
      </c>
      <c r="C308" s="18">
        <v>87.532499999999999</v>
      </c>
      <c r="D308" s="18">
        <v>34.950000000000003</v>
      </c>
      <c r="E308" s="18">
        <v>40.340000000000003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0.11652809917355356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-0.26844583987441117</v>
      </c>
      <c r="R308" s="19">
        <f ca="1">IF('Stock Price'!$I$11="OK",E308/INDEX(E$5:E$1258,'Stock Price'!$I$9)-1,"")</f>
        <v>-0.13618843683083515</v>
      </c>
      <c r="S308" s="19">
        <f ca="1">IF('Stock Price'!$I$11="OK",F308/INDEX(F$5:F$1258,'Stock Price'!$I$9)-1,"")</f>
        <v>-2.7731788079470299E-2</v>
      </c>
      <c r="T308" s="19">
        <f ca="1">IF('Stock Price'!$I$11="OK",G308/INDEX(G$5:G$1258,'Stock Price'!$I$9)-1,"")</f>
        <v>5.18791292104408E-2</v>
      </c>
      <c r="U308" s="19">
        <f ca="1">IF('Stock Price'!$I$11="OK",H308/INDEX(H$5:H$1258,'Stock Price'!$I$9)-1,"")</f>
        <v>0.33823529411764719</v>
      </c>
      <c r="V308" s="19">
        <f ca="1">IF('Stock Price'!$I$11="OK",I308/INDEX(I$5:I$1258,'Stock Price'!$I$9)-1,"")</f>
        <v>0.21455576559546308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136.52000000000001</v>
      </c>
      <c r="C309" s="18">
        <v>87.251999999999995</v>
      </c>
      <c r="D309" s="18">
        <v>34.869999999999997</v>
      </c>
      <c r="E309" s="18">
        <v>40.15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0.12826446280991743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-0.27012035583464156</v>
      </c>
      <c r="R309" s="19">
        <f ca="1">IF('Stock Price'!$I$11="OK",E309/INDEX(E$5:E$1258,'Stock Price'!$I$9)-1,"")</f>
        <v>-0.14025695931477522</v>
      </c>
      <c r="S309" s="19">
        <f ca="1">IF('Stock Price'!$I$11="OK",F309/INDEX(F$5:F$1258,'Stock Price'!$I$9)-1,"")</f>
        <v>-2.7731788079470299E-2</v>
      </c>
      <c r="T309" s="19">
        <f ca="1">IF('Stock Price'!$I$11="OK",G309/INDEX(G$5:G$1258,'Stock Price'!$I$9)-1,"")</f>
        <v>5.7186180006498333E-2</v>
      </c>
      <c r="U309" s="19">
        <f ca="1">IF('Stock Price'!$I$11="OK",H309/INDEX(H$5:H$1258,'Stock Price'!$I$9)-1,"")</f>
        <v>0.34117647058823541</v>
      </c>
      <c r="V309" s="19">
        <f ca="1">IF('Stock Price'!$I$11="OK",I309/INDEX(I$5:I$1258,'Stock Price'!$I$9)-1,"")</f>
        <v>0.2136105860113422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133.63990000000001</v>
      </c>
      <c r="C310" s="18">
        <v>87.426100000000005</v>
      </c>
      <c r="D310" s="18">
        <v>34.99</v>
      </c>
      <c r="E310" s="18">
        <v>39.85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0.10446198347107449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-0.26760858189429615</v>
      </c>
      <c r="R310" s="19">
        <f ca="1">IF('Stock Price'!$I$11="OK",E310/INDEX(E$5:E$1258,'Stock Price'!$I$9)-1,"")</f>
        <v>-0.14668094218415417</v>
      </c>
      <c r="S310" s="19">
        <f ca="1">IF('Stock Price'!$I$11="OK",F310/INDEX(F$5:F$1258,'Stock Price'!$I$9)-1,"")</f>
        <v>-2.4006622516556386E-2</v>
      </c>
      <c r="T310" s="19">
        <f ca="1">IF('Stock Price'!$I$11="OK",G310/INDEX(G$5:G$1258,'Stock Price'!$I$9)-1,"")</f>
        <v>6.9424888985161859E-2</v>
      </c>
      <c r="U310" s="19">
        <f ca="1">IF('Stock Price'!$I$11="OK",H310/INDEX(H$5:H$1258,'Stock Price'!$I$9)-1,"")</f>
        <v>0.34448529411764706</v>
      </c>
      <c r="V310" s="19">
        <f ca="1">IF('Stock Price'!$I$11="OK",I310/INDEX(I$5:I$1258,'Stock Price'!$I$9)-1,"")</f>
        <v>0.21266540642722109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134.65</v>
      </c>
      <c r="C311" s="18">
        <v>87.938900000000004</v>
      </c>
      <c r="D311" s="18">
        <v>35.299999999999997</v>
      </c>
      <c r="E311" s="18">
        <v>39.93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0.11280991735537205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-0.26111983254840399</v>
      </c>
      <c r="R311" s="19">
        <f ca="1">IF('Stock Price'!$I$11="OK",E311/INDEX(E$5:E$1258,'Stock Price'!$I$9)-1,"")</f>
        <v>-0.1449678800856532</v>
      </c>
      <c r="S311" s="19">
        <f ca="1">IF('Stock Price'!$I$11="OK",F311/INDEX(F$5:F$1258,'Stock Price'!$I$9)-1,"")</f>
        <v>-1.0347682119205004E-3</v>
      </c>
      <c r="T311" s="19">
        <f ca="1">IF('Stock Price'!$I$11="OK",G311/INDEX(G$5:G$1258,'Stock Price'!$I$9)-1,"")</f>
        <v>6.1626773529730228E-2</v>
      </c>
      <c r="U311" s="19">
        <f ca="1">IF('Stock Price'!$I$11="OK",H311/INDEX(H$5:H$1258,'Stock Price'!$I$9)-1,"")</f>
        <v>0.36164215686274526</v>
      </c>
      <c r="V311" s="19">
        <f ca="1">IF('Stock Price'!$I$11="OK",I311/INDEX(I$5:I$1258,'Stock Price'!$I$9)-1,"")</f>
        <v>0.22069943289224936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134.41990000000001</v>
      </c>
      <c r="C312" s="18">
        <v>87.938900000000004</v>
      </c>
      <c r="D312" s="18">
        <v>35.31</v>
      </c>
      <c r="E312" s="18">
        <v>39.520000000000003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0.1109082644628101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-0.26091051805337517</v>
      </c>
      <c r="R312" s="19">
        <f ca="1">IF('Stock Price'!$I$11="OK",E312/INDEX(E$5:E$1258,'Stock Price'!$I$9)-1,"")</f>
        <v>-0.15374732334047103</v>
      </c>
      <c r="S312" s="19">
        <f ca="1">IF('Stock Price'!$I$11="OK",F312/INDEX(F$5:F$1258,'Stock Price'!$I$9)-1,"")</f>
        <v>-2.690397350993412E-3</v>
      </c>
      <c r="T312" s="19">
        <f ca="1">IF('Stock Price'!$I$11="OK",G312/INDEX(G$5:G$1258,'Stock Price'!$I$9)-1,"")</f>
        <v>5.1662514892234279E-2</v>
      </c>
      <c r="U312" s="19">
        <f ca="1">IF('Stock Price'!$I$11="OK",H312/INDEX(H$5:H$1258,'Stock Price'!$I$9)-1,"")</f>
        <v>0.3632352941176471</v>
      </c>
      <c r="V312" s="19">
        <f ca="1">IF('Stock Price'!$I$11="OK",I312/INDEX(I$5:I$1258,'Stock Price'!$I$9)-1,"")</f>
        <v>0.22022684310018903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136.4</v>
      </c>
      <c r="C313" s="18">
        <v>87.909800000000004</v>
      </c>
      <c r="D313" s="18">
        <v>35.22</v>
      </c>
      <c r="E313" s="18">
        <v>39.39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0.12727272727272743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-0.26279434850863426</v>
      </c>
      <c r="R313" s="19">
        <f ca="1">IF('Stock Price'!$I$11="OK",E313/INDEX(E$5:E$1258,'Stock Price'!$I$9)-1,"")</f>
        <v>-0.1565310492505354</v>
      </c>
      <c r="S313" s="19">
        <f ca="1">IF('Stock Price'!$I$11="OK",F313/INDEX(F$5:F$1258,'Stock Price'!$I$9)-1,"")</f>
        <v>4.1390728476822236E-3</v>
      </c>
      <c r="T313" s="19">
        <f ca="1">IF('Stock Price'!$I$11="OK",G313/INDEX(G$5:G$1258,'Stock Price'!$I$9)-1,"")</f>
        <v>5.3178815119679479E-2</v>
      </c>
      <c r="U313" s="19">
        <f ca="1">IF('Stock Price'!$I$11="OK",H313/INDEX(H$5:H$1258,'Stock Price'!$I$9)-1,"")</f>
        <v>0.37083333333333335</v>
      </c>
      <c r="V313" s="19">
        <f ca="1">IF('Stock Price'!$I$11="OK",I313/INDEX(I$5:I$1258,'Stock Price'!$I$9)-1,"")</f>
        <v>0.22471644612476371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136.66</v>
      </c>
      <c r="C314" s="18">
        <v>88.1614</v>
      </c>
      <c r="D314" s="18">
        <v>35.07</v>
      </c>
      <c r="E314" s="18">
        <v>39.39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0.12942148760330574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-0.26593406593406588</v>
      </c>
      <c r="R314" s="19">
        <f ca="1">IF('Stock Price'!$I$11="OK",E314/INDEX(E$5:E$1258,'Stock Price'!$I$9)-1,"")</f>
        <v>-0.1565310492505354</v>
      </c>
      <c r="S314" s="19">
        <f ca="1">IF('Stock Price'!$I$11="OK",F314/INDEX(F$5:F$1258,'Stock Price'!$I$9)-1,"")</f>
        <v>-4.1390728476822236E-3</v>
      </c>
      <c r="T314" s="19">
        <f ca="1">IF('Stock Price'!$I$11="OK",G314/INDEX(G$5:G$1258,'Stock Price'!$I$9)-1,"")</f>
        <v>5.0254521823892562E-2</v>
      </c>
      <c r="U314" s="19">
        <f ca="1">IF('Stock Price'!$I$11="OK",H314/INDEX(H$5:H$1258,'Stock Price'!$I$9)-1,"")</f>
        <v>0.37401960784313748</v>
      </c>
      <c r="V314" s="19">
        <f ca="1">IF('Stock Price'!$I$11="OK",I314/INDEX(I$5:I$1258,'Stock Price'!$I$9)-1,"")</f>
        <v>0.20817580340264663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136</v>
      </c>
      <c r="C315" s="18">
        <v>87.880799999999994</v>
      </c>
      <c r="D315" s="18">
        <v>34.78</v>
      </c>
      <c r="E315" s="18">
        <v>39.17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0.12396694214876036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-0.27200418628990053</v>
      </c>
      <c r="R315" s="19">
        <f ca="1">IF('Stock Price'!$I$11="OK",E315/INDEX(E$5:E$1258,'Stock Price'!$I$9)-1,"")</f>
        <v>-0.16124197002141327</v>
      </c>
      <c r="S315" s="19">
        <f ca="1">IF('Stock Price'!$I$11="OK",F315/INDEX(F$5:F$1258,'Stock Price'!$I$9)-1,"")</f>
        <v>-1.0761589403973537E-2</v>
      </c>
      <c r="T315" s="19">
        <f ca="1">IF('Stock Price'!$I$11="OK",G315/INDEX(G$5:G$1258,'Stock Price'!$I$9)-1,"")</f>
        <v>5.4153579551608377E-2</v>
      </c>
      <c r="U315" s="19">
        <f ca="1">IF('Stock Price'!$I$11="OK",H315/INDEX(H$5:H$1258,'Stock Price'!$I$9)-1,"")</f>
        <v>0.36127450980392162</v>
      </c>
      <c r="V315" s="19">
        <f ca="1">IF('Stock Price'!$I$11="OK",I315/INDEX(I$5:I$1258,'Stock Price'!$I$9)-1,"")</f>
        <v>0.20037807183364831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135.10990000000001</v>
      </c>
      <c r="C316" s="18">
        <v>88.616</v>
      </c>
      <c r="D316" s="18">
        <v>35.130000000000003</v>
      </c>
      <c r="E316" s="18">
        <v>39.590000000000003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0.11661074380165304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-0.26467817896389323</v>
      </c>
      <c r="R316" s="19">
        <f ca="1">IF('Stock Price'!$I$11="OK",E316/INDEX(E$5:E$1258,'Stock Price'!$I$9)-1,"")</f>
        <v>-0.15224839400428258</v>
      </c>
      <c r="S316" s="19">
        <f ca="1">IF('Stock Price'!$I$11="OK",F316/INDEX(F$5:F$1258,'Stock Price'!$I$9)-1,"")</f>
        <v>4.7599337748343018E-3</v>
      </c>
      <c r="T316" s="19">
        <f ca="1">IF('Stock Price'!$I$11="OK",G316/INDEX(G$5:G$1258,'Stock Price'!$I$9)-1,"")</f>
        <v>6.6500595689375164E-2</v>
      </c>
      <c r="U316" s="19">
        <f ca="1">IF('Stock Price'!$I$11="OK",H316/INDEX(H$5:H$1258,'Stock Price'!$I$9)-1,"")</f>
        <v>0.35808823529411771</v>
      </c>
      <c r="V316" s="19">
        <f ca="1">IF('Stock Price'!$I$11="OK",I316/INDEX(I$5:I$1258,'Stock Price'!$I$9)-1,"")</f>
        <v>0.21290170132325148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136.22</v>
      </c>
      <c r="C317" s="18">
        <v>87.764700000000005</v>
      </c>
      <c r="D317" s="18">
        <v>35.14</v>
      </c>
      <c r="E317" s="18">
        <v>39.15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0.12578512396694208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-0.26446886446886442</v>
      </c>
      <c r="R317" s="19">
        <f ca="1">IF('Stock Price'!$I$11="OK",E317/INDEX(E$5:E$1258,'Stock Price'!$I$9)-1,"")</f>
        <v>-0.16167023554603865</v>
      </c>
      <c r="S317" s="19">
        <f ca="1">IF('Stock Price'!$I$11="OK",F317/INDEX(F$5:F$1258,'Stock Price'!$I$9)-1,"")</f>
        <v>2.2764900662251009E-3</v>
      </c>
      <c r="T317" s="19">
        <f ca="1">IF('Stock Price'!$I$11="OK",G317/INDEX(G$5:G$1258,'Stock Price'!$I$9)-1,"")</f>
        <v>4.6788692732589787E-2</v>
      </c>
      <c r="U317" s="19">
        <f ca="1">IF('Stock Price'!$I$11="OK",H317/INDEX(H$5:H$1258,'Stock Price'!$I$9)-1,"")</f>
        <v>0.35968137254901977</v>
      </c>
      <c r="V317" s="19">
        <f ca="1">IF('Stock Price'!$I$11="OK",I317/INDEX(I$5:I$1258,'Stock Price'!$I$9)-1,"")</f>
        <v>0.21077504725897933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136.44</v>
      </c>
      <c r="C318" s="18">
        <v>89.206199999999995</v>
      </c>
      <c r="D318" s="18">
        <v>35.29</v>
      </c>
      <c r="E318" s="18">
        <v>39.270000000000003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0.12760330578512402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-0.2613291470434328</v>
      </c>
      <c r="R318" s="19">
        <f ca="1">IF('Stock Price'!$I$11="OK",E318/INDEX(E$5:E$1258,'Stock Price'!$I$9)-1,"")</f>
        <v>-0.15910064239828692</v>
      </c>
      <c r="S318" s="19">
        <f ca="1">IF('Stock Price'!$I$11="OK",F318/INDEX(F$5:F$1258,'Stock Price'!$I$9)-1,"")</f>
        <v>1.4072847682119249E-2</v>
      </c>
      <c r="T318" s="19">
        <f ca="1">IF('Stock Price'!$I$11="OK",G318/INDEX(G$5:G$1258,'Stock Price'!$I$9)-1,"")</f>
        <v>6.6283981371168643E-2</v>
      </c>
      <c r="U318" s="19">
        <f ca="1">IF('Stock Price'!$I$11="OK",H318/INDEX(H$5:H$1258,'Stock Price'!$I$9)-1,"")</f>
        <v>0.36200980392156867</v>
      </c>
      <c r="V318" s="19">
        <f ca="1">IF('Stock Price'!$I$11="OK",I318/INDEX(I$5:I$1258,'Stock Price'!$I$9)-1,"")</f>
        <v>0.21124763705103966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138.03989999999999</v>
      </c>
      <c r="C319" s="18">
        <v>88.848200000000006</v>
      </c>
      <c r="D319" s="18">
        <v>35.03</v>
      </c>
      <c r="E319" s="18">
        <v>39.89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0.14082561983471065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-0.26677132391418101</v>
      </c>
      <c r="R319" s="19">
        <f ca="1">IF('Stock Price'!$I$11="OK",E319/INDEX(E$5:E$1258,'Stock Price'!$I$9)-1,"")</f>
        <v>-0.14582441113490363</v>
      </c>
      <c r="S319" s="19">
        <f ca="1">IF('Stock Price'!$I$11="OK",F319/INDEX(F$5:F$1258,'Stock Price'!$I$9)-1,"")</f>
        <v>8.6920529801324253E-3</v>
      </c>
      <c r="T319" s="19">
        <f ca="1">IF('Stock Price'!$I$11="OK",G319/INDEX(G$5:G$1258,'Stock Price'!$I$9)-1,"")</f>
        <v>7.2782410917361595E-2</v>
      </c>
      <c r="U319" s="19">
        <f ca="1">IF('Stock Price'!$I$11="OK",H319/INDEX(H$5:H$1258,'Stock Price'!$I$9)-1,"")</f>
        <v>0.37352941176470589</v>
      </c>
      <c r="V319" s="19">
        <f ca="1">IF('Stock Price'!$I$11="OK",I319/INDEX(I$5:I$1258,'Stock Price'!$I$9)-1,"")</f>
        <v>0.18454631379962194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140.96</v>
      </c>
      <c r="C320" s="18">
        <v>87.842100000000002</v>
      </c>
      <c r="D320" s="18">
        <v>34.479999999999997</v>
      </c>
      <c r="E320" s="18">
        <v>38.94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0.16495867768595041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-0.27828362114076399</v>
      </c>
      <c r="R320" s="19">
        <f ca="1">IF('Stock Price'!$I$11="OK",E320/INDEX(E$5:E$1258,'Stock Price'!$I$9)-1,"")</f>
        <v>-0.166167023554604</v>
      </c>
      <c r="S320" s="19">
        <f ca="1">IF('Stock Price'!$I$11="OK",F320/INDEX(F$5:F$1258,'Stock Price'!$I$9)-1,"")</f>
        <v>-1.1796357615894038E-2</v>
      </c>
      <c r="T320" s="19">
        <f ca="1">IF('Stock Price'!$I$11="OK",G320/INDEX(G$5:G$1258,'Stock Price'!$I$9)-1,"")</f>
        <v>7.798115455431609E-2</v>
      </c>
      <c r="U320" s="19">
        <f ca="1">IF('Stock Price'!$I$11="OK",H320/INDEX(H$5:H$1258,'Stock Price'!$I$9)-1,"")</f>
        <v>0.39264705882352957</v>
      </c>
      <c r="V320" s="19">
        <f ca="1">IF('Stock Price'!$I$11="OK",I320/INDEX(I$5:I$1258,'Stock Price'!$I$9)-1,"")</f>
        <v>0.1734404536862002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140.26</v>
      </c>
      <c r="C321" s="18">
        <v>89.283600000000007</v>
      </c>
      <c r="D321" s="18">
        <v>34.92</v>
      </c>
      <c r="E321" s="18">
        <v>39.58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0.15917355371900821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-0.26907378335949761</v>
      </c>
      <c r="R321" s="19">
        <f ca="1">IF('Stock Price'!$I$11="OK",E321/INDEX(E$5:E$1258,'Stock Price'!$I$9)-1,"")</f>
        <v>-0.15246252676659533</v>
      </c>
      <c r="S321" s="19">
        <f ca="1">IF('Stock Price'!$I$11="OK",F321/INDEX(F$5:F$1258,'Stock Price'!$I$9)-1,"")</f>
        <v>-3.7251655629139124E-3</v>
      </c>
      <c r="T321" s="19">
        <f ca="1">IF('Stock Price'!$I$11="OK",G321/INDEX(G$5:G$1258,'Stock Price'!$I$9)-1,"")</f>
        <v>9.498537853352107E-2</v>
      </c>
      <c r="U321" s="19">
        <f ca="1">IF('Stock Price'!$I$11="OK",H321/INDEX(H$5:H$1258,'Stock Price'!$I$9)-1,"")</f>
        <v>0.4073529411764707</v>
      </c>
      <c r="V321" s="19">
        <f ca="1">IF('Stock Price'!$I$11="OK",I321/INDEX(I$5:I$1258,'Stock Price'!$I$9)-1,"")</f>
        <v>0.2032136105860114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140.25</v>
      </c>
      <c r="C322" s="18">
        <v>87.019800000000004</v>
      </c>
      <c r="D322" s="18">
        <v>34.53</v>
      </c>
      <c r="E322" s="18">
        <v>39.380000000000003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0.15909090909090917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-0.27723704866562005</v>
      </c>
      <c r="R322" s="19">
        <f ca="1">IF('Stock Price'!$I$11="OK",E322/INDEX(E$5:E$1258,'Stock Price'!$I$9)-1,"")</f>
        <v>-0.15674518201284793</v>
      </c>
      <c r="S322" s="19">
        <f ca="1">IF('Stock Price'!$I$11="OK",F322/INDEX(F$5:F$1258,'Stock Price'!$I$9)-1,"")</f>
        <v>3.9321192052979015E-3</v>
      </c>
      <c r="T322" s="19">
        <f ca="1">IF('Stock Price'!$I$11="OK",G322/INDEX(G$5:G$1258,'Stock Price'!$I$9)-1,"")</f>
        <v>0.12336185421856394</v>
      </c>
      <c r="U322" s="19">
        <f ca="1">IF('Stock Price'!$I$11="OK",H322/INDEX(H$5:H$1258,'Stock Price'!$I$9)-1,"")</f>
        <v>0.35269607843137263</v>
      </c>
      <c r="V322" s="19">
        <f ca="1">IF('Stock Price'!$I$11="OK",I322/INDEX(I$5:I$1258,'Stock Price'!$I$9)-1,"")</f>
        <v>0.14343100189035907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143.96</v>
      </c>
      <c r="C323" s="18">
        <v>87.493799999999993</v>
      </c>
      <c r="D323" s="18">
        <v>34.74</v>
      </c>
      <c r="E323" s="18">
        <v>39.56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0.18975206611570261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-0.27284144427001567</v>
      </c>
      <c r="R323" s="19">
        <f ca="1">IF('Stock Price'!$I$11="OK",E323/INDEX(E$5:E$1258,'Stock Price'!$I$9)-1,"")</f>
        <v>-0.1528907922912206</v>
      </c>
      <c r="S323" s="19">
        <f ca="1">IF('Stock Price'!$I$11="OK",F323/INDEX(F$5:F$1258,'Stock Price'!$I$9)-1,"")</f>
        <v>1.0347682119205226E-2</v>
      </c>
      <c r="T323" s="19">
        <f ca="1">IF('Stock Price'!$I$11="OK",G323/INDEX(G$5:G$1258,'Stock Price'!$I$9)-1,"")</f>
        <v>0.16885086104191482</v>
      </c>
      <c r="U323" s="19">
        <f ca="1">IF('Stock Price'!$I$11="OK",H323/INDEX(H$5:H$1258,'Stock Price'!$I$9)-1,"")</f>
        <v>0.35796568627450998</v>
      </c>
      <c r="V323" s="19">
        <f ca="1">IF('Stock Price'!$I$11="OK",I323/INDEX(I$5:I$1258,'Stock Price'!$I$9)-1,"")</f>
        <v>0.12523629489603016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140.94990000000001</v>
      </c>
      <c r="C324" s="18">
        <v>87.522900000000007</v>
      </c>
      <c r="D324" s="18">
        <v>34.67</v>
      </c>
      <c r="E324" s="18">
        <v>39.020000000000003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0.1648752066115704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-0.27430664573521713</v>
      </c>
      <c r="R324" s="19">
        <f ca="1">IF('Stock Price'!$I$11="OK",E324/INDEX(E$5:E$1258,'Stock Price'!$I$9)-1,"")</f>
        <v>-0.1644539614561028</v>
      </c>
      <c r="S324" s="19">
        <f ca="1">IF('Stock Price'!$I$11="OK",F324/INDEX(F$5:F$1258,'Stock Price'!$I$9)-1,"")</f>
        <v>8.6920529801324253E-3</v>
      </c>
      <c r="T324" s="19">
        <f ca="1">IF('Stock Price'!$I$11="OK",G324/INDEX(G$5:G$1258,'Stock Price'!$I$9)-1,"")</f>
        <v>0.21109065309216923</v>
      </c>
      <c r="U324" s="19">
        <f ca="1">IF('Stock Price'!$I$11="OK",H324/INDEX(H$5:H$1258,'Stock Price'!$I$9)-1,"")</f>
        <v>0.36115196078431366</v>
      </c>
      <c r="V324" s="19">
        <f ca="1">IF('Stock Price'!$I$11="OK",I324/INDEX(I$5:I$1258,'Stock Price'!$I$9)-1,"")</f>
        <v>0.12121928166351603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138.66</v>
      </c>
      <c r="C325" s="18">
        <v>87.609899999999996</v>
      </c>
      <c r="D325" s="18">
        <v>35.15</v>
      </c>
      <c r="E325" s="18">
        <v>38.83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0.1459504132231404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-0.26425954997383572</v>
      </c>
      <c r="R325" s="19">
        <f ca="1">IF('Stock Price'!$I$11="OK",E325/INDEX(E$5:E$1258,'Stock Price'!$I$9)-1,"")</f>
        <v>-0.16852248394004288</v>
      </c>
      <c r="S325" s="19">
        <f ca="1">IF('Stock Price'!$I$11="OK",F325/INDEX(F$5:F$1258,'Stock Price'!$I$9)-1,"")</f>
        <v>2.1316225165562974E-2</v>
      </c>
      <c r="T325" s="19">
        <f ca="1">IF('Stock Price'!$I$11="OK",G325/INDEX(G$5:G$1258,'Stock Price'!$I$9)-1,"")</f>
        <v>0.22127152604787192</v>
      </c>
      <c r="U325" s="19">
        <f ca="1">IF('Stock Price'!$I$11="OK",H325/INDEX(H$5:H$1258,'Stock Price'!$I$9)-1,"")</f>
        <v>0.36973039215686287</v>
      </c>
      <c r="V325" s="19">
        <f ca="1">IF('Stock Price'!$I$11="OK",I325/INDEX(I$5:I$1258,'Stock Price'!$I$9)-1,"")</f>
        <v>0.12736294896030254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143.4</v>
      </c>
      <c r="C326" s="18">
        <v>88.093599999999995</v>
      </c>
      <c r="D326" s="18">
        <v>35.380000000000003</v>
      </c>
      <c r="E326" s="18">
        <v>39.43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0.18512396694214872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-0.2594453165881736</v>
      </c>
      <c r="R326" s="19">
        <f ca="1">IF('Stock Price'!$I$11="OK",E326/INDEX(E$5:E$1258,'Stock Price'!$I$9)-1,"")</f>
        <v>-0.15567451820128486</v>
      </c>
      <c r="S326" s="19">
        <f ca="1">IF('Stock Price'!$I$11="OK",F326/INDEX(F$5:F$1258,'Stock Price'!$I$9)-1,"")</f>
        <v>1.9660596026490174E-2</v>
      </c>
      <c r="T326" s="19">
        <f ca="1">IF('Stock Price'!$I$11="OK",G326/INDEX(G$5:G$1258,'Stock Price'!$I$9)-1,"")</f>
        <v>0.24358280082313444</v>
      </c>
      <c r="U326" s="19">
        <f ca="1">IF('Stock Price'!$I$11="OK",H326/INDEX(H$5:H$1258,'Stock Price'!$I$9)-1,"")</f>
        <v>0.37561274509803932</v>
      </c>
      <c r="V326" s="19">
        <f ca="1">IF('Stock Price'!$I$11="OK",I326/INDEX(I$5:I$1258,'Stock Price'!$I$9)-1,"")</f>
        <v>0.13067107750472595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143.625</v>
      </c>
      <c r="C327" s="18">
        <v>89.370599999999996</v>
      </c>
      <c r="D327" s="18">
        <v>35.56</v>
      </c>
      <c r="E327" s="18">
        <v>39.909999999999997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0.18698347107438007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-0.25567765567765566</v>
      </c>
      <c r="R327" s="19">
        <f ca="1">IF('Stock Price'!$I$11="OK",E327/INDEX(E$5:E$1258,'Stock Price'!$I$9)-1,"")</f>
        <v>-0.14539614561027847</v>
      </c>
      <c r="S327" s="19">
        <f ca="1">IF('Stock Price'!$I$11="OK",F327/INDEX(F$5:F$1258,'Stock Price'!$I$9)-1,"")</f>
        <v>3.125E-2</v>
      </c>
      <c r="T327" s="19">
        <f ca="1">IF('Stock Price'!$I$11="OK",G327/INDEX(G$5:G$1258,'Stock Price'!$I$9)-1,"")</f>
        <v>0.23491822809487695</v>
      </c>
      <c r="U327" s="19">
        <f ca="1">IF('Stock Price'!$I$11="OK",H327/INDEX(H$5:H$1258,'Stock Price'!$I$9)-1,"")</f>
        <v>0.35355392156862764</v>
      </c>
      <c r="V327" s="19">
        <f ca="1">IF('Stock Price'!$I$11="OK",I327/INDEX(I$5:I$1258,'Stock Price'!$I$9)-1,"")</f>
        <v>8.8846880907372361E-2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141.19990000000001</v>
      </c>
      <c r="C328" s="18">
        <v>89.157799999999995</v>
      </c>
      <c r="D328" s="18">
        <v>35.19</v>
      </c>
      <c r="E328" s="18">
        <v>39.729999999999997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0.16694132231404968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-0.26342229199372058</v>
      </c>
      <c r="R328" s="19">
        <f ca="1">IF('Stock Price'!$I$11="OK",E328/INDEX(E$5:E$1258,'Stock Price'!$I$9)-1,"")</f>
        <v>-0.14925053533190591</v>
      </c>
      <c r="S328" s="19">
        <f ca="1">IF('Stock Price'!$I$11="OK",F328/INDEX(F$5:F$1258,'Stock Price'!$I$9)-1,"")</f>
        <v>1.7384105960264851E-2</v>
      </c>
      <c r="T328" s="19">
        <f ca="1">IF('Stock Price'!$I$11="OK",G328/INDEX(G$5:G$1258,'Stock Price'!$I$9)-1,"")</f>
        <v>0.21910538286580739</v>
      </c>
      <c r="U328" s="19">
        <f ca="1">IF('Stock Price'!$I$11="OK",H328/INDEX(H$5:H$1258,'Stock Price'!$I$9)-1,"")</f>
        <v>0.33321078431372575</v>
      </c>
      <c r="V328" s="19">
        <f ca="1">IF('Stock Price'!$I$11="OK",I328/INDEX(I$5:I$1258,'Stock Price'!$I$9)-1,"")</f>
        <v>6.332703213610591E-2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140.00989999999999</v>
      </c>
      <c r="C329" s="18">
        <v>89.225499999999997</v>
      </c>
      <c r="D329" s="18">
        <v>35.61</v>
      </c>
      <c r="E329" s="18">
        <v>40.229999999999997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0.15710661157024775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-0.25463108320251171</v>
      </c>
      <c r="R329" s="19">
        <f ca="1">IF('Stock Price'!$I$11="OK",E329/INDEX(E$5:E$1258,'Stock Price'!$I$9)-1,"")</f>
        <v>-0.13854389721627425</v>
      </c>
      <c r="S329" s="19">
        <f ca="1">IF('Stock Price'!$I$11="OK",F329/INDEX(F$5:F$1258,'Stock Price'!$I$9)-1,"")</f>
        <v>2.3178807947019875E-2</v>
      </c>
      <c r="T329" s="19">
        <f ca="1">IF('Stock Price'!$I$11="OK",G329/INDEX(G$5:G$1258,'Stock Price'!$I$9)-1,"")</f>
        <v>0.20697498104624712</v>
      </c>
      <c r="U329" s="19">
        <f ca="1">IF('Stock Price'!$I$11="OK",H329/INDEX(H$5:H$1258,'Stock Price'!$I$9)-1,"")</f>
        <v>0.34681372549019618</v>
      </c>
      <c r="V329" s="19">
        <f ca="1">IF('Stock Price'!$I$11="OK",I329/INDEX(I$5:I$1258,'Stock Price'!$I$9)-1,"")</f>
        <v>6.2381852551984807E-2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136.46</v>
      </c>
      <c r="C330" s="18">
        <v>89.070700000000002</v>
      </c>
      <c r="D330" s="18">
        <v>35.380000000000003</v>
      </c>
      <c r="E330" s="18">
        <v>40.04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0.12776859504132232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-0.2594453165881736</v>
      </c>
      <c r="R330" s="19">
        <f ca="1">IF('Stock Price'!$I$11="OK",E330/INDEX(E$5:E$1258,'Stock Price'!$I$9)-1,"")</f>
        <v>-0.14261241970021421</v>
      </c>
      <c r="S330" s="19">
        <f ca="1">IF('Stock Price'!$I$11="OK",F330/INDEX(F$5:F$1258,'Stock Price'!$I$9)-1,"")</f>
        <v>1.572847682119205E-2</v>
      </c>
      <c r="T330" s="19">
        <f ca="1">IF('Stock Price'!$I$11="OK",G330/INDEX(G$5:G$1258,'Stock Price'!$I$9)-1,"")</f>
        <v>0.22148814036607822</v>
      </c>
      <c r="U330" s="19">
        <f ca="1">IF('Stock Price'!$I$11="OK",H330/INDEX(H$5:H$1258,'Stock Price'!$I$9)-1,"")</f>
        <v>0.34730392156862755</v>
      </c>
      <c r="V330" s="19">
        <f ca="1">IF('Stock Price'!$I$11="OK",I330/INDEX(I$5:I$1258,'Stock Price'!$I$9)-1,"")</f>
        <v>6.592627599243861E-2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133.68</v>
      </c>
      <c r="C331" s="18">
        <v>89.206199999999995</v>
      </c>
      <c r="D331" s="18">
        <v>35.36</v>
      </c>
      <c r="E331" s="18">
        <v>40.18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0.10479338842975205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-0.25986394557823134</v>
      </c>
      <c r="R331" s="19">
        <f ca="1">IF('Stock Price'!$I$11="OK",E331/INDEX(E$5:E$1258,'Stock Price'!$I$9)-1,"")</f>
        <v>-0.13961456102783731</v>
      </c>
      <c r="S331" s="19">
        <f ca="1">IF('Stock Price'!$I$11="OK",F331/INDEX(F$5:F$1258,'Stock Price'!$I$9)-1,"")</f>
        <v>6.4155629139073245E-3</v>
      </c>
      <c r="T331" s="19">
        <f ca="1">IF('Stock Price'!$I$11="OK",G331/INDEX(G$5:G$1258,'Stock Price'!$I$9)-1,"")</f>
        <v>0.21217372468320161</v>
      </c>
      <c r="U331" s="19">
        <f ca="1">IF('Stock Price'!$I$11="OK",H331/INDEX(H$5:H$1258,'Stock Price'!$I$9)-1,"")</f>
        <v>0.34656862745098049</v>
      </c>
      <c r="V331" s="19">
        <f ca="1">IF('Stock Price'!$I$11="OK",I331/INDEX(I$5:I$1258,'Stock Price'!$I$9)-1,"")</f>
        <v>6.2854442344045358E-2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129.5</v>
      </c>
      <c r="C332" s="18">
        <v>89.022400000000005</v>
      </c>
      <c r="D332" s="18">
        <v>34.700000000000003</v>
      </c>
      <c r="E332" s="18">
        <v>39.950000000000003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7.024793388429762E-2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-0.27367870225013069</v>
      </c>
      <c r="R332" s="19">
        <f ca="1">IF('Stock Price'!$I$11="OK",E332/INDEX(E$5:E$1258,'Stock Price'!$I$9)-1,"")</f>
        <v>-0.14453961456102782</v>
      </c>
      <c r="S332" s="19">
        <f ca="1">IF('Stock Price'!$I$11="OK",F332/INDEX(F$5:F$1258,'Stock Price'!$I$9)-1,"")</f>
        <v>4.3460264900663237E-3</v>
      </c>
      <c r="T332" s="19">
        <f ca="1">IF('Stock Price'!$I$11="OK",G332/INDEX(G$5:G$1258,'Stock Price'!$I$9)-1,"")</f>
        <v>0.20264269468211848</v>
      </c>
      <c r="U332" s="19">
        <f ca="1">IF('Stock Price'!$I$11="OK",H332/INDEX(H$5:H$1258,'Stock Price'!$I$9)-1,"")</f>
        <v>0.32990196078431366</v>
      </c>
      <c r="V332" s="19">
        <f ca="1">IF('Stock Price'!$I$11="OK",I332/INDEX(I$5:I$1258,'Stock Price'!$I$9)-1,"")</f>
        <v>5.647448015122869E-2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131.72</v>
      </c>
      <c r="C333" s="18">
        <v>89.786600000000007</v>
      </c>
      <c r="D333" s="18">
        <v>35.17</v>
      </c>
      <c r="E333" s="18">
        <v>40.049999999999997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8.8595041322313994E-2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-0.26384092098377809</v>
      </c>
      <c r="R333" s="19">
        <f ca="1">IF('Stock Price'!$I$11="OK",E333/INDEX(E$5:E$1258,'Stock Price'!$I$9)-1,"")</f>
        <v>-0.14239828693790157</v>
      </c>
      <c r="S333" s="19">
        <f ca="1">IF('Stock Price'!$I$11="OK",F333/INDEX(F$5:F$1258,'Stock Price'!$I$9)-1,"")</f>
        <v>1.1796357615894149E-2</v>
      </c>
      <c r="T333" s="19">
        <f ca="1">IF('Stock Price'!$I$11="OK",G333/INDEX(G$5:G$1258,'Stock Price'!$I$9)-1,"")</f>
        <v>0.20177623740929262</v>
      </c>
      <c r="U333" s="19">
        <f ca="1">IF('Stock Price'!$I$11="OK",H333/INDEX(H$5:H$1258,'Stock Price'!$I$9)-1,"")</f>
        <v>0.33075980392156867</v>
      </c>
      <c r="V333" s="19">
        <f ca="1">IF('Stock Price'!$I$11="OK",I333/INDEX(I$5:I$1258,'Stock Price'!$I$9)-1,"")</f>
        <v>6.4981096408317507E-2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130.65</v>
      </c>
      <c r="C334" s="18">
        <v>86.913399999999996</v>
      </c>
      <c r="D334" s="18">
        <v>35.340000000000003</v>
      </c>
      <c r="E334" s="18">
        <v>39.380000000000003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7.9752066115702513E-2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-0.26028257456828874</v>
      </c>
      <c r="R334" s="19">
        <f ca="1">IF('Stock Price'!$I$11="OK",E334/INDEX(E$5:E$1258,'Stock Price'!$I$9)-1,"")</f>
        <v>-0.15674518201284793</v>
      </c>
      <c r="S334" s="19">
        <f ca="1">IF('Stock Price'!$I$11="OK",F334/INDEX(F$5:F$1258,'Stock Price'!$I$9)-1,"")</f>
        <v>1.0140728476821126E-2</v>
      </c>
      <c r="T334" s="19">
        <f ca="1">IF('Stock Price'!$I$11="OK",G334/INDEX(G$5:G$1258,'Stock Price'!$I$9)-1,"")</f>
        <v>0.21390663922885311</v>
      </c>
      <c r="U334" s="19">
        <f ca="1">IF('Stock Price'!$I$11="OK",H334/INDEX(H$5:H$1258,'Stock Price'!$I$9)-1,"")</f>
        <v>0.30968137254901973</v>
      </c>
      <c r="V334" s="19">
        <f ca="1">IF('Stock Price'!$I$11="OK",I334/INDEX(I$5:I$1258,'Stock Price'!$I$9)-1,"")</f>
        <v>4.5604914933837337E-2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129.81989999999999</v>
      </c>
      <c r="C335" s="18">
        <v>86.574799999999996</v>
      </c>
      <c r="D335" s="18">
        <v>35.299999999999997</v>
      </c>
      <c r="E335" s="18">
        <v>39.29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7.2891735537190083E-2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-0.26111983254840399</v>
      </c>
      <c r="R335" s="19">
        <f ca="1">IF('Stock Price'!$I$11="OK",E335/INDEX(E$5:E$1258,'Stock Price'!$I$9)-1,"")</f>
        <v>-0.15867237687366176</v>
      </c>
      <c r="S335" s="19">
        <f ca="1">IF('Stock Price'!$I$11="OK",F335/INDEX(F$5:F$1258,'Stock Price'!$I$9)-1,"")</f>
        <v>3.5182119205299234E-3</v>
      </c>
      <c r="T335" s="19">
        <f ca="1">IF('Stock Price'!$I$11="OK",G335/INDEX(G$5:G$1258,'Stock Price'!$I$9)-1,"")</f>
        <v>0.21910538286580739</v>
      </c>
      <c r="U335" s="19">
        <f ca="1">IF('Stock Price'!$I$11="OK",H335/INDEX(H$5:H$1258,'Stock Price'!$I$9)-1,"")</f>
        <v>0.29142156862745106</v>
      </c>
      <c r="V335" s="19">
        <f ca="1">IF('Stock Price'!$I$11="OK",I335/INDEX(I$5:I$1258,'Stock Price'!$I$9)-1,"")</f>
        <v>3.4735349716446207E-2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129.36000000000001</v>
      </c>
      <c r="C336" s="18">
        <v>86.719899999999996</v>
      </c>
      <c r="D336" s="18">
        <v>35.119999999999997</v>
      </c>
      <c r="E336" s="18">
        <v>38.909999999999997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6.9090909090909314E-2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-0.26488749345892204</v>
      </c>
      <c r="R336" s="19">
        <f ca="1">IF('Stock Price'!$I$11="OK",E336/INDEX(E$5:E$1258,'Stock Price'!$I$9)-1,"")</f>
        <v>-0.1668094218415419</v>
      </c>
      <c r="S336" s="19">
        <f ca="1">IF('Stock Price'!$I$11="OK",F336/INDEX(F$5:F$1258,'Stock Price'!$I$9)-1,"")</f>
        <v>5.173841059602724E-3</v>
      </c>
      <c r="T336" s="19">
        <f ca="1">IF('Stock Price'!$I$11="OK",G336/INDEX(G$5:G$1258,'Stock Price'!$I$9)-1,"")</f>
        <v>0.23253547059460633</v>
      </c>
      <c r="U336" s="19">
        <f ca="1">IF('Stock Price'!$I$11="OK",H336/INDEX(H$5:H$1258,'Stock Price'!$I$9)-1,"")</f>
        <v>0.300122549019608</v>
      </c>
      <c r="V336" s="19">
        <f ca="1">IF('Stock Price'!$I$11="OK",I336/INDEX(I$5:I$1258,'Stock Price'!$I$9)-1,"")</f>
        <v>2.9064272211720255E-2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128</v>
      </c>
      <c r="C337" s="18">
        <v>87.668000000000006</v>
      </c>
      <c r="D337" s="18">
        <v>35.26</v>
      </c>
      <c r="E337" s="18">
        <v>39.15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5.7851239669421517E-2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-0.26195709052851912</v>
      </c>
      <c r="R337" s="19">
        <f ca="1">IF('Stock Price'!$I$11="OK",E337/INDEX(E$5:E$1258,'Stock Price'!$I$9)-1,"")</f>
        <v>-0.16167023554603865</v>
      </c>
      <c r="S337" s="19">
        <f ca="1">IF('Stock Price'!$I$11="OK",F337/INDEX(F$5:F$1258,'Stock Price'!$I$9)-1,"")</f>
        <v>1.6970198675496651E-2</v>
      </c>
      <c r="T337" s="19">
        <f ca="1">IF('Stock Price'!$I$11="OK",G337/INDEX(G$5:G$1258,'Stock Price'!$I$9)-1,"")</f>
        <v>0.23470161377667065</v>
      </c>
      <c r="U337" s="19">
        <f ca="1">IF('Stock Price'!$I$11="OK",H337/INDEX(H$5:H$1258,'Stock Price'!$I$9)-1,"")</f>
        <v>0.31629901960784323</v>
      </c>
      <c r="V337" s="19">
        <f ca="1">IF('Stock Price'!$I$11="OK",I337/INDEX(I$5:I$1258,'Stock Price'!$I$9)-1,"")</f>
        <v>4.3478260869565188E-2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127.8</v>
      </c>
      <c r="C338" s="18">
        <v>85.355800000000002</v>
      </c>
      <c r="D338" s="18">
        <v>35.49</v>
      </c>
      <c r="E338" s="18">
        <v>38.32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5.6198347107438096E-2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-0.25714285714285712</v>
      </c>
      <c r="R338" s="19">
        <f ca="1">IF('Stock Price'!$I$11="OK",E338/INDEX(E$5:E$1258,'Stock Price'!$I$9)-1,"")</f>
        <v>-0.17944325481798717</v>
      </c>
      <c r="S338" s="19">
        <f ca="1">IF('Stock Price'!$I$11="OK",F338/INDEX(F$5:F$1258,'Stock Price'!$I$9)-1,"")</f>
        <v>8.8990066225165254E-3</v>
      </c>
      <c r="T338" s="19">
        <f ca="1">IF('Stock Price'!$I$11="OK",G338/INDEX(G$5:G$1258,'Stock Price'!$I$9)-1,"")</f>
        <v>0.22387089786634906</v>
      </c>
      <c r="U338" s="19">
        <f ca="1">IF('Stock Price'!$I$11="OK",H338/INDEX(H$5:H$1258,'Stock Price'!$I$9)-1,"")</f>
        <v>0.31102941176470611</v>
      </c>
      <c r="V338" s="19">
        <f ca="1">IF('Stock Price'!$I$11="OK",I338/INDEX(I$5:I$1258,'Stock Price'!$I$9)-1,"")</f>
        <v>3.8988657844990504E-2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127.08</v>
      </c>
      <c r="C339" s="18">
        <v>83.295199999999994</v>
      </c>
      <c r="D339" s="18">
        <v>35.130000000000003</v>
      </c>
      <c r="E339" s="18">
        <v>37.659999999999997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5.0247933884297602E-2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-0.26467817896389323</v>
      </c>
      <c r="R339" s="19">
        <f ca="1">IF('Stock Price'!$I$11="OK",E339/INDEX(E$5:E$1258,'Stock Price'!$I$9)-1,"")</f>
        <v>-0.19357601713062111</v>
      </c>
      <c r="S339" s="19">
        <f ca="1">IF('Stock Price'!$I$11="OK",F339/INDEX(F$5:F$1258,'Stock Price'!$I$9)-1,"")</f>
        <v>-2.2350993377483364E-2</v>
      </c>
      <c r="T339" s="19">
        <f ca="1">IF('Stock Price'!$I$11="OK",G339/INDEX(G$5:G$1258,'Stock Price'!$I$9)-1,"")</f>
        <v>0.23036932741254201</v>
      </c>
      <c r="U339" s="19">
        <f ca="1">IF('Stock Price'!$I$11="OK",H339/INDEX(H$5:H$1258,'Stock Price'!$I$9)-1,"")</f>
        <v>0.26789215686274503</v>
      </c>
      <c r="V339" s="19">
        <f ca="1">IF('Stock Price'!$I$11="OK",I339/INDEX(I$5:I$1258,'Stock Price'!$I$9)-1,"")</f>
        <v>4.7731568998109708E-2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128.4</v>
      </c>
      <c r="C340" s="18">
        <v>83.053399999999996</v>
      </c>
      <c r="D340" s="18">
        <v>34.83</v>
      </c>
      <c r="E340" s="18">
        <v>38.11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6.1157024793388581E-2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-0.27095761381475669</v>
      </c>
      <c r="R340" s="19">
        <f ca="1">IF('Stock Price'!$I$11="OK",E340/INDEX(E$5:E$1258,'Stock Price'!$I$9)-1,"")</f>
        <v>-0.18394004282655252</v>
      </c>
      <c r="S340" s="19">
        <f ca="1">IF('Stock Price'!$I$11="OK",F340/INDEX(F$5:F$1258,'Stock Price'!$I$9)-1,"")</f>
        <v>-4.759933774834435E-2</v>
      </c>
      <c r="T340" s="19">
        <f ca="1">IF('Stock Price'!$I$11="OK",G340/INDEX(G$5:G$1258,'Stock Price'!$I$9)-1,"")</f>
        <v>0.22776995559406488</v>
      </c>
      <c r="U340" s="19">
        <f ca="1">IF('Stock Price'!$I$11="OK",H340/INDEX(H$5:H$1258,'Stock Price'!$I$9)-1,"")</f>
        <v>0.26151960784313721</v>
      </c>
      <c r="V340" s="19">
        <f ca="1">IF('Stock Price'!$I$11="OK",I340/INDEX(I$5:I$1258,'Stock Price'!$I$9)-1,"")</f>
        <v>4.1115311909262875E-2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125.92</v>
      </c>
      <c r="C341" s="18">
        <v>82.685699999999997</v>
      </c>
      <c r="D341" s="18">
        <v>35.340000000000003</v>
      </c>
      <c r="E341" s="18">
        <v>38.35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4.0661157024793448E-2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-0.26028257456828874</v>
      </c>
      <c r="R341" s="19">
        <f ca="1">IF('Stock Price'!$I$11="OK",E341/INDEX(E$5:E$1258,'Stock Price'!$I$9)-1,"")</f>
        <v>-0.17880085653104927</v>
      </c>
      <c r="S341" s="19">
        <f ca="1">IF('Stock Price'!$I$11="OK",F341/INDEX(F$5:F$1258,'Stock Price'!$I$9)-1,"")</f>
        <v>-5.0910596026490063E-2</v>
      </c>
      <c r="T341" s="19">
        <f ca="1">IF('Stock Price'!$I$11="OK",G341/INDEX(G$5:G$1258,'Stock Price'!$I$9)-1,"")</f>
        <v>0.26047871764323616</v>
      </c>
      <c r="U341" s="19">
        <f ca="1">IF('Stock Price'!$I$11="OK",H341/INDEX(H$5:H$1258,'Stock Price'!$I$9)-1,"")</f>
        <v>0.27487745098039218</v>
      </c>
      <c r="V341" s="19">
        <f ca="1">IF('Stock Price'!$I$11="OK",I341/INDEX(I$5:I$1258,'Stock Price'!$I$9)-1,"")</f>
        <v>3.4026465028355268E-2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128.69999999999999</v>
      </c>
      <c r="C342" s="18">
        <v>83.5274</v>
      </c>
      <c r="D342" s="18">
        <v>36.17</v>
      </c>
      <c r="E342" s="18">
        <v>38.79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6.3636363636363491E-2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-0.24290947148090003</v>
      </c>
      <c r="R342" s="19">
        <f ca="1">IF('Stock Price'!$I$11="OK",E342/INDEX(E$5:E$1258,'Stock Price'!$I$9)-1,"")</f>
        <v>-0.16937901498929342</v>
      </c>
      <c r="S342" s="19">
        <f ca="1">IF('Stock Price'!$I$11="OK",F342/INDEX(F$5:F$1258,'Stock Price'!$I$9)-1,"")</f>
        <v>-2.7938741721854288E-2</v>
      </c>
      <c r="T342" s="19">
        <f ca="1">IF('Stock Price'!$I$11="OK",G342/INDEX(G$5:G$1258,'Stock Price'!$I$9)-1,"")</f>
        <v>0.27694140582692528</v>
      </c>
      <c r="U342" s="19">
        <f ca="1">IF('Stock Price'!$I$11="OK",H342/INDEX(H$5:H$1258,'Stock Price'!$I$9)-1,"")</f>
        <v>0.29509803921568656</v>
      </c>
      <c r="V342" s="19">
        <f ca="1">IF('Stock Price'!$I$11="OK",I342/INDEX(I$5:I$1258,'Stock Price'!$I$9)-1,"")</f>
        <v>3.0009451795841358E-2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128.01</v>
      </c>
      <c r="C343" s="18">
        <v>84.0595</v>
      </c>
      <c r="D343" s="18">
        <v>36.32</v>
      </c>
      <c r="E343" s="18">
        <v>38.869999999999997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5.7933884297520555E-2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-0.2397697540554683</v>
      </c>
      <c r="R343" s="19">
        <f ca="1">IF('Stock Price'!$I$11="OK",E343/INDEX(E$5:E$1258,'Stock Price'!$I$9)-1,"")</f>
        <v>-0.16766595289079245</v>
      </c>
      <c r="S343" s="19">
        <f ca="1">IF('Stock Price'!$I$11="OK",F343/INDEX(F$5:F$1258,'Stock Price'!$I$9)-1,"")</f>
        <v>-1.2624172185430438E-2</v>
      </c>
      <c r="T343" s="19">
        <f ca="1">IF('Stock Price'!$I$11="OK",G343/INDEX(G$5:G$1258,'Stock Price'!$I$9)-1,"")</f>
        <v>0.35362287447200269</v>
      </c>
      <c r="U343" s="19">
        <f ca="1">IF('Stock Price'!$I$11="OK",H343/INDEX(H$5:H$1258,'Stock Price'!$I$9)-1,"")</f>
        <v>0.30686274509803924</v>
      </c>
      <c r="V343" s="19">
        <f ca="1">IF('Stock Price'!$I$11="OK",I343/INDEX(I$5:I$1258,'Stock Price'!$I$9)-1,"")</f>
        <v>3.9224952741020669E-2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136.25</v>
      </c>
      <c r="C344" s="18">
        <v>83.498400000000004</v>
      </c>
      <c r="D344" s="18">
        <v>36.43</v>
      </c>
      <c r="E344" s="18">
        <v>38.369999999999997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0.12603305785123964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-0.2374672946101517</v>
      </c>
      <c r="R344" s="19">
        <f ca="1">IF('Stock Price'!$I$11="OK",E344/INDEX(E$5:E$1258,'Stock Price'!$I$9)-1,"")</f>
        <v>-0.17837259100642411</v>
      </c>
      <c r="S344" s="19">
        <f ca="1">IF('Stock Price'!$I$11="OK",F344/INDEX(F$5:F$1258,'Stock Price'!$I$9)-1,"")</f>
        <v>-4.9668874172186239E-3</v>
      </c>
      <c r="T344" s="19">
        <f ca="1">IF('Stock Price'!$I$11="OK",G344/INDEX(G$5:G$1258,'Stock Price'!$I$9)-1,"")</f>
        <v>0.30900032492147722</v>
      </c>
      <c r="U344" s="19">
        <f ca="1">IF('Stock Price'!$I$11="OK",H344/INDEX(H$5:H$1258,'Stock Price'!$I$9)-1,"")</f>
        <v>0.30784313725490198</v>
      </c>
      <c r="V344" s="19">
        <f ca="1">IF('Stock Price'!$I$11="OK",I344/INDEX(I$5:I$1258,'Stock Price'!$I$9)-1,"")</f>
        <v>2.4102079395085241E-2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139.28</v>
      </c>
      <c r="C345" s="18">
        <v>83.662800000000004</v>
      </c>
      <c r="D345" s="18">
        <v>35.840000000000003</v>
      </c>
      <c r="E345" s="18">
        <v>38.11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0.15107438016528918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-0.24981684981684971</v>
      </c>
      <c r="R345" s="19">
        <f ca="1">IF('Stock Price'!$I$11="OK",E345/INDEX(E$5:E$1258,'Stock Price'!$I$9)-1,"")</f>
        <v>-0.18394004282655252</v>
      </c>
      <c r="S345" s="19">
        <f ca="1">IF('Stock Price'!$I$11="OK",F345/INDEX(F$5:F$1258,'Stock Price'!$I$9)-1,"")</f>
        <v>-1.614238410596025E-2</v>
      </c>
      <c r="T345" s="19">
        <f ca="1">IF('Stock Price'!$I$11="OK",G345/INDEX(G$5:G$1258,'Stock Price'!$I$9)-1,"")</f>
        <v>0.27369219105382858</v>
      </c>
      <c r="U345" s="19">
        <f ca="1">IF('Stock Price'!$I$11="OK",H345/INDEX(H$5:H$1258,'Stock Price'!$I$9)-1,"")</f>
        <v>0.33051470588235299</v>
      </c>
      <c r="V345" s="19">
        <f ca="1">IF('Stock Price'!$I$11="OK",I345/INDEX(I$5:I$1258,'Stock Price'!$I$9)-1,"")</f>
        <v>3.6862003780718355E-2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139.28</v>
      </c>
      <c r="C346" s="18">
        <v>84.639899999999997</v>
      </c>
      <c r="D346" s="18">
        <v>36.229999999999997</v>
      </c>
      <c r="E346" s="18">
        <v>37.950000000000003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0.15107438016528918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-0.24165358451072738</v>
      </c>
      <c r="R346" s="19">
        <f ca="1">IF('Stock Price'!$I$11="OK",E346/INDEX(E$5:E$1258,'Stock Price'!$I$9)-1,"")</f>
        <v>-0.18736616702355458</v>
      </c>
      <c r="S346" s="19">
        <f ca="1">IF('Stock Price'!$I$11="OK",F346/INDEX(F$5:F$1258,'Stock Price'!$I$9)-1,"")</f>
        <v>-1.9039735099337762E-2</v>
      </c>
      <c r="T346" s="19">
        <f ca="1">IF('Stock Price'!$I$11="OK",G346/INDEX(G$5:G$1258,'Stock Price'!$I$9)-1,"")</f>
        <v>0.28993826491931118</v>
      </c>
      <c r="U346" s="19">
        <f ca="1">IF('Stock Price'!$I$11="OK",H346/INDEX(H$5:H$1258,'Stock Price'!$I$9)-1,"")</f>
        <v>0.34252450980392157</v>
      </c>
      <c r="V346" s="19">
        <f ca="1">IF('Stock Price'!$I$11="OK",I346/INDEX(I$5:I$1258,'Stock Price'!$I$9)-1,"")</f>
        <v>3.9461247637051056E-2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137.25</v>
      </c>
      <c r="C347" s="18">
        <v>84.697999999999993</v>
      </c>
      <c r="D347" s="18">
        <v>36.06</v>
      </c>
      <c r="E347" s="18">
        <v>37.840000000000003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0.13429752066115697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-0.24521193092621663</v>
      </c>
      <c r="R347" s="19">
        <f ca="1">IF('Stock Price'!$I$11="OK",E347/INDEX(E$5:E$1258,'Stock Price'!$I$9)-1,"")</f>
        <v>-0.18972162740899357</v>
      </c>
      <c r="S347" s="19">
        <f ca="1">IF('Stock Price'!$I$11="OK",F347/INDEX(F$5:F$1258,'Stock Price'!$I$9)-1,"")</f>
        <v>-1.490066225165565E-2</v>
      </c>
      <c r="T347" s="19">
        <f ca="1">IF('Stock Price'!$I$11="OK",G347/INDEX(G$5:G$1258,'Stock Price'!$I$9)-1,"")</f>
        <v>0.30965016787609656</v>
      </c>
      <c r="U347" s="19">
        <f ca="1">IF('Stock Price'!$I$11="OK",H347/INDEX(H$5:H$1258,'Stock Price'!$I$9)-1,"")</f>
        <v>0.3325980392156862</v>
      </c>
      <c r="V347" s="19">
        <f ca="1">IF('Stock Price'!$I$11="OK",I347/INDEX(I$5:I$1258,'Stock Price'!$I$9)-1,"")</f>
        <v>3.3081285444234387E-2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140.78</v>
      </c>
      <c r="C348" s="18">
        <v>84.34</v>
      </c>
      <c r="D348" s="18">
        <v>35.57</v>
      </c>
      <c r="E348" s="18">
        <v>37.61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0.16347107438016528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-0.25546834118262685</v>
      </c>
      <c r="R348" s="19">
        <f ca="1">IF('Stock Price'!$I$11="OK",E348/INDEX(E$5:E$1258,'Stock Price'!$I$9)-1,"")</f>
        <v>-0.19464668094218418</v>
      </c>
      <c r="S348" s="19">
        <f ca="1">IF('Stock Price'!$I$11="OK",F348/INDEX(F$5:F$1258,'Stock Price'!$I$9)-1,"")</f>
        <v>-2.2144039735099375E-2</v>
      </c>
      <c r="T348" s="19">
        <f ca="1">IF('Stock Price'!$I$11="OK",G348/INDEX(G$5:G$1258,'Stock Price'!$I$9)-1,"")</f>
        <v>0.30271850969349079</v>
      </c>
      <c r="U348" s="19">
        <f ca="1">IF('Stock Price'!$I$11="OK",H348/INDEX(H$5:H$1258,'Stock Price'!$I$9)-1,"")</f>
        <v>0.3196078431372551</v>
      </c>
      <c r="V348" s="19">
        <f ca="1">IF('Stock Price'!$I$11="OK",I348/INDEX(I$5:I$1258,'Stock Price'!$I$9)-1,"")</f>
        <v>2.3629489603024467E-2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137.94</v>
      </c>
      <c r="C349" s="18">
        <v>83.159800000000004</v>
      </c>
      <c r="D349" s="18">
        <v>35.14</v>
      </c>
      <c r="E349" s="18">
        <v>37.21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0.1399999999999999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-0.26446886446886442</v>
      </c>
      <c r="R349" s="19">
        <f ca="1">IF('Stock Price'!$I$11="OK",E349/INDEX(E$5:E$1258,'Stock Price'!$I$9)-1,"")</f>
        <v>-0.20321199143468949</v>
      </c>
      <c r="S349" s="19">
        <f ca="1">IF('Stock Price'!$I$11="OK",F349/INDEX(F$5:F$1258,'Stock Price'!$I$9)-1,"")</f>
        <v>-3.08360927152318E-2</v>
      </c>
      <c r="T349" s="19">
        <f ca="1">IF('Stock Price'!$I$11="OK",G349/INDEX(G$5:G$1258,'Stock Price'!$I$9)-1,"")</f>
        <v>0.28777212173724687</v>
      </c>
      <c r="U349" s="19">
        <f ca="1">IF('Stock Price'!$I$11="OK",H349/INDEX(H$5:H$1258,'Stock Price'!$I$9)-1,"")</f>
        <v>0.30526960784313739</v>
      </c>
      <c r="V349" s="19">
        <f ca="1">IF('Stock Price'!$I$11="OK",I349/INDEX(I$5:I$1258,'Stock Price'!$I$9)-1,"")</f>
        <v>1.4886578449905485E-2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136.4</v>
      </c>
      <c r="C350" s="18">
        <v>84.214299999999994</v>
      </c>
      <c r="D350" s="18">
        <v>35.880000000000003</v>
      </c>
      <c r="E350" s="18">
        <v>37.880000000000003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0.12727272727272743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-0.24897959183673457</v>
      </c>
      <c r="R350" s="19">
        <f ca="1">IF('Stock Price'!$I$11="OK",E350/INDEX(E$5:E$1258,'Stock Price'!$I$9)-1,"")</f>
        <v>-0.18886509635974302</v>
      </c>
      <c r="S350" s="19">
        <f ca="1">IF('Stock Price'!$I$11="OK",F350/INDEX(F$5:F$1258,'Stock Price'!$I$9)-1,"")</f>
        <v>-1.3451986754966838E-2</v>
      </c>
      <c r="T350" s="19">
        <f ca="1">IF('Stock Price'!$I$11="OK",G350/INDEX(G$5:G$1258,'Stock Price'!$I$9)-1,"")</f>
        <v>0.28062384923643457</v>
      </c>
      <c r="U350" s="19">
        <f ca="1">IF('Stock Price'!$I$11="OK",H350/INDEX(H$5:H$1258,'Stock Price'!$I$9)-1,"")</f>
        <v>0.34215686274509816</v>
      </c>
      <c r="V350" s="19">
        <f ca="1">IF('Stock Price'!$I$11="OK",I350/INDEX(I$5:I$1258,'Stock Price'!$I$9)-1,"")</f>
        <v>2.1030245746691989E-2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140.52000000000001</v>
      </c>
      <c r="C351" s="18">
        <v>83.933700000000002</v>
      </c>
      <c r="D351" s="18">
        <v>36</v>
      </c>
      <c r="E351" s="18">
        <v>37.89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0.16132231404958697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-0.24646781789638927</v>
      </c>
      <c r="R351" s="19">
        <f ca="1">IF('Stock Price'!$I$11="OK",E351/INDEX(E$5:E$1258,'Stock Price'!$I$9)-1,"")</f>
        <v>-0.1886509635974305</v>
      </c>
      <c r="S351" s="19">
        <f ca="1">IF('Stock Price'!$I$11="OK",F351/INDEX(F$5:F$1258,'Stock Price'!$I$9)-1,"")</f>
        <v>-1.490066225165565E-2</v>
      </c>
      <c r="T351" s="19">
        <f ca="1">IF('Stock Price'!$I$11="OK",G351/INDEX(G$5:G$1258,'Stock Price'!$I$9)-1,"")</f>
        <v>0.28343983537311823</v>
      </c>
      <c r="U351" s="19">
        <f ca="1">IF('Stock Price'!$I$11="OK",H351/INDEX(H$5:H$1258,'Stock Price'!$I$9)-1,"")</f>
        <v>0.33664215686274512</v>
      </c>
      <c r="V351" s="19">
        <f ca="1">IF('Stock Price'!$I$11="OK",I351/INDEX(I$5:I$1258,'Stock Price'!$I$9)-1,"")</f>
        <v>8.9792060491493686E-3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140.04</v>
      </c>
      <c r="C352" s="18">
        <v>83.856300000000005</v>
      </c>
      <c r="D352" s="18">
        <v>35.74</v>
      </c>
      <c r="E352" s="18">
        <v>37.93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0.15735537190082649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-0.2519099947671376</v>
      </c>
      <c r="R352" s="19">
        <f ca="1">IF('Stock Price'!$I$11="OK",E352/INDEX(E$5:E$1258,'Stock Price'!$I$9)-1,"")</f>
        <v>-0.18779443254817996</v>
      </c>
      <c r="S352" s="19">
        <f ca="1">IF('Stock Price'!$I$11="OK",F352/INDEX(F$5:F$1258,'Stock Price'!$I$9)-1,"")</f>
        <v>-6.2086092715231134E-3</v>
      </c>
      <c r="T352" s="19">
        <f ca="1">IF('Stock Price'!$I$11="OK",G352/INDEX(G$5:G$1258,'Stock Price'!$I$9)-1,"")</f>
        <v>0.2793241633271959</v>
      </c>
      <c r="U352" s="19">
        <f ca="1">IF('Stock Price'!$I$11="OK",H352/INDEX(H$5:H$1258,'Stock Price'!$I$9)-1,"")</f>
        <v>0.33774509803921582</v>
      </c>
      <c r="V352" s="19">
        <f ca="1">IF('Stock Price'!$I$11="OK",I352/INDEX(I$5:I$1258,'Stock Price'!$I$9)-1,"")</f>
        <v>1.4177693761814325E-3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134.74</v>
      </c>
      <c r="C353" s="18">
        <v>83.7209</v>
      </c>
      <c r="D353" s="18">
        <v>35.26</v>
      </c>
      <c r="E353" s="18">
        <v>37.68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0.1135537190082645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-0.26195709052851912</v>
      </c>
      <c r="R353" s="19">
        <f ca="1">IF('Stock Price'!$I$11="OK",E353/INDEX(E$5:E$1258,'Stock Price'!$I$9)-1,"")</f>
        <v>-0.19314775160599573</v>
      </c>
      <c r="S353" s="19">
        <f ca="1">IF('Stock Price'!$I$11="OK",F353/INDEX(F$5:F$1258,'Stock Price'!$I$9)-1,"")</f>
        <v>-2.0695364238410008E-4</v>
      </c>
      <c r="T353" s="19">
        <f ca="1">IF('Stock Price'!$I$11="OK",G353/INDEX(G$5:G$1258,'Stock Price'!$I$9)-1,"")</f>
        <v>0.29773638037474282</v>
      </c>
      <c r="U353" s="19">
        <f ca="1">IF('Stock Price'!$I$11="OK",H353/INDEX(H$5:H$1258,'Stock Price'!$I$9)-1,"")</f>
        <v>0.35526960784313744</v>
      </c>
      <c r="V353" s="19">
        <f ca="1">IF('Stock Price'!$I$11="OK",I353/INDEX(I$5:I$1258,'Stock Price'!$I$9)-1,"")</f>
        <v>-4.7258979206055152E-4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133.83000000000001</v>
      </c>
      <c r="C354" s="18">
        <v>82.8309</v>
      </c>
      <c r="D354" s="18">
        <v>34.57</v>
      </c>
      <c r="E354" s="18">
        <v>36.81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0.10603305785123984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-0.27639979068550491</v>
      </c>
      <c r="R354" s="19">
        <f ca="1">IF('Stock Price'!$I$11="OK",E354/INDEX(E$5:E$1258,'Stock Price'!$I$9)-1,"")</f>
        <v>-0.21177730192719491</v>
      </c>
      <c r="S354" s="19">
        <f ca="1">IF('Stock Price'!$I$11="OK",F354/INDEX(F$5:F$1258,'Stock Price'!$I$9)-1,"")</f>
        <v>-1.2831125827814538E-2</v>
      </c>
      <c r="T354" s="19">
        <f ca="1">IF('Stock Price'!$I$11="OK",G354/INDEX(G$5:G$1258,'Stock Price'!$I$9)-1,"")</f>
        <v>0.26979313332611277</v>
      </c>
      <c r="U354" s="19">
        <f ca="1">IF('Stock Price'!$I$11="OK",H354/INDEX(H$5:H$1258,'Stock Price'!$I$9)-1,"")</f>
        <v>0.34669117647058845</v>
      </c>
      <c r="V354" s="19">
        <f ca="1">IF('Stock Price'!$I$11="OK",I354/INDEX(I$5:I$1258,'Stock Price'!$I$9)-1,"")</f>
        <v>-1.3468809073724053E-2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135.32</v>
      </c>
      <c r="C355" s="18">
        <v>82.763099999999994</v>
      </c>
      <c r="D355" s="18">
        <v>34.82</v>
      </c>
      <c r="E355" s="18">
        <v>36.74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0.11834710743801646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-0.27116692830978539</v>
      </c>
      <c r="R355" s="19">
        <f ca="1">IF('Stock Price'!$I$11="OK",E355/INDEX(E$5:E$1258,'Stock Price'!$I$9)-1,"")</f>
        <v>-0.21327623126338335</v>
      </c>
      <c r="S355" s="19">
        <f ca="1">IF('Stock Price'!$I$11="OK",F355/INDEX(F$5:F$1258,'Stock Price'!$I$9)-1,"")</f>
        <v>-9.7268211920529257E-3</v>
      </c>
      <c r="T355" s="19">
        <f ca="1">IF('Stock Price'!$I$11="OK",G355/INDEX(G$5:G$1258,'Stock Price'!$I$9)-1,"")</f>
        <v>0.26892667605328713</v>
      </c>
      <c r="U355" s="19">
        <f ca="1">IF('Stock Price'!$I$11="OK",H355/INDEX(H$5:H$1258,'Stock Price'!$I$9)-1,"")</f>
        <v>0.34019607843137267</v>
      </c>
      <c r="V355" s="19">
        <f ca="1">IF('Stock Price'!$I$11="OK",I355/INDEX(I$5:I$1258,'Stock Price'!$I$9)-1,"")</f>
        <v>-3.6389413988657804E-2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129.22</v>
      </c>
      <c r="C356" s="18">
        <v>81.3797</v>
      </c>
      <c r="D356" s="18">
        <v>34.270000000000003</v>
      </c>
      <c r="E356" s="18">
        <v>36.049999999999997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6.7933884297520564E-2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-0.28267922553636826</v>
      </c>
      <c r="R356" s="19">
        <f ca="1">IF('Stock Price'!$I$11="OK",E356/INDEX(E$5:E$1258,'Stock Price'!$I$9)-1,"")</f>
        <v>-0.22805139186295509</v>
      </c>
      <c r="S356" s="19">
        <f ca="1">IF('Stock Price'!$I$11="OK",F356/INDEX(F$5:F$1258,'Stock Price'!$I$9)-1,"")</f>
        <v>-3.04221854304636E-2</v>
      </c>
      <c r="T356" s="19">
        <f ca="1">IF('Stock Price'!$I$11="OK",G356/INDEX(G$5:G$1258,'Stock Price'!$I$9)-1,"")</f>
        <v>0.21932199718401391</v>
      </c>
      <c r="U356" s="19">
        <f ca="1">IF('Stock Price'!$I$11="OK",H356/INDEX(H$5:H$1258,'Stock Price'!$I$9)-1,"")</f>
        <v>0.30196078431372553</v>
      </c>
      <c r="V356" s="19">
        <f ca="1">IF('Stock Price'!$I$11="OK",I356/INDEX(I$5:I$1258,'Stock Price'!$I$9)-1,"")</f>
        <v>-4.135160680529304E-2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128.6</v>
      </c>
      <c r="C357" s="18">
        <v>81.089500000000001</v>
      </c>
      <c r="D357" s="18">
        <v>34.26</v>
      </c>
      <c r="E357" s="18">
        <v>35.96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6.280991735537178E-2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-0.28288854003139718</v>
      </c>
      <c r="R357" s="19">
        <f ca="1">IF('Stock Price'!$I$11="OK",E357/INDEX(E$5:E$1258,'Stock Price'!$I$9)-1,"")</f>
        <v>-0.22997858672376881</v>
      </c>
      <c r="S357" s="19">
        <f ca="1">IF('Stock Price'!$I$11="OK",F357/INDEX(F$5:F$1258,'Stock Price'!$I$9)-1,"")</f>
        <v>-2.6903973509933676E-2</v>
      </c>
      <c r="T357" s="19">
        <f ca="1">IF('Stock Price'!$I$11="OK",G357/INDEX(G$5:G$1258,'Stock Price'!$I$9)-1,"")</f>
        <v>0.22040506877504606</v>
      </c>
      <c r="U357" s="19">
        <f ca="1">IF('Stock Price'!$I$11="OK",H357/INDEX(H$5:H$1258,'Stock Price'!$I$9)-1,"")</f>
        <v>0.30698529411764719</v>
      </c>
      <c r="V357" s="19">
        <f ca="1">IF('Stock Price'!$I$11="OK",I357/INDEX(I$5:I$1258,'Stock Price'!$I$9)-1,"")</f>
        <v>-5.0567107750472573E-2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131.56</v>
      </c>
      <c r="C358" s="18">
        <v>82.347099999999998</v>
      </c>
      <c r="D358" s="18">
        <v>34.58</v>
      </c>
      <c r="E358" s="18">
        <v>36.4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8.7272727272727391E-2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-0.27619047619047621</v>
      </c>
      <c r="R358" s="19">
        <f ca="1">IF('Stock Price'!$I$11="OK",E358/INDEX(E$5:E$1258,'Stock Price'!$I$9)-1,"")</f>
        <v>-0.22055674518201296</v>
      </c>
      <c r="S358" s="19">
        <f ca="1">IF('Stock Price'!$I$11="OK",F358/INDEX(F$5:F$1258,'Stock Price'!$I$9)-1,"")</f>
        <v>-1.4279801324503238E-2</v>
      </c>
      <c r="T358" s="19">
        <f ca="1">IF('Stock Price'!$I$11="OK",G358/INDEX(G$5:G$1258,'Stock Price'!$I$9)-1,"")</f>
        <v>0.23080255604895483</v>
      </c>
      <c r="U358" s="19">
        <f ca="1">IF('Stock Price'!$I$11="OK",H358/INDEX(H$5:H$1258,'Stock Price'!$I$9)-1,"")</f>
        <v>0.31139705882352953</v>
      </c>
      <c r="V358" s="19">
        <f ca="1">IF('Stock Price'!$I$11="OK",I358/INDEX(I$5:I$1258,'Stock Price'!$I$9)-1,"")</f>
        <v>-4.0170132325141883E-2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130</v>
      </c>
      <c r="C359" s="18">
        <v>81.921499999999995</v>
      </c>
      <c r="D359" s="18">
        <v>34.659999999999997</v>
      </c>
      <c r="E359" s="18">
        <v>36.5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7.4380165289256173E-2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-0.27451596023024605</v>
      </c>
      <c r="R359" s="19">
        <f ca="1">IF('Stock Price'!$I$11="OK",E359/INDEX(E$5:E$1258,'Stock Price'!$I$9)-1,"")</f>
        <v>-0.2184154175588866</v>
      </c>
      <c r="S359" s="19">
        <f ca="1">IF('Stock Price'!$I$11="OK",F359/INDEX(F$5:F$1258,'Stock Price'!$I$9)-1,"")</f>
        <v>-1.1589403973509937E-2</v>
      </c>
      <c r="T359" s="19">
        <f ca="1">IF('Stock Price'!$I$11="OK",G359/INDEX(G$5:G$1258,'Stock Price'!$I$9)-1,"")</f>
        <v>0.24769847286905677</v>
      </c>
      <c r="U359" s="19">
        <f ca="1">IF('Stock Price'!$I$11="OK",H359/INDEX(H$5:H$1258,'Stock Price'!$I$9)-1,"")</f>
        <v>0.30980392156862746</v>
      </c>
      <c r="V359" s="19">
        <f ca="1">IF('Stock Price'!$I$11="OK",I359/INDEX(I$5:I$1258,'Stock Price'!$I$9)-1,"")</f>
        <v>-2.7646502835538822E-2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130.19999999999999</v>
      </c>
      <c r="C360" s="18">
        <v>82.153700000000001</v>
      </c>
      <c r="D360" s="18">
        <v>34.450000000000003</v>
      </c>
      <c r="E360" s="18">
        <v>36.270000000000003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7.6033057851239594E-2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-0.27891156462585021</v>
      </c>
      <c r="R360" s="19">
        <f ca="1">IF('Stock Price'!$I$11="OK",E360/INDEX(E$5:E$1258,'Stock Price'!$I$9)-1,"")</f>
        <v>-0.22334047109207711</v>
      </c>
      <c r="S360" s="19">
        <f ca="1">IF('Stock Price'!$I$11="OK",F360/INDEX(F$5:F$1258,'Stock Price'!$I$9)-1,"")</f>
        <v>-1.2210264900662349E-2</v>
      </c>
      <c r="T360" s="19">
        <f ca="1">IF('Stock Price'!$I$11="OK",G360/INDEX(G$5:G$1258,'Stock Price'!$I$9)-1,"")</f>
        <v>0.24834831582367611</v>
      </c>
      <c r="U360" s="19">
        <f ca="1">IF('Stock Price'!$I$11="OK",H360/INDEX(H$5:H$1258,'Stock Price'!$I$9)-1,"")</f>
        <v>0.3615196078431373</v>
      </c>
      <c r="V360" s="19">
        <f ca="1">IF('Stock Price'!$I$11="OK",I360/INDEX(I$5:I$1258,'Stock Price'!$I$9)-1,"")</f>
        <v>-2.8591682419659703E-2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128.9</v>
      </c>
      <c r="C361" s="18">
        <v>81.244299999999996</v>
      </c>
      <c r="D361" s="18">
        <v>34.03</v>
      </c>
      <c r="E361" s="18">
        <v>35.369999999999997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6.5289256198347134E-2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-0.28770277341705908</v>
      </c>
      <c r="R361" s="19">
        <f ca="1">IF('Stock Price'!$I$11="OK",E361/INDEX(E$5:E$1258,'Stock Price'!$I$9)-1,"")</f>
        <v>-0.24261241970021419</v>
      </c>
      <c r="S361" s="19">
        <f ca="1">IF('Stock Price'!$I$11="OK",F361/INDEX(F$5:F$1258,'Stock Price'!$I$9)-1,"")</f>
        <v>-1.572847682119205E-2</v>
      </c>
      <c r="T361" s="19">
        <f ca="1">IF('Stock Price'!$I$11="OK",G361/INDEX(G$5:G$1258,'Stock Price'!$I$9)-1,"")</f>
        <v>0.24011697173183144</v>
      </c>
      <c r="U361" s="19">
        <f ca="1">IF('Stock Price'!$I$11="OK",H361/INDEX(H$5:H$1258,'Stock Price'!$I$9)-1,"")</f>
        <v>0.36360294117647074</v>
      </c>
      <c r="V361" s="19">
        <f ca="1">IF('Stock Price'!$I$11="OK",I361/INDEX(I$5:I$1258,'Stock Price'!$I$9)-1,"")</f>
        <v>-4.6786389413988605E-2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127.63</v>
      </c>
      <c r="C362" s="18">
        <v>80.576800000000006</v>
      </c>
      <c r="D362" s="18">
        <v>33.590000000000003</v>
      </c>
      <c r="E362" s="18">
        <v>34.99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5.479338842975201E-2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-0.29691261119832535</v>
      </c>
      <c r="R362" s="19">
        <f ca="1">IF('Stock Price'!$I$11="OK",E362/INDEX(E$5:E$1258,'Stock Price'!$I$9)-1,"")</f>
        <v>-0.25074946466809422</v>
      </c>
      <c r="S362" s="19">
        <f ca="1">IF('Stock Price'!$I$11="OK",F362/INDEX(F$5:F$1258,'Stock Price'!$I$9)-1,"")</f>
        <v>-2.2557947019867575E-2</v>
      </c>
      <c r="T362" s="19">
        <f ca="1">IF('Stock Price'!$I$11="OK",G362/INDEX(G$5:G$1258,'Stock Price'!$I$9)-1,"")</f>
        <v>0.26654391855301629</v>
      </c>
      <c r="U362" s="19">
        <f ca="1">IF('Stock Price'!$I$11="OK",H362/INDEX(H$5:H$1258,'Stock Price'!$I$9)-1,"")</f>
        <v>0.32696078431372566</v>
      </c>
      <c r="V362" s="19">
        <f ca="1">IF('Stock Price'!$I$11="OK",I362/INDEX(I$5:I$1258,'Stock Price'!$I$9)-1,"")</f>
        <v>-5.1984877126654117E-2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127.34990000000001</v>
      </c>
      <c r="C363" s="18">
        <v>77.423000000000002</v>
      </c>
      <c r="D363" s="18">
        <v>33.5</v>
      </c>
      <c r="E363" s="18">
        <v>35.130000000000003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5.247851239669421E-2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-0.29879644165358454</v>
      </c>
      <c r="R363" s="19">
        <f ca="1">IF('Stock Price'!$I$11="OK",E363/INDEX(E$5:E$1258,'Stock Price'!$I$9)-1,"")</f>
        <v>-0.24775160599571733</v>
      </c>
      <c r="S363" s="19">
        <f ca="1">IF('Stock Price'!$I$11="OK",F363/INDEX(F$5:F$1258,'Stock Price'!$I$9)-1,"")</f>
        <v>-2.6283112582781487E-2</v>
      </c>
      <c r="T363" s="19">
        <f ca="1">IF('Stock Price'!$I$11="OK",G363/INDEX(G$5:G$1258,'Stock Price'!$I$9)-1,"")</f>
        <v>0.25679627423372686</v>
      </c>
      <c r="U363" s="19">
        <f ca="1">IF('Stock Price'!$I$11="OK",H363/INDEX(H$5:H$1258,'Stock Price'!$I$9)-1,"")</f>
        <v>0.31862745098039214</v>
      </c>
      <c r="V363" s="19">
        <f ca="1">IF('Stock Price'!$I$11="OK",I363/INDEX(I$5:I$1258,'Stock Price'!$I$9)-1,"")</f>
        <v>-6.7580340264650318E-2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129.84</v>
      </c>
      <c r="C364" s="18">
        <v>78.042100000000005</v>
      </c>
      <c r="D364" s="18">
        <v>33.5</v>
      </c>
      <c r="E364" s="18">
        <v>35.75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7.3057851239669347E-2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-0.29879644165358454</v>
      </c>
      <c r="R364" s="19">
        <f ca="1">IF('Stock Price'!$I$11="OK",E364/INDEX(E$5:E$1258,'Stock Price'!$I$9)-1,"")</f>
        <v>-0.23447537473233404</v>
      </c>
      <c r="S364" s="19">
        <f ca="1">IF('Stock Price'!$I$11="OK",F364/INDEX(F$5:F$1258,'Stock Price'!$I$9)-1,"")</f>
        <v>-2.1523178807946963E-2</v>
      </c>
      <c r="T364" s="19">
        <f ca="1">IF('Stock Price'!$I$11="OK",G364/INDEX(G$5:G$1258,'Stock Price'!$I$9)-1,"")</f>
        <v>0.24986461605112109</v>
      </c>
      <c r="U364" s="19">
        <f ca="1">IF('Stock Price'!$I$11="OK",H364/INDEX(H$5:H$1258,'Stock Price'!$I$9)-1,"")</f>
        <v>0.31973039215686283</v>
      </c>
      <c r="V364" s="19">
        <f ca="1">IF('Stock Price'!$I$11="OK",I364/INDEX(I$5:I$1258,'Stock Price'!$I$9)-1,"")</f>
        <v>-6.9234404536862026E-2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129.25</v>
      </c>
      <c r="C365" s="18">
        <v>78.951499999999996</v>
      </c>
      <c r="D365" s="18">
        <v>33.520000000000003</v>
      </c>
      <c r="E365" s="18">
        <v>36.35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6.8181818181818121E-2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-0.29837781266352681</v>
      </c>
      <c r="R365" s="19">
        <f ca="1">IF('Stock Price'!$I$11="OK",E365/INDEX(E$5:E$1258,'Stock Price'!$I$9)-1,"")</f>
        <v>-0.22162740899357602</v>
      </c>
      <c r="S365" s="19">
        <f ca="1">IF('Stock Price'!$I$11="OK",F365/INDEX(F$5:F$1258,'Stock Price'!$I$9)-1,"")</f>
        <v>-2.6697019867549687E-2</v>
      </c>
      <c r="T365" s="19">
        <f ca="1">IF('Stock Price'!$I$11="OK",G365/INDEX(G$5:G$1258,'Stock Price'!$I$9)-1,"")</f>
        <v>0.21433986786526593</v>
      </c>
      <c r="U365" s="19">
        <f ca="1">IF('Stock Price'!$I$11="OK",H365/INDEX(H$5:H$1258,'Stock Price'!$I$9)-1,"")</f>
        <v>0.29571078431372566</v>
      </c>
      <c r="V365" s="19">
        <f ca="1">IF('Stock Price'!$I$11="OK",I365/INDEX(I$5:I$1258,'Stock Price'!$I$9)-1,"")</f>
        <v>-5.8128544423440509E-2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131.24</v>
      </c>
      <c r="C366" s="18">
        <v>79.415800000000004</v>
      </c>
      <c r="D366" s="18">
        <v>33.72</v>
      </c>
      <c r="E366" s="18">
        <v>36.369999999999997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8.4628099173553739E-2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-0.29419152276295135</v>
      </c>
      <c r="R366" s="19">
        <f ca="1">IF('Stock Price'!$I$11="OK",E366/INDEX(E$5:E$1258,'Stock Price'!$I$9)-1,"")</f>
        <v>-0.22119914346895087</v>
      </c>
      <c r="S366" s="19">
        <f ca="1">IF('Stock Price'!$I$11="OK",F366/INDEX(F$5:F$1258,'Stock Price'!$I$9)-1,"")</f>
        <v>-9.5198675496689367E-3</v>
      </c>
      <c r="T366" s="19">
        <f ca="1">IF('Stock Price'!$I$11="OK",G366/INDEX(G$5:G$1258,'Stock Price'!$I$9)-1,"")</f>
        <v>0.2394671287772121</v>
      </c>
      <c r="U366" s="19">
        <f ca="1">IF('Stock Price'!$I$11="OK",H366/INDEX(H$5:H$1258,'Stock Price'!$I$9)-1,"")</f>
        <v>0.31090686274509816</v>
      </c>
      <c r="V366" s="19">
        <f ca="1">IF('Stock Price'!$I$11="OK",I366/INDEX(I$5:I$1258,'Stock Price'!$I$9)-1,"")</f>
        <v>-5.7183364839319517E-2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127.84</v>
      </c>
      <c r="C367" s="18">
        <v>79.4255</v>
      </c>
      <c r="D367" s="18">
        <v>33.58</v>
      </c>
      <c r="E367" s="18">
        <v>35.96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5.6528925619834691E-2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-0.29712192569335427</v>
      </c>
      <c r="R367" s="19">
        <f ca="1">IF('Stock Price'!$I$11="OK",E367/INDEX(E$5:E$1258,'Stock Price'!$I$9)-1,"")</f>
        <v>-0.22997858672376881</v>
      </c>
      <c r="S367" s="19">
        <f ca="1">IF('Stock Price'!$I$11="OK",F367/INDEX(F$5:F$1258,'Stock Price'!$I$9)-1,"")</f>
        <v>-1.552152317880795E-2</v>
      </c>
      <c r="T367" s="19">
        <f ca="1">IF('Stock Price'!$I$11="OK",G367/INDEX(G$5:G$1258,'Stock Price'!$I$9)-1,"")</f>
        <v>0.20762482400086646</v>
      </c>
      <c r="U367" s="19">
        <f ca="1">IF('Stock Price'!$I$11="OK",H367/INDEX(H$5:H$1258,'Stock Price'!$I$9)-1,"")</f>
        <v>0.31899509803921577</v>
      </c>
      <c r="V367" s="19">
        <f ca="1">IF('Stock Price'!$I$11="OK",I367/INDEX(I$5:I$1258,'Stock Price'!$I$9)-1,"")</f>
        <v>-4.8204158790170148E-2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130.06</v>
      </c>
      <c r="C368" s="18">
        <v>80.083399999999997</v>
      </c>
      <c r="D368" s="18">
        <v>33.82</v>
      </c>
      <c r="E368" s="18">
        <v>35.020000000000003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7.4876033057851288E-2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-0.29209837781266346</v>
      </c>
      <c r="R368" s="19">
        <f ca="1">IF('Stock Price'!$I$11="OK",E368/INDEX(E$5:E$1258,'Stock Price'!$I$9)-1,"")</f>
        <v>-0.25010706638115632</v>
      </c>
      <c r="S368" s="19">
        <f ca="1">IF('Stock Price'!$I$11="OK",F368/INDEX(F$5:F$1258,'Stock Price'!$I$9)-1,"")</f>
        <v>-4.1390728476822236E-3</v>
      </c>
      <c r="T368" s="19">
        <f ca="1">IF('Stock Price'!$I$11="OK",G368/INDEX(G$5:G$1258,'Stock Price'!$I$9)-1,"")</f>
        <v>0.2080580526372795</v>
      </c>
      <c r="U368" s="19">
        <f ca="1">IF('Stock Price'!$I$11="OK",H368/INDEX(H$5:H$1258,'Stock Price'!$I$9)-1,"")</f>
        <v>0.31544117647058845</v>
      </c>
      <c r="V368" s="19">
        <f ca="1">IF('Stock Price'!$I$11="OK",I368/INDEX(I$5:I$1258,'Stock Price'!$I$9)-1,"")</f>
        <v>-4.6077504725898E-2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130.55500000000001</v>
      </c>
      <c r="C369" s="18">
        <v>79.512600000000006</v>
      </c>
      <c r="D369" s="18">
        <v>34.07</v>
      </c>
      <c r="E369" s="18">
        <v>35.07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7.8966942148760433E-2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-0.28686551543694394</v>
      </c>
      <c r="R369" s="19">
        <f ca="1">IF('Stock Price'!$I$11="OK",E369/INDEX(E$5:E$1258,'Stock Price'!$I$9)-1,"")</f>
        <v>-0.24903640256959314</v>
      </c>
      <c r="S369" s="19">
        <f ca="1">IF('Stock Price'!$I$11="OK",F369/INDEX(F$5:F$1258,'Stock Price'!$I$9)-1,"")</f>
        <v>-1.2003311258278138E-2</v>
      </c>
      <c r="T369" s="19">
        <f ca="1">IF('Stock Price'!$I$11="OK",G369/INDEX(G$5:G$1258,'Stock Price'!$I$9)-1,"")</f>
        <v>0.20892450991010514</v>
      </c>
      <c r="U369" s="19">
        <f ca="1">IF('Stock Price'!$I$11="OK",H369/INDEX(H$5:H$1258,'Stock Price'!$I$9)-1,"")</f>
        <v>0.27573529411764697</v>
      </c>
      <c r="V369" s="19">
        <f ca="1">IF('Stock Price'!$I$11="OK",I369/INDEX(I$5:I$1258,'Stock Price'!$I$9)-1,"")</f>
        <v>-5.2457466918714557E-2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133.12</v>
      </c>
      <c r="C370" s="18">
        <v>80.712199999999996</v>
      </c>
      <c r="D370" s="18">
        <v>34.93</v>
      </c>
      <c r="E370" s="18">
        <v>35.14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0.10016528925619839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-0.2688644688644688</v>
      </c>
      <c r="R370" s="19">
        <f ca="1">IF('Stock Price'!$I$11="OK",E370/INDEX(E$5:E$1258,'Stock Price'!$I$9)-1,"")</f>
        <v>-0.24753747323340469</v>
      </c>
      <c r="S370" s="19">
        <f ca="1">IF('Stock Price'!$I$11="OK",F370/INDEX(F$5:F$1258,'Stock Price'!$I$9)-1,"")</f>
        <v>-6.6225165562914245E-3</v>
      </c>
      <c r="T370" s="19">
        <f ca="1">IF('Stock Price'!$I$11="OK",G370/INDEX(G$5:G$1258,'Stock Price'!$I$9)-1,"")</f>
        <v>0.21369002491064659</v>
      </c>
      <c r="U370" s="19">
        <f ca="1">IF('Stock Price'!$I$11="OK",H370/INDEX(H$5:H$1258,'Stock Price'!$I$9)-1,"")</f>
        <v>0.29718137254901955</v>
      </c>
      <c r="V370" s="19">
        <f ca="1">IF('Stock Price'!$I$11="OK",I370/INDEX(I$5:I$1258,'Stock Price'!$I$9)-1,"")</f>
        <v>-3.5680529300567088E-2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134.74</v>
      </c>
      <c r="C371" s="18">
        <v>80.944400000000002</v>
      </c>
      <c r="D371" s="18">
        <v>35.049999999999997</v>
      </c>
      <c r="E371" s="18">
        <v>35.619999999999997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0.1135537190082645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-0.2663526949241235</v>
      </c>
      <c r="R371" s="19">
        <f ca="1">IF('Stock Price'!$I$11="OK",E371/INDEX(E$5:E$1258,'Stock Price'!$I$9)-1,"")</f>
        <v>-0.23725910064239841</v>
      </c>
      <c r="S371" s="19">
        <f ca="1">IF('Stock Price'!$I$11="OK",F371/INDEX(F$5:F$1258,'Stock Price'!$I$9)-1,"")</f>
        <v>4.9668874172186239E-3</v>
      </c>
      <c r="T371" s="19">
        <f ca="1">IF('Stock Price'!$I$11="OK",G371/INDEX(G$5:G$1258,'Stock Price'!$I$9)-1,"")</f>
        <v>0.23860067150438646</v>
      </c>
      <c r="U371" s="19">
        <f ca="1">IF('Stock Price'!$I$11="OK",H371/INDEX(H$5:H$1258,'Stock Price'!$I$9)-1,"")</f>
        <v>0.29338235294117654</v>
      </c>
      <c r="V371" s="19">
        <f ca="1">IF('Stock Price'!$I$11="OK",I371/INDEX(I$5:I$1258,'Stock Price'!$I$9)-1,"")</f>
        <v>-3.9224952741020891E-2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135.56</v>
      </c>
      <c r="C372" s="18">
        <v>79.290099999999995</v>
      </c>
      <c r="D372" s="18">
        <v>34.9</v>
      </c>
      <c r="E372" s="18">
        <v>35.31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0.1203305785123967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-0.26949241234955523</v>
      </c>
      <c r="R372" s="19">
        <f ca="1">IF('Stock Price'!$I$11="OK",E372/INDEX(E$5:E$1258,'Stock Price'!$I$9)-1,"")</f>
        <v>-0.24389721627408989</v>
      </c>
      <c r="S372" s="19">
        <f ca="1">IF('Stock Price'!$I$11="OK",F372/INDEX(F$5:F$1258,'Stock Price'!$I$9)-1,"")</f>
        <v>9.7268211920529257E-3</v>
      </c>
      <c r="T372" s="19">
        <f ca="1">IF('Stock Price'!$I$11="OK",G372/INDEX(G$5:G$1258,'Stock Price'!$I$9)-1,"")</f>
        <v>0.22668688400303272</v>
      </c>
      <c r="U372" s="19">
        <f ca="1">IF('Stock Price'!$I$11="OK",H372/INDEX(H$5:H$1258,'Stock Price'!$I$9)-1,"")</f>
        <v>0.27941176470588247</v>
      </c>
      <c r="V372" s="19">
        <f ca="1">IF('Stock Price'!$I$11="OK",I372/INDEX(I$5:I$1258,'Stock Price'!$I$9)-1,"")</f>
        <v>-5.4584120982986817E-2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133.78</v>
      </c>
      <c r="C373" s="18">
        <v>79.822199999999995</v>
      </c>
      <c r="D373" s="18">
        <v>35.22</v>
      </c>
      <c r="E373" s="18">
        <v>35.020000000000003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0.10561983471074377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-0.26279434850863426</v>
      </c>
      <c r="R373" s="19">
        <f ca="1">IF('Stock Price'!$I$11="OK",E373/INDEX(E$5:E$1258,'Stock Price'!$I$9)-1,"")</f>
        <v>-0.25010706638115632</v>
      </c>
      <c r="S373" s="19">
        <f ca="1">IF('Stock Price'!$I$11="OK",F373/INDEX(F$5:F$1258,'Stock Price'!$I$9)-1,"")</f>
        <v>7.0571192052980125E-2</v>
      </c>
      <c r="T373" s="19">
        <f ca="1">IF('Stock Price'!$I$11="OK",G373/INDEX(G$5:G$1258,'Stock Price'!$I$9)-1,"")</f>
        <v>0.21174049604678857</v>
      </c>
      <c r="U373" s="19">
        <f ca="1">IF('Stock Price'!$I$11="OK",H373/INDEX(H$5:H$1258,'Stock Price'!$I$9)-1,"")</f>
        <v>0.27732843137254926</v>
      </c>
      <c r="V373" s="19">
        <f ca="1">IF('Stock Price'!$I$11="OK",I373/INDEX(I$5:I$1258,'Stock Price'!$I$9)-1,"")</f>
        <v>-5.0567107750472573E-2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136.69999999999999</v>
      </c>
      <c r="C374" s="18">
        <v>80.867000000000004</v>
      </c>
      <c r="D374" s="18">
        <v>34.380000000000003</v>
      </c>
      <c r="E374" s="18">
        <v>35.369999999999997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0.12975206611570234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-0.28037676609105178</v>
      </c>
      <c r="R374" s="19">
        <f ca="1">IF('Stock Price'!$I$11="OK",E374/INDEX(E$5:E$1258,'Stock Price'!$I$9)-1,"")</f>
        <v>-0.24261241970021419</v>
      </c>
      <c r="S374" s="19">
        <f ca="1">IF('Stock Price'!$I$11="OK",F374/INDEX(F$5:F$1258,'Stock Price'!$I$9)-1,"")</f>
        <v>8.8783112582781376E-2</v>
      </c>
      <c r="T374" s="19">
        <f ca="1">IF('Stock Price'!$I$11="OK",G374/INDEX(G$5:G$1258,'Stock Price'!$I$9)-1,"")</f>
        <v>0.20329253763673782</v>
      </c>
      <c r="U374" s="19">
        <f ca="1">IF('Stock Price'!$I$11="OK",H374/INDEX(H$5:H$1258,'Stock Price'!$I$9)-1,"")</f>
        <v>0.28431372549019618</v>
      </c>
      <c r="V374" s="19">
        <f ca="1">IF('Stock Price'!$I$11="OK",I374/INDEX(I$5:I$1258,'Stock Price'!$I$9)-1,"")</f>
        <v>-4.5604914933837448E-2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137.3425</v>
      </c>
      <c r="C375" s="18">
        <v>87.338999999999999</v>
      </c>
      <c r="D375" s="18">
        <v>35.04</v>
      </c>
      <c r="E375" s="18">
        <v>35.1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0.13506198347107445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-0.26656200941915231</v>
      </c>
      <c r="R375" s="19">
        <f ca="1">IF('Stock Price'!$I$11="OK",E375/INDEX(E$5:E$1258,'Stock Price'!$I$9)-1,"")</f>
        <v>-0.24839400428265523</v>
      </c>
      <c r="S375" s="19">
        <f ca="1">IF('Stock Price'!$I$11="OK",F375/INDEX(F$5:F$1258,'Stock Price'!$I$9)-1,"")</f>
        <v>0.10140728476821192</v>
      </c>
      <c r="T375" s="19">
        <f ca="1">IF('Stock Price'!$I$11="OK",G375/INDEX(G$5:G$1258,'Stock Price'!$I$9)-1,"")</f>
        <v>0.21304018195602725</v>
      </c>
      <c r="U375" s="19">
        <f ca="1">IF('Stock Price'!$I$11="OK",H375/INDEX(H$5:H$1258,'Stock Price'!$I$9)-1,"")</f>
        <v>0.31041666666666679</v>
      </c>
      <c r="V375" s="19">
        <f ca="1">IF('Stock Price'!$I$11="OK",I375/INDEX(I$5:I$1258,'Stock Price'!$I$9)-1,"")</f>
        <v>-4.9621928166351692E-2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138.68</v>
      </c>
      <c r="C376" s="18">
        <v>87.987200000000001</v>
      </c>
      <c r="D376" s="18">
        <v>35.1</v>
      </c>
      <c r="E376" s="18">
        <v>34.880000000000003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0.14611570247933892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-0.26530612244897955</v>
      </c>
      <c r="R376" s="19">
        <f ca="1">IF('Stock Price'!$I$11="OK",E376/INDEX(E$5:E$1258,'Stock Price'!$I$9)-1,"")</f>
        <v>-0.25310492505353321</v>
      </c>
      <c r="S376" s="19">
        <f ca="1">IF('Stock Price'!$I$11="OK",F376/INDEX(F$5:F$1258,'Stock Price'!$I$9)-1,"")</f>
        <v>0.12148178807947008</v>
      </c>
      <c r="T376" s="19">
        <f ca="1">IF('Stock Price'!$I$11="OK",G376/INDEX(G$5:G$1258,'Stock Price'!$I$9)-1,"")</f>
        <v>0.23188562763998699</v>
      </c>
      <c r="U376" s="19">
        <f ca="1">IF('Stock Price'!$I$11="OK",H376/INDEX(H$5:H$1258,'Stock Price'!$I$9)-1,"")</f>
        <v>0.29325980392156881</v>
      </c>
      <c r="V376" s="19">
        <f ca="1">IF('Stock Price'!$I$11="OK",I376/INDEX(I$5:I$1258,'Stock Price'!$I$9)-1,"")</f>
        <v>-5.5056710775047257E-2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136.30000000000001</v>
      </c>
      <c r="C377" s="18">
        <v>87.251999999999995</v>
      </c>
      <c r="D377" s="18">
        <v>35.06</v>
      </c>
      <c r="E377" s="18">
        <v>35.450000000000003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0.12644628099173572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-0.26614338042909469</v>
      </c>
      <c r="R377" s="19">
        <f ca="1">IF('Stock Price'!$I$11="OK",E377/INDEX(E$5:E$1258,'Stock Price'!$I$9)-1,"")</f>
        <v>-0.24089935760171299</v>
      </c>
      <c r="S377" s="19">
        <f ca="1">IF('Stock Price'!$I$11="OK",F377/INDEX(F$5:F$1258,'Stock Price'!$I$9)-1,"")</f>
        <v>0.1268625827814569</v>
      </c>
      <c r="T377" s="19">
        <f ca="1">IF('Stock Price'!$I$11="OK",G377/INDEX(G$5:G$1258,'Stock Price'!$I$9)-1,"")</f>
        <v>0.24055020036824448</v>
      </c>
      <c r="U377" s="19">
        <f ca="1">IF('Stock Price'!$I$11="OK",H377/INDEX(H$5:H$1258,'Stock Price'!$I$9)-1,"")</f>
        <v>0.28578431372549029</v>
      </c>
      <c r="V377" s="19">
        <f ca="1">IF('Stock Price'!$I$11="OK",I377/INDEX(I$5:I$1258,'Stock Price'!$I$9)-1,"")</f>
        <v>-4.8913043478260865E-2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139.30000000000001</v>
      </c>
      <c r="C378" s="18">
        <v>88.596699999999998</v>
      </c>
      <c r="D378" s="18">
        <v>35.270000000000003</v>
      </c>
      <c r="E378" s="18">
        <v>35.799999999999997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0.1512396694214877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-0.2617477760334902</v>
      </c>
      <c r="R378" s="19">
        <f ca="1">IF('Stock Price'!$I$11="OK",E378/INDEX(E$5:E$1258,'Stock Price'!$I$9)-1,"")</f>
        <v>-0.23340471092077097</v>
      </c>
      <c r="S378" s="19">
        <f ca="1">IF('Stock Price'!$I$11="OK",F378/INDEX(F$5:F$1258,'Stock Price'!$I$9)-1,"")</f>
        <v>0.11692880794701987</v>
      </c>
      <c r="T378" s="19">
        <f ca="1">IF('Stock Price'!$I$11="OK",G378/INDEX(G$5:G$1258,'Stock Price'!$I$9)-1,"")</f>
        <v>0.25159753059677259</v>
      </c>
      <c r="U378" s="19">
        <f ca="1">IF('Stock Price'!$I$11="OK",H378/INDEX(H$5:H$1258,'Stock Price'!$I$9)-1,"")</f>
        <v>0.29803921568627456</v>
      </c>
      <c r="V378" s="19">
        <f ca="1">IF('Stock Price'!$I$11="OK",I378/INDEX(I$5:I$1258,'Stock Price'!$I$9)-1,"")</f>
        <v>-4.5841209829867613E-2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140.16</v>
      </c>
      <c r="C379" s="18">
        <v>89.003</v>
      </c>
      <c r="D379" s="18">
        <v>35.58</v>
      </c>
      <c r="E379" s="18">
        <v>35.86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0.1583471074380165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-0.25525902668759815</v>
      </c>
      <c r="R379" s="19">
        <f ca="1">IF('Stock Price'!$I$11="OK",E379/INDEX(E$5:E$1258,'Stock Price'!$I$9)-1,"")</f>
        <v>-0.23211991434689516</v>
      </c>
      <c r="S379" s="19">
        <f ca="1">IF('Stock Price'!$I$11="OK",F379/INDEX(F$5:F$1258,'Stock Price'!$I$9)-1,"")</f>
        <v>0.1262417218543046</v>
      </c>
      <c r="T379" s="19">
        <f ca="1">IF('Stock Price'!$I$11="OK",G379/INDEX(G$5:G$1258,'Stock Price'!$I$9)-1,"")</f>
        <v>0.27195927650817708</v>
      </c>
      <c r="U379" s="19">
        <f ca="1">IF('Stock Price'!$I$11="OK",H379/INDEX(H$5:H$1258,'Stock Price'!$I$9)-1,"")</f>
        <v>0.30379901960784328</v>
      </c>
      <c r="V379" s="19">
        <f ca="1">IF('Stock Price'!$I$11="OK",I379/INDEX(I$5:I$1258,'Stock Price'!$I$9)-1,"")</f>
        <v>-3.5916824196597474E-2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137.5</v>
      </c>
      <c r="C380" s="18">
        <v>89.506100000000004</v>
      </c>
      <c r="D380" s="18">
        <v>35.950000000000003</v>
      </c>
      <c r="E380" s="18">
        <v>35.82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0.13636363636363646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-0.24751439037153311</v>
      </c>
      <c r="R380" s="19">
        <f ca="1">IF('Stock Price'!$I$11="OK",E380/INDEX(E$5:E$1258,'Stock Price'!$I$9)-1,"")</f>
        <v>-0.2329764453961457</v>
      </c>
      <c r="S380" s="19">
        <f ca="1">IF('Stock Price'!$I$11="OK",F380/INDEX(F$5:F$1258,'Stock Price'!$I$9)-1,"")</f>
        <v>0.12127483443708598</v>
      </c>
      <c r="T380" s="19">
        <f ca="1">IF('Stock Price'!$I$11="OK",G380/INDEX(G$5:G$1258,'Stock Price'!$I$9)-1,"")</f>
        <v>0.27975739196360871</v>
      </c>
      <c r="U380" s="19">
        <f ca="1">IF('Stock Price'!$I$11="OK",H380/INDEX(H$5:H$1258,'Stock Price'!$I$9)-1,"")</f>
        <v>0.33419117647058849</v>
      </c>
      <c r="V380" s="19">
        <f ca="1">IF('Stock Price'!$I$11="OK",I380/INDEX(I$5:I$1258,'Stock Price'!$I$9)-1,"")</f>
        <v>-2.2920604914933862E-2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141.44999999999999</v>
      </c>
      <c r="C381" s="18">
        <v>90.434799999999996</v>
      </c>
      <c r="D381" s="18">
        <v>36.549999999999997</v>
      </c>
      <c r="E381" s="18">
        <v>36.11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0.16900826446280992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-0.23495552066980641</v>
      </c>
      <c r="R381" s="19">
        <f ca="1">IF('Stock Price'!$I$11="OK",E381/INDEX(E$5:E$1258,'Stock Price'!$I$9)-1,"")</f>
        <v>-0.22676659528907928</v>
      </c>
      <c r="S381" s="19">
        <f ca="1">IF('Stock Price'!$I$11="OK",F381/INDEX(F$5:F$1258,'Stock Price'!$I$9)-1,"")</f>
        <v>0.1218956953642385</v>
      </c>
      <c r="T381" s="19">
        <f ca="1">IF('Stock Price'!$I$11="OK",G381/INDEX(G$5:G$1258,'Stock Price'!$I$9)-1,"")</f>
        <v>0.27412541969024162</v>
      </c>
      <c r="U381" s="19">
        <f ca="1">IF('Stock Price'!$I$11="OK",H381/INDEX(H$5:H$1258,'Stock Price'!$I$9)-1,"")</f>
        <v>0.3337009803921569</v>
      </c>
      <c r="V381" s="19">
        <f ca="1">IF('Stock Price'!$I$11="OK",I381/INDEX(I$5:I$1258,'Stock Price'!$I$9)-1,"")</f>
        <v>-3.3553875236294939E-2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142.84989999999999</v>
      </c>
      <c r="C382" s="18">
        <v>91.972999999999999</v>
      </c>
      <c r="D382" s="18">
        <v>37.450000000000003</v>
      </c>
      <c r="E382" s="18">
        <v>37.159999999999997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0.18057768595041312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-0.21611721611721602</v>
      </c>
      <c r="R382" s="19">
        <f ca="1">IF('Stock Price'!$I$11="OK",E382/INDEX(E$5:E$1258,'Stock Price'!$I$9)-1,"")</f>
        <v>-0.20428265524625278</v>
      </c>
      <c r="S382" s="19">
        <f ca="1">IF('Stock Price'!$I$11="OK",F382/INDEX(F$5:F$1258,'Stock Price'!$I$9)-1,"")</f>
        <v>0.13493377483443725</v>
      </c>
      <c r="T382" s="19">
        <f ca="1">IF('Stock Price'!$I$11="OK",G382/INDEX(G$5:G$1258,'Stock Price'!$I$9)-1,"")</f>
        <v>0.28928842196469207</v>
      </c>
      <c r="U382" s="19">
        <f ca="1">IF('Stock Price'!$I$11="OK",H382/INDEX(H$5:H$1258,'Stock Price'!$I$9)-1,"")</f>
        <v>0.37144607843137267</v>
      </c>
      <c r="V382" s="19">
        <f ca="1">IF('Stock Price'!$I$11="OK",I382/INDEX(I$5:I$1258,'Stock Price'!$I$9)-1,"")</f>
        <v>-1.8194706994329013E-2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142.84989999999999</v>
      </c>
      <c r="C383" s="18">
        <v>93.124200000000002</v>
      </c>
      <c r="D383" s="18">
        <v>38</v>
      </c>
      <c r="E383" s="18">
        <v>38.15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0.18057768595041312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-0.20460491889063315</v>
      </c>
      <c r="R383" s="19">
        <f ca="1">IF('Stock Price'!$I$11="OK",E383/INDEX(E$5:E$1258,'Stock Price'!$I$9)-1,"")</f>
        <v>-0.18308351177730198</v>
      </c>
      <c r="S383" s="19">
        <f ca="1">IF('Stock Price'!$I$11="OK",F383/INDEX(F$5:F$1258,'Stock Price'!$I$9)-1,"")</f>
        <v>0.1574917218543046</v>
      </c>
      <c r="T383" s="19">
        <f ca="1">IF('Stock Price'!$I$11="OK",G383/INDEX(G$5:G$1258,'Stock Price'!$I$9)-1,"")</f>
        <v>0.3118163110581611</v>
      </c>
      <c r="U383" s="19">
        <f ca="1">IF('Stock Price'!$I$11="OK",H383/INDEX(H$5:H$1258,'Stock Price'!$I$9)-1,"")</f>
        <v>0.37659313725490207</v>
      </c>
      <c r="V383" s="19">
        <f ca="1">IF('Stock Price'!$I$11="OK",I383/INDEX(I$5:I$1258,'Stock Price'!$I$9)-1,"")</f>
        <v>-1.937618147448017E-2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144.76</v>
      </c>
      <c r="C384" s="18">
        <v>92.582499999999996</v>
      </c>
      <c r="D384" s="18">
        <v>37.869999999999997</v>
      </c>
      <c r="E384" s="18">
        <v>38.049999999999997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0.1963636363636363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-0.20732600732600737</v>
      </c>
      <c r="R384" s="19">
        <f ca="1">IF('Stock Price'!$I$11="OK",E384/INDEX(E$5:E$1258,'Stock Price'!$I$9)-1,"")</f>
        <v>-0.18522483940042833</v>
      </c>
      <c r="S384" s="19">
        <f ca="1">IF('Stock Price'!$I$11="OK",F384/INDEX(F$5:F$1258,'Stock Price'!$I$9)-1,"")</f>
        <v>0.13803807947019875</v>
      </c>
      <c r="T384" s="19">
        <f ca="1">IF('Stock Price'!$I$11="OK",G384/INDEX(G$5:G$1258,'Stock Price'!$I$9)-1,"")</f>
        <v>0.3118163110581611</v>
      </c>
      <c r="U384" s="19">
        <f ca="1">IF('Stock Price'!$I$11="OK",H384/INDEX(H$5:H$1258,'Stock Price'!$I$9)-1,"")</f>
        <v>0.38002450980392166</v>
      </c>
      <c r="V384" s="19">
        <f ca="1">IF('Stock Price'!$I$11="OK",I384/INDEX(I$5:I$1258,'Stock Price'!$I$9)-1,"")</f>
        <v>-1.3941398865784604E-2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142.75</v>
      </c>
      <c r="C385" s="18">
        <v>92.679199999999994</v>
      </c>
      <c r="D385" s="18">
        <v>37.35</v>
      </c>
      <c r="E385" s="18">
        <v>37.909999999999997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0.17975206611570238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-0.21821036106750391</v>
      </c>
      <c r="R385" s="19">
        <f ca="1">IF('Stock Price'!$I$11="OK",E385/INDEX(E$5:E$1258,'Stock Price'!$I$9)-1,"")</f>
        <v>-0.18822269807280523</v>
      </c>
      <c r="S385" s="19">
        <f ca="1">IF('Stock Price'!$I$11="OK",F385/INDEX(F$5:F$1258,'Stock Price'!$I$9)-1,"")</f>
        <v>0.14279801324503305</v>
      </c>
      <c r="T385" s="19">
        <f ca="1">IF('Stock Price'!$I$11="OK",G385/INDEX(G$5:G$1258,'Stock Price'!$I$9)-1,"")</f>
        <v>0.3066175674212066</v>
      </c>
      <c r="U385" s="19">
        <f ca="1">IF('Stock Price'!$I$11="OK",H385/INDEX(H$5:H$1258,'Stock Price'!$I$9)-1,"")</f>
        <v>0.37855392156862755</v>
      </c>
      <c r="V385" s="19">
        <f ca="1">IF('Stock Price'!$I$11="OK",I385/INDEX(I$5:I$1258,'Stock Price'!$I$9)-1,"")</f>
        <v>-1.2523629489603061E-2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147.25</v>
      </c>
      <c r="C386" s="18">
        <v>93.327399999999997</v>
      </c>
      <c r="D386" s="18">
        <v>37.71</v>
      </c>
      <c r="E386" s="18">
        <v>38.49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0.21694214876033069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-0.2106750392464678</v>
      </c>
      <c r="R386" s="19">
        <f ca="1">IF('Stock Price'!$I$11="OK",E386/INDEX(E$5:E$1258,'Stock Price'!$I$9)-1,"")</f>
        <v>-0.17580299785867237</v>
      </c>
      <c r="S386" s="19">
        <f ca="1">IF('Stock Price'!$I$11="OK",F386/INDEX(F$5:F$1258,'Stock Price'!$I$9)-1,"")</f>
        <v>0.1548013245033113</v>
      </c>
      <c r="T386" s="19">
        <f ca="1">IF('Stock Price'!$I$11="OK",G386/INDEX(G$5:G$1258,'Stock Price'!$I$9)-1,"")</f>
        <v>0.30163543810245863</v>
      </c>
      <c r="U386" s="19">
        <f ca="1">IF('Stock Price'!$I$11="OK",H386/INDEX(H$5:H$1258,'Stock Price'!$I$9)-1,"")</f>
        <v>0.39399509803921573</v>
      </c>
      <c r="V386" s="19">
        <f ca="1">IF('Stock Price'!$I$11="OK",I386/INDEX(I$5:I$1258,'Stock Price'!$I$9)-1,"")</f>
        <v>-2.2448015122873421E-2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149.65</v>
      </c>
      <c r="C387" s="18">
        <v>95.020399999999995</v>
      </c>
      <c r="D387" s="18">
        <v>38.32</v>
      </c>
      <c r="E387" s="18">
        <v>39.01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0.23677685950413219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-0.19790685504971217</v>
      </c>
      <c r="R387" s="19">
        <f ca="1">IF('Stock Price'!$I$11="OK",E387/INDEX(E$5:E$1258,'Stock Price'!$I$9)-1,"")</f>
        <v>-0.16466809421841555</v>
      </c>
      <c r="S387" s="19">
        <f ca="1">IF('Stock Price'!$I$11="OK",F387/INDEX(F$5:F$1258,'Stock Price'!$I$9)-1,"")</f>
        <v>0.16100993377483452</v>
      </c>
      <c r="T387" s="19">
        <f ca="1">IF('Stock Price'!$I$11="OK",G387/INDEX(G$5:G$1258,'Stock Price'!$I$9)-1,"")</f>
        <v>0.32243041265027617</v>
      </c>
      <c r="U387" s="19">
        <f ca="1">IF('Stock Price'!$I$11="OK",H387/INDEX(H$5:H$1258,'Stock Price'!$I$9)-1,"")</f>
        <v>0.41642156862745106</v>
      </c>
      <c r="V387" s="19">
        <f ca="1">IF('Stock Price'!$I$11="OK",I387/INDEX(I$5:I$1258,'Stock Price'!$I$9)-1,"")</f>
        <v>-2.0085066162570886E-2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146.08000000000001</v>
      </c>
      <c r="C388" s="18">
        <v>94.691500000000005</v>
      </c>
      <c r="D388" s="18">
        <v>37.770000000000003</v>
      </c>
      <c r="E388" s="18">
        <v>38.729999999999997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0.20727272727272728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-0.20941915227629504</v>
      </c>
      <c r="R388" s="19">
        <f ca="1">IF('Stock Price'!$I$11="OK",E388/INDEX(E$5:E$1258,'Stock Price'!$I$9)-1,"")</f>
        <v>-0.17066381156316923</v>
      </c>
      <c r="S388" s="19">
        <f ca="1">IF('Stock Price'!$I$11="OK",F388/INDEX(F$5:F$1258,'Stock Price'!$I$9)-1,"")</f>
        <v>0.16204470198675502</v>
      </c>
      <c r="T388" s="19">
        <f ca="1">IF('Stock Price'!$I$11="OK",G388/INDEX(G$5:G$1258,'Stock Price'!$I$9)-1,"")</f>
        <v>0.32914545651467564</v>
      </c>
      <c r="U388" s="19">
        <f ca="1">IF('Stock Price'!$I$11="OK",H388/INDEX(H$5:H$1258,'Stock Price'!$I$9)-1,"")</f>
        <v>0.41311274509803941</v>
      </c>
      <c r="V388" s="19">
        <f ca="1">IF('Stock Price'!$I$11="OK",I388/INDEX(I$5:I$1258,'Stock Price'!$I$9)-1,"")</f>
        <v>-2.670132325141783E-2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146.78</v>
      </c>
      <c r="C389" s="18">
        <v>94.778499999999994</v>
      </c>
      <c r="D389" s="18">
        <v>37.39</v>
      </c>
      <c r="E389" s="18">
        <v>38.61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0.21305785123966947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-0.21737310308738877</v>
      </c>
      <c r="R389" s="19">
        <f ca="1">IF('Stock Price'!$I$11="OK",E389/INDEX(E$5:E$1258,'Stock Price'!$I$9)-1,"")</f>
        <v>-0.17323340471092086</v>
      </c>
      <c r="S389" s="19">
        <f ca="1">IF('Stock Price'!$I$11="OK",F389/INDEX(F$5:F$1258,'Stock Price'!$I$9)-1,"")</f>
        <v>0.1568708609271523</v>
      </c>
      <c r="T389" s="19">
        <f ca="1">IF('Stock Price'!$I$11="OK",G389/INDEX(G$5:G$1258,'Stock Price'!$I$9)-1,"")</f>
        <v>0.33261128560597863</v>
      </c>
      <c r="U389" s="19">
        <f ca="1">IF('Stock Price'!$I$11="OK",H389/INDEX(H$5:H$1258,'Stock Price'!$I$9)-1,"")</f>
        <v>0.40943627450980413</v>
      </c>
      <c r="V389" s="19">
        <f ca="1">IF('Stock Price'!$I$11="OK",I389/INDEX(I$5:I$1258,'Stock Price'!$I$9)-1,"")</f>
        <v>-2.6937618147447995E-2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148.88</v>
      </c>
      <c r="C390" s="18">
        <v>94.149699999999996</v>
      </c>
      <c r="D390" s="18">
        <v>36.78</v>
      </c>
      <c r="E390" s="18">
        <v>38.54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0.23041322314049584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-0.2301412872841444</v>
      </c>
      <c r="R390" s="19">
        <f ca="1">IF('Stock Price'!$I$11="OK",E390/INDEX(E$5:E$1258,'Stock Price'!$I$9)-1,"")</f>
        <v>-0.17473233404710931</v>
      </c>
      <c r="S390" s="19">
        <f ca="1">IF('Stock Price'!$I$11="OK",F390/INDEX(F$5:F$1258,'Stock Price'!$I$9)-1,"")</f>
        <v>0.14238410596026485</v>
      </c>
      <c r="T390" s="19">
        <f ca="1">IF('Stock Price'!$I$11="OK",G390/INDEX(G$5:G$1258,'Stock Price'!$I$9)-1,"")</f>
        <v>0.33001191378750128</v>
      </c>
      <c r="U390" s="19">
        <f ca="1">IF('Stock Price'!$I$11="OK",H390/INDEX(H$5:H$1258,'Stock Price'!$I$9)-1,"")</f>
        <v>0.40723039215686274</v>
      </c>
      <c r="V390" s="19">
        <f ca="1">IF('Stock Price'!$I$11="OK",I390/INDEX(I$5:I$1258,'Stock Price'!$I$9)-1,"")</f>
        <v>-4.1824196597353591E-2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147.78</v>
      </c>
      <c r="C391" s="18">
        <v>94.826899999999995</v>
      </c>
      <c r="D391" s="18">
        <v>36.93</v>
      </c>
      <c r="E391" s="18">
        <v>38.43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0.2213223140495868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-0.22700156985871267</v>
      </c>
      <c r="R391" s="19">
        <f ca="1">IF('Stock Price'!$I$11="OK",E391/INDEX(E$5:E$1258,'Stock Price'!$I$9)-1,"")</f>
        <v>-0.17708779443254818</v>
      </c>
      <c r="S391" s="19">
        <f ca="1">IF('Stock Price'!$I$11="OK",F391/INDEX(F$5:F$1258,'Stock Price'!$I$9)-1,"")</f>
        <v>0.15314569536423828</v>
      </c>
      <c r="T391" s="19">
        <f ca="1">IF('Stock Price'!$I$11="OK",G391/INDEX(G$5:G$1258,'Stock Price'!$I$9)-1,"")</f>
        <v>0.32762915628723066</v>
      </c>
      <c r="U391" s="19">
        <f ca="1">IF('Stock Price'!$I$11="OK",H391/INDEX(H$5:H$1258,'Stock Price'!$I$9)-1,"")</f>
        <v>0.39865196078431375</v>
      </c>
      <c r="V391" s="19">
        <f ca="1">IF('Stock Price'!$I$11="OK",I391/INDEX(I$5:I$1258,'Stock Price'!$I$9)-1,"")</f>
        <v>-4.9149338374291029E-2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147.60990000000001</v>
      </c>
      <c r="C392" s="18">
        <v>95.388000000000005</v>
      </c>
      <c r="D392" s="18">
        <v>36.46</v>
      </c>
      <c r="E392" s="18">
        <v>38.950000000000003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0.21991652892561997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-0.23683935112506538</v>
      </c>
      <c r="R392" s="19">
        <f ca="1">IF('Stock Price'!$I$11="OK",E392/INDEX(E$5:E$1258,'Stock Price'!$I$9)-1,"")</f>
        <v>-0.16595289079229125</v>
      </c>
      <c r="S392" s="19">
        <f ca="1">IF('Stock Price'!$I$11="OK",F392/INDEX(F$5:F$1258,'Stock Price'!$I$9)-1,"")</f>
        <v>0.14797185430463577</v>
      </c>
      <c r="T392" s="19">
        <f ca="1">IF('Stock Price'!$I$11="OK",G392/INDEX(G$5:G$1258,'Stock Price'!$I$9)-1,"")</f>
        <v>0.32113072674103771</v>
      </c>
      <c r="U392" s="19">
        <f ca="1">IF('Stock Price'!$I$11="OK",H392/INDEX(H$5:H$1258,'Stock Price'!$I$9)-1,"")</f>
        <v>0.39914215686274512</v>
      </c>
      <c r="V392" s="19">
        <f ca="1">IF('Stock Price'!$I$11="OK",I392/INDEX(I$5:I$1258,'Stock Price'!$I$9)-1,"")</f>
        <v>-5.8364839319470674E-2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151.74</v>
      </c>
      <c r="C393" s="18">
        <v>97.032600000000002</v>
      </c>
      <c r="D393" s="18">
        <v>36.71</v>
      </c>
      <c r="E393" s="18">
        <v>39.47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0.25404958677685952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-0.23160648874934586</v>
      </c>
      <c r="R393" s="19">
        <f ca="1">IF('Stock Price'!$I$11="OK",E393/INDEX(E$5:E$1258,'Stock Price'!$I$9)-1,"")</f>
        <v>-0.15481798715203432</v>
      </c>
      <c r="S393" s="19">
        <f ca="1">IF('Stock Price'!$I$11="OK",F393/INDEX(F$5:F$1258,'Stock Price'!$I$9)-1,"")</f>
        <v>0.17342715231788075</v>
      </c>
      <c r="T393" s="19">
        <f ca="1">IF('Stock Price'!$I$11="OK",G393/INDEX(G$5:G$1258,'Stock Price'!$I$9)-1,"")</f>
        <v>0.31463229719484453</v>
      </c>
      <c r="U393" s="19">
        <f ca="1">IF('Stock Price'!$I$11="OK",H393/INDEX(H$5:H$1258,'Stock Price'!$I$9)-1,"")</f>
        <v>0.41384803921568647</v>
      </c>
      <c r="V393" s="19">
        <f ca="1">IF('Stock Price'!$I$11="OK",I393/INDEX(I$5:I$1258,'Stock Price'!$I$9)-1,"")</f>
        <v>-4.9858223062381857E-2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153.1</v>
      </c>
      <c r="C394" s="18">
        <v>97.313199999999995</v>
      </c>
      <c r="D394" s="18">
        <v>36.65</v>
      </c>
      <c r="E394" s="18">
        <v>39.65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0.26528925619834709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-0.23286237571951862</v>
      </c>
      <c r="R394" s="19">
        <f ca="1">IF('Stock Price'!$I$11="OK",E394/INDEX(E$5:E$1258,'Stock Price'!$I$9)-1,"")</f>
        <v>-0.15096359743040688</v>
      </c>
      <c r="S394" s="19">
        <f ca="1">IF('Stock Price'!$I$11="OK",F394/INDEX(F$5:F$1258,'Stock Price'!$I$9)-1,"")</f>
        <v>0.17156456953642385</v>
      </c>
      <c r="T394" s="19">
        <f ca="1">IF('Stock Price'!$I$11="OK",G394/INDEX(G$5:G$1258,'Stock Price'!$I$9)-1,"")</f>
        <v>0.30900032492147722</v>
      </c>
      <c r="U394" s="19">
        <f ca="1">IF('Stock Price'!$I$11="OK",H394/INDEX(H$5:H$1258,'Stock Price'!$I$9)-1,"")</f>
        <v>0.42083333333333339</v>
      </c>
      <c r="V394" s="19">
        <f ca="1">IF('Stock Price'!$I$11="OK",I394/INDEX(I$5:I$1258,'Stock Price'!$I$9)-1,"")</f>
        <v>-5.6947069943289352E-2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151</v>
      </c>
      <c r="C395" s="18">
        <v>100.6508</v>
      </c>
      <c r="D395" s="18">
        <v>36.909999999999997</v>
      </c>
      <c r="E395" s="18">
        <v>39.85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0.24793388429752072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-0.22742019884877029</v>
      </c>
      <c r="R395" s="19">
        <f ca="1">IF('Stock Price'!$I$11="OK",E395/INDEX(E$5:E$1258,'Stock Price'!$I$9)-1,"")</f>
        <v>-0.14668094218415417</v>
      </c>
      <c r="S395" s="19">
        <f ca="1">IF('Stock Price'!$I$11="OK",F395/INDEX(F$5:F$1258,'Stock Price'!$I$9)-1,"")</f>
        <v>0.18336092715231778</v>
      </c>
      <c r="T395" s="19">
        <f ca="1">IF('Stock Price'!$I$11="OK",G395/INDEX(G$5:G$1258,'Stock Price'!$I$9)-1,"")</f>
        <v>0.30900032492147722</v>
      </c>
      <c r="U395" s="19">
        <f ca="1">IF('Stock Price'!$I$11="OK",H395/INDEX(H$5:H$1258,'Stock Price'!$I$9)-1,"")</f>
        <v>0.42806372549019622</v>
      </c>
      <c r="V395" s="19">
        <f ca="1">IF('Stock Price'!$I$11="OK",I395/INDEX(I$5:I$1258,'Stock Price'!$I$9)-1,"")</f>
        <v>-7.065217391304357E-2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147.15</v>
      </c>
      <c r="C396" s="18">
        <v>99.199700000000007</v>
      </c>
      <c r="D396" s="18">
        <v>35.93</v>
      </c>
      <c r="E396" s="18">
        <v>38.68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0.21611570247933898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-0.24793301936159073</v>
      </c>
      <c r="R396" s="19">
        <f ca="1">IF('Stock Price'!$I$11="OK",E396/INDEX(E$5:E$1258,'Stock Price'!$I$9)-1,"")</f>
        <v>-0.17173447537473241</v>
      </c>
      <c r="S396" s="19">
        <f ca="1">IF('Stock Price'!$I$11="OK",F396/INDEX(F$5:F$1258,'Stock Price'!$I$9)-1,"")</f>
        <v>0.16349337748344372</v>
      </c>
      <c r="T396" s="19">
        <f ca="1">IF('Stock Price'!$I$11="OK",G396/INDEX(G$5:G$1258,'Stock Price'!$I$9)-1,"")</f>
        <v>0.30206866673887145</v>
      </c>
      <c r="U396" s="19">
        <f ca="1">IF('Stock Price'!$I$11="OK",H396/INDEX(H$5:H$1258,'Stock Price'!$I$9)-1,"")</f>
        <v>0.39007352941176499</v>
      </c>
      <c r="V396" s="19">
        <f ca="1">IF('Stock Price'!$I$11="OK",I396/INDEX(I$5:I$1258,'Stock Price'!$I$9)-1,"")</f>
        <v>-8.7192816635160653E-2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146</v>
      </c>
      <c r="C397" s="18">
        <v>99.306100000000001</v>
      </c>
      <c r="D397" s="18">
        <v>36.01</v>
      </c>
      <c r="E397" s="18">
        <v>38.659999999999997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0.20661157024793386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-0.24625850340136057</v>
      </c>
      <c r="R397" s="19">
        <f ca="1">IF('Stock Price'!$I$11="OK",E397/INDEX(E$5:E$1258,'Stock Price'!$I$9)-1,"")</f>
        <v>-0.17216274089935768</v>
      </c>
      <c r="S397" s="19">
        <f ca="1">IF('Stock Price'!$I$11="OK",F397/INDEX(F$5:F$1258,'Stock Price'!$I$9)-1,"")</f>
        <v>0.16080298013245042</v>
      </c>
      <c r="T397" s="19">
        <f ca="1">IF('Stock Price'!$I$11="OK",G397/INDEX(G$5:G$1258,'Stock Price'!$I$9)-1,"")</f>
        <v>0.29362070832882048</v>
      </c>
      <c r="U397" s="19">
        <f ca="1">IF('Stock Price'!$I$11="OK",H397/INDEX(H$5:H$1258,'Stock Price'!$I$9)-1,"")</f>
        <v>0.41127450980392166</v>
      </c>
      <c r="V397" s="19">
        <f ca="1">IF('Stock Price'!$I$11="OK",I397/INDEX(I$5:I$1258,'Stock Price'!$I$9)-1,"")</f>
        <v>-8.4593572778827952E-2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146.55000000000001</v>
      </c>
      <c r="C398" s="18">
        <v>99.228700000000003</v>
      </c>
      <c r="D398" s="18">
        <v>36.03</v>
      </c>
      <c r="E398" s="18">
        <v>39.22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0.21115702479338849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-0.24583987441130295</v>
      </c>
      <c r="R398" s="19">
        <f ca="1">IF('Stock Price'!$I$11="OK",E398/INDEX(E$5:E$1258,'Stock Price'!$I$9)-1,"")</f>
        <v>-0.16017130620985021</v>
      </c>
      <c r="S398" s="19">
        <f ca="1">IF('Stock Price'!$I$11="OK",F398/INDEX(F$5:F$1258,'Stock Price'!$I$9)-1,"")</f>
        <v>0.11030629139072845</v>
      </c>
      <c r="T398" s="19">
        <f ca="1">IF('Stock Price'!$I$11="OK",G398/INDEX(G$5:G$1258,'Stock Price'!$I$9)-1,"")</f>
        <v>0.29448716560164634</v>
      </c>
      <c r="U398" s="19">
        <f ca="1">IF('Stock Price'!$I$11="OK",H398/INDEX(H$5:H$1258,'Stock Price'!$I$9)-1,"")</f>
        <v>0.4150735294117649</v>
      </c>
      <c r="V398" s="19">
        <f ca="1">IF('Stock Price'!$I$11="OK",I398/INDEX(I$5:I$1258,'Stock Price'!$I$9)-1,"")</f>
        <v>-8.104914933837426E-2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146.31</v>
      </c>
      <c r="C399" s="18">
        <v>99.199700000000007</v>
      </c>
      <c r="D399" s="18">
        <v>36.200000000000003</v>
      </c>
      <c r="E399" s="18">
        <v>39.25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0.20917355371900825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-0.24228152799581359</v>
      </c>
      <c r="R399" s="19">
        <f ca="1">IF('Stock Price'!$I$11="OK",E399/INDEX(E$5:E$1258,'Stock Price'!$I$9)-1,"")</f>
        <v>-0.1595289079229123</v>
      </c>
      <c r="S399" s="19">
        <f ca="1">IF('Stock Price'!$I$11="OK",F399/INDEX(F$5:F$1258,'Stock Price'!$I$9)-1,"")</f>
        <v>0.10596026490066213</v>
      </c>
      <c r="T399" s="19">
        <f ca="1">IF('Stock Price'!$I$11="OK",G399/INDEX(G$5:G$1258,'Stock Price'!$I$9)-1,"")</f>
        <v>0.29448716560164634</v>
      </c>
      <c r="U399" s="19">
        <f ca="1">IF('Stock Price'!$I$11="OK",H399/INDEX(H$5:H$1258,'Stock Price'!$I$9)-1,"")</f>
        <v>0.4257352941176471</v>
      </c>
      <c r="V399" s="19">
        <f ca="1">IF('Stock Price'!$I$11="OK",I399/INDEX(I$5:I$1258,'Stock Price'!$I$9)-1,"")</f>
        <v>-7.3487712665406435E-2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146.15</v>
      </c>
      <c r="C400" s="18">
        <v>100.1671</v>
      </c>
      <c r="D400" s="18">
        <v>36.35</v>
      </c>
      <c r="E400" s="18">
        <v>39.450000000000003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0.20785123966942143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-0.23914181057038197</v>
      </c>
      <c r="R400" s="19">
        <f ca="1">IF('Stock Price'!$I$11="OK",E400/INDEX(E$5:E$1258,'Stock Price'!$I$9)-1,"")</f>
        <v>-0.15524625267665948</v>
      </c>
      <c r="S400" s="19">
        <f ca="1">IF('Stock Price'!$I$11="OK",F400/INDEX(F$5:F$1258,'Stock Price'!$I$9)-1,"")</f>
        <v>0.10409768211920523</v>
      </c>
      <c r="T400" s="19">
        <f ca="1">IF('Stock Price'!$I$11="OK",G400/INDEX(G$5:G$1258,'Stock Price'!$I$9)-1,"")</f>
        <v>0.23903390014079928</v>
      </c>
      <c r="U400" s="19">
        <f ca="1">IF('Stock Price'!$I$11="OK",H400/INDEX(H$5:H$1258,'Stock Price'!$I$9)-1,"")</f>
        <v>0.44473039215686283</v>
      </c>
      <c r="V400" s="19">
        <f ca="1">IF('Stock Price'!$I$11="OK",I400/INDEX(I$5:I$1258,'Stock Price'!$I$9)-1,"")</f>
        <v>-7.7032136105860016E-2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151.30000000000001</v>
      </c>
      <c r="C401" s="18">
        <v>101.0474</v>
      </c>
      <c r="D401" s="18">
        <v>36.840000000000003</v>
      </c>
      <c r="E401" s="18">
        <v>39.54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0.25041322314049586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-0.22888540031397164</v>
      </c>
      <c r="R401" s="19">
        <f ca="1">IF('Stock Price'!$I$11="OK",E401/INDEX(E$5:E$1258,'Stock Price'!$I$9)-1,"")</f>
        <v>-0.15331905781584587</v>
      </c>
      <c r="S401" s="19">
        <f ca="1">IF('Stock Price'!$I$11="OK",F401/INDEX(F$5:F$1258,'Stock Price'!$I$9)-1,"")</f>
        <v>0.12210264900662238</v>
      </c>
      <c r="T401" s="19">
        <f ca="1">IF('Stock Price'!$I$11="OK",G401/INDEX(G$5:G$1258,'Stock Price'!$I$9)-1,"")</f>
        <v>0.23903390014079928</v>
      </c>
      <c r="U401" s="19">
        <f ca="1">IF('Stock Price'!$I$11="OK",H401/INDEX(H$5:H$1258,'Stock Price'!$I$9)-1,"")</f>
        <v>0.44877450980392175</v>
      </c>
      <c r="V401" s="19">
        <f ca="1">IF('Stock Price'!$I$11="OK",I401/INDEX(I$5:I$1258,'Stock Price'!$I$9)-1,"")</f>
        <v>-9.1446124763705061E-2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150.5</v>
      </c>
      <c r="C402" s="18">
        <v>101.2119</v>
      </c>
      <c r="D402" s="18">
        <v>36.71</v>
      </c>
      <c r="E402" s="18">
        <v>39.64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0.24380165289256195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-0.23160648874934586</v>
      </c>
      <c r="R402" s="19">
        <f ca="1">IF('Stock Price'!$I$11="OK",E402/INDEX(E$5:E$1258,'Stock Price'!$I$9)-1,"")</f>
        <v>-0.15117773019271952</v>
      </c>
      <c r="S402" s="19">
        <f ca="1">IF('Stock Price'!$I$11="OK",F402/INDEX(F$5:F$1258,'Stock Price'!$I$9)-1,"")</f>
        <v>0.13265728476821192</v>
      </c>
      <c r="T402" s="19">
        <f ca="1">IF('Stock Price'!$I$11="OK",G402/INDEX(G$5:G$1258,'Stock Price'!$I$9)-1,"")</f>
        <v>0.25852918877937836</v>
      </c>
      <c r="U402" s="19">
        <f ca="1">IF('Stock Price'!$I$11="OK",H402/INDEX(H$5:H$1258,'Stock Price'!$I$9)-1,"")</f>
        <v>0.43835784313725501</v>
      </c>
      <c r="V402" s="19">
        <f ca="1">IF('Stock Price'!$I$11="OK",I402/INDEX(I$5:I$1258,'Stock Price'!$I$9)-1,"")</f>
        <v>-9.6644612476370573E-2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148.5</v>
      </c>
      <c r="C403" s="18">
        <v>101.3087</v>
      </c>
      <c r="D403" s="18">
        <v>36.979999999999997</v>
      </c>
      <c r="E403" s="18">
        <v>39.79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0.22727272727272729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-0.22595499738356883</v>
      </c>
      <c r="R403" s="19">
        <f ca="1">IF('Stock Price'!$I$11="OK",E403/INDEX(E$5:E$1258,'Stock Price'!$I$9)-1,"")</f>
        <v>-0.1479657387580301</v>
      </c>
      <c r="S403" s="19">
        <f ca="1">IF('Stock Price'!$I$11="OK",F403/INDEX(F$5:F$1258,'Stock Price'!$I$9)-1,"")</f>
        <v>0.154180463576159</v>
      </c>
      <c r="T403" s="19">
        <f ca="1">IF('Stock Price'!$I$11="OK",G403/INDEX(G$5:G$1258,'Stock Price'!$I$9)-1,"")</f>
        <v>0.27152604787176449</v>
      </c>
      <c r="U403" s="19">
        <f ca="1">IF('Stock Price'!$I$11="OK",H403/INDEX(H$5:H$1258,'Stock Price'!$I$9)-1,"")</f>
        <v>0.44215686274509824</v>
      </c>
      <c r="V403" s="19">
        <f ca="1">IF('Stock Price'!$I$11="OK",I403/INDEX(I$5:I$1258,'Stock Price'!$I$9)-1,"")</f>
        <v>-9.0500945179584069E-2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147.05009999999999</v>
      </c>
      <c r="C404" s="18">
        <v>101.49250000000001</v>
      </c>
      <c r="D404" s="18">
        <v>36.770000000000003</v>
      </c>
      <c r="E404" s="18">
        <v>39.96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0.21529008264462801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-0.2303506017791731</v>
      </c>
      <c r="R404" s="19">
        <f ca="1">IF('Stock Price'!$I$11="OK",E404/INDEX(E$5:E$1258,'Stock Price'!$I$9)-1,"")</f>
        <v>-0.14432548179871518</v>
      </c>
      <c r="S404" s="19">
        <f ca="1">IF('Stock Price'!$I$11="OK",F404/INDEX(F$5:F$1258,'Stock Price'!$I$9)-1,"")</f>
        <v>0.13679635761589393</v>
      </c>
      <c r="T404" s="19">
        <f ca="1">IF('Stock Price'!$I$11="OK",G404/INDEX(G$5:G$1258,'Stock Price'!$I$9)-1,"")</f>
        <v>0.26307808946171352</v>
      </c>
      <c r="U404" s="19">
        <f ca="1">IF('Stock Price'!$I$11="OK",H404/INDEX(H$5:H$1258,'Stock Price'!$I$9)-1,"")</f>
        <v>0.45073529411764701</v>
      </c>
      <c r="V404" s="19">
        <f ca="1">IF('Stock Price'!$I$11="OK",I404/INDEX(I$5:I$1258,'Stock Price'!$I$9)-1,"")</f>
        <v>-8.6247637051039661E-2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149.09989999999999</v>
      </c>
      <c r="C405" s="18">
        <v>101.2893</v>
      </c>
      <c r="D405" s="18">
        <v>36.450000000000003</v>
      </c>
      <c r="E405" s="18">
        <v>39.799999999999997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0.23223057851239659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-0.23704866562009408</v>
      </c>
      <c r="R405" s="19">
        <f ca="1">IF('Stock Price'!$I$11="OK",E405/INDEX(E$5:E$1258,'Stock Price'!$I$9)-1,"")</f>
        <v>-0.14775160599571746</v>
      </c>
      <c r="S405" s="19">
        <f ca="1">IF('Stock Price'!$I$11="OK",F405/INDEX(F$5:F$1258,'Stock Price'!$I$9)-1,"")</f>
        <v>0.14052152317880795</v>
      </c>
      <c r="T405" s="19">
        <f ca="1">IF('Stock Price'!$I$11="OK",G405/INDEX(G$5:G$1258,'Stock Price'!$I$9)-1,"")</f>
        <v>0.26351131809812633</v>
      </c>
      <c r="U405" s="19">
        <f ca="1">IF('Stock Price'!$I$11="OK",H405/INDEX(H$5:H$1258,'Stock Price'!$I$9)-1,"")</f>
        <v>0.43909313725490207</v>
      </c>
      <c r="V405" s="19">
        <f ca="1">IF('Stock Price'!$I$11="OK",I405/INDEX(I$5:I$1258,'Stock Price'!$I$9)-1,"")</f>
        <v>-9.0737240075614456E-2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151</v>
      </c>
      <c r="C406" s="18">
        <v>100.2542</v>
      </c>
      <c r="D406" s="18">
        <v>36.53</v>
      </c>
      <c r="E406" s="18">
        <v>39.549999999999997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0.24793388429752072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-0.23537414965986392</v>
      </c>
      <c r="R406" s="19">
        <f ca="1">IF('Stock Price'!$I$11="OK",E406/INDEX(E$5:E$1258,'Stock Price'!$I$9)-1,"")</f>
        <v>-0.15310492505353335</v>
      </c>
      <c r="S406" s="19">
        <f ca="1">IF('Stock Price'!$I$11="OK",F406/INDEX(F$5:F$1258,'Stock Price'!$I$9)-1,"")</f>
        <v>0.12934602649006632</v>
      </c>
      <c r="T406" s="19">
        <f ca="1">IF('Stock Price'!$I$11="OK",G406/INDEX(G$5:G$1258,'Stock Price'!$I$9)-1,"")</f>
        <v>0.26264486082530047</v>
      </c>
      <c r="U406" s="19">
        <f ca="1">IF('Stock Price'!$I$11="OK",H406/INDEX(H$5:H$1258,'Stock Price'!$I$9)-1,"")</f>
        <v>0.44485294117647078</v>
      </c>
      <c r="V406" s="19">
        <f ca="1">IF('Stock Price'!$I$11="OK",I406/INDEX(I$5:I$1258,'Stock Price'!$I$9)-1,"")</f>
        <v>-9.4990548204158864E-2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150.63999999999999</v>
      </c>
      <c r="C407" s="18">
        <v>100.051</v>
      </c>
      <c r="D407" s="18">
        <v>36.28</v>
      </c>
      <c r="E407" s="18">
        <v>39.56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0.24495867768595025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-0.24060701203558343</v>
      </c>
      <c r="R407" s="19">
        <f ca="1">IF('Stock Price'!$I$11="OK",E407/INDEX(E$5:E$1258,'Stock Price'!$I$9)-1,"")</f>
        <v>-0.1528907922912206</v>
      </c>
      <c r="S407" s="19">
        <f ca="1">IF('Stock Price'!$I$11="OK",F407/INDEX(F$5:F$1258,'Stock Price'!$I$9)-1,"")</f>
        <v>0.1254139072847682</v>
      </c>
      <c r="T407" s="19">
        <f ca="1">IF('Stock Price'!$I$11="OK",G407/INDEX(G$5:G$1258,'Stock Price'!$I$9)-1,"")</f>
        <v>0.168417632405502</v>
      </c>
      <c r="U407" s="19">
        <f ca="1">IF('Stock Price'!$I$11="OK",H407/INDEX(H$5:H$1258,'Stock Price'!$I$9)-1,"")</f>
        <v>0.44056372549019618</v>
      </c>
      <c r="V407" s="19">
        <f ca="1">IF('Stock Price'!$I$11="OK",I407/INDEX(I$5:I$1258,'Stock Price'!$I$9)-1,"")</f>
        <v>-0.1120037807183365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145.80009999999999</v>
      </c>
      <c r="C408" s="18">
        <v>99.780100000000004</v>
      </c>
      <c r="D408" s="18">
        <v>36.53</v>
      </c>
      <c r="E408" s="18">
        <v>39.83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0.20495950413223119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-0.23537414965986392</v>
      </c>
      <c r="R408" s="19">
        <f ca="1">IF('Stock Price'!$I$11="OK",E408/INDEX(E$5:E$1258,'Stock Price'!$I$9)-1,"")</f>
        <v>-0.14710920770877955</v>
      </c>
      <c r="S408" s="19">
        <f ca="1">IF('Stock Price'!$I$11="OK",F408/INDEX(F$5:F$1258,'Stock Price'!$I$9)-1,"")</f>
        <v>0.1202400662251657</v>
      </c>
      <c r="T408" s="19">
        <f ca="1">IF('Stock Price'!$I$11="OK",G408/INDEX(G$5:G$1258,'Stock Price'!$I$9)-1,"")</f>
        <v>0.16386873172316685</v>
      </c>
      <c r="U408" s="19">
        <f ca="1">IF('Stock Price'!$I$11="OK",H408/INDEX(H$5:H$1258,'Stock Price'!$I$9)-1,"")</f>
        <v>0.43553921568627452</v>
      </c>
      <c r="V408" s="19">
        <f ca="1">IF('Stock Price'!$I$11="OK",I408/INDEX(I$5:I$1258,'Stock Price'!$I$9)-1,"")</f>
        <v>-0.11743856332703206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149.44990000000001</v>
      </c>
      <c r="C409" s="18">
        <v>99.760800000000003</v>
      </c>
      <c r="D409" s="18">
        <v>36.78</v>
      </c>
      <c r="E409" s="18">
        <v>39.79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0.2351231404958678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-0.2301412872841444</v>
      </c>
      <c r="R409" s="19">
        <f ca="1">IF('Stock Price'!$I$11="OK",E409/INDEX(E$5:E$1258,'Stock Price'!$I$9)-1,"")</f>
        <v>-0.1479657387580301</v>
      </c>
      <c r="S409" s="19">
        <f ca="1">IF('Stock Price'!$I$11="OK",F409/INDEX(F$5:F$1258,'Stock Price'!$I$9)-1,"")</f>
        <v>0.1287251655629138</v>
      </c>
      <c r="T409" s="19">
        <f ca="1">IF('Stock Price'!$I$11="OK",G409/INDEX(G$5:G$1258,'Stock Price'!$I$9)-1,"")</f>
        <v>0.15455431604029024</v>
      </c>
      <c r="U409" s="19">
        <f ca="1">IF('Stock Price'!$I$11="OK",H409/INDEX(H$5:H$1258,'Stock Price'!$I$9)-1,"")</f>
        <v>0.42610294117647074</v>
      </c>
      <c r="V409" s="19">
        <f ca="1">IF('Stock Price'!$I$11="OK",I409/INDEX(I$5:I$1258,'Stock Price'!$I$9)-1,"")</f>
        <v>-0.12192816635160686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151.19999999999999</v>
      </c>
      <c r="C410" s="18">
        <v>99.460899999999995</v>
      </c>
      <c r="D410" s="18">
        <v>36.47</v>
      </c>
      <c r="E410" s="18">
        <v>39.31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0.24958677685950414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-0.23663003663003668</v>
      </c>
      <c r="R410" s="19">
        <f ca="1">IF('Stock Price'!$I$11="OK",E410/INDEX(E$5:E$1258,'Stock Price'!$I$9)-1,"")</f>
        <v>-0.15824411134903638</v>
      </c>
      <c r="S410" s="19">
        <f ca="1">IF('Stock Price'!$I$11="OK",F410/INDEX(F$5:F$1258,'Stock Price'!$I$9)-1,"")</f>
        <v>0.1289321192052979</v>
      </c>
      <c r="T410" s="19">
        <f ca="1">IF('Stock Price'!$I$11="OK",G410/INDEX(G$5:G$1258,'Stock Price'!$I$9)-1,"")</f>
        <v>0.16213581717751535</v>
      </c>
      <c r="U410" s="19">
        <f ca="1">IF('Stock Price'!$I$11="OK",H410/INDEX(H$5:H$1258,'Stock Price'!$I$9)-1,"")</f>
        <v>0.42254901960784319</v>
      </c>
      <c r="V410" s="19">
        <f ca="1">IF('Stock Price'!$I$11="OK",I410/INDEX(I$5:I$1258,'Stock Price'!$I$9)-1,"")</f>
        <v>-0.12547258979206055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147.19999999999999</v>
      </c>
      <c r="C411" s="18">
        <v>97.922700000000006</v>
      </c>
      <c r="D411" s="18">
        <v>36.14</v>
      </c>
      <c r="E411" s="18">
        <v>39.82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0.21652892561983461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-0.24353741496598635</v>
      </c>
      <c r="R411" s="19">
        <f ca="1">IF('Stock Price'!$I$11="OK",E411/INDEX(E$5:E$1258,'Stock Price'!$I$9)-1,"")</f>
        <v>-0.14732334047109208</v>
      </c>
      <c r="S411" s="19">
        <f ca="1">IF('Stock Price'!$I$11="OK",F411/INDEX(F$5:F$1258,'Stock Price'!$I$9)-1,"")</f>
        <v>0.11113410596026485</v>
      </c>
      <c r="T411" s="19">
        <f ca="1">IF('Stock Price'!$I$11="OK",G411/INDEX(G$5:G$1258,'Stock Price'!$I$9)-1,"")</f>
        <v>0.16516841763240553</v>
      </c>
      <c r="U411" s="19">
        <f ca="1">IF('Stock Price'!$I$11="OK",H411/INDEX(H$5:H$1258,'Stock Price'!$I$9)-1,"")</f>
        <v>0.40637254901960795</v>
      </c>
      <c r="V411" s="19">
        <f ca="1">IF('Stock Price'!$I$11="OK",I411/INDEX(I$5:I$1258,'Stock Price'!$I$9)-1,"")</f>
        <v>-0.13161625708884683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146.44</v>
      </c>
      <c r="C412" s="18">
        <v>97.081000000000003</v>
      </c>
      <c r="D412" s="18">
        <v>35.21</v>
      </c>
      <c r="E412" s="18">
        <v>39.590000000000003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0.21024793388429752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-0.26300366300366296</v>
      </c>
      <c r="R412" s="19">
        <f ca="1">IF('Stock Price'!$I$11="OK",E412/INDEX(E$5:E$1258,'Stock Price'!$I$9)-1,"")</f>
        <v>-0.15224839400428258</v>
      </c>
      <c r="S412" s="19">
        <f ca="1">IF('Stock Price'!$I$11="OK",F412/INDEX(F$5:F$1258,'Stock Price'!$I$9)-1,"")</f>
        <v>0.11465231788079477</v>
      </c>
      <c r="T412" s="19">
        <f ca="1">IF('Stock Price'!$I$11="OK",G412/INDEX(G$5:G$1258,'Stock Price'!$I$9)-1,"")</f>
        <v>0.1721000758150113</v>
      </c>
      <c r="U412" s="19">
        <f ca="1">IF('Stock Price'!$I$11="OK",H412/INDEX(H$5:H$1258,'Stock Price'!$I$9)-1,"")</f>
        <v>0.39705882352941191</v>
      </c>
      <c r="V412" s="19">
        <f ca="1">IF('Stock Price'!$I$11="OK",I412/INDEX(I$5:I$1258,'Stock Price'!$I$9)-1,"")</f>
        <v>-0.13799621928166361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150.96</v>
      </c>
      <c r="C413" s="18">
        <v>97.525999999999996</v>
      </c>
      <c r="D413" s="18">
        <v>35.61</v>
      </c>
      <c r="E413" s="18">
        <v>40.020000000000003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0.24760330578512413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-0.25463108320251171</v>
      </c>
      <c r="R413" s="19">
        <f ca="1">IF('Stock Price'!$I$11="OK",E413/INDEX(E$5:E$1258,'Stock Price'!$I$9)-1,"")</f>
        <v>-0.14304068522483937</v>
      </c>
      <c r="S413" s="19">
        <f ca="1">IF('Stock Price'!$I$11="OK",F413/INDEX(F$5:F$1258,'Stock Price'!$I$9)-1,"")</f>
        <v>0.13886589403973515</v>
      </c>
      <c r="T413" s="19">
        <f ca="1">IF('Stock Price'!$I$11="OK",G413/INDEX(G$5:G$1258,'Stock Price'!$I$9)-1,"")</f>
        <v>0.18249756308892029</v>
      </c>
      <c r="U413" s="19">
        <f ca="1">IF('Stock Price'!$I$11="OK",H413/INDEX(H$5:H$1258,'Stock Price'!$I$9)-1,"")</f>
        <v>0.41531862745098036</v>
      </c>
      <c r="V413" s="19">
        <f ca="1">IF('Stock Price'!$I$11="OK",I413/INDEX(I$5:I$1258,'Stock Price'!$I$9)-1,"")</f>
        <v>-0.13114366729678628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147.9</v>
      </c>
      <c r="C414" s="18">
        <v>97.458299999999994</v>
      </c>
      <c r="D414" s="18">
        <v>35.35</v>
      </c>
      <c r="E414" s="18">
        <v>39.76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0.22231404958677681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-0.26007326007326004</v>
      </c>
      <c r="R414" s="19">
        <f ca="1">IF('Stock Price'!$I$11="OK",E414/INDEX(E$5:E$1258,'Stock Price'!$I$9)-1,"")</f>
        <v>-0.148608137044968</v>
      </c>
      <c r="S414" s="19">
        <f ca="1">IF('Stock Price'!$I$11="OK",F414/INDEX(F$5:F$1258,'Stock Price'!$I$9)-1,"")</f>
        <v>0.11713576158940397</v>
      </c>
      <c r="T414" s="19">
        <f ca="1">IF('Stock Price'!$I$11="OK",G414/INDEX(G$5:G$1258,'Stock Price'!$I$9)-1,"")</f>
        <v>0.16798440376908919</v>
      </c>
      <c r="U414" s="19">
        <f ca="1">IF('Stock Price'!$I$11="OK",H414/INDEX(H$5:H$1258,'Stock Price'!$I$9)-1,"")</f>
        <v>0.40306372549019609</v>
      </c>
      <c r="V414" s="19">
        <f ca="1">IF('Stock Price'!$I$11="OK",I414/INDEX(I$5:I$1258,'Stock Price'!$I$9)-1,"")</f>
        <v>-8.4357277882797788E-2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147.94</v>
      </c>
      <c r="C415" s="18">
        <v>96.984300000000005</v>
      </c>
      <c r="D415" s="18">
        <v>35.42</v>
      </c>
      <c r="E415" s="18">
        <v>39.65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0.22264462809917362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-0.25860805860805858</v>
      </c>
      <c r="R415" s="19">
        <f ca="1">IF('Stock Price'!$I$11="OK",E415/INDEX(E$5:E$1258,'Stock Price'!$I$9)-1,"")</f>
        <v>-0.15096359743040688</v>
      </c>
      <c r="S415" s="19">
        <f ca="1">IF('Stock Price'!$I$11="OK",F415/INDEX(F$5:F$1258,'Stock Price'!$I$9)-1,"")</f>
        <v>0.1256208609271523</v>
      </c>
      <c r="T415" s="19">
        <f ca="1">IF('Stock Price'!$I$11="OK",G415/INDEX(G$5:G$1258,'Stock Price'!$I$9)-1,"")</f>
        <v>0.17080038990577284</v>
      </c>
      <c r="U415" s="19">
        <f ca="1">IF('Stock Price'!$I$11="OK",H415/INDEX(H$5:H$1258,'Stock Price'!$I$9)-1,"")</f>
        <v>0.38811274509803928</v>
      </c>
      <c r="V415" s="19">
        <f ca="1">IF('Stock Price'!$I$11="OK",I415/INDEX(I$5:I$1258,'Stock Price'!$I$9)-1,"")</f>
        <v>-6.3327032136105799E-2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143.75</v>
      </c>
      <c r="C416" s="18">
        <v>96.7714</v>
      </c>
      <c r="D416" s="18">
        <v>34.69</v>
      </c>
      <c r="E416" s="18">
        <v>39.85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0.18801652892561993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-0.27388801674515961</v>
      </c>
      <c r="R416" s="19">
        <f ca="1">IF('Stock Price'!$I$11="OK",E416/INDEX(E$5:E$1258,'Stock Price'!$I$9)-1,"")</f>
        <v>-0.14668094218415417</v>
      </c>
      <c r="S416" s="19">
        <f ca="1">IF('Stock Price'!$I$11="OK",F416/INDEX(F$5:F$1258,'Stock Price'!$I$9)-1,"")</f>
        <v>0.11692880794701987</v>
      </c>
      <c r="T416" s="19">
        <f ca="1">IF('Stock Price'!$I$11="OK",G416/INDEX(G$5:G$1258,'Stock Price'!$I$9)-1,"")</f>
        <v>0.16885086104191482</v>
      </c>
      <c r="U416" s="19">
        <f ca="1">IF('Stock Price'!$I$11="OK",H416/INDEX(H$5:H$1258,'Stock Price'!$I$9)-1,"")</f>
        <v>0.39215686274509798</v>
      </c>
      <c r="V416" s="19">
        <f ca="1">IF('Stock Price'!$I$11="OK",I416/INDEX(I$5:I$1258,'Stock Price'!$I$9)-1,"")</f>
        <v>-8.7192816635160653E-2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145.26</v>
      </c>
      <c r="C417" s="18">
        <v>94.594700000000003</v>
      </c>
      <c r="D417" s="18">
        <v>34.11</v>
      </c>
      <c r="E417" s="18">
        <v>39.9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0.20049586776859507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-0.28602825745682892</v>
      </c>
      <c r="R417" s="19">
        <f ca="1">IF('Stock Price'!$I$11="OK",E417/INDEX(E$5:E$1258,'Stock Price'!$I$9)-1,"")</f>
        <v>-0.14561027837259111</v>
      </c>
      <c r="S417" s="19">
        <f ca="1">IF('Stock Price'!$I$11="OK",F417/INDEX(F$5:F$1258,'Stock Price'!$I$9)-1,"")</f>
        <v>8.8369205298013398E-2</v>
      </c>
      <c r="T417" s="19">
        <f ca="1">IF('Stock Price'!$I$11="OK",G417/INDEX(G$5:G$1258,'Stock Price'!$I$9)-1,"")</f>
        <v>0.15628723058594174</v>
      </c>
      <c r="U417" s="19">
        <f ca="1">IF('Stock Price'!$I$11="OK",H417/INDEX(H$5:H$1258,'Stock Price'!$I$9)-1,"")</f>
        <v>0.37622549019607843</v>
      </c>
      <c r="V417" s="19">
        <f ca="1">IF('Stock Price'!$I$11="OK",I417/INDEX(I$5:I$1258,'Stock Price'!$I$9)-1,"")</f>
        <v>-0.10609640831758038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144.55000000000001</v>
      </c>
      <c r="C418" s="18">
        <v>94.6721</v>
      </c>
      <c r="D418" s="18">
        <v>34.24</v>
      </c>
      <c r="E418" s="18">
        <v>40.26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0.19462809917355384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-0.2833071690214547</v>
      </c>
      <c r="R418" s="19">
        <f ca="1">IF('Stock Price'!$I$11="OK",E418/INDEX(E$5:E$1258,'Stock Price'!$I$9)-1,"")</f>
        <v>-0.13790149892933623</v>
      </c>
      <c r="S418" s="19">
        <f ca="1">IF('Stock Price'!$I$11="OK",F418/INDEX(F$5:F$1258,'Stock Price'!$I$9)-1,"")</f>
        <v>8.6713576158940375E-2</v>
      </c>
      <c r="T418" s="19">
        <f ca="1">IF('Stock Price'!$I$11="OK",G418/INDEX(G$5:G$1258,'Stock Price'!$I$9)-1,"")</f>
        <v>0.17838189104299795</v>
      </c>
      <c r="U418" s="19">
        <f ca="1">IF('Stock Price'!$I$11="OK",H418/INDEX(H$5:H$1258,'Stock Price'!$I$9)-1,"")</f>
        <v>0.36115196078431366</v>
      </c>
      <c r="V418" s="19">
        <f ca="1">IF('Stock Price'!$I$11="OK",I418/INDEX(I$5:I$1258,'Stock Price'!$I$9)-1,"")</f>
        <v>-0.11153119092627595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141.13990000000001</v>
      </c>
      <c r="C419" s="18">
        <v>93.404799999999994</v>
      </c>
      <c r="D419" s="18">
        <v>33.86</v>
      </c>
      <c r="E419" s="18">
        <v>39.85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0.16644545454545456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-0.29126111983254843</v>
      </c>
      <c r="R419" s="19">
        <f ca="1">IF('Stock Price'!$I$11="OK",E419/INDEX(E$5:E$1258,'Stock Price'!$I$9)-1,"")</f>
        <v>-0.14668094218415417</v>
      </c>
      <c r="S419" s="19">
        <f ca="1">IF('Stock Price'!$I$11="OK",F419/INDEX(F$5:F$1258,'Stock Price'!$I$9)-1,"")</f>
        <v>4.4081125827814649E-2</v>
      </c>
      <c r="T419" s="19">
        <f ca="1">IF('Stock Price'!$I$11="OK",G419/INDEX(G$5:G$1258,'Stock Price'!$I$9)-1,"")</f>
        <v>0.1571536878587676</v>
      </c>
      <c r="U419" s="19">
        <f ca="1">IF('Stock Price'!$I$11="OK",H419/INDEX(H$5:H$1258,'Stock Price'!$I$9)-1,"")</f>
        <v>0.33786764705882355</v>
      </c>
      <c r="V419" s="19">
        <f ca="1">IF('Stock Price'!$I$11="OK",I419/INDEX(I$5:I$1258,'Stock Price'!$I$9)-1,"")</f>
        <v>-0.12547258979206055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146.08000000000001</v>
      </c>
      <c r="C420" s="18">
        <v>93.114599999999996</v>
      </c>
      <c r="D420" s="18">
        <v>33.6</v>
      </c>
      <c r="E420" s="18">
        <v>39.590000000000003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0.20727272727272728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-0.29670329670329665</v>
      </c>
      <c r="R420" s="19">
        <f ca="1">IF('Stock Price'!$I$11="OK",E420/INDEX(E$5:E$1258,'Stock Price'!$I$9)-1,"")</f>
        <v>-0.15224839400428258</v>
      </c>
      <c r="S420" s="19">
        <f ca="1">IF('Stock Price'!$I$11="OK",F420/INDEX(F$5:F$1258,'Stock Price'!$I$9)-1,"")</f>
        <v>5.5877483443708575E-2</v>
      </c>
      <c r="T420" s="19">
        <f ca="1">IF('Stock Price'!$I$11="OK",G420/INDEX(G$5:G$1258,'Stock Price'!$I$9)-1,"")</f>
        <v>0.12942705512834407</v>
      </c>
      <c r="U420" s="19">
        <f ca="1">IF('Stock Price'!$I$11="OK",H420/INDEX(H$5:H$1258,'Stock Price'!$I$9)-1,"")</f>
        <v>0.35306372549019605</v>
      </c>
      <c r="V420" s="19">
        <f ca="1">IF('Stock Price'!$I$11="OK",I420/INDEX(I$5:I$1258,'Stock Price'!$I$9)-1,"")</f>
        <v>-0.10160680529300559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147.69999999999999</v>
      </c>
      <c r="C421" s="18">
        <v>93.946600000000004</v>
      </c>
      <c r="D421" s="18">
        <v>33.799999999999997</v>
      </c>
      <c r="E421" s="18">
        <v>39.97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0.22066115702479339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-0.29251700680272108</v>
      </c>
      <c r="R421" s="19">
        <f ca="1">IF('Stock Price'!$I$11="OK",E421/INDEX(E$5:E$1258,'Stock Price'!$I$9)-1,"")</f>
        <v>-0.14411134903640266</v>
      </c>
      <c r="S421" s="19">
        <f ca="1">IF('Stock Price'!$I$11="OK",F421/INDEX(F$5:F$1258,'Stock Price'!$I$9)-1,"")</f>
        <v>4.4288079470198749E-2</v>
      </c>
      <c r="T421" s="19">
        <f ca="1">IF('Stock Price'!$I$11="OK",G421/INDEX(G$5:G$1258,'Stock Price'!$I$9)-1,"")</f>
        <v>0.12422831149138958</v>
      </c>
      <c r="U421" s="19">
        <f ca="1">IF('Stock Price'!$I$11="OK",H421/INDEX(H$5:H$1258,'Stock Price'!$I$9)-1,"")</f>
        <v>0.35943627450980409</v>
      </c>
      <c r="V421" s="19">
        <f ca="1">IF('Stock Price'!$I$11="OK",I421/INDEX(I$5:I$1258,'Stock Price'!$I$9)-1,"")</f>
        <v>-0.10160680529300559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147.12</v>
      </c>
      <c r="C422" s="18">
        <v>95.687899999999999</v>
      </c>
      <c r="D422" s="18">
        <v>34.11</v>
      </c>
      <c r="E422" s="18">
        <v>40.39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0.21586776859504142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-0.28602825745682892</v>
      </c>
      <c r="R422" s="19">
        <f ca="1">IF('Stock Price'!$I$11="OK",E422/INDEX(E$5:E$1258,'Stock Price'!$I$9)-1,"")</f>
        <v>-0.13511777301927197</v>
      </c>
      <c r="S422" s="19">
        <f ca="1">IF('Stock Price'!$I$11="OK",F422/INDEX(F$5:F$1258,'Stock Price'!$I$9)-1,"")</f>
        <v>5.5670529801324475E-2</v>
      </c>
      <c r="T422" s="19">
        <f ca="1">IF('Stock Price'!$I$11="OK",G422/INDEX(G$5:G$1258,'Stock Price'!$I$9)-1,"")</f>
        <v>0.13960792808404632</v>
      </c>
      <c r="U422" s="19">
        <f ca="1">IF('Stock Price'!$I$11="OK",H422/INDEX(H$5:H$1258,'Stock Price'!$I$9)-1,"")</f>
        <v>0.37892156862745097</v>
      </c>
      <c r="V422" s="19">
        <f ca="1">IF('Stock Price'!$I$11="OK",I422/INDEX(I$5:I$1258,'Stock Price'!$I$9)-1,"")</f>
        <v>-9.3572778827977321E-2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145.1875</v>
      </c>
      <c r="C423" s="18">
        <v>96.132900000000006</v>
      </c>
      <c r="D423" s="18">
        <v>34.28</v>
      </c>
      <c r="E423" s="18">
        <v>40.21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0.1998966942148761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-0.28246991104133956</v>
      </c>
      <c r="R423" s="19">
        <f ca="1">IF('Stock Price'!$I$11="OK",E423/INDEX(E$5:E$1258,'Stock Price'!$I$9)-1,"")</f>
        <v>-0.13897216274089941</v>
      </c>
      <c r="S423" s="19">
        <f ca="1">IF('Stock Price'!$I$11="OK",F423/INDEX(F$5:F$1258,'Stock Price'!$I$9)-1,"")</f>
        <v>5.1945364238410452E-2</v>
      </c>
      <c r="T423" s="19">
        <f ca="1">IF('Stock Price'!$I$11="OK",G423/INDEX(G$5:G$1258,'Stock Price'!$I$9)-1,"")</f>
        <v>0.12899382649193103</v>
      </c>
      <c r="U423" s="19">
        <f ca="1">IF('Stock Price'!$I$11="OK",H423/INDEX(H$5:H$1258,'Stock Price'!$I$9)-1,"")</f>
        <v>0.3861519607843138</v>
      </c>
      <c r="V423" s="19">
        <f ca="1">IF('Stock Price'!$I$11="OK",I423/INDEX(I$5:I$1258,'Stock Price'!$I$9)-1,"")</f>
        <v>-8.6720226843100212E-2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145.44999999999999</v>
      </c>
      <c r="C424" s="18">
        <v>96.413499999999999</v>
      </c>
      <c r="D424" s="18">
        <v>34.619999999999997</v>
      </c>
      <c r="E424" s="18">
        <v>40.21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0.20206611570247923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-0.27535321821036107</v>
      </c>
      <c r="R424" s="19">
        <f ca="1">IF('Stock Price'!$I$11="OK",E424/INDEX(E$5:E$1258,'Stock Price'!$I$9)-1,"")</f>
        <v>-0.13897216274089941</v>
      </c>
      <c r="S424" s="19">
        <f ca="1">IF('Stock Price'!$I$11="OK",F424/INDEX(F$5:F$1258,'Stock Price'!$I$9)-1,"")</f>
        <v>6.5604304635761723E-2</v>
      </c>
      <c r="T424" s="19">
        <f ca="1">IF('Stock Price'!$I$11="OK",G424/INDEX(G$5:G$1258,'Stock Price'!$I$9)-1,"")</f>
        <v>0.13245965558323403</v>
      </c>
      <c r="U424" s="19">
        <f ca="1">IF('Stock Price'!$I$11="OK",H424/INDEX(H$5:H$1258,'Stock Price'!$I$9)-1,"")</f>
        <v>0.34816176470588256</v>
      </c>
      <c r="V424" s="19">
        <f ca="1">IF('Stock Price'!$I$11="OK",I424/INDEX(I$5:I$1258,'Stock Price'!$I$9)-1,"")</f>
        <v>-9.3336483931947156E-2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146.9</v>
      </c>
      <c r="C425" s="18">
        <v>95.291300000000007</v>
      </c>
      <c r="D425" s="18">
        <v>34.36</v>
      </c>
      <c r="E425" s="18">
        <v>39.44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0.21404958677685948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-0.2807953950811094</v>
      </c>
      <c r="R425" s="19">
        <f ca="1">IF('Stock Price'!$I$11="OK",E425/INDEX(E$5:E$1258,'Stock Price'!$I$9)-1,"")</f>
        <v>-0.15546038543897223</v>
      </c>
      <c r="S425" s="19">
        <f ca="1">IF('Stock Price'!$I$11="OK",F425/INDEX(F$5:F$1258,'Stock Price'!$I$9)-1,"")</f>
        <v>5.2980132450331174E-2</v>
      </c>
      <c r="T425" s="19">
        <f ca="1">IF('Stock Price'!$I$11="OK",G425/INDEX(G$5:G$1258,'Stock Price'!$I$9)-1,"")</f>
        <v>0.12921044081013755</v>
      </c>
      <c r="U425" s="19">
        <f ca="1">IF('Stock Price'!$I$11="OK",H425/INDEX(H$5:H$1258,'Stock Price'!$I$9)-1,"")</f>
        <v>0.33100490196078436</v>
      </c>
      <c r="V425" s="19">
        <f ca="1">IF('Stock Price'!$I$11="OK",I425/INDEX(I$5:I$1258,'Stock Price'!$I$9)-1,"")</f>
        <v>-8.104914933837426E-2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144.5</v>
      </c>
      <c r="C426" s="18">
        <v>97.371200000000002</v>
      </c>
      <c r="D426" s="18">
        <v>34.72</v>
      </c>
      <c r="E426" s="18">
        <v>39.4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0.19421487603305776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-0.27326007326007329</v>
      </c>
      <c r="R426" s="19">
        <f ca="1">IF('Stock Price'!$I$11="OK",E426/INDEX(E$5:E$1258,'Stock Price'!$I$9)-1,"")</f>
        <v>-0.15631691648822277</v>
      </c>
      <c r="S426" s="19">
        <f ca="1">IF('Stock Price'!$I$11="OK",F426/INDEX(F$5:F$1258,'Stock Price'!$I$9)-1,"")</f>
        <v>6.6639072847682002E-2</v>
      </c>
      <c r="T426" s="19">
        <f ca="1">IF('Stock Price'!$I$11="OK",G426/INDEX(G$5:G$1258,'Stock Price'!$I$9)-1,"")</f>
        <v>0.12531138308242173</v>
      </c>
      <c r="U426" s="19">
        <f ca="1">IF('Stock Price'!$I$11="OK",H426/INDEX(H$5:H$1258,'Stock Price'!$I$9)-1,"")</f>
        <v>0.35196078431372557</v>
      </c>
      <c r="V426" s="19">
        <f ca="1">IF('Stock Price'!$I$11="OK",I426/INDEX(I$5:I$1258,'Stock Price'!$I$9)-1,"")</f>
        <v>-7.63232514177693E-2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149.30000000000001</v>
      </c>
      <c r="C427" s="18">
        <v>97.642099999999999</v>
      </c>
      <c r="D427" s="18">
        <v>34.76</v>
      </c>
      <c r="E427" s="18">
        <v>39.15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0.2338842975206612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-0.27242281527995815</v>
      </c>
      <c r="R427" s="19">
        <f ca="1">IF('Stock Price'!$I$11="OK",E427/INDEX(E$5:E$1258,'Stock Price'!$I$9)-1,"")</f>
        <v>-0.16167023554603865</v>
      </c>
      <c r="S427" s="19">
        <f ca="1">IF('Stock Price'!$I$11="OK",F427/INDEX(F$5:F$1258,'Stock Price'!$I$9)-1,"")</f>
        <v>6.0430463576158999E-2</v>
      </c>
      <c r="T427" s="19">
        <f ca="1">IF('Stock Price'!$I$11="OK",G427/INDEX(G$5:G$1258,'Stock Price'!$I$9)-1,"")</f>
        <v>0.10798223762590697</v>
      </c>
      <c r="U427" s="19">
        <f ca="1">IF('Stock Price'!$I$11="OK",H427/INDEX(H$5:H$1258,'Stock Price'!$I$9)-1,"")</f>
        <v>0.35674019607843133</v>
      </c>
      <c r="V427" s="19">
        <f ca="1">IF('Stock Price'!$I$11="OK",I427/INDEX(I$5:I$1258,'Stock Price'!$I$9)-1,"")</f>
        <v>-7.9158790170132387E-2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148.86000000000001</v>
      </c>
      <c r="C428" s="18">
        <v>96.742400000000004</v>
      </c>
      <c r="D428" s="18">
        <v>34.39</v>
      </c>
      <c r="E428" s="18">
        <v>38.68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0.23024793388429754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-0.28016745159602296</v>
      </c>
      <c r="R428" s="19">
        <f ca="1">IF('Stock Price'!$I$11="OK",E428/INDEX(E$5:E$1258,'Stock Price'!$I$9)-1,"")</f>
        <v>-0.17173447537473241</v>
      </c>
      <c r="S428" s="19">
        <f ca="1">IF('Stock Price'!$I$11="OK",F428/INDEX(F$5:F$1258,'Stock Price'!$I$9)-1,"")</f>
        <v>5.5670529801324475E-2</v>
      </c>
      <c r="T428" s="19">
        <f ca="1">IF('Stock Price'!$I$11="OK",G428/INDEX(G$5:G$1258,'Stock Price'!$I$9)-1,"")</f>
        <v>0.10711578035308134</v>
      </c>
      <c r="U428" s="19">
        <f ca="1">IF('Stock Price'!$I$11="OK",H428/INDEX(H$5:H$1258,'Stock Price'!$I$9)-1,"")</f>
        <v>0.34632352941176481</v>
      </c>
      <c r="V428" s="19">
        <f ca="1">IF('Stock Price'!$I$11="OK",I428/INDEX(I$5:I$1258,'Stock Price'!$I$9)-1,"")</f>
        <v>-5.7183364839319517E-2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149.5</v>
      </c>
      <c r="C429" s="18">
        <v>96.084599999999995</v>
      </c>
      <c r="D429" s="18">
        <v>34.64</v>
      </c>
      <c r="E429" s="18">
        <v>38.729999999999997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0.23553719008264462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-0.27493458922030345</v>
      </c>
      <c r="R429" s="19">
        <f ca="1">IF('Stock Price'!$I$11="OK",E429/INDEX(E$5:E$1258,'Stock Price'!$I$9)-1,"")</f>
        <v>-0.17066381156316923</v>
      </c>
      <c r="S429" s="19">
        <f ca="1">IF('Stock Price'!$I$11="OK",F429/INDEX(F$5:F$1258,'Stock Price'!$I$9)-1,"")</f>
        <v>4.5529801324503349E-2</v>
      </c>
      <c r="T429" s="19">
        <f ca="1">IF('Stock Price'!$I$11="OK",G429/INDEX(G$5:G$1258,'Stock Price'!$I$9)-1,"")</f>
        <v>0.11079822376259085</v>
      </c>
      <c r="U429" s="19">
        <f ca="1">IF('Stock Price'!$I$11="OK",H429/INDEX(H$5:H$1258,'Stock Price'!$I$9)-1,"")</f>
        <v>0.34791666666666665</v>
      </c>
      <c r="V429" s="19">
        <f ca="1">IF('Stock Price'!$I$11="OK",I429/INDEX(I$5:I$1258,'Stock Price'!$I$9)-1,"")</f>
        <v>-4.8204158790170148E-2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146.875</v>
      </c>
      <c r="C430" s="18">
        <v>96.4328</v>
      </c>
      <c r="D430" s="18">
        <v>34.47</v>
      </c>
      <c r="E430" s="18">
        <v>38.090000000000003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0.21384297520661155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-0.2784929356357928</v>
      </c>
      <c r="R430" s="19">
        <f ca="1">IF('Stock Price'!$I$11="OK",E430/INDEX(E$5:E$1258,'Stock Price'!$I$9)-1,"")</f>
        <v>-0.18436830835117768</v>
      </c>
      <c r="S430" s="19">
        <f ca="1">IF('Stock Price'!$I$11="OK",F430/INDEX(F$5:F$1258,'Stock Price'!$I$9)-1,"")</f>
        <v>4.9668874172185351E-2</v>
      </c>
      <c r="T430" s="19">
        <f ca="1">IF('Stock Price'!$I$11="OK",G430/INDEX(G$5:G$1258,'Stock Price'!$I$9)-1,"")</f>
        <v>0.12206216830932526</v>
      </c>
      <c r="U430" s="19">
        <f ca="1">IF('Stock Price'!$I$11="OK",H430/INDEX(H$5:H$1258,'Stock Price'!$I$9)-1,"")</f>
        <v>0.33161764705882368</v>
      </c>
      <c r="V430" s="19">
        <f ca="1">IF('Stock Price'!$I$11="OK",I430/INDEX(I$5:I$1258,'Stock Price'!$I$9)-1,"")</f>
        <v>-6.9943289224952743E-2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149.25</v>
      </c>
      <c r="C431" s="18">
        <v>98.087100000000007</v>
      </c>
      <c r="D431" s="18">
        <v>35.270000000000003</v>
      </c>
      <c r="E431" s="18">
        <v>38.630000000000003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0.23347107438016534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-0.2617477760334902</v>
      </c>
      <c r="R431" s="19">
        <f ca="1">IF('Stock Price'!$I$11="OK",E431/INDEX(E$5:E$1258,'Stock Price'!$I$9)-1,"")</f>
        <v>-0.17280513918629548</v>
      </c>
      <c r="S431" s="19">
        <f ca="1">IF('Stock Price'!$I$11="OK",F431/INDEX(F$5:F$1258,'Stock Price'!$I$9)-1,"")</f>
        <v>7.1812913907284726E-2</v>
      </c>
      <c r="T431" s="19">
        <f ca="1">IF('Stock Price'!$I$11="OK",G431/INDEX(G$5:G$1258,'Stock Price'!$I$9)-1,"")</f>
        <v>0.12227878262753178</v>
      </c>
      <c r="U431" s="19">
        <f ca="1">IF('Stock Price'!$I$11="OK",H431/INDEX(H$5:H$1258,'Stock Price'!$I$9)-1,"")</f>
        <v>0.34068627450980404</v>
      </c>
      <c r="V431" s="19">
        <f ca="1">IF('Stock Price'!$I$11="OK",I431/INDEX(I$5:I$1258,'Stock Price'!$I$9)-1,"")</f>
        <v>-6.0727788279773209E-2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149.51</v>
      </c>
      <c r="C432" s="18">
        <v>98.512799999999999</v>
      </c>
      <c r="D432" s="18">
        <v>35.15</v>
      </c>
      <c r="E432" s="18">
        <v>39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0.23561983471074366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-0.26425954997383572</v>
      </c>
      <c r="R432" s="19">
        <f ca="1">IF('Stock Price'!$I$11="OK",E432/INDEX(E$5:E$1258,'Stock Price'!$I$9)-1,"")</f>
        <v>-0.16488222698072807</v>
      </c>
      <c r="S432" s="19">
        <f ca="1">IF('Stock Price'!$I$11="OK",F432/INDEX(F$5:F$1258,'Stock Price'!$I$9)-1,"")</f>
        <v>7.698675496688745E-2</v>
      </c>
      <c r="T432" s="19">
        <f ca="1">IF('Stock Price'!$I$11="OK",G432/INDEX(G$5:G$1258,'Stock Price'!$I$9)-1,"")</f>
        <v>0.13354272717426618</v>
      </c>
      <c r="U432" s="19">
        <f ca="1">IF('Stock Price'!$I$11="OK",H432/INDEX(H$5:H$1258,'Stock Price'!$I$9)-1,"")</f>
        <v>0.33970588235294108</v>
      </c>
      <c r="V432" s="19">
        <f ca="1">IF('Stock Price'!$I$11="OK",I432/INDEX(I$5:I$1258,'Stock Price'!$I$9)-1,"")</f>
        <v>-5.3402646502835438E-2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149.25</v>
      </c>
      <c r="C433" s="18">
        <v>97.535700000000006</v>
      </c>
      <c r="D433" s="18">
        <v>34.619999999999997</v>
      </c>
      <c r="E433" s="18">
        <v>38.46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0.23347107438016534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-0.27535321821036107</v>
      </c>
      <c r="R433" s="19">
        <f ca="1">IF('Stock Price'!$I$11="OK",E433/INDEX(E$5:E$1258,'Stock Price'!$I$9)-1,"")</f>
        <v>-0.17644539614561028</v>
      </c>
      <c r="S433" s="19">
        <f ca="1">IF('Stock Price'!$I$11="OK",F433/INDEX(F$5:F$1258,'Stock Price'!$I$9)-1,"")</f>
        <v>9.8923841059602724E-2</v>
      </c>
      <c r="T433" s="19">
        <f ca="1">IF('Stock Price'!$I$11="OK",G433/INDEX(G$5:G$1258,'Stock Price'!$I$9)-1,"")</f>
        <v>0.10235026535253988</v>
      </c>
      <c r="U433" s="19">
        <f ca="1">IF('Stock Price'!$I$11="OK",H433/INDEX(H$5:H$1258,'Stock Price'!$I$9)-1,"")</f>
        <v>0.3508578431372551</v>
      </c>
      <c r="V433" s="19">
        <f ca="1">IF('Stock Price'!$I$11="OK",I433/INDEX(I$5:I$1258,'Stock Price'!$I$9)-1,"")</f>
        <v>-7.0415879017013183E-2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148.66</v>
      </c>
      <c r="C434" s="18">
        <v>97.622799999999998</v>
      </c>
      <c r="D434" s="18">
        <v>35.15</v>
      </c>
      <c r="E434" s="18">
        <v>38.229999999999997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0.22859504132231412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-0.26425954997383572</v>
      </c>
      <c r="R434" s="19">
        <f ca="1">IF('Stock Price'!$I$11="OK",E434/INDEX(E$5:E$1258,'Stock Price'!$I$9)-1,"")</f>
        <v>-0.181370449678801</v>
      </c>
      <c r="S434" s="19">
        <f ca="1">IF('Stock Price'!$I$11="OK",F434/INDEX(F$5:F$1258,'Stock Price'!$I$9)-1,"")</f>
        <v>0.11009933774834435</v>
      </c>
      <c r="T434" s="19">
        <f ca="1">IF('Stock Price'!$I$11="OK",G434/INDEX(G$5:G$1258,'Stock Price'!$I$9)-1,"")</f>
        <v>0.10191703671612684</v>
      </c>
      <c r="U434" s="19">
        <f ca="1">IF('Stock Price'!$I$11="OK",H434/INDEX(H$5:H$1258,'Stock Price'!$I$9)-1,"")</f>
        <v>0.36225490196078436</v>
      </c>
      <c r="V434" s="19">
        <f ca="1">IF('Stock Price'!$I$11="OK",I434/INDEX(I$5:I$1258,'Stock Price'!$I$9)-1,"")</f>
        <v>-8.0812854442344095E-2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146.68</v>
      </c>
      <c r="C435" s="18">
        <v>97.264799999999994</v>
      </c>
      <c r="D435" s="18">
        <v>34.68</v>
      </c>
      <c r="E435" s="18">
        <v>38.270000000000003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0.21223140495867776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-0.27409733124018831</v>
      </c>
      <c r="R435" s="19">
        <f ca="1">IF('Stock Price'!$I$11="OK",E435/INDEX(E$5:E$1258,'Stock Price'!$I$9)-1,"")</f>
        <v>-0.18051391862955035</v>
      </c>
      <c r="S435" s="19">
        <f ca="1">IF('Stock Price'!$I$11="OK",F435/INDEX(F$5:F$1258,'Stock Price'!$I$9)-1,"")</f>
        <v>0.10306291390728473</v>
      </c>
      <c r="T435" s="19">
        <f ca="1">IF('Stock Price'!$I$11="OK",G435/INDEX(G$5:G$1258,'Stock Price'!$I$9)-1,"")</f>
        <v>9.3902306942488911E-2</v>
      </c>
      <c r="U435" s="19">
        <f ca="1">IF('Stock Price'!$I$11="OK",H435/INDEX(H$5:H$1258,'Stock Price'!$I$9)-1,"")</f>
        <v>0.39362745098039231</v>
      </c>
      <c r="V435" s="19">
        <f ca="1">IF('Stock Price'!$I$11="OK",I435/INDEX(I$5:I$1258,'Stock Price'!$I$9)-1,"")</f>
        <v>-8.4829867674858339E-2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146.15</v>
      </c>
      <c r="C436" s="18">
        <v>97.409899999999993</v>
      </c>
      <c r="D436" s="18">
        <v>36.380000000000003</v>
      </c>
      <c r="E436" s="18">
        <v>38.43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0.20785123966942143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-0.23851386708529554</v>
      </c>
      <c r="R436" s="19">
        <f ca="1">IF('Stock Price'!$I$11="OK",E436/INDEX(E$5:E$1258,'Stock Price'!$I$9)-1,"")</f>
        <v>-0.17708779443254818</v>
      </c>
      <c r="S436" s="19">
        <f ca="1">IF('Stock Price'!$I$11="OK",F436/INDEX(F$5:F$1258,'Stock Price'!$I$9)-1,"")</f>
        <v>0.10306291390728473</v>
      </c>
      <c r="T436" s="19">
        <f ca="1">IF('Stock Price'!$I$11="OK",G436/INDEX(G$5:G$1258,'Stock Price'!$I$9)-1,"")</f>
        <v>9.3902306942488911E-2</v>
      </c>
      <c r="U436" s="19">
        <f ca="1">IF('Stock Price'!$I$11="OK",H436/INDEX(H$5:H$1258,'Stock Price'!$I$9)-1,"")</f>
        <v>0.40441176470588247</v>
      </c>
      <c r="V436" s="19">
        <f ca="1">IF('Stock Price'!$I$11="OK",I436/INDEX(I$5:I$1258,'Stock Price'!$I$9)-1,"")</f>
        <v>-9.4990548204158864E-2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142.75</v>
      </c>
      <c r="C437" s="18">
        <v>96.2684</v>
      </c>
      <c r="D437" s="18">
        <v>36.270000000000003</v>
      </c>
      <c r="E437" s="18">
        <v>38.28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0.17975206611570238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-0.24081632653061213</v>
      </c>
      <c r="R437" s="19">
        <f ca="1">IF('Stock Price'!$I$11="OK",E437/INDEX(E$5:E$1258,'Stock Price'!$I$9)-1,"")</f>
        <v>-0.18029978586723772</v>
      </c>
      <c r="S437" s="19">
        <f ca="1">IF('Stock Price'!$I$11="OK",F437/INDEX(F$5:F$1258,'Stock Price'!$I$9)-1,"")</f>
        <v>0.10678807947019853</v>
      </c>
      <c r="T437" s="19">
        <f ca="1">IF('Stock Price'!$I$11="OK",G437/INDEX(G$5:G$1258,'Stock Price'!$I$9)-1,"")</f>
        <v>8.5021119896025121E-2</v>
      </c>
      <c r="U437" s="19">
        <f ca="1">IF('Stock Price'!$I$11="OK",H437/INDEX(H$5:H$1258,'Stock Price'!$I$9)-1,"")</f>
        <v>0.38578431372549038</v>
      </c>
      <c r="V437" s="19">
        <f ca="1">IF('Stock Price'!$I$11="OK",I437/INDEX(I$5:I$1258,'Stock Price'!$I$9)-1,"")</f>
        <v>-0.12830812854442342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142.75</v>
      </c>
      <c r="C438" s="18">
        <v>95.949100000000001</v>
      </c>
      <c r="D438" s="18">
        <v>35.76</v>
      </c>
      <c r="E438" s="18">
        <v>39.659999999999997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0.17975206611570238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-0.25149136577708009</v>
      </c>
      <c r="R438" s="19">
        <f ca="1">IF('Stock Price'!$I$11="OK",E438/INDEX(E$5:E$1258,'Stock Price'!$I$9)-1,"")</f>
        <v>-0.15074946466809436</v>
      </c>
      <c r="S438" s="19">
        <f ca="1">IF('Stock Price'!$I$11="OK",F438/INDEX(F$5:F$1258,'Stock Price'!$I$9)-1,"")</f>
        <v>0.11072019867549665</v>
      </c>
      <c r="T438" s="19">
        <f ca="1">IF('Stock Price'!$I$11="OK",G438/INDEX(G$5:G$1258,'Stock Price'!$I$9)-1,"")</f>
        <v>8.8703563305534416E-2</v>
      </c>
      <c r="U438" s="19">
        <f ca="1">IF('Stock Price'!$I$11="OK",H438/INDEX(H$5:H$1258,'Stock Price'!$I$9)-1,"")</f>
        <v>0.38872549019607838</v>
      </c>
      <c r="V438" s="19">
        <f ca="1">IF('Stock Price'!$I$11="OK",I438/INDEX(I$5:I$1258,'Stock Price'!$I$9)-1,"")</f>
        <v>-0.13941398865784493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140.4</v>
      </c>
      <c r="C439" s="18">
        <v>95.233199999999997</v>
      </c>
      <c r="D439" s="18">
        <v>35.53</v>
      </c>
      <c r="E439" s="18">
        <v>38.39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0.16033057851239674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-0.25630559916274198</v>
      </c>
      <c r="R439" s="19">
        <f ca="1">IF('Stock Price'!$I$11="OK",E439/INDEX(E$5:E$1258,'Stock Price'!$I$9)-1,"")</f>
        <v>-0.17794432548179873</v>
      </c>
      <c r="S439" s="19">
        <f ca="1">IF('Stock Price'!$I$11="OK",F439/INDEX(F$5:F$1258,'Stock Price'!$I$9)-1,"")</f>
        <v>0.11216887417218557</v>
      </c>
      <c r="T439" s="19">
        <f ca="1">IF('Stock Price'!$I$11="OK",G439/INDEX(G$5:G$1258,'Stock Price'!$I$9)-1,"")</f>
        <v>8.9570020578360277E-2</v>
      </c>
      <c r="U439" s="19">
        <f ca="1">IF('Stock Price'!$I$11="OK",H439/INDEX(H$5:H$1258,'Stock Price'!$I$9)-1,"")</f>
        <v>0.37794117647058822</v>
      </c>
      <c r="V439" s="19">
        <f ca="1">IF('Stock Price'!$I$11="OK",I439/INDEX(I$5:I$1258,'Stock Price'!$I$9)-1,"")</f>
        <v>-0.14248582230623819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142.91</v>
      </c>
      <c r="C440" s="18">
        <v>96.1233</v>
      </c>
      <c r="D440" s="18">
        <v>35.42</v>
      </c>
      <c r="E440" s="18">
        <v>38.11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0.18107438016528921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-0.25860805860805858</v>
      </c>
      <c r="R440" s="19">
        <f ca="1">IF('Stock Price'!$I$11="OK",E440/INDEX(E$5:E$1258,'Stock Price'!$I$9)-1,"")</f>
        <v>-0.18394004282655252</v>
      </c>
      <c r="S440" s="19">
        <f ca="1">IF('Stock Price'!$I$11="OK",F440/INDEX(F$5:F$1258,'Stock Price'!$I$9)-1,"")</f>
        <v>9.6647350993377623E-2</v>
      </c>
      <c r="T440" s="19">
        <f ca="1">IF('Stock Price'!$I$11="OK",G440/INDEX(G$5:G$1258,'Stock Price'!$I$9)-1,"")</f>
        <v>9.411892126069521E-2</v>
      </c>
      <c r="U440" s="19">
        <f ca="1">IF('Stock Price'!$I$11="OK",H440/INDEX(H$5:H$1258,'Stock Price'!$I$9)-1,"")</f>
        <v>0.39142156862745114</v>
      </c>
      <c r="V440" s="19">
        <f ca="1">IF('Stock Price'!$I$11="OK",I440/INDEX(I$5:I$1258,'Stock Price'!$I$9)-1,"")</f>
        <v>-0.14650283553875243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143.9</v>
      </c>
      <c r="C441" s="18">
        <v>97.622799999999998</v>
      </c>
      <c r="D441" s="18">
        <v>35.64</v>
      </c>
      <c r="E441" s="18">
        <v>38.200000000000003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0.1892561983471075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-0.25400313971742539</v>
      </c>
      <c r="R441" s="19">
        <f ca="1">IF('Stock Price'!$I$11="OK",E441/INDEX(E$5:E$1258,'Stock Price'!$I$9)-1,"")</f>
        <v>-0.1820128479657388</v>
      </c>
      <c r="S441" s="19">
        <f ca="1">IF('Stock Price'!$I$11="OK",F441/INDEX(F$5:F$1258,'Stock Price'!$I$9)-1,"")</f>
        <v>0.11548013245033117</v>
      </c>
      <c r="T441" s="19">
        <f ca="1">IF('Stock Price'!$I$11="OK",G441/INDEX(G$5:G$1258,'Stock Price'!$I$9)-1,"")</f>
        <v>9.7584750351998428E-2</v>
      </c>
      <c r="U441" s="19">
        <f ca="1">IF('Stock Price'!$I$11="OK",H441/INDEX(H$5:H$1258,'Stock Price'!$I$9)-1,"")</f>
        <v>0.41409313725490215</v>
      </c>
      <c r="V441" s="19">
        <f ca="1">IF('Stock Price'!$I$11="OK",I441/INDEX(I$5:I$1258,'Stock Price'!$I$9)-1,"")</f>
        <v>-0.13327032136105865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133.23500000000001</v>
      </c>
      <c r="C442" s="18">
        <v>95.552499999999995</v>
      </c>
      <c r="D442" s="18">
        <v>35.29</v>
      </c>
      <c r="E442" s="18">
        <v>38.18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0.10111570247933899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-0.2613291470434328</v>
      </c>
      <c r="R442" s="19">
        <f ca="1">IF('Stock Price'!$I$11="OK",E442/INDEX(E$5:E$1258,'Stock Price'!$I$9)-1,"")</f>
        <v>-0.18244111349036407</v>
      </c>
      <c r="S442" s="19">
        <f ca="1">IF('Stock Price'!$I$11="OK",F442/INDEX(F$5:F$1258,'Stock Price'!$I$9)-1,"")</f>
        <v>0.10989238410596025</v>
      </c>
      <c r="T442" s="19">
        <f ca="1">IF('Stock Price'!$I$11="OK",G442/INDEX(G$5:G$1258,'Stock Price'!$I$9)-1,"")</f>
        <v>9.5418607169933889E-2</v>
      </c>
      <c r="U442" s="19">
        <f ca="1">IF('Stock Price'!$I$11="OK",H442/INDEX(H$5:H$1258,'Stock Price'!$I$9)-1,"")</f>
        <v>0.40110294117647061</v>
      </c>
      <c r="V442" s="19">
        <f ca="1">IF('Stock Price'!$I$11="OK",I442/INDEX(I$5:I$1258,'Stock Price'!$I$9)-1,"")</f>
        <v>-0.13397920604914937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134</v>
      </c>
      <c r="C443" s="18">
        <v>95.726600000000005</v>
      </c>
      <c r="D443" s="18">
        <v>34.729999999999997</v>
      </c>
      <c r="E443" s="18">
        <v>38.49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0.10743801652892571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-0.27305075876504448</v>
      </c>
      <c r="R443" s="19">
        <f ca="1">IF('Stock Price'!$I$11="OK",E443/INDEX(E$5:E$1258,'Stock Price'!$I$9)-1,"")</f>
        <v>-0.17580299785867237</v>
      </c>
      <c r="S443" s="19">
        <f ca="1">IF('Stock Price'!$I$11="OK",F443/INDEX(F$5:F$1258,'Stock Price'!$I$9)-1,"")</f>
        <v>9.6647350993377623E-2</v>
      </c>
      <c r="T443" s="19">
        <f ca="1">IF('Stock Price'!$I$11="OK",G443/INDEX(G$5:G$1258,'Stock Price'!$I$9)-1,"")</f>
        <v>9.2386006715043933E-2</v>
      </c>
      <c r="U443" s="19">
        <f ca="1">IF('Stock Price'!$I$11="OK",H443/INDEX(H$5:H$1258,'Stock Price'!$I$9)-1,"")</f>
        <v>0.39338235294117663</v>
      </c>
      <c r="V443" s="19">
        <f ca="1">IF('Stock Price'!$I$11="OK",I443/INDEX(I$5:I$1258,'Stock Price'!$I$9)-1,"")</f>
        <v>-0.13846880907372394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132.44</v>
      </c>
      <c r="C444" s="18">
        <v>94.8172</v>
      </c>
      <c r="D444" s="18">
        <v>34.090000000000003</v>
      </c>
      <c r="E444" s="18">
        <v>37.79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9.4545454545454488E-2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-0.28644688644688632</v>
      </c>
      <c r="R444" s="19">
        <f ca="1">IF('Stock Price'!$I$11="OK",E444/INDEX(E$5:E$1258,'Stock Price'!$I$9)-1,"")</f>
        <v>-0.19079229122055685</v>
      </c>
      <c r="S444" s="19">
        <f ca="1">IF('Stock Price'!$I$11="OK",F444/INDEX(F$5:F$1258,'Stock Price'!$I$9)-1,"")</f>
        <v>7.3261589403973426E-2</v>
      </c>
      <c r="T444" s="19">
        <f ca="1">IF('Stock Price'!$I$11="OK",G444/INDEX(G$5:G$1258,'Stock Price'!$I$9)-1,"")</f>
        <v>5.3178815119679479E-2</v>
      </c>
      <c r="U444" s="19">
        <f ca="1">IF('Stock Price'!$I$11="OK",H444/INDEX(H$5:H$1258,'Stock Price'!$I$9)-1,"")</f>
        <v>0.36948529411764719</v>
      </c>
      <c r="V444" s="19">
        <f ca="1">IF('Stock Price'!$I$11="OK",I444/INDEX(I$5:I$1258,'Stock Price'!$I$9)-1,"")</f>
        <v>-0.15808128544423439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127.75</v>
      </c>
      <c r="C445" s="18">
        <v>91.644099999999995</v>
      </c>
      <c r="D445" s="18">
        <v>33.81</v>
      </c>
      <c r="E445" s="18">
        <v>37.17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5.5785123966942241E-2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-0.29230769230769227</v>
      </c>
      <c r="R445" s="19">
        <f ca="1">IF('Stock Price'!$I$11="OK",E445/INDEX(E$5:E$1258,'Stock Price'!$I$9)-1,"")</f>
        <v>-0.20406852248394003</v>
      </c>
      <c r="S445" s="19">
        <f ca="1">IF('Stock Price'!$I$11="OK",F445/INDEX(F$5:F$1258,'Stock Price'!$I$9)-1,"")</f>
        <v>6.16721854304636E-2</v>
      </c>
      <c r="T445" s="19">
        <f ca="1">IF('Stock Price'!$I$11="OK",G445/INDEX(G$5:G$1258,'Stock Price'!$I$9)-1,"")</f>
        <v>5.6211415574569434E-2</v>
      </c>
      <c r="U445" s="19">
        <f ca="1">IF('Stock Price'!$I$11="OK",H445/INDEX(H$5:H$1258,'Stock Price'!$I$9)-1,"")</f>
        <v>0.33578431372549034</v>
      </c>
      <c r="V445" s="19">
        <f ca="1">IF('Stock Price'!$I$11="OK",I445/INDEX(I$5:I$1258,'Stock Price'!$I$9)-1,"")</f>
        <v>-0.16044423440453681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131.25</v>
      </c>
      <c r="C446" s="18">
        <v>93.404799999999994</v>
      </c>
      <c r="D446" s="18">
        <v>33.85</v>
      </c>
      <c r="E446" s="18">
        <v>37.33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8.4710743801652999E-2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-0.29147043432757713</v>
      </c>
      <c r="R446" s="19">
        <f ca="1">IF('Stock Price'!$I$11="OK",E446/INDEX(E$5:E$1258,'Stock Price'!$I$9)-1,"")</f>
        <v>-0.20064239828693797</v>
      </c>
      <c r="S446" s="19">
        <f ca="1">IF('Stock Price'!$I$11="OK",F446/INDEX(F$5:F$1258,'Stock Price'!$I$9)-1,"")</f>
        <v>7.2640728476821126E-2</v>
      </c>
      <c r="T446" s="19">
        <f ca="1">IF('Stock Price'!$I$11="OK",G446/INDEX(G$5:G$1258,'Stock Price'!$I$9)-1,"")</f>
        <v>7.2999025235568116E-2</v>
      </c>
      <c r="U446" s="19">
        <f ca="1">IF('Stock Price'!$I$11="OK",H446/INDEX(H$5:H$1258,'Stock Price'!$I$9)-1,"")</f>
        <v>0.34754901960784323</v>
      </c>
      <c r="V446" s="19">
        <f ca="1">IF('Stock Price'!$I$11="OK",I446/INDEX(I$5:I$1258,'Stock Price'!$I$9)-1,"")</f>
        <v>-0.15689981096408323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131.25</v>
      </c>
      <c r="C447" s="18">
        <v>93.994900000000001</v>
      </c>
      <c r="D447" s="18">
        <v>34.119999999999997</v>
      </c>
      <c r="E447" s="18">
        <v>37.520000000000003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8.4710743801652999E-2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-0.2858189429618001</v>
      </c>
      <c r="R447" s="19">
        <f ca="1">IF('Stock Price'!$I$11="OK",E447/INDEX(E$5:E$1258,'Stock Price'!$I$9)-1,"")</f>
        <v>-0.19657387580299779</v>
      </c>
      <c r="S447" s="19">
        <f ca="1">IF('Stock Price'!$I$11="OK",F447/INDEX(F$5:F$1258,'Stock Price'!$I$9)-1,"")</f>
        <v>7.0364238410596025E-2</v>
      </c>
      <c r="T447" s="19">
        <f ca="1">IF('Stock Price'!$I$11="OK",G447/INDEX(G$5:G$1258,'Stock Price'!$I$9)-1,"")</f>
        <v>7.8955918986244988E-2</v>
      </c>
      <c r="U447" s="19">
        <f ca="1">IF('Stock Price'!$I$11="OK",H447/INDEX(H$5:H$1258,'Stock Price'!$I$9)-1,"")</f>
        <v>0.33210784313725505</v>
      </c>
      <c r="V447" s="19">
        <f ca="1">IF('Stock Price'!$I$11="OK",I447/INDEX(I$5:I$1258,'Stock Price'!$I$9)-1,"")</f>
        <v>-0.14886578449905474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134.32</v>
      </c>
      <c r="C448" s="18">
        <v>94.5077</v>
      </c>
      <c r="D448" s="18">
        <v>34.5</v>
      </c>
      <c r="E448" s="18">
        <v>38.299999999999997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0.11008264462809914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-0.27786499215070637</v>
      </c>
      <c r="R448" s="19">
        <f ca="1">IF('Stock Price'!$I$11="OK",E448/INDEX(E$5:E$1258,'Stock Price'!$I$9)-1,"")</f>
        <v>-0.17987152034261256</v>
      </c>
      <c r="S448" s="19">
        <f ca="1">IF('Stock Price'!$I$11="OK",F448/INDEX(F$5:F$1258,'Stock Price'!$I$9)-1,"")</f>
        <v>7.2640728476821126E-2</v>
      </c>
      <c r="T448" s="19">
        <f ca="1">IF('Stock Price'!$I$11="OK",G448/INDEX(G$5:G$1258,'Stock Price'!$I$9)-1,"")</f>
        <v>8.1880212282031906E-2</v>
      </c>
      <c r="U448" s="19">
        <f ca="1">IF('Stock Price'!$I$11="OK",H448/INDEX(H$5:H$1258,'Stock Price'!$I$9)-1,"")</f>
        <v>0.31703431372549029</v>
      </c>
      <c r="V448" s="19">
        <f ca="1">IF('Stock Price'!$I$11="OK",I448/INDEX(I$5:I$1258,'Stock Price'!$I$9)-1,"")</f>
        <v>-0.14957466918714557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133.59989999999999</v>
      </c>
      <c r="C449" s="18">
        <v>95.126800000000003</v>
      </c>
      <c r="D449" s="18">
        <v>34.799999999999997</v>
      </c>
      <c r="E449" s="18">
        <v>38.869999999999997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0.10413140495867768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-0.27158555729984302</v>
      </c>
      <c r="R449" s="19">
        <f ca="1">IF('Stock Price'!$I$11="OK",E449/INDEX(E$5:E$1258,'Stock Price'!$I$9)-1,"")</f>
        <v>-0.16766595289079245</v>
      </c>
      <c r="S449" s="19">
        <f ca="1">IF('Stock Price'!$I$11="OK",F449/INDEX(F$5:F$1258,'Stock Price'!$I$9)-1,"")</f>
        <v>7.864238410596025E-2</v>
      </c>
      <c r="T449" s="19">
        <f ca="1">IF('Stock Price'!$I$11="OK",G449/INDEX(G$5:G$1258,'Stock Price'!$I$9)-1,"")</f>
        <v>9.6718293079172568E-2</v>
      </c>
      <c r="U449" s="19">
        <f ca="1">IF('Stock Price'!$I$11="OK",H449/INDEX(H$5:H$1258,'Stock Price'!$I$9)-1,"")</f>
        <v>0.30294117647058827</v>
      </c>
      <c r="V449" s="19">
        <f ca="1">IF('Stock Price'!$I$11="OK",I449/INDEX(I$5:I$1258,'Stock Price'!$I$9)-1,"")</f>
        <v>-0.14792060491493375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138.62</v>
      </c>
      <c r="C450" s="18">
        <v>95.610500000000002</v>
      </c>
      <c r="D450" s="18">
        <v>34.53</v>
      </c>
      <c r="E450" s="18">
        <v>39.36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0.1456198347107438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-0.27723704866562005</v>
      </c>
      <c r="R450" s="19">
        <f ca="1">IF('Stock Price'!$I$11="OK",E450/INDEX(E$5:E$1258,'Stock Price'!$I$9)-1,"")</f>
        <v>-0.15717344753747331</v>
      </c>
      <c r="S450" s="19">
        <f ca="1">IF('Stock Price'!$I$11="OK",F450/INDEX(F$5:F$1258,'Stock Price'!$I$9)-1,"")</f>
        <v>9.0231788079470077E-2</v>
      </c>
      <c r="T450" s="19">
        <f ca="1">IF('Stock Price'!$I$11="OK",G450/INDEX(G$5:G$1258,'Stock Price'!$I$9)-1,"")</f>
        <v>8.9786634896566797E-2</v>
      </c>
      <c r="U450" s="19">
        <f ca="1">IF('Stock Price'!$I$11="OK",H450/INDEX(H$5:H$1258,'Stock Price'!$I$9)-1,"")</f>
        <v>0.31544117647058845</v>
      </c>
      <c r="V450" s="19">
        <f ca="1">IF('Stock Price'!$I$11="OK",I450/INDEX(I$5:I$1258,'Stock Price'!$I$9)-1,"")</f>
        <v>-0.14177693761814747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135.78</v>
      </c>
      <c r="C451" s="18">
        <v>95.716899999999995</v>
      </c>
      <c r="D451" s="18">
        <v>34.51</v>
      </c>
      <c r="E451" s="18">
        <v>38.869999999999997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0.12214876033057842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-0.27765567765567767</v>
      </c>
      <c r="R451" s="19">
        <f ca="1">IF('Stock Price'!$I$11="OK",E451/INDEX(E$5:E$1258,'Stock Price'!$I$9)-1,"")</f>
        <v>-0.16766595289079245</v>
      </c>
      <c r="S451" s="19">
        <f ca="1">IF('Stock Price'!$I$11="OK",F451/INDEX(F$5:F$1258,'Stock Price'!$I$9)-1,"")</f>
        <v>9.45778145695364E-2</v>
      </c>
      <c r="T451" s="19">
        <f ca="1">IF('Stock Price'!$I$11="OK",G451/INDEX(G$5:G$1258,'Stock Price'!$I$9)-1,"")</f>
        <v>8.7837106032708778E-2</v>
      </c>
      <c r="U451" s="19">
        <f ca="1">IF('Stock Price'!$I$11="OK",H451/INDEX(H$5:H$1258,'Stock Price'!$I$9)-1,"")</f>
        <v>0.29374999999999996</v>
      </c>
      <c r="V451" s="19">
        <f ca="1">IF('Stock Price'!$I$11="OK",I451/INDEX(I$5:I$1258,'Stock Price'!$I$9)-1,"")</f>
        <v>-0.15264650283553882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134.44999999999999</v>
      </c>
      <c r="C452" s="18">
        <v>100.08969999999999</v>
      </c>
      <c r="D452" s="18">
        <v>34.799999999999997</v>
      </c>
      <c r="E452" s="18">
        <v>39.21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0.1111570247933884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-0.27158555729984302</v>
      </c>
      <c r="R452" s="19">
        <f ca="1">IF('Stock Price'!$I$11="OK",E452/INDEX(E$5:E$1258,'Stock Price'!$I$9)-1,"")</f>
        <v>-0.16038543897216273</v>
      </c>
      <c r="S452" s="19">
        <f ca="1">IF('Stock Price'!$I$11="OK",F452/INDEX(F$5:F$1258,'Stock Price'!$I$9)-1,"")</f>
        <v>0.11196192052980125</v>
      </c>
      <c r="T452" s="19">
        <f ca="1">IF('Stock Price'!$I$11="OK",G452/INDEX(G$5:G$1258,'Stock Price'!$I$9)-1,"")</f>
        <v>0.11339759558106799</v>
      </c>
      <c r="U452" s="19">
        <f ca="1">IF('Stock Price'!$I$11="OK",H452/INDEX(H$5:H$1258,'Stock Price'!$I$9)-1,"")</f>
        <v>0.2984068627450982</v>
      </c>
      <c r="V452" s="19">
        <f ca="1">IF('Stock Price'!$I$11="OK",I452/INDEX(I$5:I$1258,'Stock Price'!$I$9)-1,"")</f>
        <v>-0.14366729678638934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137.06</v>
      </c>
      <c r="C453" s="18">
        <v>99.857500000000002</v>
      </c>
      <c r="D453" s="18">
        <v>35.19</v>
      </c>
      <c r="E453" s="18">
        <v>39.4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0.1327272727272728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-0.26342229199372058</v>
      </c>
      <c r="R453" s="19">
        <f ca="1">IF('Stock Price'!$I$11="OK",E453/INDEX(E$5:E$1258,'Stock Price'!$I$9)-1,"")</f>
        <v>-0.15631691648822277</v>
      </c>
      <c r="S453" s="19">
        <f ca="1">IF('Stock Price'!$I$11="OK",F453/INDEX(F$5:F$1258,'Stock Price'!$I$9)-1,"")</f>
        <v>0.11278973509933787</v>
      </c>
      <c r="T453" s="19">
        <f ca="1">IF('Stock Price'!$I$11="OK",G453/INDEX(G$5:G$1258,'Stock Price'!$I$9)-1,"")</f>
        <v>0.11253113830824213</v>
      </c>
      <c r="U453" s="19">
        <f ca="1">IF('Stock Price'!$I$11="OK",H453/INDEX(H$5:H$1258,'Stock Price'!$I$9)-1,"")</f>
        <v>0.2984068627450982</v>
      </c>
      <c r="V453" s="19">
        <f ca="1">IF('Stock Price'!$I$11="OK",I453/INDEX(I$5:I$1258,'Stock Price'!$I$9)-1,"")</f>
        <v>-0.1389413988657846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138</v>
      </c>
      <c r="C454" s="18">
        <v>101.70529999999999</v>
      </c>
      <c r="D454" s="18">
        <v>35.700000000000003</v>
      </c>
      <c r="E454" s="18">
        <v>39.49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0.14049586776859502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-0.25274725274725263</v>
      </c>
      <c r="R454" s="19">
        <f ca="1">IF('Stock Price'!$I$11="OK",E454/INDEX(E$5:E$1258,'Stock Price'!$I$9)-1,"")</f>
        <v>-0.15438972162740905</v>
      </c>
      <c r="S454" s="19">
        <f ca="1">IF('Stock Price'!$I$11="OK",F454/INDEX(F$5:F$1258,'Stock Price'!$I$9)-1,"")</f>
        <v>0.13245033112582782</v>
      </c>
      <c r="T454" s="19">
        <f ca="1">IF('Stock Price'!$I$11="OK",G454/INDEX(G$5:G$1258,'Stock Price'!$I$9)-1,"")</f>
        <v>0.12986028376475689</v>
      </c>
      <c r="U454" s="19">
        <f ca="1">IF('Stock Price'!$I$11="OK",H454/INDEX(H$5:H$1258,'Stock Price'!$I$9)-1,"")</f>
        <v>0.32916666666666661</v>
      </c>
      <c r="V454" s="19">
        <f ca="1">IF('Stock Price'!$I$11="OK",I454/INDEX(I$5:I$1258,'Stock Price'!$I$9)-1,"")</f>
        <v>-0.13114366729678628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136.91990000000001</v>
      </c>
      <c r="C455" s="18">
        <v>101.58920000000001</v>
      </c>
      <c r="D455" s="18">
        <v>35.75</v>
      </c>
      <c r="E455" s="18">
        <v>39.799999999999997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0.13156942148760331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-0.25170068027210879</v>
      </c>
      <c r="R455" s="19">
        <f ca="1">IF('Stock Price'!$I$11="OK",E455/INDEX(E$5:E$1258,'Stock Price'!$I$9)-1,"")</f>
        <v>-0.14775160599571746</v>
      </c>
      <c r="S455" s="19">
        <f ca="1">IF('Stock Price'!$I$11="OK",F455/INDEX(F$5:F$1258,'Stock Price'!$I$9)-1,"")</f>
        <v>0.13721026490066235</v>
      </c>
      <c r="T455" s="19">
        <f ca="1">IF('Stock Price'!$I$11="OK",G455/INDEX(G$5:G$1258,'Stock Price'!$I$9)-1,"")</f>
        <v>0.12509476876421521</v>
      </c>
      <c r="U455" s="19">
        <f ca="1">IF('Stock Price'!$I$11="OK",H455/INDEX(H$5:H$1258,'Stock Price'!$I$9)-1,"")</f>
        <v>0.35281862745098058</v>
      </c>
      <c r="V455" s="19">
        <f ca="1">IF('Stock Price'!$I$11="OK",I455/INDEX(I$5:I$1258,'Stock Price'!$I$9)-1,"")</f>
        <v>-0.11625708884688091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139.28</v>
      </c>
      <c r="C456" s="18">
        <v>100.6992</v>
      </c>
      <c r="D456" s="18">
        <v>35.729999999999997</v>
      </c>
      <c r="E456" s="18">
        <v>39.25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0.15107438016528918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-0.25211930926216641</v>
      </c>
      <c r="R456" s="19">
        <f ca="1">IF('Stock Price'!$I$11="OK",E456/INDEX(E$5:E$1258,'Stock Price'!$I$9)-1,"")</f>
        <v>-0.1595289079229123</v>
      </c>
      <c r="S456" s="19">
        <f ca="1">IF('Stock Price'!$I$11="OK",F456/INDEX(F$5:F$1258,'Stock Price'!$I$9)-1,"")</f>
        <v>0.11589403973509937</v>
      </c>
      <c r="T456" s="19">
        <f ca="1">IF('Stock Price'!$I$11="OK",G456/INDEX(G$5:G$1258,'Stock Price'!$I$9)-1,"")</f>
        <v>0.11534712444492579</v>
      </c>
      <c r="U456" s="19">
        <f ca="1">IF('Stock Price'!$I$11="OK",H456/INDEX(H$5:H$1258,'Stock Price'!$I$9)-1,"")</f>
        <v>0.33321078431372575</v>
      </c>
      <c r="V456" s="19">
        <f ca="1">IF('Stock Price'!$I$11="OK",I456/INDEX(I$5:I$1258,'Stock Price'!$I$9)-1,"")</f>
        <v>-0.11365784499054821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137.09989999999999</v>
      </c>
      <c r="C457" s="18">
        <v>101.4054</v>
      </c>
      <c r="D457" s="18">
        <v>35.700000000000003</v>
      </c>
      <c r="E457" s="18">
        <v>39.31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0.13305702479338843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-0.25274725274725263</v>
      </c>
      <c r="R457" s="19">
        <f ca="1">IF('Stock Price'!$I$11="OK",E457/INDEX(E$5:E$1258,'Stock Price'!$I$9)-1,"")</f>
        <v>-0.15824411134903638</v>
      </c>
      <c r="S457" s="19">
        <f ca="1">IF('Stock Price'!$I$11="OK",F457/INDEX(F$5:F$1258,'Stock Price'!$I$9)-1,"")</f>
        <v>0.11278973509933787</v>
      </c>
      <c r="T457" s="19">
        <f ca="1">IF('Stock Price'!$I$11="OK",G457/INDEX(G$5:G$1258,'Stock Price'!$I$9)-1,"")</f>
        <v>0.12054586808188006</v>
      </c>
      <c r="U457" s="19">
        <f ca="1">IF('Stock Price'!$I$11="OK",H457/INDEX(H$5:H$1258,'Stock Price'!$I$9)-1,"")</f>
        <v>0.31776960784313735</v>
      </c>
      <c r="V457" s="19">
        <f ca="1">IF('Stock Price'!$I$11="OK",I457/INDEX(I$5:I$1258,'Stock Price'!$I$9)-1,"")</f>
        <v>-0.12429111531190917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140.5</v>
      </c>
      <c r="C458" s="18">
        <v>100.5057</v>
      </c>
      <c r="D458" s="18">
        <v>35.869999999999997</v>
      </c>
      <c r="E458" s="18">
        <v>39.15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0.16115702479338845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-0.24918890633176349</v>
      </c>
      <c r="R458" s="19">
        <f ca="1">IF('Stock Price'!$I$11="OK",E458/INDEX(E$5:E$1258,'Stock Price'!$I$9)-1,"")</f>
        <v>-0.16167023554603865</v>
      </c>
      <c r="S458" s="19">
        <f ca="1">IF('Stock Price'!$I$11="OK",F458/INDEX(F$5:F$1258,'Stock Price'!$I$9)-1,"")</f>
        <v>0.10740894039735105</v>
      </c>
      <c r="T458" s="19">
        <f ca="1">IF('Stock Price'!$I$11="OK",G458/INDEX(G$5:G$1258,'Stock Price'!$I$9)-1,"")</f>
        <v>0.11599696739954513</v>
      </c>
      <c r="U458" s="19">
        <f ca="1">IF('Stock Price'!$I$11="OK",H458/INDEX(H$5:H$1258,'Stock Price'!$I$9)-1,"")</f>
        <v>0.31299019607843137</v>
      </c>
      <c r="V458" s="19">
        <f ca="1">IF('Stock Price'!$I$11="OK",I458/INDEX(I$5:I$1258,'Stock Price'!$I$9)-1,"")</f>
        <v>-0.12074669187145559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140.44999999999999</v>
      </c>
      <c r="C459" s="18">
        <v>100.44759999999999</v>
      </c>
      <c r="D459" s="18">
        <v>35.869999999999997</v>
      </c>
      <c r="E459" s="18">
        <v>38.869999999999997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0.16074380165289237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-0.24918890633176349</v>
      </c>
      <c r="R459" s="19">
        <f ca="1">IF('Stock Price'!$I$11="OK",E459/INDEX(E$5:E$1258,'Stock Price'!$I$9)-1,"")</f>
        <v>-0.16766595289079245</v>
      </c>
      <c r="S459" s="19">
        <f ca="1">IF('Stock Price'!$I$11="OK",F459/INDEX(F$5:F$1258,'Stock Price'!$I$9)-1,"")</f>
        <v>0.10802980132450335</v>
      </c>
      <c r="T459" s="19">
        <f ca="1">IF('Stock Price'!$I$11="OK",G459/INDEX(G$5:G$1258,'Stock Price'!$I$9)-1,"")</f>
        <v>0.13245965558323403</v>
      </c>
      <c r="U459" s="19">
        <f ca="1">IF('Stock Price'!$I$11="OK",H459/INDEX(H$5:H$1258,'Stock Price'!$I$9)-1,"")</f>
        <v>0.29007352941176467</v>
      </c>
      <c r="V459" s="19">
        <f ca="1">IF('Stock Price'!$I$11="OK",I459/INDEX(I$5:I$1258,'Stock Price'!$I$9)-1,"")</f>
        <v>-0.14461247637051033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140.84</v>
      </c>
      <c r="C460" s="18">
        <v>100.78619999999999</v>
      </c>
      <c r="D460" s="18">
        <v>35.44</v>
      </c>
      <c r="E460" s="18">
        <v>38.619999999999997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0.1639669421487604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-0.25818942961800107</v>
      </c>
      <c r="R460" s="19">
        <f ca="1">IF('Stock Price'!$I$11="OK",E460/INDEX(E$5:E$1258,'Stock Price'!$I$9)-1,"")</f>
        <v>-0.17301927194860822</v>
      </c>
      <c r="S460" s="19">
        <f ca="1">IF('Stock Price'!$I$11="OK",F460/INDEX(F$5:F$1258,'Stock Price'!$I$9)-1,"")</f>
        <v>8.6092715231788075E-2</v>
      </c>
      <c r="T460" s="19">
        <f ca="1">IF('Stock Price'!$I$11="OK",G460/INDEX(G$5:G$1258,'Stock Price'!$I$9)-1,"")</f>
        <v>0.13505902740171116</v>
      </c>
      <c r="U460" s="19">
        <f ca="1">IF('Stock Price'!$I$11="OK",H460/INDEX(H$5:H$1258,'Stock Price'!$I$9)-1,"")</f>
        <v>0.30318627450980395</v>
      </c>
      <c r="V460" s="19">
        <f ca="1">IF('Stock Price'!$I$11="OK",I460/INDEX(I$5:I$1258,'Stock Price'!$I$9)-1,"")</f>
        <v>-0.14768431001890359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144.82</v>
      </c>
      <c r="C461" s="18">
        <v>101.4828</v>
      </c>
      <c r="D461" s="18">
        <v>35.57</v>
      </c>
      <c r="E461" s="18">
        <v>38.700000000000003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0.19685950413223141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-0.25546834118262685</v>
      </c>
      <c r="R461" s="19">
        <f ca="1">IF('Stock Price'!$I$11="OK",E461/INDEX(E$5:E$1258,'Stock Price'!$I$9)-1,"")</f>
        <v>-0.17130620985010703</v>
      </c>
      <c r="S461" s="19">
        <f ca="1">IF('Stock Price'!$I$11="OK",F461/INDEX(F$5:F$1258,'Stock Price'!$I$9)-1,"")</f>
        <v>0.10451158940397343</v>
      </c>
      <c r="T461" s="19">
        <f ca="1">IF('Stock Price'!$I$11="OK",G461/INDEX(G$5:G$1258,'Stock Price'!$I$9)-1,"")</f>
        <v>0.15108848694898747</v>
      </c>
      <c r="U461" s="19">
        <f ca="1">IF('Stock Price'!$I$11="OK",H461/INDEX(H$5:H$1258,'Stock Price'!$I$9)-1,"")</f>
        <v>0.30698529411764719</v>
      </c>
      <c r="V461" s="19">
        <f ca="1">IF('Stock Price'!$I$11="OK",I461/INDEX(I$5:I$1258,'Stock Price'!$I$9)-1,"")</f>
        <v>-0.14792060491493375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142.85</v>
      </c>
      <c r="C462" s="18">
        <v>99.954300000000003</v>
      </c>
      <c r="D462" s="18">
        <v>34.93</v>
      </c>
      <c r="E462" s="18">
        <v>38.299999999999997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0.18057851239669409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-0.2688644688644688</v>
      </c>
      <c r="R462" s="19">
        <f ca="1">IF('Stock Price'!$I$11="OK",E462/INDEX(E$5:E$1258,'Stock Price'!$I$9)-1,"")</f>
        <v>-0.17987152034261256</v>
      </c>
      <c r="S462" s="19">
        <f ca="1">IF('Stock Price'!$I$11="OK",F462/INDEX(F$5:F$1258,'Stock Price'!$I$9)-1,"")</f>
        <v>9.8096026490066324E-2</v>
      </c>
      <c r="T462" s="19">
        <f ca="1">IF('Stock Price'!$I$11="OK",G462/INDEX(G$5:G$1258,'Stock Price'!$I$9)-1,"")</f>
        <v>0.14740604353947795</v>
      </c>
      <c r="U462" s="19">
        <f ca="1">IF('Stock Price'!$I$11="OK",H462/INDEX(H$5:H$1258,'Stock Price'!$I$9)-1,"")</f>
        <v>0.29019607843137263</v>
      </c>
      <c r="V462" s="19">
        <f ca="1">IF('Stock Price'!$I$11="OK",I462/INDEX(I$5:I$1258,'Stock Price'!$I$9)-1,"")</f>
        <v>-0.15855387523629494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139.125</v>
      </c>
      <c r="C463" s="18">
        <v>99.402799999999999</v>
      </c>
      <c r="D463" s="18">
        <v>34.630000000000003</v>
      </c>
      <c r="E463" s="18">
        <v>38.29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0.14979338842975198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-0.27514390371533226</v>
      </c>
      <c r="R463" s="19">
        <f ca="1">IF('Stock Price'!$I$11="OK",E463/INDEX(E$5:E$1258,'Stock Price'!$I$9)-1,"")</f>
        <v>-0.18008565310492508</v>
      </c>
      <c r="S463" s="19">
        <f ca="1">IF('Stock Price'!$I$11="OK",F463/INDEX(F$5:F$1258,'Stock Price'!$I$9)-1,"")</f>
        <v>6.5604304635761723E-2</v>
      </c>
      <c r="T463" s="19">
        <f ca="1">IF('Stock Price'!$I$11="OK",G463/INDEX(G$5:G$1258,'Stock Price'!$I$9)-1,"")</f>
        <v>0.12639445467345389</v>
      </c>
      <c r="U463" s="19">
        <f ca="1">IF('Stock Price'!$I$11="OK",H463/INDEX(H$5:H$1258,'Stock Price'!$I$9)-1,"")</f>
        <v>0.29534313725490202</v>
      </c>
      <c r="V463" s="19">
        <f ca="1">IF('Stock Price'!$I$11="OK",I463/INDEX(I$5:I$1258,'Stock Price'!$I$9)-1,"")</f>
        <v>-0.16469754253308122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139.01</v>
      </c>
      <c r="C464" s="18">
        <v>98.715999999999994</v>
      </c>
      <c r="D464" s="18">
        <v>34.17</v>
      </c>
      <c r="E464" s="18">
        <v>38.049999999999997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0.14884297520661161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-0.28477237048665616</v>
      </c>
      <c r="R464" s="19">
        <f ca="1">IF('Stock Price'!$I$11="OK",E464/INDEX(E$5:E$1258,'Stock Price'!$I$9)-1,"")</f>
        <v>-0.18522483940042833</v>
      </c>
      <c r="S464" s="19">
        <f ca="1">IF('Stock Price'!$I$11="OK",F464/INDEX(F$5:F$1258,'Stock Price'!$I$9)-1,"")</f>
        <v>5.4428807947019875E-2</v>
      </c>
      <c r="T464" s="19">
        <f ca="1">IF('Stock Price'!$I$11="OK",G464/INDEX(G$5:G$1258,'Stock Price'!$I$9)-1,"")</f>
        <v>0.11751326762699033</v>
      </c>
      <c r="U464" s="19">
        <f ca="1">IF('Stock Price'!$I$11="OK",H464/INDEX(H$5:H$1258,'Stock Price'!$I$9)-1,"")</f>
        <v>0.29571078431372566</v>
      </c>
      <c r="V464" s="19">
        <f ca="1">IF('Stock Price'!$I$11="OK",I464/INDEX(I$5:I$1258,'Stock Price'!$I$9)-1,"")</f>
        <v>-0.17296786389413987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140.24</v>
      </c>
      <c r="C465" s="18">
        <v>98.483800000000002</v>
      </c>
      <c r="D465" s="18">
        <v>34.380000000000003</v>
      </c>
      <c r="E465" s="18">
        <v>37.78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0.15900826446280991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-0.28037676609105178</v>
      </c>
      <c r="R465" s="19">
        <f ca="1">IF('Stock Price'!$I$11="OK",E465/INDEX(E$5:E$1258,'Stock Price'!$I$9)-1,"")</f>
        <v>-0.19100642398286938</v>
      </c>
      <c r="S465" s="19">
        <f ca="1">IF('Stock Price'!$I$11="OK",F465/INDEX(F$5:F$1258,'Stock Price'!$I$9)-1,"")</f>
        <v>6.8915562913907324E-2</v>
      </c>
      <c r="T465" s="19">
        <f ca="1">IF('Stock Price'!$I$11="OK",G465/INDEX(G$5:G$1258,'Stock Price'!$I$9)-1,"")</f>
        <v>0.11816311058160944</v>
      </c>
      <c r="U465" s="19">
        <f ca="1">IF('Stock Price'!$I$11="OK",H465/INDEX(H$5:H$1258,'Stock Price'!$I$9)-1,"")</f>
        <v>0.28676470588235303</v>
      </c>
      <c r="V465" s="19">
        <f ca="1">IF('Stock Price'!$I$11="OK",I465/INDEX(I$5:I$1258,'Stock Price'!$I$9)-1,"")</f>
        <v>-0.17249527410207932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141.28</v>
      </c>
      <c r="C466" s="18">
        <v>99.4512</v>
      </c>
      <c r="D466" s="18">
        <v>34.64</v>
      </c>
      <c r="E466" s="18">
        <v>37.880000000000003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0.16760330578512406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-0.27493458922030345</v>
      </c>
      <c r="R466" s="19">
        <f ca="1">IF('Stock Price'!$I$11="OK",E466/INDEX(E$5:E$1258,'Stock Price'!$I$9)-1,"")</f>
        <v>-0.18886509635974302</v>
      </c>
      <c r="S466" s="19">
        <f ca="1">IF('Stock Price'!$I$11="OK",F466/INDEX(F$5:F$1258,'Stock Price'!$I$9)-1,"")</f>
        <v>7.698675496688745E-2</v>
      </c>
      <c r="T466" s="19">
        <f ca="1">IF('Stock Price'!$I$11="OK",G466/INDEX(G$5:G$1258,'Stock Price'!$I$9)-1,"")</f>
        <v>0.13440918444709182</v>
      </c>
      <c r="U466" s="19">
        <f ca="1">IF('Stock Price'!$I$11="OK",H466/INDEX(H$5:H$1258,'Stock Price'!$I$9)-1,"")</f>
        <v>0.300122549019608</v>
      </c>
      <c r="V466" s="19">
        <f ca="1">IF('Stock Price'!$I$11="OK",I466/INDEX(I$5:I$1258,'Stock Price'!$I$9)-1,"")</f>
        <v>-0.15689981096408323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141.35</v>
      </c>
      <c r="C467" s="18">
        <v>99.693100000000001</v>
      </c>
      <c r="D467" s="18">
        <v>34.979999999999997</v>
      </c>
      <c r="E467" s="18">
        <v>37.97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0.16818181818181821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-0.26781789638932496</v>
      </c>
      <c r="R467" s="19">
        <f ca="1">IF('Stock Price'!$I$11="OK",E467/INDEX(E$5:E$1258,'Stock Price'!$I$9)-1,"")</f>
        <v>-0.18693790149892942</v>
      </c>
      <c r="S467" s="19">
        <f ca="1">IF('Stock Price'!$I$11="OK",F467/INDEX(F$5:F$1258,'Stock Price'!$I$9)-1,"")</f>
        <v>8.9817880794701876E-2</v>
      </c>
      <c r="T467" s="19">
        <f ca="1">IF('Stock Price'!$I$11="OK",G467/INDEX(G$5:G$1258,'Stock Price'!$I$9)-1,"")</f>
        <v>0.13332611285605989</v>
      </c>
      <c r="U467" s="19">
        <f ca="1">IF('Stock Price'!$I$11="OK",H467/INDEX(H$5:H$1258,'Stock Price'!$I$9)-1,"")</f>
        <v>0.30404411764705896</v>
      </c>
      <c r="V467" s="19">
        <f ca="1">IF('Stock Price'!$I$11="OK",I467/INDEX(I$5:I$1258,'Stock Price'!$I$9)-1,"")</f>
        <v>-0.15784499054820411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141.35</v>
      </c>
      <c r="C468" s="18">
        <v>99.9833</v>
      </c>
      <c r="D468" s="18">
        <v>35.18</v>
      </c>
      <c r="E468" s="18">
        <v>37.78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0.16818181818181821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-0.26363160648874928</v>
      </c>
      <c r="R468" s="19">
        <f ca="1">IF('Stock Price'!$I$11="OK",E468/INDEX(E$5:E$1258,'Stock Price'!$I$9)-1,"")</f>
        <v>-0.19100642398286938</v>
      </c>
      <c r="S468" s="19">
        <f ca="1">IF('Stock Price'!$I$11="OK",F468/INDEX(F$5:F$1258,'Stock Price'!$I$9)-1,"")</f>
        <v>0.10140728476821192</v>
      </c>
      <c r="T468" s="19">
        <f ca="1">IF('Stock Price'!$I$11="OK",G468/INDEX(G$5:G$1258,'Stock Price'!$I$9)-1,"")</f>
        <v>0.12682768330986693</v>
      </c>
      <c r="U468" s="19">
        <f ca="1">IF('Stock Price'!$I$11="OK",H468/INDEX(H$5:H$1258,'Stock Price'!$I$9)-1,"")</f>
        <v>0.30024509803921573</v>
      </c>
      <c r="V468" s="19">
        <f ca="1">IF('Stock Price'!$I$11="OK",I468/INDEX(I$5:I$1258,'Stock Price'!$I$9)-1,"")</f>
        <v>-0.15311909262759915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137.94999999999999</v>
      </c>
      <c r="C469" s="18">
        <v>99.925200000000004</v>
      </c>
      <c r="D469" s="18">
        <v>35.08</v>
      </c>
      <c r="E469" s="18">
        <v>37.86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0.14008264462809916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-0.26572475143903718</v>
      </c>
      <c r="R469" s="19">
        <f ca="1">IF('Stock Price'!$I$11="OK",E469/INDEX(E$5:E$1258,'Stock Price'!$I$9)-1,"")</f>
        <v>-0.18929336188436841</v>
      </c>
      <c r="S469" s="19">
        <f ca="1">IF('Stock Price'!$I$11="OK",F469/INDEX(F$5:F$1258,'Stock Price'!$I$9)-1,"")</f>
        <v>0.11113410596026485</v>
      </c>
      <c r="T469" s="19">
        <f ca="1">IF('Stock Price'!$I$11="OK",G469/INDEX(G$5:G$1258,'Stock Price'!$I$9)-1,"")</f>
        <v>0.14134084262969782</v>
      </c>
      <c r="U469" s="19">
        <f ca="1">IF('Stock Price'!$I$11="OK",H469/INDEX(H$5:H$1258,'Stock Price'!$I$9)-1,"")</f>
        <v>0.29374999999999996</v>
      </c>
      <c r="V469" s="19">
        <f ca="1">IF('Stock Price'!$I$11="OK",I469/INDEX(I$5:I$1258,'Stock Price'!$I$9)-1,"")</f>
        <v>-0.15595463137996224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141.52000000000001</v>
      </c>
      <c r="C470" s="18">
        <v>100.21550000000001</v>
      </c>
      <c r="D470" s="18">
        <v>35.33</v>
      </c>
      <c r="E470" s="18">
        <v>37.909999999999997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0.1695867768595043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-0.26049188906331766</v>
      </c>
      <c r="R470" s="19">
        <f ca="1">IF('Stock Price'!$I$11="OK",E470/INDEX(E$5:E$1258,'Stock Price'!$I$9)-1,"")</f>
        <v>-0.18822269807280523</v>
      </c>
      <c r="S470" s="19">
        <f ca="1">IF('Stock Price'!$I$11="OK",F470/INDEX(F$5:F$1258,'Stock Price'!$I$9)-1,"")</f>
        <v>0.10782284768211925</v>
      </c>
      <c r="T470" s="19">
        <f ca="1">IF('Stock Price'!$I$11="OK",G470/INDEX(G$5:G$1258,'Stock Price'!$I$9)-1,"")</f>
        <v>0.13874147081122068</v>
      </c>
      <c r="U470" s="19">
        <f ca="1">IF('Stock Price'!$I$11="OK",H470/INDEX(H$5:H$1258,'Stock Price'!$I$9)-1,"")</f>
        <v>0.31666666666666665</v>
      </c>
      <c r="V470" s="19">
        <f ca="1">IF('Stock Price'!$I$11="OK",I470/INDEX(I$5:I$1258,'Stock Price'!$I$9)-1,"")</f>
        <v>-0.1483931947069943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143.19999999999999</v>
      </c>
      <c r="C471" s="18">
        <v>100.0026</v>
      </c>
      <c r="D471" s="18">
        <v>35.44</v>
      </c>
      <c r="E471" s="18">
        <v>37.74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0.1834710743801653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-0.25818942961800107</v>
      </c>
      <c r="R471" s="19">
        <f ca="1">IF('Stock Price'!$I$11="OK",E471/INDEX(E$5:E$1258,'Stock Price'!$I$9)-1,"")</f>
        <v>-0.19186295503211992</v>
      </c>
      <c r="S471" s="19">
        <f ca="1">IF('Stock Price'!$I$11="OK",F471/INDEX(F$5:F$1258,'Stock Price'!$I$9)-1,"")</f>
        <v>0.10264900662251653</v>
      </c>
      <c r="T471" s="19">
        <f ca="1">IF('Stock Price'!$I$11="OK",G471/INDEX(G$5:G$1258,'Stock Price'!$I$9)-1,"")</f>
        <v>0.14177407126611064</v>
      </c>
      <c r="U471" s="19">
        <f ca="1">IF('Stock Price'!$I$11="OK",H471/INDEX(H$5:H$1258,'Stock Price'!$I$9)-1,"")</f>
        <v>0.33468137254901964</v>
      </c>
      <c r="V471" s="19">
        <f ca="1">IF('Stock Price'!$I$11="OK",I471/INDEX(I$5:I$1258,'Stock Price'!$I$9)-1,"")</f>
        <v>-0.14768431001890359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137.56</v>
      </c>
      <c r="C472" s="18">
        <v>99.248000000000005</v>
      </c>
      <c r="D472" s="18">
        <v>35.26</v>
      </c>
      <c r="E472" s="18">
        <v>37.19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0.13685950413223136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-0.26195709052851912</v>
      </c>
      <c r="R472" s="19">
        <f ca="1">IF('Stock Price'!$I$11="OK",E472/INDEX(E$5:E$1258,'Stock Price'!$I$9)-1,"")</f>
        <v>-0.20364025695931487</v>
      </c>
      <c r="S472" s="19">
        <f ca="1">IF('Stock Price'!$I$11="OK",F472/INDEX(F$5:F$1258,'Stock Price'!$I$9)-1,"")</f>
        <v>9.27152317880795E-2</v>
      </c>
      <c r="T472" s="19">
        <f ca="1">IF('Stock Price'!$I$11="OK",G472/INDEX(G$5:G$1258,'Stock Price'!$I$9)-1,"")</f>
        <v>0.12357846853677024</v>
      </c>
      <c r="U472" s="19">
        <f ca="1">IF('Stock Price'!$I$11="OK",H472/INDEX(H$5:H$1258,'Stock Price'!$I$9)-1,"")</f>
        <v>0.33161764705882368</v>
      </c>
      <c r="V472" s="19">
        <f ca="1">IF('Stock Price'!$I$11="OK",I472/INDEX(I$5:I$1258,'Stock Price'!$I$9)-1,"")</f>
        <v>-0.16375236294896034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137.56</v>
      </c>
      <c r="C473" s="18">
        <v>98.783699999999996</v>
      </c>
      <c r="D473" s="18">
        <v>35.049999999999997</v>
      </c>
      <c r="E473" s="18">
        <v>36.82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0.13685950413223136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-0.2663526949241235</v>
      </c>
      <c r="R473" s="19">
        <f ca="1">IF('Stock Price'!$I$11="OK",E473/INDEX(E$5:E$1258,'Stock Price'!$I$9)-1,"")</f>
        <v>-0.21156316916488227</v>
      </c>
      <c r="S473" s="19">
        <f ca="1">IF('Stock Price'!$I$11="OK",F473/INDEX(F$5:F$1258,'Stock Price'!$I$9)-1,"")</f>
        <v>8.4850993377483475E-2</v>
      </c>
      <c r="T473" s="19">
        <f ca="1">IF('Stock Price'!$I$11="OK",G473/INDEX(G$5:G$1258,'Stock Price'!$I$9)-1,"")</f>
        <v>0.1047330228528105</v>
      </c>
      <c r="U473" s="19">
        <f ca="1">IF('Stock Price'!$I$11="OK",H473/INDEX(H$5:H$1258,'Stock Price'!$I$9)-1,"")</f>
        <v>0.33247549019607847</v>
      </c>
      <c r="V473" s="19">
        <f ca="1">IF('Stock Price'!$I$11="OK",I473/INDEX(I$5:I$1258,'Stock Price'!$I$9)-1,"")</f>
        <v>-0.16162570888468819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137.47489999999999</v>
      </c>
      <c r="C474" s="18">
        <v>98.4161</v>
      </c>
      <c r="D474" s="18">
        <v>34.86</v>
      </c>
      <c r="E474" s="18">
        <v>36.69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0.13615619834710735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-0.27032967032967037</v>
      </c>
      <c r="R474" s="19">
        <f ca="1">IF('Stock Price'!$I$11="OK",E474/INDEX(E$5:E$1258,'Stock Price'!$I$9)-1,"")</f>
        <v>-0.21434689507494653</v>
      </c>
      <c r="S474" s="19">
        <f ca="1">IF('Stock Price'!$I$11="OK",F474/INDEX(F$5:F$1258,'Stock Price'!$I$9)-1,"")</f>
        <v>9.5405629139072801E-2</v>
      </c>
      <c r="T474" s="19">
        <f ca="1">IF('Stock Price'!$I$11="OK",G474/INDEX(G$5:G$1258,'Stock Price'!$I$9)-1,"")</f>
        <v>0.11188129535362279</v>
      </c>
      <c r="U474" s="19">
        <f ca="1">IF('Stock Price'!$I$11="OK",H474/INDEX(H$5:H$1258,'Stock Price'!$I$9)-1,"")</f>
        <v>0.33480392156862759</v>
      </c>
      <c r="V474" s="19">
        <f ca="1">IF('Stock Price'!$I$11="OK",I474/INDEX(I$5:I$1258,'Stock Price'!$I$9)-1,"")</f>
        <v>-0.13728733459357279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136.03</v>
      </c>
      <c r="C475" s="18">
        <v>97.729200000000006</v>
      </c>
      <c r="D475" s="18">
        <v>34.47</v>
      </c>
      <c r="E475" s="18">
        <v>35.97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0.12421487603305792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-0.2784929356357928</v>
      </c>
      <c r="R475" s="19">
        <f ca="1">IF('Stock Price'!$I$11="OK",E475/INDEX(E$5:E$1258,'Stock Price'!$I$9)-1,"")</f>
        <v>-0.22976445396145617</v>
      </c>
      <c r="S475" s="19">
        <f ca="1">IF('Stock Price'!$I$11="OK",F475/INDEX(F$5:F$1258,'Stock Price'!$I$9)-1,"")</f>
        <v>0.10202814569536423</v>
      </c>
      <c r="T475" s="19">
        <f ca="1">IF('Stock Price'!$I$11="OK",G475/INDEX(G$5:G$1258,'Stock Price'!$I$9)-1,"")</f>
        <v>9.0003249214773096E-2</v>
      </c>
      <c r="U475" s="19">
        <f ca="1">IF('Stock Price'!$I$11="OK",H475/INDEX(H$5:H$1258,'Stock Price'!$I$9)-1,"")</f>
        <v>0.33823529411764719</v>
      </c>
      <c r="V475" s="19">
        <f ca="1">IF('Stock Price'!$I$11="OK",I475/INDEX(I$5:I$1258,'Stock Price'!$I$9)-1,"")</f>
        <v>-0.1337429111531192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136.94999999999999</v>
      </c>
      <c r="C476" s="18">
        <v>99.625299999999996</v>
      </c>
      <c r="D476" s="18">
        <v>34.549999999999997</v>
      </c>
      <c r="E476" s="18">
        <v>36.15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0.13181818181818183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-0.27681841967556253</v>
      </c>
      <c r="R476" s="19">
        <f ca="1">IF('Stock Price'!$I$11="OK",E476/INDEX(E$5:E$1258,'Stock Price'!$I$9)-1,"")</f>
        <v>-0.22591006423982873</v>
      </c>
      <c r="S476" s="19">
        <f ca="1">IF('Stock Price'!$I$11="OK",F476/INDEX(F$5:F$1258,'Stock Price'!$I$9)-1,"")</f>
        <v>0.11154801324503305</v>
      </c>
      <c r="T476" s="19">
        <f ca="1">IF('Stock Price'!$I$11="OK",G476/INDEX(G$5:G$1258,'Stock Price'!$I$9)-1,"")</f>
        <v>8.5887577168850981E-2</v>
      </c>
      <c r="U476" s="19">
        <f ca="1">IF('Stock Price'!$I$11="OK",H476/INDEX(H$5:H$1258,'Stock Price'!$I$9)-1,"")</f>
        <v>0.34362745098039227</v>
      </c>
      <c r="V476" s="19">
        <f ca="1">IF('Stock Price'!$I$11="OK",I476/INDEX(I$5:I$1258,'Stock Price'!$I$9)-1,"")</f>
        <v>-0.12547258979206055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135.80000000000001</v>
      </c>
      <c r="C477" s="18">
        <v>99.248000000000005</v>
      </c>
      <c r="D477" s="18">
        <v>34.619999999999997</v>
      </c>
      <c r="E477" s="18">
        <v>35.75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0.12231404958677694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-0.27535321821036107</v>
      </c>
      <c r="R477" s="19">
        <f ca="1">IF('Stock Price'!$I$11="OK",E477/INDEX(E$5:E$1258,'Stock Price'!$I$9)-1,"")</f>
        <v>-0.23447537473233404</v>
      </c>
      <c r="S477" s="19">
        <f ca="1">IF('Stock Price'!$I$11="OK",F477/INDEX(F$5:F$1258,'Stock Price'!$I$9)-1,"")</f>
        <v>0.11796357615894038</v>
      </c>
      <c r="T477" s="19">
        <f ca="1">IF('Stock Price'!$I$11="OK",G477/INDEX(G$5:G$1258,'Stock Price'!$I$9)-1,"")</f>
        <v>8.7187263078089439E-2</v>
      </c>
      <c r="U477" s="19">
        <f ca="1">IF('Stock Price'!$I$11="OK",H477/INDEX(H$5:H$1258,'Stock Price'!$I$9)-1,"")</f>
        <v>0.31409313725490207</v>
      </c>
      <c r="V477" s="19">
        <f ca="1">IF('Stock Price'!$I$11="OK",I477/INDEX(I$5:I$1258,'Stock Price'!$I$9)-1,"")</f>
        <v>-0.12948960302457457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139.35</v>
      </c>
      <c r="C478" s="18">
        <v>99.480199999999996</v>
      </c>
      <c r="D478" s="18">
        <v>34.950000000000003</v>
      </c>
      <c r="E478" s="18">
        <v>37.299999999999997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0.15165289256198333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-0.26844583987441117</v>
      </c>
      <c r="R478" s="19">
        <f ca="1">IF('Stock Price'!$I$11="OK",E478/INDEX(E$5:E$1258,'Stock Price'!$I$9)-1,"")</f>
        <v>-0.20128479657387588</v>
      </c>
      <c r="S478" s="19">
        <f ca="1">IF('Stock Price'!$I$11="OK",F478/INDEX(F$5:F$1258,'Stock Price'!$I$9)-1,"")</f>
        <v>0.10720198675496695</v>
      </c>
      <c r="T478" s="19">
        <f ca="1">IF('Stock Price'!$I$11="OK",G478/INDEX(G$5:G$1258,'Stock Price'!$I$9)-1,"")</f>
        <v>8.9136791941947457E-2</v>
      </c>
      <c r="U478" s="19">
        <f ca="1">IF('Stock Price'!$I$11="OK",H478/INDEX(H$5:H$1258,'Stock Price'!$I$9)-1,"")</f>
        <v>0.36397058823529416</v>
      </c>
      <c r="V478" s="19">
        <f ca="1">IF('Stock Price'!$I$11="OK",I478/INDEX(I$5:I$1258,'Stock Price'!$I$9)-1,"")</f>
        <v>-0.1337429111531192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136</v>
      </c>
      <c r="C479" s="18">
        <v>97.555000000000007</v>
      </c>
      <c r="D479" s="18">
        <v>34.47</v>
      </c>
      <c r="E479" s="18">
        <v>36.57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0.12396694214876036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-0.2784929356357928</v>
      </c>
      <c r="R479" s="19">
        <f ca="1">IF('Stock Price'!$I$11="OK",E479/INDEX(E$5:E$1258,'Stock Price'!$I$9)-1,"")</f>
        <v>-0.21691648822269816</v>
      </c>
      <c r="S479" s="19">
        <f ca="1">IF('Stock Price'!$I$11="OK",F479/INDEX(F$5:F$1258,'Stock Price'!$I$9)-1,"")</f>
        <v>9.6026490066225101E-2</v>
      </c>
      <c r="T479" s="19">
        <f ca="1">IF('Stock Price'!$I$11="OK",G479/INDEX(G$5:G$1258,'Stock Price'!$I$9)-1,"")</f>
        <v>8.0688833531896487E-2</v>
      </c>
      <c r="U479" s="19">
        <f ca="1">IF('Stock Price'!$I$11="OK",H479/INDEX(H$5:H$1258,'Stock Price'!$I$9)-1,"")</f>
        <v>0.34129901960784337</v>
      </c>
      <c r="V479" s="19">
        <f ca="1">IF('Stock Price'!$I$11="OK",I479/INDEX(I$5:I$1258,'Stock Price'!$I$9)-1,"")</f>
        <v>-0.14555765595463144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135.971</v>
      </c>
      <c r="C480" s="18">
        <v>98.464399999999998</v>
      </c>
      <c r="D480" s="18">
        <v>34.770000000000003</v>
      </c>
      <c r="E480" s="18">
        <v>36.68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0.12372727272727269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-0.27221350078492923</v>
      </c>
      <c r="R480" s="19">
        <f ca="1">IF('Stock Price'!$I$11="OK",E480/INDEX(E$5:E$1258,'Stock Price'!$I$9)-1,"")</f>
        <v>-0.21456102783725917</v>
      </c>
      <c r="S480" s="19">
        <f ca="1">IF('Stock Price'!$I$11="OK",F480/INDEX(F$5:F$1258,'Stock Price'!$I$9)-1,"")</f>
        <v>0.10554635761589415</v>
      </c>
      <c r="T480" s="19">
        <f ca="1">IF('Stock Price'!$I$11="OK",G480/INDEX(G$5:G$1258,'Stock Price'!$I$9)-1,"")</f>
        <v>8.4154662623199261E-2</v>
      </c>
      <c r="U480" s="19">
        <f ca="1">IF('Stock Price'!$I$11="OK",H480/INDEX(H$5:H$1258,'Stock Price'!$I$9)-1,"")</f>
        <v>0.35061274509803919</v>
      </c>
      <c r="V480" s="19">
        <f ca="1">IF('Stock Price'!$I$11="OK",I480/INDEX(I$5:I$1258,'Stock Price'!$I$9)-1,"")</f>
        <v>-0.14035916824196593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136.63999999999999</v>
      </c>
      <c r="C481" s="18">
        <v>99.006200000000007</v>
      </c>
      <c r="D481" s="18">
        <v>35.11</v>
      </c>
      <c r="E481" s="18">
        <v>36.69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0.12925619834710722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-0.26509680795395085</v>
      </c>
      <c r="R481" s="19">
        <f ca="1">IF('Stock Price'!$I$11="OK",E481/INDEX(E$5:E$1258,'Stock Price'!$I$9)-1,"")</f>
        <v>-0.21434689507494653</v>
      </c>
      <c r="S481" s="19">
        <f ca="1">IF('Stock Price'!$I$11="OK",F481/INDEX(F$5:F$1258,'Stock Price'!$I$9)-1,"")</f>
        <v>0.11258278145695355</v>
      </c>
      <c r="T481" s="19">
        <f ca="1">IF('Stock Price'!$I$11="OK",G481/INDEX(G$5:G$1258,'Stock Price'!$I$9)-1,"")</f>
        <v>9.1302935124011775E-2</v>
      </c>
      <c r="U481" s="19">
        <f ca="1">IF('Stock Price'!$I$11="OK",H481/INDEX(H$5:H$1258,'Stock Price'!$I$9)-1,"")</f>
        <v>0.33492647058823555</v>
      </c>
      <c r="V481" s="19">
        <f ca="1">IF('Stock Price'!$I$11="OK",I481/INDEX(I$5:I$1258,'Stock Price'!$I$9)-1,"")</f>
        <v>-0.14437618147448017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139.1</v>
      </c>
      <c r="C482" s="18">
        <v>99.915599999999998</v>
      </c>
      <c r="D482" s="18">
        <v>35.51</v>
      </c>
      <c r="E482" s="18">
        <v>37.18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0.14958677685950406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-0.25672422815279961</v>
      </c>
      <c r="R482" s="19">
        <f ca="1">IF('Stock Price'!$I$11="OK",E482/INDEX(E$5:E$1258,'Stock Price'!$I$9)-1,"")</f>
        <v>-0.2038543897216275</v>
      </c>
      <c r="S482" s="19">
        <f ca="1">IF('Stock Price'!$I$11="OK",F482/INDEX(F$5:F$1258,'Stock Price'!$I$9)-1,"")</f>
        <v>0.12086092715231778</v>
      </c>
      <c r="T482" s="19">
        <f ca="1">IF('Stock Price'!$I$11="OK",G482/INDEX(G$5:G$1258,'Stock Price'!$I$9)-1,"")</f>
        <v>9.7584750351998428E-2</v>
      </c>
      <c r="U482" s="19">
        <f ca="1">IF('Stock Price'!$I$11="OK",H482/INDEX(H$5:H$1258,'Stock Price'!$I$9)-1,"")</f>
        <v>0.34791666666666665</v>
      </c>
      <c r="V482" s="19">
        <f ca="1">IF('Stock Price'!$I$11="OK",I482/INDEX(I$5:I$1258,'Stock Price'!$I$9)-1,"")</f>
        <v>-0.14579395085066171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136.72499999999999</v>
      </c>
      <c r="C483" s="18">
        <v>98.590199999999996</v>
      </c>
      <c r="D483" s="18">
        <v>35.49</v>
      </c>
      <c r="E483" s="18">
        <v>37.299999999999997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0.12995867768595026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-0.25714285714285712</v>
      </c>
      <c r="R483" s="19">
        <f ca="1">IF('Stock Price'!$I$11="OK",E483/INDEX(E$5:E$1258,'Stock Price'!$I$9)-1,"")</f>
        <v>-0.20128479657387588</v>
      </c>
      <c r="S483" s="19">
        <f ca="1">IF('Stock Price'!$I$11="OK",F483/INDEX(F$5:F$1258,'Stock Price'!$I$9)-1,"")</f>
        <v>0.12044701986754958</v>
      </c>
      <c r="T483" s="19">
        <f ca="1">IF('Stock Price'!$I$11="OK",G483/INDEX(G$5:G$1258,'Stock Price'!$I$9)-1,"")</f>
        <v>9.1952778078630892E-2</v>
      </c>
      <c r="U483" s="19">
        <f ca="1">IF('Stock Price'!$I$11="OK",H483/INDEX(H$5:H$1258,'Stock Price'!$I$9)-1,"")</f>
        <v>0.35061274509803919</v>
      </c>
      <c r="V483" s="19">
        <f ca="1">IF('Stock Price'!$I$11="OK",I483/INDEX(I$5:I$1258,'Stock Price'!$I$9)-1,"")</f>
        <v>-0.15170132325141783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134.03989999999999</v>
      </c>
      <c r="C484" s="18">
        <v>97.206800000000001</v>
      </c>
      <c r="D484" s="18">
        <v>35.130000000000003</v>
      </c>
      <c r="E484" s="18">
        <v>36.630000000000003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0.10776776859504134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-0.26467817896389323</v>
      </c>
      <c r="R484" s="19">
        <f ca="1">IF('Stock Price'!$I$11="OK",E484/INDEX(E$5:E$1258,'Stock Price'!$I$9)-1,"")</f>
        <v>-0.21563169164882223</v>
      </c>
      <c r="S484" s="19">
        <f ca="1">IF('Stock Price'!$I$11="OK",F484/INDEX(F$5:F$1258,'Stock Price'!$I$9)-1,"")</f>
        <v>0.10057947019867552</v>
      </c>
      <c r="T484" s="19">
        <f ca="1">IF('Stock Price'!$I$11="OK",G484/INDEX(G$5:G$1258,'Stock Price'!$I$9)-1,"")</f>
        <v>9.4768764215314549E-2</v>
      </c>
      <c r="U484" s="19">
        <f ca="1">IF('Stock Price'!$I$11="OK",H484/INDEX(H$5:H$1258,'Stock Price'!$I$9)-1,"")</f>
        <v>0.33553921568627465</v>
      </c>
      <c r="V484" s="19">
        <f ca="1">IF('Stock Price'!$I$11="OK",I484/INDEX(I$5:I$1258,'Stock Price'!$I$9)-1,"")</f>
        <v>-0.1639886578449905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136</v>
      </c>
      <c r="C485" s="18">
        <v>97.438999999999993</v>
      </c>
      <c r="D485" s="18">
        <v>35.03</v>
      </c>
      <c r="E485" s="18">
        <v>36.520000000000003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0.12396694214876036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-0.26677132391418101</v>
      </c>
      <c r="R485" s="19">
        <f ca="1">IF('Stock Price'!$I$11="OK",E485/INDEX(E$5:E$1258,'Stock Price'!$I$9)-1,"")</f>
        <v>-0.21798715203426122</v>
      </c>
      <c r="S485" s="19">
        <f ca="1">IF('Stock Price'!$I$11="OK",F485/INDEX(F$5:F$1258,'Stock Price'!$I$9)-1,"")</f>
        <v>9.9544701986755024E-2</v>
      </c>
      <c r="T485" s="19">
        <f ca="1">IF('Stock Price'!$I$11="OK",G485/INDEX(G$5:G$1258,'Stock Price'!$I$9)-1,"")</f>
        <v>0.10191703671612684</v>
      </c>
      <c r="U485" s="19">
        <f ca="1">IF('Stock Price'!$I$11="OK",H485/INDEX(H$5:H$1258,'Stock Price'!$I$9)-1,"")</f>
        <v>0.34607843137254912</v>
      </c>
      <c r="V485" s="19">
        <f ca="1">IF('Stock Price'!$I$11="OK",I485/INDEX(I$5:I$1258,'Stock Price'!$I$9)-1,"")</f>
        <v>-0.1545368620037807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133.9</v>
      </c>
      <c r="C486" s="18">
        <v>94.894599999999997</v>
      </c>
      <c r="D486" s="18">
        <v>34.56</v>
      </c>
      <c r="E486" s="18">
        <v>35.49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0.106611570247934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-0.27660910518053372</v>
      </c>
      <c r="R486" s="19">
        <f ca="1">IF('Stock Price'!$I$11="OK",E486/INDEX(E$5:E$1258,'Stock Price'!$I$9)-1,"")</f>
        <v>-0.24004282655246256</v>
      </c>
      <c r="S486" s="19">
        <f ca="1">IF('Stock Price'!$I$11="OK",F486/INDEX(F$5:F$1258,'Stock Price'!$I$9)-1,"")</f>
        <v>9.5612582781456901E-2</v>
      </c>
      <c r="T486" s="19">
        <f ca="1">IF('Stock Price'!$I$11="OK",G486/INDEX(G$5:G$1258,'Stock Price'!$I$9)-1,"")</f>
        <v>9.7151521715585387E-2</v>
      </c>
      <c r="U486" s="19">
        <f ca="1">IF('Stock Price'!$I$11="OK",H486/INDEX(H$5:H$1258,'Stock Price'!$I$9)-1,"")</f>
        <v>0.31752450980392166</v>
      </c>
      <c r="V486" s="19">
        <f ca="1">IF('Stock Price'!$I$11="OK",I486/INDEX(I$5:I$1258,'Stock Price'!$I$9)-1,"")</f>
        <v>-0.1639886578449905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133.9</v>
      </c>
      <c r="C487" s="18">
        <v>94.701099999999997</v>
      </c>
      <c r="D487" s="18">
        <v>34.409999999999997</v>
      </c>
      <c r="E487" s="18">
        <v>35.380000000000003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0.106611570247934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-0.27974882260596556</v>
      </c>
      <c r="R487" s="19">
        <f ca="1">IF('Stock Price'!$I$11="OK",E487/INDEX(E$5:E$1258,'Stock Price'!$I$9)-1,"")</f>
        <v>-0.24239828693790144</v>
      </c>
      <c r="S487" s="19">
        <f ca="1">IF('Stock Price'!$I$11="OK",F487/INDEX(F$5:F$1258,'Stock Price'!$I$9)-1,"")</f>
        <v>9.0231788079470077E-2</v>
      </c>
      <c r="T487" s="19">
        <f ca="1">IF('Stock Price'!$I$11="OK",G487/INDEX(G$5:G$1258,'Stock Price'!$I$9)-1,"")</f>
        <v>8.5670962850644461E-2</v>
      </c>
      <c r="U487" s="19">
        <f ca="1">IF('Stock Price'!$I$11="OK",H487/INDEX(H$5:H$1258,'Stock Price'!$I$9)-1,"")</f>
        <v>0.30502450980392171</v>
      </c>
      <c r="V487" s="19">
        <f ca="1">IF('Stock Price'!$I$11="OK",I487/INDEX(I$5:I$1258,'Stock Price'!$I$9)-1,"")</f>
        <v>-0.18785444234404547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134.68</v>
      </c>
      <c r="C488" s="18">
        <v>95.629900000000006</v>
      </c>
      <c r="D488" s="18">
        <v>34.64</v>
      </c>
      <c r="E488" s="18">
        <v>35.799999999999997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0.11305785123966938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-0.27493458922030345</v>
      </c>
      <c r="R488" s="19">
        <f ca="1">IF('Stock Price'!$I$11="OK",E488/INDEX(E$5:E$1258,'Stock Price'!$I$9)-1,"")</f>
        <v>-0.23340471092077097</v>
      </c>
      <c r="S488" s="19">
        <f ca="1">IF('Stock Price'!$I$11="OK",F488/INDEX(F$5:F$1258,'Stock Price'!$I$9)-1,"")</f>
        <v>9.7475165562914023E-2</v>
      </c>
      <c r="T488" s="19">
        <f ca="1">IF('Stock Price'!$I$11="OK",G488/INDEX(G$5:G$1258,'Stock Price'!$I$9)-1,"")</f>
        <v>8.8270334669121597E-2</v>
      </c>
      <c r="U488" s="19">
        <f ca="1">IF('Stock Price'!$I$11="OK",H488/INDEX(H$5:H$1258,'Stock Price'!$I$9)-1,"")</f>
        <v>0.32279411764705879</v>
      </c>
      <c r="V488" s="19">
        <f ca="1">IF('Stock Price'!$I$11="OK",I488/INDEX(I$5:I$1258,'Stock Price'!$I$9)-1,"")</f>
        <v>-0.18998109640831751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135.69999999999999</v>
      </c>
      <c r="C489" s="18">
        <v>95.136499999999998</v>
      </c>
      <c r="D489" s="18">
        <v>36.549999999999997</v>
      </c>
      <c r="E489" s="18">
        <v>35.840000000000003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0.12148760330578501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-0.23495552066980641</v>
      </c>
      <c r="R489" s="19">
        <f ca="1">IF('Stock Price'!$I$11="OK",E489/INDEX(E$5:E$1258,'Stock Price'!$I$9)-1,"")</f>
        <v>-0.23254817987152032</v>
      </c>
      <c r="S489" s="19">
        <f ca="1">IF('Stock Price'!$I$11="OK",F489/INDEX(F$5:F$1258,'Stock Price'!$I$9)-1,"")</f>
        <v>0.10906456953642385</v>
      </c>
      <c r="T489" s="19">
        <f ca="1">IF('Stock Price'!$I$11="OK",G489/INDEX(G$5:G$1258,'Stock Price'!$I$9)-1,"")</f>
        <v>8.7187263078089439E-2</v>
      </c>
      <c r="U489" s="19">
        <f ca="1">IF('Stock Price'!$I$11="OK",H489/INDEX(H$5:H$1258,'Stock Price'!$I$9)-1,"")</f>
        <v>0.33639705882352944</v>
      </c>
      <c r="V489" s="19">
        <f ca="1">IF('Stock Price'!$I$11="OK",I489/INDEX(I$5:I$1258,'Stock Price'!$I$9)-1,"")</f>
        <v>-0.19068998109640833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135.69999999999999</v>
      </c>
      <c r="C490" s="18">
        <v>96.007199999999997</v>
      </c>
      <c r="D490" s="18">
        <v>37.020000000000003</v>
      </c>
      <c r="E490" s="18">
        <v>35.49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0.12148760330578501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-0.22511773940345359</v>
      </c>
      <c r="R490" s="19">
        <f ca="1">IF('Stock Price'!$I$11="OK",E490/INDEX(E$5:E$1258,'Stock Price'!$I$9)-1,"")</f>
        <v>-0.24004282655246256</v>
      </c>
      <c r="S490" s="19">
        <f ca="1">IF('Stock Price'!$I$11="OK",F490/INDEX(F$5:F$1258,'Stock Price'!$I$9)-1,"")</f>
        <v>0.1272764900662251</v>
      </c>
      <c r="T490" s="19">
        <f ca="1">IF('Stock Price'!$I$11="OK",G490/INDEX(G$5:G$1258,'Stock Price'!$I$9)-1,"")</f>
        <v>0.10906530921693935</v>
      </c>
      <c r="U490" s="19">
        <f ca="1">IF('Stock Price'!$I$11="OK",H490/INDEX(H$5:H$1258,'Stock Price'!$I$9)-1,"")</f>
        <v>0.33088235294117641</v>
      </c>
      <c r="V490" s="19">
        <f ca="1">IF('Stock Price'!$I$11="OK",I490/INDEX(I$5:I$1258,'Stock Price'!$I$9)-1,"")</f>
        <v>-0.19801512287334599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132.22499999999999</v>
      </c>
      <c r="C491" s="18">
        <v>97.380899999999997</v>
      </c>
      <c r="D491" s="18">
        <v>36.86</v>
      </c>
      <c r="E491" s="18">
        <v>35.619999999999997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9.2768595041322177E-2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-0.22846677132391413</v>
      </c>
      <c r="R491" s="19">
        <f ca="1">IF('Stock Price'!$I$11="OK",E491/INDEX(E$5:E$1258,'Stock Price'!$I$9)-1,"")</f>
        <v>-0.23725910064239841</v>
      </c>
      <c r="S491" s="19">
        <f ca="1">IF('Stock Price'!$I$11="OK",F491/INDEX(F$5:F$1258,'Stock Price'!$I$9)-1,"")</f>
        <v>0.13162251655629142</v>
      </c>
      <c r="T491" s="19">
        <f ca="1">IF('Stock Price'!$I$11="OK",G491/INDEX(G$5:G$1258,'Stock Price'!$I$9)-1,"")</f>
        <v>9.7584750351998428E-2</v>
      </c>
      <c r="U491" s="19">
        <f ca="1">IF('Stock Price'!$I$11="OK",H491/INDEX(H$5:H$1258,'Stock Price'!$I$9)-1,"")</f>
        <v>0.33602941176470602</v>
      </c>
      <c r="V491" s="19">
        <f ca="1">IF('Stock Price'!$I$11="OK",I491/INDEX(I$5:I$1258,'Stock Price'!$I$9)-1,"")</f>
        <v>-0.19305293005671076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130.08000000000001</v>
      </c>
      <c r="C492" s="18">
        <v>97.497</v>
      </c>
      <c r="D492" s="18">
        <v>36.76</v>
      </c>
      <c r="E492" s="18">
        <v>35.83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7.5041322314049586E-2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-0.23055991627420203</v>
      </c>
      <c r="R492" s="19">
        <f ca="1">IF('Stock Price'!$I$11="OK",E492/INDEX(E$5:E$1258,'Stock Price'!$I$9)-1,"")</f>
        <v>-0.23276231263383307</v>
      </c>
      <c r="S492" s="19">
        <f ca="1">IF('Stock Price'!$I$11="OK",F492/INDEX(F$5:F$1258,'Stock Price'!$I$9)-1,"")</f>
        <v>0.1233443708609272</v>
      </c>
      <c r="T492" s="19">
        <f ca="1">IF('Stock Price'!$I$11="OK",G492/INDEX(G$5:G$1258,'Stock Price'!$I$9)-1,"")</f>
        <v>4.6788692732589787E-2</v>
      </c>
      <c r="U492" s="19">
        <f ca="1">IF('Stock Price'!$I$11="OK",H492/INDEX(H$5:H$1258,'Stock Price'!$I$9)-1,"")</f>
        <v>0.32120098039215694</v>
      </c>
      <c r="V492" s="19">
        <f ca="1">IF('Stock Price'!$I$11="OK",I492/INDEX(I$5:I$1258,'Stock Price'!$I$9)-1,"")</f>
        <v>-0.19470699432892258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133</v>
      </c>
      <c r="C493" s="18">
        <v>98.512799999999999</v>
      </c>
      <c r="D493" s="18">
        <v>37.39</v>
      </c>
      <c r="E493" s="18">
        <v>36.130000000000003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9.9173553719008156E-2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-0.21737310308738877</v>
      </c>
      <c r="R493" s="19">
        <f ca="1">IF('Stock Price'!$I$11="OK",E493/INDEX(E$5:E$1258,'Stock Price'!$I$9)-1,"")</f>
        <v>-0.226338329764454</v>
      </c>
      <c r="S493" s="19">
        <f ca="1">IF('Stock Price'!$I$11="OK",F493/INDEX(F$5:F$1258,'Stock Price'!$I$9)-1,"")</f>
        <v>0.1289321192052979</v>
      </c>
      <c r="T493" s="19">
        <f ca="1">IF('Stock Price'!$I$11="OK",G493/INDEX(G$5:G$1258,'Stock Price'!$I$9)-1,"")</f>
        <v>5.9135708870356352E-2</v>
      </c>
      <c r="U493" s="19">
        <f ca="1">IF('Stock Price'!$I$11="OK",H493/INDEX(H$5:H$1258,'Stock Price'!$I$9)-1,"")</f>
        <v>0.32647058823529407</v>
      </c>
      <c r="V493" s="19">
        <f ca="1">IF('Stock Price'!$I$11="OK",I493/INDEX(I$5:I$1258,'Stock Price'!$I$9)-1,"")</f>
        <v>-0.19305293005671076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138.28</v>
      </c>
      <c r="C494" s="18">
        <v>99.286699999999996</v>
      </c>
      <c r="D494" s="18">
        <v>37.43</v>
      </c>
      <c r="E494" s="18">
        <v>36.380000000000003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0.14280991735537185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-0.21653584510727364</v>
      </c>
      <c r="R494" s="19">
        <f ca="1">IF('Stock Price'!$I$11="OK",E494/INDEX(E$5:E$1258,'Stock Price'!$I$9)-1,"")</f>
        <v>-0.22098501070663812</v>
      </c>
      <c r="S494" s="19">
        <f ca="1">IF('Stock Price'!$I$11="OK",F494/INDEX(F$5:F$1258,'Stock Price'!$I$9)-1,"")</f>
        <v>0.1287251655629138</v>
      </c>
      <c r="T494" s="19">
        <f ca="1">IF('Stock Price'!$I$11="OK",G494/INDEX(G$5:G$1258,'Stock Price'!$I$9)-1,"")</f>
        <v>7.0074731939781199E-2</v>
      </c>
      <c r="U494" s="19">
        <f ca="1">IF('Stock Price'!$I$11="OK",H494/INDEX(H$5:H$1258,'Stock Price'!$I$9)-1,"")</f>
        <v>0.31764705882352939</v>
      </c>
      <c r="V494" s="19">
        <f ca="1">IF('Stock Price'!$I$11="OK",I494/INDEX(I$5:I$1258,'Stock Price'!$I$9)-1,"")</f>
        <v>-0.19494328922495274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131.45490000000001</v>
      </c>
      <c r="C495" s="18">
        <v>98.745000000000005</v>
      </c>
      <c r="D495" s="18">
        <v>37.35</v>
      </c>
      <c r="E495" s="18">
        <v>35.86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8.6404132231405084E-2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-0.21821036106750391</v>
      </c>
      <c r="R495" s="19">
        <f ca="1">IF('Stock Price'!$I$11="OK",E495/INDEX(E$5:E$1258,'Stock Price'!$I$9)-1,"")</f>
        <v>-0.23211991434689516</v>
      </c>
      <c r="S495" s="19">
        <f ca="1">IF('Stock Price'!$I$11="OK",F495/INDEX(F$5:F$1258,'Stock Price'!$I$9)-1,"")</f>
        <v>0.11920529801324498</v>
      </c>
      <c r="T495" s="19">
        <f ca="1">IF('Stock Price'!$I$11="OK",G495/INDEX(G$5:G$1258,'Stock Price'!$I$9)-1,"")</f>
        <v>5.3720350915195558E-2</v>
      </c>
      <c r="U495" s="19">
        <f ca="1">IF('Stock Price'!$I$11="OK",H495/INDEX(H$5:H$1258,'Stock Price'!$I$9)-1,"")</f>
        <v>0.32132352941176467</v>
      </c>
      <c r="V495" s="19">
        <f ca="1">IF('Stock Price'!$I$11="OK",I495/INDEX(I$5:I$1258,'Stock Price'!$I$9)-1,"")</f>
        <v>-0.20510396975425327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130.67500000000001</v>
      </c>
      <c r="C496" s="18">
        <v>99.557599999999994</v>
      </c>
      <c r="D496" s="18">
        <v>37.479999999999997</v>
      </c>
      <c r="E496" s="18">
        <v>35.89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7.9958677685950441E-2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-0.2154892726321298</v>
      </c>
      <c r="R496" s="19">
        <f ca="1">IF('Stock Price'!$I$11="OK",E496/INDEX(E$5:E$1258,'Stock Price'!$I$9)-1,"")</f>
        <v>-0.23147751605995726</v>
      </c>
      <c r="S496" s="19">
        <f ca="1">IF('Stock Price'!$I$11="OK",F496/INDEX(F$5:F$1258,'Stock Price'!$I$9)-1,"")</f>
        <v>0.13555463576158933</v>
      </c>
      <c r="T496" s="19">
        <f ca="1">IF('Stock Price'!$I$11="OK",G496/INDEX(G$5:G$1258,'Stock Price'!$I$9)-1,"")</f>
        <v>5.9893858984078951E-2</v>
      </c>
      <c r="U496" s="19">
        <f ca="1">IF('Stock Price'!$I$11="OK",H496/INDEX(H$5:H$1258,'Stock Price'!$I$9)-1,"")</f>
        <v>0.31568627450980391</v>
      </c>
      <c r="V496" s="19">
        <f ca="1">IF('Stock Price'!$I$11="OK",I496/INDEX(I$5:I$1258,'Stock Price'!$I$9)-1,"")</f>
        <v>-0.19683364839319462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136.34</v>
      </c>
      <c r="C497" s="18">
        <v>100.2058</v>
      </c>
      <c r="D497" s="18">
        <v>38.07</v>
      </c>
      <c r="E497" s="18">
        <v>35.450000000000003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0.12677685950413231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-0.20313971742543169</v>
      </c>
      <c r="R497" s="19">
        <f ca="1">IF('Stock Price'!$I$11="OK",E497/INDEX(E$5:E$1258,'Stock Price'!$I$9)-1,"")</f>
        <v>-0.24089935760171299</v>
      </c>
      <c r="S497" s="19">
        <f ca="1">IF('Stock Price'!$I$11="OK",F497/INDEX(F$5:F$1258,'Stock Price'!$I$9)-1,"")</f>
        <v>0.14238410596026485</v>
      </c>
      <c r="T497" s="19">
        <f ca="1">IF('Stock Price'!$I$11="OK",G497/INDEX(G$5:G$1258,'Stock Price'!$I$9)-1,"")</f>
        <v>6.4767681143723665E-2</v>
      </c>
      <c r="U497" s="19">
        <f ca="1">IF('Stock Price'!$I$11="OK",H497/INDEX(H$5:H$1258,'Stock Price'!$I$9)-1,"")</f>
        <v>0.31507352941176481</v>
      </c>
      <c r="V497" s="19">
        <f ca="1">IF('Stock Price'!$I$11="OK",I497/INDEX(I$5:I$1258,'Stock Price'!$I$9)-1,"")</f>
        <v>-0.20557655954631382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133.94999999999999</v>
      </c>
      <c r="C498" s="18">
        <v>98.764300000000006</v>
      </c>
      <c r="D498" s="18">
        <v>37.619999999999997</v>
      </c>
      <c r="E498" s="18">
        <v>34.520000000000003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0.10702479338842963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-0.21255886970172688</v>
      </c>
      <c r="R498" s="19">
        <f ca="1">IF('Stock Price'!$I$11="OK",E498/INDEX(E$5:E$1258,'Stock Price'!$I$9)-1,"")</f>
        <v>-0.26081370449678798</v>
      </c>
      <c r="S498" s="19">
        <f ca="1">IF('Stock Price'!$I$11="OK",F498/INDEX(F$5:F$1258,'Stock Price'!$I$9)-1,"")</f>
        <v>0.1233443708609272</v>
      </c>
      <c r="T498" s="19">
        <f ca="1">IF('Stock Price'!$I$11="OK",G498/INDEX(G$5:G$1258,'Stock Price'!$I$9)-1,"")</f>
        <v>3.476659807213256E-2</v>
      </c>
      <c r="U498" s="19">
        <f ca="1">IF('Stock Price'!$I$11="OK",H498/INDEX(H$5:H$1258,'Stock Price'!$I$9)-1,"")</f>
        <v>0.30796568627450993</v>
      </c>
      <c r="V498" s="19">
        <f ca="1">IF('Stock Price'!$I$11="OK",I498/INDEX(I$5:I$1258,'Stock Price'!$I$9)-1,"")</f>
        <v>-0.22377126654064272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137.93</v>
      </c>
      <c r="C499" s="18">
        <v>97.845299999999995</v>
      </c>
      <c r="D499" s="18">
        <v>37.43</v>
      </c>
      <c r="E499" s="18">
        <v>34.270000000000003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0.13991735537190086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-0.21653584510727364</v>
      </c>
      <c r="R499" s="19">
        <f ca="1">IF('Stock Price'!$I$11="OK",E499/INDEX(E$5:E$1258,'Stock Price'!$I$9)-1,"")</f>
        <v>-0.26616702355460387</v>
      </c>
      <c r="S499" s="19">
        <f ca="1">IF('Stock Price'!$I$11="OK",F499/INDEX(F$5:F$1258,'Stock Price'!$I$9)-1,"")</f>
        <v>0.11796357615894038</v>
      </c>
      <c r="T499" s="19">
        <f ca="1">IF('Stock Price'!$I$11="OK",G499/INDEX(G$5:G$1258,'Stock Price'!$I$9)-1,"")</f>
        <v>3.1950611935448903E-2</v>
      </c>
      <c r="U499" s="19">
        <f ca="1">IF('Stock Price'!$I$11="OK",H499/INDEX(H$5:H$1258,'Stock Price'!$I$9)-1,"")</f>
        <v>0.30318627450980395</v>
      </c>
      <c r="V499" s="19">
        <f ca="1">IF('Stock Price'!$I$11="OK",I499/INDEX(I$5:I$1258,'Stock Price'!$I$9)-1,"")</f>
        <v>-0.22755198487712669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136.99</v>
      </c>
      <c r="C500" s="18">
        <v>98.493399999999994</v>
      </c>
      <c r="D500" s="18">
        <v>37.71</v>
      </c>
      <c r="E500" s="18">
        <v>34.159999999999997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0.13214876033057865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-0.2106750392464678</v>
      </c>
      <c r="R500" s="19">
        <f ca="1">IF('Stock Price'!$I$11="OK",E500/INDEX(E$5:E$1258,'Stock Price'!$I$9)-1,"")</f>
        <v>-0.26852248394004297</v>
      </c>
      <c r="S500" s="19">
        <f ca="1">IF('Stock Price'!$I$11="OK",F500/INDEX(F$5:F$1258,'Stock Price'!$I$9)-1,"")</f>
        <v>0.1247930463576159</v>
      </c>
      <c r="T500" s="19">
        <f ca="1">IF('Stock Price'!$I$11="OK",G500/INDEX(G$5:G$1258,'Stock Price'!$I$9)-1,"")</f>
        <v>3.3575219321997363E-3</v>
      </c>
      <c r="U500" s="19">
        <f ca="1">IF('Stock Price'!$I$11="OK",H500/INDEX(H$5:H$1258,'Stock Price'!$I$9)-1,"")</f>
        <v>0.29705882352941182</v>
      </c>
      <c r="V500" s="19">
        <f ca="1">IF('Stock Price'!$I$11="OK",I500/INDEX(I$5:I$1258,'Stock Price'!$I$9)-1,"")</f>
        <v>-0.22069943289224958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134.94990000000001</v>
      </c>
      <c r="C501" s="18">
        <v>98.116200000000006</v>
      </c>
      <c r="D501" s="18">
        <v>37.28</v>
      </c>
      <c r="E501" s="18">
        <v>34.03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0.11528842975206621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-0.21967556253270537</v>
      </c>
      <c r="R501" s="19">
        <f ca="1">IF('Stock Price'!$I$11="OK",E501/INDEX(E$5:E$1258,'Stock Price'!$I$9)-1,"")</f>
        <v>-0.27130620985010712</v>
      </c>
      <c r="S501" s="19">
        <f ca="1">IF('Stock Price'!$I$11="OK",F501/INDEX(F$5:F$1258,'Stock Price'!$I$9)-1,"")</f>
        <v>0.12148178807947008</v>
      </c>
      <c r="T501" s="19">
        <f ca="1">IF('Stock Price'!$I$11="OK",G501/INDEX(G$5:G$1258,'Stock Price'!$I$9)-1,"")</f>
        <v>-1.0505794433012028E-2</v>
      </c>
      <c r="U501" s="19">
        <f ca="1">IF('Stock Price'!$I$11="OK",H501/INDEX(H$5:H$1258,'Stock Price'!$I$9)-1,"")</f>
        <v>0.29154411764705901</v>
      </c>
      <c r="V501" s="19">
        <f ca="1">IF('Stock Price'!$I$11="OK",I501/INDEX(I$5:I$1258,'Stock Price'!$I$9)-1,"")</f>
        <v>-0.2344045368620038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133.16</v>
      </c>
      <c r="C502" s="18">
        <v>96.993899999999996</v>
      </c>
      <c r="D502" s="18">
        <v>37.04</v>
      </c>
      <c r="E502" s="18">
        <v>34.200000000000003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0.10049586776859498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-0.22469911041339607</v>
      </c>
      <c r="R502" s="19">
        <f ca="1">IF('Stock Price'!$I$11="OK",E502/INDEX(E$5:E$1258,'Stock Price'!$I$9)-1,"")</f>
        <v>-0.26766595289079231</v>
      </c>
      <c r="S502" s="19">
        <f ca="1">IF('Stock Price'!$I$11="OK",F502/INDEX(F$5:F$1258,'Stock Price'!$I$9)-1,"")</f>
        <v>9.6233443708609201E-2</v>
      </c>
      <c r="T502" s="19">
        <f ca="1">IF('Stock Price'!$I$11="OK",G502/INDEX(G$5:G$1258,'Stock Price'!$I$9)-1,"")</f>
        <v>-9.6393371601862787E-3</v>
      </c>
      <c r="U502" s="19">
        <f ca="1">IF('Stock Price'!$I$11="OK",H502/INDEX(H$5:H$1258,'Stock Price'!$I$9)-1,"")</f>
        <v>0.27377450980392171</v>
      </c>
      <c r="V502" s="19">
        <f ca="1">IF('Stock Price'!$I$11="OK",I502/INDEX(I$5:I$1258,'Stock Price'!$I$9)-1,"")</f>
        <v>-0.24149338374291107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136.15</v>
      </c>
      <c r="C503" s="18">
        <v>98.996499999999997</v>
      </c>
      <c r="D503" s="18">
        <v>36.340000000000003</v>
      </c>
      <c r="E503" s="18">
        <v>33.950000000000003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0.12520661157024793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-0.23935112506541067</v>
      </c>
      <c r="R503" s="19">
        <f ca="1">IF('Stock Price'!$I$11="OK",E503/INDEX(E$5:E$1258,'Stock Price'!$I$9)-1,"")</f>
        <v>-0.27301927194860809</v>
      </c>
      <c r="S503" s="19">
        <f ca="1">IF('Stock Price'!$I$11="OK",F503/INDEX(F$5:F$1258,'Stock Price'!$I$9)-1,"")</f>
        <v>9.7061258278145601E-2</v>
      </c>
      <c r="T503" s="19">
        <f ca="1">IF('Stock Price'!$I$11="OK",G503/INDEX(G$5:G$1258,'Stock Price'!$I$9)-1,"")</f>
        <v>-1.7654066933824319E-2</v>
      </c>
      <c r="U503" s="19">
        <f ca="1">IF('Stock Price'!$I$11="OK",H503/INDEX(H$5:H$1258,'Stock Price'!$I$9)-1,"")</f>
        <v>0.27818627450980404</v>
      </c>
      <c r="V503" s="19">
        <f ca="1">IF('Stock Price'!$I$11="OK",I503/INDEX(I$5:I$1258,'Stock Price'!$I$9)-1,"")</f>
        <v>-0.24172967863894135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135.05000000000001</v>
      </c>
      <c r="C504" s="18">
        <v>98.541799999999995</v>
      </c>
      <c r="D504" s="18">
        <v>36.25</v>
      </c>
      <c r="E504" s="18">
        <v>33.93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0.11611570247933889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-0.24123495552066976</v>
      </c>
      <c r="R504" s="19">
        <f ca="1">IF('Stock Price'!$I$11="OK",E504/INDEX(E$5:E$1258,'Stock Price'!$I$9)-1,"")</f>
        <v>-0.27344753747323347</v>
      </c>
      <c r="S504" s="19">
        <f ca="1">IF('Stock Price'!$I$11="OK",F504/INDEX(F$5:F$1258,'Stock Price'!$I$9)-1,"")</f>
        <v>0.11009933774834435</v>
      </c>
      <c r="T504" s="19">
        <f ca="1">IF('Stock Price'!$I$11="OK",G504/INDEX(G$5:G$1258,'Stock Price'!$I$9)-1,"")</f>
        <v>-1.5487923751759891E-2</v>
      </c>
      <c r="U504" s="19">
        <f ca="1">IF('Stock Price'!$I$11="OK",H504/INDEX(H$5:H$1258,'Stock Price'!$I$9)-1,"")</f>
        <v>0.26164215686274517</v>
      </c>
      <c r="V504" s="19">
        <f ca="1">IF('Stock Price'!$I$11="OK",I504/INDEX(I$5:I$1258,'Stock Price'!$I$9)-1,"")</f>
        <v>-0.21620982986767479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133.1</v>
      </c>
      <c r="C505" s="18">
        <v>98.232200000000006</v>
      </c>
      <c r="D505" s="18">
        <v>36.090000000000003</v>
      </c>
      <c r="E505" s="18">
        <v>33.74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9.9999999999999867E-2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-0.24458398744113019</v>
      </c>
      <c r="R505" s="19">
        <f ca="1">IF('Stock Price'!$I$11="OK",E505/INDEX(E$5:E$1258,'Stock Price'!$I$9)-1,"")</f>
        <v>-0.27751605995717343</v>
      </c>
      <c r="S505" s="19">
        <f ca="1">IF('Stock Price'!$I$11="OK",F505/INDEX(F$5:F$1258,'Stock Price'!$I$9)-1,"")</f>
        <v>0.10885761589403975</v>
      </c>
      <c r="T505" s="19">
        <f ca="1">IF('Stock Price'!$I$11="OK",G505/INDEX(G$5:G$1258,'Stock Price'!$I$9)-1,"")</f>
        <v>-2.8159861366836236E-2</v>
      </c>
      <c r="U505" s="19">
        <f ca="1">IF('Stock Price'!$I$11="OK",H505/INDEX(H$5:H$1258,'Stock Price'!$I$9)-1,"")</f>
        <v>0.25674019607843146</v>
      </c>
      <c r="V505" s="19">
        <f ca="1">IF('Stock Price'!$I$11="OK",I505/INDEX(I$5:I$1258,'Stock Price'!$I$9)-1,"")</f>
        <v>-0.19801512287334599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132.93</v>
      </c>
      <c r="C506" s="18">
        <v>96.22</v>
      </c>
      <c r="D506" s="18">
        <v>35.89</v>
      </c>
      <c r="E506" s="18">
        <v>33.31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9.8595041322314003E-2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-0.24877027734170587</v>
      </c>
      <c r="R506" s="19">
        <f ca="1">IF('Stock Price'!$I$11="OK",E506/INDEX(E$5:E$1258,'Stock Price'!$I$9)-1,"")</f>
        <v>-0.28672376873661665</v>
      </c>
      <c r="S506" s="19">
        <f ca="1">IF('Stock Price'!$I$11="OK",F506/INDEX(F$5:F$1258,'Stock Price'!$I$9)-1,"")</f>
        <v>0.10885761589403975</v>
      </c>
      <c r="T506" s="19">
        <f ca="1">IF('Stock Price'!$I$11="OK",G506/INDEX(G$5:G$1258,'Stock Price'!$I$9)-1,"")</f>
        <v>-4.9496371710169962E-2</v>
      </c>
      <c r="U506" s="19">
        <f ca="1">IF('Stock Price'!$I$11="OK",H506/INDEX(H$5:H$1258,'Stock Price'!$I$9)-1,"")</f>
        <v>0.24718137254901973</v>
      </c>
      <c r="V506" s="19">
        <f ca="1">IF('Stock Price'!$I$11="OK",I506/INDEX(I$5:I$1258,'Stock Price'!$I$9)-1,"")</f>
        <v>-0.19896030245746699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134.15</v>
      </c>
      <c r="C507" s="18">
        <v>96.16</v>
      </c>
      <c r="D507" s="18">
        <v>36.08</v>
      </c>
      <c r="E507" s="18">
        <v>33.36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0.10867768595041327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-0.24479330193615911</v>
      </c>
      <c r="R507" s="19">
        <f ca="1">IF('Stock Price'!$I$11="OK",E507/INDEX(E$5:E$1258,'Stock Price'!$I$9)-1,"")</f>
        <v>-0.28565310492505358</v>
      </c>
      <c r="S507" s="19">
        <f ca="1">IF('Stock Price'!$I$11="OK",F507/INDEX(F$5:F$1258,'Stock Price'!$I$9)-1,"")</f>
        <v>0.11403145695364225</v>
      </c>
      <c r="T507" s="19">
        <f ca="1">IF('Stock Price'!$I$11="OK",G507/INDEX(G$5:G$1258,'Stock Price'!$I$9)-1,"")</f>
        <v>-4.1156720459222362E-2</v>
      </c>
      <c r="U507" s="19">
        <f ca="1">IF('Stock Price'!$I$11="OK",H507/INDEX(H$5:H$1258,'Stock Price'!$I$9)-1,"")</f>
        <v>0.25208333333333344</v>
      </c>
      <c r="V507" s="19">
        <f ca="1">IF('Stock Price'!$I$11="OK",I507/INDEX(I$5:I$1258,'Stock Price'!$I$9)-1,"")</f>
        <v>-0.21290170132325137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134.9</v>
      </c>
      <c r="C508" s="18">
        <v>96.15</v>
      </c>
      <c r="D508" s="18">
        <v>36.159999999999997</v>
      </c>
      <c r="E508" s="18">
        <v>33.770000000000003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0.11487603305785132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-0.24311878597592884</v>
      </c>
      <c r="R508" s="19">
        <f ca="1">IF('Stock Price'!$I$11="OK",E508/INDEX(E$5:E$1258,'Stock Price'!$I$9)-1,"")</f>
        <v>-0.27687366167023553</v>
      </c>
      <c r="S508" s="19">
        <f ca="1">IF('Stock Price'!$I$11="OK",F508/INDEX(F$5:F$1258,'Stock Price'!$I$9)-1,"")</f>
        <v>0.11858443708609268</v>
      </c>
      <c r="T508" s="19">
        <f ca="1">IF('Stock Price'!$I$11="OK",G508/INDEX(G$5:G$1258,'Stock Price'!$I$9)-1,"")</f>
        <v>-4.9712986028376482E-2</v>
      </c>
      <c r="U508" s="19">
        <f ca="1">IF('Stock Price'!$I$11="OK",H508/INDEX(H$5:H$1258,'Stock Price'!$I$9)-1,"")</f>
        <v>0.26960784313725483</v>
      </c>
      <c r="V508" s="19">
        <f ca="1">IF('Stock Price'!$I$11="OK",I508/INDEX(I$5:I$1258,'Stock Price'!$I$9)-1,"")</f>
        <v>-0.20912098298676751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133.47989999999999</v>
      </c>
      <c r="C509" s="18">
        <v>97.14</v>
      </c>
      <c r="D509" s="18">
        <v>36.65</v>
      </c>
      <c r="E509" s="18">
        <v>34.119999999999997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0.10313966942148745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-0.23286237571951862</v>
      </c>
      <c r="R509" s="19">
        <f ca="1">IF('Stock Price'!$I$11="OK",E509/INDEX(E$5:E$1258,'Stock Price'!$I$9)-1,"")</f>
        <v>-0.26937901498929351</v>
      </c>
      <c r="S509" s="19">
        <f ca="1">IF('Stock Price'!$I$11="OK",F509/INDEX(F$5:F$1258,'Stock Price'!$I$9)-1,"")</f>
        <v>0.11548013245033117</v>
      </c>
      <c r="T509" s="19">
        <f ca="1">IF('Stock Price'!$I$11="OK",G509/INDEX(G$5:G$1258,'Stock Price'!$I$9)-1,"")</f>
        <v>-4.5272392505144476E-2</v>
      </c>
      <c r="U509" s="19">
        <f ca="1">IF('Stock Price'!$I$11="OK",H509/INDEX(H$5:H$1258,'Stock Price'!$I$9)-1,"")</f>
        <v>0.27303921568627465</v>
      </c>
      <c r="V509" s="19">
        <f ca="1">IF('Stock Price'!$I$11="OK",I509/INDEX(I$5:I$1258,'Stock Price'!$I$9)-1,"")</f>
        <v>-0.21715500945179578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134.13999999999999</v>
      </c>
      <c r="C510" s="18">
        <v>97.59</v>
      </c>
      <c r="D510" s="18">
        <v>37.1</v>
      </c>
      <c r="E510" s="18">
        <v>34.590000000000003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0.10859504132231401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-0.22344322344322343</v>
      </c>
      <c r="R510" s="19">
        <f ca="1">IF('Stock Price'!$I$11="OK",E510/INDEX(E$5:E$1258,'Stock Price'!$I$9)-1,"")</f>
        <v>-0.25931477516059953</v>
      </c>
      <c r="S510" s="19">
        <f ca="1">IF('Stock Price'!$I$11="OK",F510/INDEX(F$5:F$1258,'Stock Price'!$I$9)-1,"")</f>
        <v>0.11858443708609268</v>
      </c>
      <c r="T510" s="19">
        <f ca="1">IF('Stock Price'!$I$11="OK",G510/INDEX(G$5:G$1258,'Stock Price'!$I$9)-1,"")</f>
        <v>-5.9027401711253091E-2</v>
      </c>
      <c r="U510" s="19">
        <f ca="1">IF('Stock Price'!$I$11="OK",H510/INDEX(H$5:H$1258,'Stock Price'!$I$9)-1,"")</f>
        <v>0.2806372549019609</v>
      </c>
      <c r="V510" s="19">
        <f ca="1">IF('Stock Price'!$I$11="OK",I510/INDEX(I$5:I$1258,'Stock Price'!$I$9)-1,"")</f>
        <v>-0.21550094517958407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134.38</v>
      </c>
      <c r="C511" s="18">
        <v>98.47</v>
      </c>
      <c r="D511" s="18">
        <v>37.340000000000003</v>
      </c>
      <c r="E511" s="18">
        <v>34.89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0.11057851239669425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-0.21841967556253261</v>
      </c>
      <c r="R511" s="19">
        <f ca="1">IF('Stock Price'!$I$11="OK",E511/INDEX(E$5:E$1258,'Stock Price'!$I$9)-1,"")</f>
        <v>-0.25289079229122058</v>
      </c>
      <c r="S511" s="19">
        <f ca="1">IF('Stock Price'!$I$11="OK",F511/INDEX(F$5:F$1258,'Stock Price'!$I$9)-1,"")</f>
        <v>0.1268625827814569</v>
      </c>
      <c r="T511" s="19">
        <f ca="1">IF('Stock Price'!$I$11="OK",G511/INDEX(G$5:G$1258,'Stock Price'!$I$9)-1,"")</f>
        <v>-3.0434311708003925E-2</v>
      </c>
      <c r="U511" s="19">
        <f ca="1">IF('Stock Price'!$I$11="OK",H511/INDEX(H$5:H$1258,'Stock Price'!$I$9)-1,"")</f>
        <v>0.26973039215686279</v>
      </c>
      <c r="V511" s="19">
        <f ca="1">IF('Stock Price'!$I$11="OK",I511/INDEX(I$5:I$1258,'Stock Price'!$I$9)-1,"")</f>
        <v>-0.21620982986767479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133.97200000000001</v>
      </c>
      <c r="C512" s="18">
        <v>99.41</v>
      </c>
      <c r="D512" s="18">
        <v>37.56</v>
      </c>
      <c r="E512" s="18">
        <v>35.11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0.10720661157024791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-0.21381475667189942</v>
      </c>
      <c r="R512" s="19">
        <f ca="1">IF('Stock Price'!$I$11="OK",E512/INDEX(E$5:E$1258,'Stock Price'!$I$9)-1,"")</f>
        <v>-0.24817987152034271</v>
      </c>
      <c r="S512" s="19">
        <f ca="1">IF('Stock Price'!$I$11="OK",F512/INDEX(F$5:F$1258,'Stock Price'!$I$9)-1,"")</f>
        <v>0.13389900662251653</v>
      </c>
      <c r="T512" s="19">
        <f ca="1">IF('Stock Price'!$I$11="OK",G512/INDEX(G$5:G$1258,'Stock Price'!$I$9)-1,"")</f>
        <v>-2.8376475685042868E-2</v>
      </c>
      <c r="U512" s="19">
        <f ca="1">IF('Stock Price'!$I$11="OK",H512/INDEX(H$5:H$1258,'Stock Price'!$I$9)-1,"")</f>
        <v>0.26789215686274503</v>
      </c>
      <c r="V512" s="19">
        <f ca="1">IF('Stock Price'!$I$11="OK",I512/INDEX(I$5:I$1258,'Stock Price'!$I$9)-1,"")</f>
        <v>-0.21762759924385633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135.5</v>
      </c>
      <c r="C513" s="18">
        <v>97.87</v>
      </c>
      <c r="D513" s="18">
        <v>37.01</v>
      </c>
      <c r="E513" s="18">
        <v>34.729999999999997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0.11983471074380159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-0.22532705389848251</v>
      </c>
      <c r="R513" s="19">
        <f ca="1">IF('Stock Price'!$I$11="OK",E513/INDEX(E$5:E$1258,'Stock Price'!$I$9)-1,"")</f>
        <v>-0.25631691648822286</v>
      </c>
      <c r="S513" s="19">
        <f ca="1">IF('Stock Price'!$I$11="OK",F513/INDEX(F$5:F$1258,'Stock Price'!$I$9)-1,"")</f>
        <v>0.13389900662251653</v>
      </c>
      <c r="T513" s="19">
        <f ca="1">IF('Stock Price'!$I$11="OK",G513/INDEX(G$5:G$1258,'Stock Price'!$I$9)-1,"")</f>
        <v>-4.1265027618325623E-2</v>
      </c>
      <c r="U513" s="19">
        <f ca="1">IF('Stock Price'!$I$11="OK",H513/INDEX(H$5:H$1258,'Stock Price'!$I$9)-1,"")</f>
        <v>0.2694852941176471</v>
      </c>
      <c r="V513" s="19">
        <f ca="1">IF('Stock Price'!$I$11="OK",I513/INDEX(I$5:I$1258,'Stock Price'!$I$9)-1,"")</f>
        <v>-0.22211720226843101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135.5</v>
      </c>
      <c r="C514" s="18">
        <v>97.24</v>
      </c>
      <c r="D514" s="18">
        <v>36.68</v>
      </c>
      <c r="E514" s="18">
        <v>35.4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0.11983471074380159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-0.23223443223443219</v>
      </c>
      <c r="R514" s="19">
        <f ca="1">IF('Stock Price'!$I$11="OK",E514/INDEX(E$5:E$1258,'Stock Price'!$I$9)-1,"")</f>
        <v>-0.24197002141327628</v>
      </c>
      <c r="S514" s="19">
        <f ca="1">IF('Stock Price'!$I$11="OK",F514/INDEX(F$5:F$1258,'Stock Price'!$I$9)-1,"")</f>
        <v>0.12851821192052992</v>
      </c>
      <c r="T514" s="19">
        <f ca="1">IF('Stock Price'!$I$11="OK",G514/INDEX(G$5:G$1258,'Stock Price'!$I$9)-1,"")</f>
        <v>-5.6428029892775844E-2</v>
      </c>
      <c r="U514" s="19">
        <f ca="1">IF('Stock Price'!$I$11="OK",H514/INDEX(H$5:H$1258,'Stock Price'!$I$9)-1,"")</f>
        <v>0.27463235294117672</v>
      </c>
      <c r="V514" s="19">
        <f ca="1">IF('Stock Price'!$I$11="OK",I514/INDEX(I$5:I$1258,'Stock Price'!$I$9)-1,"")</f>
        <v>-0.24125708884688091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134.16</v>
      </c>
      <c r="C515" s="18">
        <v>96.84</v>
      </c>
      <c r="D515" s="18">
        <v>36.58</v>
      </c>
      <c r="E515" s="18">
        <v>34.880000000000003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0.10876033057851231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-0.23432757718472008</v>
      </c>
      <c r="R515" s="19">
        <f ca="1">IF('Stock Price'!$I$11="OK",E515/INDEX(E$5:E$1258,'Stock Price'!$I$9)-1,"")</f>
        <v>-0.25310492505353321</v>
      </c>
      <c r="S515" s="19">
        <f ca="1">IF('Stock Price'!$I$11="OK",F515/INDEX(F$5:F$1258,'Stock Price'!$I$9)-1,"")</f>
        <v>0.13079470198675502</v>
      </c>
      <c r="T515" s="19">
        <f ca="1">IF('Stock Price'!$I$11="OK",G515/INDEX(G$5:G$1258,'Stock Price'!$I$9)-1,"")</f>
        <v>-5.5669879779053355E-2</v>
      </c>
      <c r="U515" s="19">
        <f ca="1">IF('Stock Price'!$I$11="OK",H515/INDEX(H$5:H$1258,'Stock Price'!$I$9)-1,"")</f>
        <v>0.27622549019607856</v>
      </c>
      <c r="V515" s="19">
        <f ca="1">IF('Stock Price'!$I$11="OK",I515/INDEX(I$5:I$1258,'Stock Price'!$I$9)-1,"")</f>
        <v>-0.21384688090737236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137.05000000000001</v>
      </c>
      <c r="C516" s="18">
        <v>96.49</v>
      </c>
      <c r="D516" s="18">
        <v>36.67</v>
      </c>
      <c r="E516" s="18">
        <v>34.93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0.13264462809917354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-0.232443746729461</v>
      </c>
      <c r="R516" s="19">
        <f ca="1">IF('Stock Price'!$I$11="OK",E516/INDEX(E$5:E$1258,'Stock Price'!$I$9)-1,"")</f>
        <v>-0.25203426124197004</v>
      </c>
      <c r="S516" s="19">
        <f ca="1">IF('Stock Price'!$I$11="OK",F516/INDEX(F$5:F$1258,'Stock Price'!$I$9)-1,"")</f>
        <v>0.11320364238410585</v>
      </c>
      <c r="T516" s="19">
        <f ca="1">IF('Stock Price'!$I$11="OK",G516/INDEX(G$5:G$1258,'Stock Price'!$I$9)-1,"")</f>
        <v>-6.4226145348207475E-2</v>
      </c>
      <c r="U516" s="19">
        <f ca="1">IF('Stock Price'!$I$11="OK",H516/INDEX(H$5:H$1258,'Stock Price'!$I$9)-1,"")</f>
        <v>0.27659313725490198</v>
      </c>
      <c r="V516" s="19">
        <f ca="1">IF('Stock Price'!$I$11="OK",I516/INDEX(I$5:I$1258,'Stock Price'!$I$9)-1,"")</f>
        <v>-0.22613421550094515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130.88999999999999</v>
      </c>
      <c r="C517" s="18">
        <v>96.1</v>
      </c>
      <c r="D517" s="18">
        <v>36.29</v>
      </c>
      <c r="E517" s="18">
        <v>34.299999999999997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8.173553719008253E-2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-0.24039769754055473</v>
      </c>
      <c r="R517" s="19">
        <f ca="1">IF('Stock Price'!$I$11="OK",E517/INDEX(E$5:E$1258,'Stock Price'!$I$9)-1,"")</f>
        <v>-0.26552462526766607</v>
      </c>
      <c r="S517" s="19">
        <f ca="1">IF('Stock Price'!$I$11="OK",F517/INDEX(F$5:F$1258,'Stock Price'!$I$9)-1,"")</f>
        <v>8.8783112582781376E-2</v>
      </c>
      <c r="T517" s="19">
        <f ca="1">IF('Stock Price'!$I$11="OK",G517/INDEX(G$5:G$1258,'Stock Price'!$I$9)-1,"")</f>
        <v>-7.8847611827141839E-2</v>
      </c>
      <c r="U517" s="19">
        <f ca="1">IF('Stock Price'!$I$11="OK",H517/INDEX(H$5:H$1258,'Stock Price'!$I$9)-1,"")</f>
        <v>0.24987745098039227</v>
      </c>
      <c r="V517" s="19">
        <f ca="1">IF('Stock Price'!$I$11="OK",I517/INDEX(I$5:I$1258,'Stock Price'!$I$9)-1,"")</f>
        <v>-0.2577977315689981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127.58</v>
      </c>
      <c r="C518" s="18">
        <v>94.64</v>
      </c>
      <c r="D518" s="18">
        <v>35.39</v>
      </c>
      <c r="E518" s="18">
        <v>33.19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5.4380165289256155E-2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-0.2592360020931449</v>
      </c>
      <c r="R518" s="19">
        <f ca="1">IF('Stock Price'!$I$11="OK",E518/INDEX(E$5:E$1258,'Stock Price'!$I$9)-1,"")</f>
        <v>-0.28929336188436838</v>
      </c>
      <c r="S518" s="19">
        <f ca="1">IF('Stock Price'!$I$11="OK",F518/INDEX(F$5:F$1258,'Stock Price'!$I$9)-1,"")</f>
        <v>8.2471026490066324E-2</v>
      </c>
      <c r="T518" s="19">
        <f ca="1">IF('Stock Price'!$I$11="OK",G518/INDEX(G$5:G$1258,'Stock Price'!$I$9)-1,"")</f>
        <v>-8.7078955918986178E-2</v>
      </c>
      <c r="U518" s="19">
        <f ca="1">IF('Stock Price'!$I$11="OK",H518/INDEX(H$5:H$1258,'Stock Price'!$I$9)-1,"")</f>
        <v>0.23075980392156881</v>
      </c>
      <c r="V518" s="19">
        <f ca="1">IF('Stock Price'!$I$11="OK",I518/INDEX(I$5:I$1258,'Stock Price'!$I$9)-1,"")</f>
        <v>-0.2629962192816635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127.86</v>
      </c>
      <c r="C519" s="18">
        <v>94.68</v>
      </c>
      <c r="D519" s="18">
        <v>35.58</v>
      </c>
      <c r="E519" s="18">
        <v>33.36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5.6694214876032989E-2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-0.25525902668759815</v>
      </c>
      <c r="R519" s="19">
        <f ca="1">IF('Stock Price'!$I$11="OK",E519/INDEX(E$5:E$1258,'Stock Price'!$I$9)-1,"")</f>
        <v>-0.28565310492505358</v>
      </c>
      <c r="S519" s="19">
        <f ca="1">IF('Stock Price'!$I$11="OK",F519/INDEX(F$5:F$1258,'Stock Price'!$I$9)-1,"")</f>
        <v>7.719370860927155E-2</v>
      </c>
      <c r="T519" s="19">
        <f ca="1">IF('Stock Price'!$I$11="OK",G519/INDEX(G$5:G$1258,'Stock Price'!$I$9)-1,"")</f>
        <v>-0.10159211523881728</v>
      </c>
      <c r="U519" s="19">
        <f ca="1">IF('Stock Price'!$I$11="OK",H519/INDEX(H$5:H$1258,'Stock Price'!$I$9)-1,"")</f>
        <v>0.25821078431372557</v>
      </c>
      <c r="V519" s="19">
        <f ca="1">IF('Stock Price'!$I$11="OK",I519/INDEX(I$5:I$1258,'Stock Price'!$I$9)-1,"")</f>
        <v>-0.27575614366729684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123.75</v>
      </c>
      <c r="C520" s="18">
        <v>94.69</v>
      </c>
      <c r="D520" s="18">
        <v>35.799999999999997</v>
      </c>
      <c r="E520" s="18">
        <v>33.1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2.2727272727272707E-2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-0.25065410779696495</v>
      </c>
      <c r="R520" s="19">
        <f ca="1">IF('Stock Price'!$I$11="OK",E520/INDEX(E$5:E$1258,'Stock Price'!$I$9)-1,"")</f>
        <v>-0.29122055674518199</v>
      </c>
      <c r="S520" s="19">
        <f ca="1">IF('Stock Price'!$I$11="OK",F520/INDEX(F$5:F$1258,'Stock Price'!$I$9)-1,"")</f>
        <v>7.760761589403975E-2</v>
      </c>
      <c r="T520" s="19">
        <f ca="1">IF('Stock Price'!$I$11="OK",G520/INDEX(G$5:G$1258,'Stock Price'!$I$9)-1,"")</f>
        <v>-0.11220621683093257</v>
      </c>
      <c r="U520" s="19">
        <f ca="1">IF('Stock Price'!$I$11="OK",H520/INDEX(H$5:H$1258,'Stock Price'!$I$9)-1,"")</f>
        <v>0.26654411764705888</v>
      </c>
      <c r="V520" s="19">
        <f ca="1">IF('Stock Price'!$I$11="OK",I520/INDEX(I$5:I$1258,'Stock Price'!$I$9)-1,"")</f>
        <v>-0.27126654064272215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127.15</v>
      </c>
      <c r="C521" s="18">
        <v>94.91</v>
      </c>
      <c r="D521" s="18">
        <v>35.979999999999997</v>
      </c>
      <c r="E521" s="18">
        <v>32.909999999999997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5.0826446280991755E-2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-0.2468864468864469</v>
      </c>
      <c r="R521" s="19">
        <f ca="1">IF('Stock Price'!$I$11="OK",E521/INDEX(E$5:E$1258,'Stock Price'!$I$9)-1,"")</f>
        <v>-0.29528907922912218</v>
      </c>
      <c r="S521" s="19">
        <f ca="1">IF('Stock Price'!$I$11="OK",F521/INDEX(F$5:F$1258,'Stock Price'!$I$9)-1,"")</f>
        <v>8.2988410596026352E-2</v>
      </c>
      <c r="T521" s="19">
        <f ca="1">IF('Stock Price'!$I$11="OK",G521/INDEX(G$5:G$1258,'Stock Price'!$I$9)-1,"")</f>
        <v>-0.10570778728473962</v>
      </c>
      <c r="U521" s="19">
        <f ca="1">IF('Stock Price'!$I$11="OK",H521/INDEX(H$5:H$1258,'Stock Price'!$I$9)-1,"")</f>
        <v>0.26262254901960791</v>
      </c>
      <c r="V521" s="19">
        <f ca="1">IF('Stock Price'!$I$11="OK",I521/INDEX(I$5:I$1258,'Stock Price'!$I$9)-1,"")</f>
        <v>-0.28095463137996224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126.44499999999999</v>
      </c>
      <c r="C522" s="18">
        <v>95.43</v>
      </c>
      <c r="D522" s="18">
        <v>36.049999999999997</v>
      </c>
      <c r="E522" s="18">
        <v>32.880000000000003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4.4999999999999929E-2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-0.24542124542124544</v>
      </c>
      <c r="R522" s="19">
        <f ca="1">IF('Stock Price'!$I$11="OK",E522/INDEX(E$5:E$1258,'Stock Price'!$I$9)-1,"")</f>
        <v>-0.29593147751605997</v>
      </c>
      <c r="S522" s="19">
        <f ca="1">IF('Stock Price'!$I$11="OK",F522/INDEX(F$5:F$1258,'Stock Price'!$I$9)-1,"")</f>
        <v>9.8716887417218624E-2</v>
      </c>
      <c r="T522" s="19">
        <f ca="1">IF('Stock Price'!$I$11="OK",G522/INDEX(G$5:G$1258,'Stock Price'!$I$9)-1,"")</f>
        <v>-0.11112314523990041</v>
      </c>
      <c r="U522" s="19">
        <f ca="1">IF('Stock Price'!$I$11="OK",H522/INDEX(H$5:H$1258,'Stock Price'!$I$9)-1,"")</f>
        <v>0.26997549019607847</v>
      </c>
      <c r="V522" s="19">
        <f ca="1">IF('Stock Price'!$I$11="OK",I522/INDEX(I$5:I$1258,'Stock Price'!$I$9)-1,"")</f>
        <v>-0.27386578449905485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125.27500000000001</v>
      </c>
      <c r="C523" s="18">
        <v>94.3</v>
      </c>
      <c r="D523" s="18">
        <v>35.68</v>
      </c>
      <c r="E523" s="18">
        <v>33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3.5330578512396738E-2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-0.25316588173731025</v>
      </c>
      <c r="R523" s="19">
        <f ca="1">IF('Stock Price'!$I$11="OK",E523/INDEX(E$5:E$1258,'Stock Price'!$I$9)-1,"")</f>
        <v>-0.29336188436830835</v>
      </c>
      <c r="S523" s="19">
        <f ca="1">IF('Stock Price'!$I$11="OK",F523/INDEX(F$5:F$1258,'Stock Price'!$I$9)-1,"")</f>
        <v>0.10368377483443703</v>
      </c>
      <c r="T523" s="19">
        <f ca="1">IF('Stock Price'!$I$11="OK",G523/INDEX(G$5:G$1258,'Stock Price'!$I$9)-1,"")</f>
        <v>-0.11708003899057728</v>
      </c>
      <c r="U523" s="19">
        <f ca="1">IF('Stock Price'!$I$11="OK",H523/INDEX(H$5:H$1258,'Stock Price'!$I$9)-1,"")</f>
        <v>0.29350490196078427</v>
      </c>
      <c r="V523" s="19">
        <f ca="1">IF('Stock Price'!$I$11="OK",I523/INDEX(I$5:I$1258,'Stock Price'!$I$9)-1,"")</f>
        <v>-0.26370510396975422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121.45</v>
      </c>
      <c r="C524" s="18">
        <v>92.27</v>
      </c>
      <c r="D524" s="18">
        <v>34.56</v>
      </c>
      <c r="E524" s="18">
        <v>32.869999999999997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3.7190082644629197E-3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-0.27660910518053372</v>
      </c>
      <c r="R524" s="19">
        <f ca="1">IF('Stock Price'!$I$11="OK",E524/INDEX(E$5:E$1258,'Stock Price'!$I$9)-1,"")</f>
        <v>-0.29614561027837272</v>
      </c>
      <c r="S524" s="19">
        <f ca="1">IF('Stock Price'!$I$11="OK",F524/INDEX(F$5:F$1258,'Stock Price'!$I$9)-1,"")</f>
        <v>-0.10740894039735094</v>
      </c>
      <c r="T524" s="19">
        <f ca="1">IF('Stock Price'!$I$11="OK",G524/INDEX(G$5:G$1258,'Stock Price'!$I$9)-1,"")</f>
        <v>-0.12249539694573819</v>
      </c>
      <c r="U524" s="19">
        <f ca="1">IF('Stock Price'!$I$11="OK",H524/INDEX(H$5:H$1258,'Stock Price'!$I$9)-1,"")</f>
        <v>0.2600490196078431</v>
      </c>
      <c r="V524" s="19">
        <f ca="1">IF('Stock Price'!$I$11="OK",I524/INDEX(I$5:I$1258,'Stock Price'!$I$9)-1,"")</f>
        <v>-0.28851606805293006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123.97499999999999</v>
      </c>
      <c r="C525" s="18">
        <v>93.76</v>
      </c>
      <c r="D525" s="18">
        <v>35.270000000000003</v>
      </c>
      <c r="E525" s="18">
        <v>33.5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2.4586776859504056E-2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-0.2617477760334902</v>
      </c>
      <c r="R525" s="19">
        <f ca="1">IF('Stock Price'!$I$11="OK",E525/INDEX(E$5:E$1258,'Stock Price'!$I$9)-1,"")</f>
        <v>-0.28265524625267668</v>
      </c>
      <c r="S525" s="19">
        <f ca="1">IF('Stock Price'!$I$11="OK",F525/INDEX(F$5:F$1258,'Stock Price'!$I$9)-1,"")</f>
        <v>-7.1605960264900625E-2</v>
      </c>
      <c r="T525" s="19">
        <f ca="1">IF('Stock Price'!$I$11="OK",G525/INDEX(G$5:G$1258,'Stock Price'!$I$9)-1,"")</f>
        <v>-0.11881295353622878</v>
      </c>
      <c r="U525" s="19">
        <f ca="1">IF('Stock Price'!$I$11="OK",H525/INDEX(H$5:H$1258,'Stock Price'!$I$9)-1,"")</f>
        <v>0.25833333333333353</v>
      </c>
      <c r="V525" s="19">
        <f ca="1">IF('Stock Price'!$I$11="OK",I525/INDEX(I$5:I$1258,'Stock Price'!$I$9)-1,"")</f>
        <v>-0.27811909262759926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122.7599</v>
      </c>
      <c r="C526" s="18">
        <v>93.58</v>
      </c>
      <c r="D526" s="18">
        <v>35.700000000000003</v>
      </c>
      <c r="E526" s="18">
        <v>32.33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1.4544628099173673E-2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-0.25274725274725263</v>
      </c>
      <c r="R526" s="19">
        <f ca="1">IF('Stock Price'!$I$11="OK",E526/INDEX(E$5:E$1258,'Stock Price'!$I$9)-1,"")</f>
        <v>-0.30770877944325492</v>
      </c>
      <c r="S526" s="19">
        <f ca="1">IF('Stock Price'!$I$11="OK",F526/INDEX(F$5:F$1258,'Stock Price'!$I$9)-1,"")</f>
        <v>-6.35347682119205E-2</v>
      </c>
      <c r="T526" s="19">
        <f ca="1">IF('Stock Price'!$I$11="OK",G526/INDEX(G$5:G$1258,'Stock Price'!$I$9)-1,"")</f>
        <v>-0.11924618217264171</v>
      </c>
      <c r="U526" s="19">
        <f ca="1">IF('Stock Price'!$I$11="OK",H526/INDEX(H$5:H$1258,'Stock Price'!$I$9)-1,"")</f>
        <v>0.25857843137254921</v>
      </c>
      <c r="V526" s="19">
        <f ca="1">IF('Stock Price'!$I$11="OK",I526/INDEX(I$5:I$1258,'Stock Price'!$I$9)-1,"")</f>
        <v>-0.27788279773156899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128.58000000000001</v>
      </c>
      <c r="C527" s="18">
        <v>94.26</v>
      </c>
      <c r="D527" s="18">
        <v>34.58</v>
      </c>
      <c r="E527" s="18">
        <v>32.869999999999997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6.2644628099173705E-2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-0.27619047619047621</v>
      </c>
      <c r="R527" s="19">
        <f ca="1">IF('Stock Price'!$I$11="OK",E527/INDEX(E$5:E$1258,'Stock Price'!$I$9)-1,"")</f>
        <v>-0.29614561027837272</v>
      </c>
      <c r="S527" s="19">
        <f ca="1">IF('Stock Price'!$I$11="OK",F527/INDEX(F$5:F$1258,'Stock Price'!$I$9)-1,"")</f>
        <v>-4.1183774834437137E-2</v>
      </c>
      <c r="T527" s="19">
        <f ca="1">IF('Stock Price'!$I$11="OK",G527/INDEX(G$5:G$1258,'Stock Price'!$I$9)-1,"")</f>
        <v>-0.12769414058269246</v>
      </c>
      <c r="U527" s="19">
        <f ca="1">IF('Stock Price'!$I$11="OK",H527/INDEX(H$5:H$1258,'Stock Price'!$I$9)-1,"")</f>
        <v>0.26041666666666674</v>
      </c>
      <c r="V527" s="19">
        <f ca="1">IF('Stock Price'!$I$11="OK",I527/INDEX(I$5:I$1258,'Stock Price'!$I$9)-1,"")</f>
        <v>-0.27906427221172014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126.8199</v>
      </c>
      <c r="C528" s="18">
        <v>94.08</v>
      </c>
      <c r="D528" s="18">
        <v>34.17</v>
      </c>
      <c r="E528" s="18">
        <v>32.86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4.80983471074381E-2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-0.28477237048665616</v>
      </c>
      <c r="R528" s="19">
        <f ca="1">IF('Stock Price'!$I$11="OK",E528/INDEX(E$5:E$1258,'Stock Price'!$I$9)-1,"")</f>
        <v>-0.29635974304068524</v>
      </c>
      <c r="S528" s="19">
        <f ca="1">IF('Stock Price'!$I$11="OK",F528/INDEX(F$5:F$1258,'Stock Price'!$I$9)-1,"")</f>
        <v>-3.7458609271523224E-2</v>
      </c>
      <c r="T528" s="19">
        <f ca="1">IF('Stock Price'!$I$11="OK",G528/INDEX(G$5:G$1258,'Stock Price'!$I$9)-1,"")</f>
        <v>-0.10581609444384266</v>
      </c>
      <c r="U528" s="19">
        <f ca="1">IF('Stock Price'!$I$11="OK",H528/INDEX(H$5:H$1258,'Stock Price'!$I$9)-1,"")</f>
        <v>0.26041666666666674</v>
      </c>
      <c r="V528" s="19">
        <f ca="1">IF('Stock Price'!$I$11="OK",I528/INDEX(I$5:I$1258,'Stock Price'!$I$9)-1,"")</f>
        <v>-0.27930056710775053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126.3</v>
      </c>
      <c r="C529" s="18">
        <v>92.76</v>
      </c>
      <c r="D529" s="18">
        <v>34.44</v>
      </c>
      <c r="E529" s="18">
        <v>32.92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4.3801652892561993E-2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-0.27912087912087913</v>
      </c>
      <c r="R529" s="19">
        <f ca="1">IF('Stock Price'!$I$11="OK",E529/INDEX(E$5:E$1258,'Stock Price'!$I$9)-1,"")</f>
        <v>-0.29507494646680943</v>
      </c>
      <c r="S529" s="19">
        <f ca="1">IF('Stock Price'!$I$11="OK",F529/INDEX(F$5:F$1258,'Stock Price'!$I$9)-1,"")</f>
        <v>-5.2152317880794774E-2</v>
      </c>
      <c r="T529" s="19">
        <f ca="1">IF('Stock Price'!$I$11="OK",G529/INDEX(G$5:G$1258,'Stock Price'!$I$9)-1,"")</f>
        <v>-8.8920177623740826E-2</v>
      </c>
      <c r="U529" s="19">
        <f ca="1">IF('Stock Price'!$I$11="OK",H529/INDEX(H$5:H$1258,'Stock Price'!$I$9)-1,"")</f>
        <v>0.26691176470588229</v>
      </c>
      <c r="V529" s="19">
        <f ca="1">IF('Stock Price'!$I$11="OK",I529/INDEX(I$5:I$1258,'Stock Price'!$I$9)-1,"")</f>
        <v>-0.26134215500945179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126.8199</v>
      </c>
      <c r="C530" s="18">
        <v>93.45</v>
      </c>
      <c r="D530" s="18">
        <v>34.79</v>
      </c>
      <c r="E530" s="18">
        <v>32.85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4.80983471074381E-2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-0.27179487179487183</v>
      </c>
      <c r="R530" s="19">
        <f ca="1">IF('Stock Price'!$I$11="OK",E530/INDEX(E$5:E$1258,'Stock Price'!$I$9)-1,"")</f>
        <v>-0.29657387580299788</v>
      </c>
      <c r="S530" s="19">
        <f ca="1">IF('Stock Price'!$I$11="OK",F530/INDEX(F$5:F$1258,'Stock Price'!$I$9)-1,"")</f>
        <v>-6.37417218543046E-2</v>
      </c>
      <c r="T530" s="19">
        <f ca="1">IF('Stock Price'!$I$11="OK",G530/INDEX(G$5:G$1258,'Stock Price'!$I$9)-1,"")</f>
        <v>-8.8920177623740826E-2</v>
      </c>
      <c r="U530" s="19">
        <f ca="1">IF('Stock Price'!$I$11="OK",H530/INDEX(H$5:H$1258,'Stock Price'!$I$9)-1,"")</f>
        <v>0.27867647058823541</v>
      </c>
      <c r="V530" s="19">
        <f ca="1">IF('Stock Price'!$I$11="OK",I530/INDEX(I$5:I$1258,'Stock Price'!$I$9)-1,"")</f>
        <v>-0.26323251417769378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125.25</v>
      </c>
      <c r="C531" s="18">
        <v>93.82</v>
      </c>
      <c r="D531" s="18">
        <v>34.979999999999997</v>
      </c>
      <c r="E531" s="18">
        <v>32.72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3.512396694214881E-2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-0.26781789638932496</v>
      </c>
      <c r="R531" s="19">
        <f ca="1">IF('Stock Price'!$I$11="OK",E531/INDEX(E$5:E$1258,'Stock Price'!$I$9)-1,"")</f>
        <v>-0.29935760171306214</v>
      </c>
      <c r="S531" s="19">
        <f ca="1">IF('Stock Price'!$I$11="OK",F531/INDEX(F$5:F$1258,'Stock Price'!$I$9)-1,"")</f>
        <v>-6.37417218543046E-2</v>
      </c>
      <c r="T531" s="19">
        <f ca="1">IF('Stock Price'!$I$11="OK",G531/INDEX(G$5:G$1258,'Stock Price'!$I$9)-1,"")</f>
        <v>-9.531030001083074E-2</v>
      </c>
      <c r="U531" s="19">
        <f ca="1">IF('Stock Price'!$I$11="OK",H531/INDEX(H$5:H$1258,'Stock Price'!$I$9)-1,"")</f>
        <v>0.27450980392156876</v>
      </c>
      <c r="V531" s="19">
        <f ca="1">IF('Stock Price'!$I$11="OK",I531/INDEX(I$5:I$1258,'Stock Price'!$I$9)-1,"")</f>
        <v>-0.26157844990548207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125.08</v>
      </c>
      <c r="C532" s="18">
        <v>94.38</v>
      </c>
      <c r="D532" s="18">
        <v>35.06</v>
      </c>
      <c r="E532" s="18">
        <v>32.94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3.3719008264462724E-2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-0.26614338042909469</v>
      </c>
      <c r="R532" s="19">
        <f ca="1">IF('Stock Price'!$I$11="OK",E532/INDEX(E$5:E$1258,'Stock Price'!$I$9)-1,"")</f>
        <v>-0.29464668094218427</v>
      </c>
      <c r="S532" s="19">
        <f ca="1">IF('Stock Price'!$I$11="OK",F532/INDEX(F$5:F$1258,'Stock Price'!$I$9)-1,"")</f>
        <v>-5.2566225165562863E-2</v>
      </c>
      <c r="T532" s="19">
        <f ca="1">IF('Stock Price'!$I$11="OK",G532/INDEX(G$5:G$1258,'Stock Price'!$I$9)-1,"")</f>
        <v>-0.10256687967074618</v>
      </c>
      <c r="U532" s="19">
        <f ca="1">IF('Stock Price'!$I$11="OK",H532/INDEX(H$5:H$1258,'Stock Price'!$I$9)-1,"")</f>
        <v>0.27941176470588247</v>
      </c>
      <c r="V532" s="19">
        <f ca="1">IF('Stock Price'!$I$11="OK",I532/INDEX(I$5:I$1258,'Stock Price'!$I$9)-1,"")</f>
        <v>-0.27173913043478259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126.87</v>
      </c>
      <c r="C533" s="18">
        <v>93.23</v>
      </c>
      <c r="D533" s="18">
        <v>34.46</v>
      </c>
      <c r="E533" s="18">
        <v>32.79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4.8512396694214921E-2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-0.27870225013082151</v>
      </c>
      <c r="R533" s="19">
        <f ca="1">IF('Stock Price'!$I$11="OK",E533/INDEX(E$5:E$1258,'Stock Price'!$I$9)-1,"")</f>
        <v>-0.29785867237687369</v>
      </c>
      <c r="S533" s="19">
        <f ca="1">IF('Stock Price'!$I$11="OK",F533/INDEX(F$5:F$1258,'Stock Price'!$I$9)-1,"")</f>
        <v>-5.8981788079470188E-2</v>
      </c>
      <c r="T533" s="19">
        <f ca="1">IF('Stock Price'!$I$11="OK",G533/INDEX(G$5:G$1258,'Stock Price'!$I$9)-1,"")</f>
        <v>-9.4443842738004991E-2</v>
      </c>
      <c r="U533" s="19">
        <f ca="1">IF('Stock Price'!$I$11="OK",H533/INDEX(H$5:H$1258,'Stock Price'!$I$9)-1,"")</f>
        <v>0.25465686274509802</v>
      </c>
      <c r="V533" s="19">
        <f ca="1">IF('Stock Price'!$I$11="OK",I533/INDEX(I$5:I$1258,'Stock Price'!$I$9)-1,"")</f>
        <v>-0.29867674858223059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124.285</v>
      </c>
      <c r="C534" s="18">
        <v>93.54</v>
      </c>
      <c r="D534" s="18">
        <v>34.409999999999997</v>
      </c>
      <c r="E534" s="18">
        <v>32.79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2.7148760330578448E-2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-0.27974882260596556</v>
      </c>
      <c r="R534" s="19">
        <f ca="1">IF('Stock Price'!$I$11="OK",E534/INDEX(E$5:E$1258,'Stock Price'!$I$9)-1,"")</f>
        <v>-0.29785867237687369</v>
      </c>
      <c r="S534" s="19">
        <f ca="1">IF('Stock Price'!$I$11="OK",F534/INDEX(F$5:F$1258,'Stock Price'!$I$9)-1,"")</f>
        <v>-4.9668874172185351E-2</v>
      </c>
      <c r="T534" s="19">
        <f ca="1">IF('Stock Price'!$I$11="OK",G534/INDEX(G$5:G$1258,'Stock Price'!$I$9)-1,"")</f>
        <v>-0.13018520524206645</v>
      </c>
      <c r="U534" s="19">
        <f ca="1">IF('Stock Price'!$I$11="OK",H534/INDEX(H$5:H$1258,'Stock Price'!$I$9)-1,"")</f>
        <v>0.24252450980392171</v>
      </c>
      <c r="V534" s="19">
        <f ca="1">IF('Stock Price'!$I$11="OK",I534/INDEX(I$5:I$1258,'Stock Price'!$I$9)-1,"")</f>
        <v>-0.30340264650283555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124.75</v>
      </c>
      <c r="C535" s="18">
        <v>94.09</v>
      </c>
      <c r="D535" s="18">
        <v>34.61</v>
      </c>
      <c r="E535" s="18">
        <v>33.119999999999997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3.0991735537190035E-2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-0.27556253270538988</v>
      </c>
      <c r="R535" s="19">
        <f ca="1">IF('Stock Price'!$I$11="OK",E535/INDEX(E$5:E$1258,'Stock Price'!$I$9)-1,"")</f>
        <v>-0.29079229122055683</v>
      </c>
      <c r="S535" s="19">
        <f ca="1">IF('Stock Price'!$I$11="OK",F535/INDEX(F$5:F$1258,'Stock Price'!$I$9)-1,"")</f>
        <v>-5.7947019867549576E-2</v>
      </c>
      <c r="T535" s="19">
        <f ca="1">IF('Stock Price'!$I$11="OK",G535/INDEX(G$5:G$1258,'Stock Price'!$I$9)-1,"")</f>
        <v>-0.12812736921910539</v>
      </c>
      <c r="U535" s="19">
        <f ca="1">IF('Stock Price'!$I$11="OK",H535/INDEX(H$5:H$1258,'Stock Price'!$I$9)-1,"")</f>
        <v>0.25575980392156872</v>
      </c>
      <c r="V535" s="19">
        <f ca="1">IF('Stock Price'!$I$11="OK",I535/INDEX(I$5:I$1258,'Stock Price'!$I$9)-1,"")</f>
        <v>-0.31521739130434778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125.8</v>
      </c>
      <c r="C536" s="18">
        <v>94.91</v>
      </c>
      <c r="D536" s="18">
        <v>34.479999999999997</v>
      </c>
      <c r="E536" s="18">
        <v>33.590000000000003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3.9669421487603218E-2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-0.27828362114076399</v>
      </c>
      <c r="R536" s="19">
        <f ca="1">IF('Stock Price'!$I$11="OK",E536/INDEX(E$5:E$1258,'Stock Price'!$I$9)-1,"")</f>
        <v>-0.28072805139186296</v>
      </c>
      <c r="S536" s="19">
        <f ca="1">IF('Stock Price'!$I$11="OK",F536/INDEX(F$5:F$1258,'Stock Price'!$I$9)-1,"")</f>
        <v>-5.3600993377483475E-2</v>
      </c>
      <c r="T536" s="19">
        <f ca="1">IF('Stock Price'!$I$11="OK",G536/INDEX(G$5:G$1258,'Stock Price'!$I$9)-1,"")</f>
        <v>-0.11967941080905442</v>
      </c>
      <c r="U536" s="19">
        <f ca="1">IF('Stock Price'!$I$11="OK",H536/INDEX(H$5:H$1258,'Stock Price'!$I$9)-1,"")</f>
        <v>0.25208333333333344</v>
      </c>
      <c r="V536" s="19">
        <f ca="1">IF('Stock Price'!$I$11="OK",I536/INDEX(I$5:I$1258,'Stock Price'!$I$9)-1,"")</f>
        <v>-0.30860113421550095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125.16</v>
      </c>
      <c r="C537" s="18">
        <v>93.8</v>
      </c>
      <c r="D537" s="18">
        <v>34.47</v>
      </c>
      <c r="E537" s="18">
        <v>33.33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3.4380165289256137E-2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-0.2784929356357928</v>
      </c>
      <c r="R537" s="19">
        <f ca="1">IF('Stock Price'!$I$11="OK",E537/INDEX(E$5:E$1258,'Stock Price'!$I$9)-1,"")</f>
        <v>-0.28629550321199149</v>
      </c>
      <c r="S537" s="19">
        <f ca="1">IF('Stock Price'!$I$11="OK",F537/INDEX(F$5:F$1258,'Stock Price'!$I$9)-1,"")</f>
        <v>-6.0016556291390688E-2</v>
      </c>
      <c r="T537" s="19">
        <f ca="1">IF('Stock Price'!$I$11="OK",G537/INDEX(G$5:G$1258,'Stock Price'!$I$9)-1,"")</f>
        <v>-0.10993176648976488</v>
      </c>
      <c r="U537" s="19">
        <f ca="1">IF('Stock Price'!$I$11="OK",H537/INDEX(H$5:H$1258,'Stock Price'!$I$9)-1,"")</f>
        <v>0.24203431372549011</v>
      </c>
      <c r="V537" s="19">
        <f ca="1">IF('Stock Price'!$I$11="OK",I537/INDEX(I$5:I$1258,'Stock Price'!$I$9)-1,"")</f>
        <v>-0.28662570888468808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125.15</v>
      </c>
      <c r="C538" s="18">
        <v>94.06</v>
      </c>
      <c r="D538" s="18">
        <v>34.44</v>
      </c>
      <c r="E538" s="18">
        <v>33.299999999999997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3.4297520661157099E-2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-0.27912087912087913</v>
      </c>
      <c r="R538" s="19">
        <f ca="1">IF('Stock Price'!$I$11="OK",E538/INDEX(E$5:E$1258,'Stock Price'!$I$9)-1,"")</f>
        <v>-0.28693790149892939</v>
      </c>
      <c r="S538" s="19">
        <f ca="1">IF('Stock Price'!$I$11="OK",F538/INDEX(F$5:F$1258,'Stock Price'!$I$9)-1,"")</f>
        <v>-4.0769867549668826E-2</v>
      </c>
      <c r="T538" s="19">
        <f ca="1">IF('Stock Price'!$I$11="OK",G538/INDEX(G$5:G$1258,'Stock Price'!$I$9)-1,"")</f>
        <v>-0.12054586808188017</v>
      </c>
      <c r="U538" s="19">
        <f ca="1">IF('Stock Price'!$I$11="OK",H538/INDEX(H$5:H$1258,'Stock Price'!$I$9)-1,"")</f>
        <v>0.24987745098039227</v>
      </c>
      <c r="V538" s="19">
        <f ca="1">IF('Stock Price'!$I$11="OK",I538/INDEX(I$5:I$1258,'Stock Price'!$I$9)-1,"")</f>
        <v>-0.29655009451795844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128</v>
      </c>
      <c r="C539" s="18">
        <v>94.91</v>
      </c>
      <c r="D539" s="18">
        <v>35.200000000000003</v>
      </c>
      <c r="E539" s="18">
        <v>33.39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5.7851239669421517E-2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-0.26321297749869166</v>
      </c>
      <c r="R539" s="19">
        <f ca="1">IF('Stock Price'!$I$11="OK",E539/INDEX(E$5:E$1258,'Stock Price'!$I$9)-1,"")</f>
        <v>-0.28501070663811567</v>
      </c>
      <c r="S539" s="19">
        <f ca="1">IF('Stock Price'!$I$11="OK",F539/INDEX(F$5:F$1258,'Stock Price'!$I$9)-1,"")</f>
        <v>-2.6903973509933676E-2</v>
      </c>
      <c r="T539" s="19">
        <f ca="1">IF('Stock Price'!$I$11="OK",G539/INDEX(G$5:G$1258,'Stock Price'!$I$9)-1,"")</f>
        <v>-0.10213365103433325</v>
      </c>
      <c r="U539" s="19">
        <f ca="1">IF('Stock Price'!$I$11="OK",H539/INDEX(H$5:H$1258,'Stock Price'!$I$9)-1,"")</f>
        <v>0.24693627450980404</v>
      </c>
      <c r="V539" s="19">
        <f ca="1">IF('Stock Price'!$I$11="OK",I539/INDEX(I$5:I$1258,'Stock Price'!$I$9)-1,"")</f>
        <v>-0.29300567107750464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126.14</v>
      </c>
      <c r="C540" s="18">
        <v>95.25</v>
      </c>
      <c r="D540" s="18">
        <v>35.11</v>
      </c>
      <c r="E540" s="18">
        <v>33.4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4.2479338842975167E-2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-0.26509680795395085</v>
      </c>
      <c r="R540" s="19">
        <f ca="1">IF('Stock Price'!$I$11="OK",E540/INDEX(E$5:E$1258,'Stock Price'!$I$9)-1,"")</f>
        <v>-0.28479657387580304</v>
      </c>
      <c r="S540" s="19">
        <f ca="1">IF('Stock Price'!$I$11="OK",F540/INDEX(F$5:F$1258,'Stock Price'!$I$9)-1,"")</f>
        <v>-3.7665562913907324E-2</v>
      </c>
      <c r="T540" s="19">
        <f ca="1">IF('Stock Price'!$I$11="OK",G540/INDEX(G$5:G$1258,'Stock Price'!$I$9)-1,"")</f>
        <v>-0.26340301093902296</v>
      </c>
      <c r="U540" s="19">
        <f ca="1">IF('Stock Price'!$I$11="OK",H540/INDEX(H$5:H$1258,'Stock Price'!$I$9)-1,"")</f>
        <v>0.25833333333333353</v>
      </c>
      <c r="V540" s="19">
        <f ca="1">IF('Stock Price'!$I$11="OK",I540/INDEX(I$5:I$1258,'Stock Price'!$I$9)-1,"")</f>
        <v>-0.2915879017013232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125.642</v>
      </c>
      <c r="C541" s="18">
        <v>96.38</v>
      </c>
      <c r="D541" s="18">
        <v>35.380000000000003</v>
      </c>
      <c r="E541" s="18">
        <v>33.57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3.8363636363636378E-2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-0.2594453165881736</v>
      </c>
      <c r="R541" s="19">
        <f ca="1">IF('Stock Price'!$I$11="OK",E541/INDEX(E$5:E$1258,'Stock Price'!$I$9)-1,"")</f>
        <v>-0.28115631691648824</v>
      </c>
      <c r="S541" s="19">
        <f ca="1">IF('Stock Price'!$I$11="OK",F541/INDEX(F$5:F$1258,'Stock Price'!$I$9)-1,"")</f>
        <v>-3.6630794701986824E-2</v>
      </c>
      <c r="T541" s="19">
        <f ca="1">IF('Stock Price'!$I$11="OK",G541/INDEX(G$5:G$1258,'Stock Price'!$I$9)-1,"")</f>
        <v>-0.26383623957543589</v>
      </c>
      <c r="U541" s="19">
        <f ca="1">IF('Stock Price'!$I$11="OK",H541/INDEX(H$5:H$1258,'Stock Price'!$I$9)-1,"")</f>
        <v>0.25257352941176481</v>
      </c>
      <c r="V541" s="19">
        <f ca="1">IF('Stock Price'!$I$11="OK",I541/INDEX(I$5:I$1258,'Stock Price'!$I$9)-1,"")</f>
        <v>-0.28402646502835538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126.54</v>
      </c>
      <c r="C542" s="18">
        <v>97.09</v>
      </c>
      <c r="D542" s="18">
        <v>35.200000000000003</v>
      </c>
      <c r="E542" s="18">
        <v>33.35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4.5785123966942232E-2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-0.26321297749869166</v>
      </c>
      <c r="R542" s="19">
        <f ca="1">IF('Stock Price'!$I$11="OK",E542/INDEX(E$5:E$1258,'Stock Price'!$I$9)-1,"")</f>
        <v>-0.28586723768736622</v>
      </c>
      <c r="S542" s="19">
        <f ca="1">IF('Stock Price'!$I$11="OK",F542/INDEX(F$5:F$1258,'Stock Price'!$I$9)-1,"")</f>
        <v>-3.8493377483443725E-2</v>
      </c>
      <c r="T542" s="19">
        <f ca="1">IF('Stock Price'!$I$11="OK",G542/INDEX(G$5:G$1258,'Stock Price'!$I$9)-1,"")</f>
        <v>-0.28918011480558869</v>
      </c>
      <c r="U542" s="19">
        <f ca="1">IF('Stock Price'!$I$11="OK",H542/INDEX(H$5:H$1258,'Stock Price'!$I$9)-1,"")</f>
        <v>0.24607843137254926</v>
      </c>
      <c r="V542" s="19">
        <f ca="1">IF('Stock Price'!$I$11="OK",I542/INDEX(I$5:I$1258,'Stock Price'!$I$9)-1,"")</f>
        <v>-0.28355387523629494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128.55000000000001</v>
      </c>
      <c r="C543" s="18">
        <v>98.14</v>
      </c>
      <c r="D543" s="18">
        <v>35.81</v>
      </c>
      <c r="E543" s="18">
        <v>33.82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6.2396694214876147E-2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-0.25044479330193614</v>
      </c>
      <c r="R543" s="19">
        <f ca="1">IF('Stock Price'!$I$11="OK",E543/INDEX(E$5:E$1258,'Stock Price'!$I$9)-1,"")</f>
        <v>-0.27580299785867246</v>
      </c>
      <c r="S543" s="19">
        <f ca="1">IF('Stock Price'!$I$11="OK",F543/INDEX(F$5:F$1258,'Stock Price'!$I$9)-1,"")</f>
        <v>-2.3592715231788075E-2</v>
      </c>
      <c r="T543" s="19">
        <f ca="1">IF('Stock Price'!$I$11="OK",G543/INDEX(G$5:G$1258,'Stock Price'!$I$9)-1,"")</f>
        <v>-0.29286255821509799</v>
      </c>
      <c r="U543" s="19">
        <f ca="1">IF('Stock Price'!$I$11="OK",H543/INDEX(H$5:H$1258,'Stock Price'!$I$9)-1,"")</f>
        <v>0.24840686274509816</v>
      </c>
      <c r="V543" s="19">
        <f ca="1">IF('Stock Price'!$I$11="OK",I543/INDEX(I$5:I$1258,'Stock Price'!$I$9)-1,"")</f>
        <v>-0.27930056710775053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128.76</v>
      </c>
      <c r="C544" s="18">
        <v>97.74</v>
      </c>
      <c r="D544" s="18">
        <v>35.630000000000003</v>
      </c>
      <c r="E544" s="18">
        <v>33.369999999999997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6.4132231404958606E-2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-0.25421245421245409</v>
      </c>
      <c r="R544" s="19">
        <f ca="1">IF('Stock Price'!$I$11="OK",E544/INDEX(E$5:E$1258,'Stock Price'!$I$9)-1,"")</f>
        <v>-0.28543897216274094</v>
      </c>
      <c r="S544" s="19">
        <f ca="1">IF('Stock Price'!$I$11="OK",F544/INDEX(F$5:F$1258,'Stock Price'!$I$9)-1,"")</f>
        <v>-1.3865894039735149E-2</v>
      </c>
      <c r="T544" s="19">
        <f ca="1">IF('Stock Price'!$I$11="OK",G544/INDEX(G$5:G$1258,'Stock Price'!$I$9)-1,"")</f>
        <v>-0.31419906855843172</v>
      </c>
      <c r="U544" s="19">
        <f ca="1">IF('Stock Price'!$I$11="OK",H544/INDEX(H$5:H$1258,'Stock Price'!$I$9)-1,"")</f>
        <v>0.24301470588235308</v>
      </c>
      <c r="V544" s="19">
        <f ca="1">IF('Stock Price'!$I$11="OK",I544/INDEX(I$5:I$1258,'Stock Price'!$I$9)-1,"")</f>
        <v>-0.28780718336483935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124.9599</v>
      </c>
      <c r="C545" s="18">
        <v>97</v>
      </c>
      <c r="D545" s="18">
        <v>35.64</v>
      </c>
      <c r="E545" s="18">
        <v>33.56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3.272644628099175E-2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-0.25400313971742539</v>
      </c>
      <c r="R545" s="19">
        <f ca="1">IF('Stock Price'!$I$11="OK",E545/INDEX(E$5:E$1258,'Stock Price'!$I$9)-1,"")</f>
        <v>-0.28137044967880087</v>
      </c>
      <c r="S545" s="19">
        <f ca="1">IF('Stock Price'!$I$11="OK",F545/INDEX(F$5:F$1258,'Stock Price'!$I$9)-1,"")</f>
        <v>-2.7731788079470299E-2</v>
      </c>
      <c r="T545" s="19">
        <f ca="1">IF('Stock Price'!$I$11="OK",G545/INDEX(G$5:G$1258,'Stock Price'!$I$9)-1,"")</f>
        <v>-0.33813495072024258</v>
      </c>
      <c r="U545" s="19">
        <f ca="1">IF('Stock Price'!$I$11="OK",H545/INDEX(H$5:H$1258,'Stock Price'!$I$9)-1,"")</f>
        <v>0.22769607843137263</v>
      </c>
      <c r="V545" s="19">
        <f ca="1">IF('Stock Price'!$I$11="OK",I545/INDEX(I$5:I$1258,'Stock Price'!$I$9)-1,"")</f>
        <v>-0.29844045368620031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126.8199</v>
      </c>
      <c r="C546" s="18">
        <v>97.01</v>
      </c>
      <c r="D546" s="18">
        <v>35.49</v>
      </c>
      <c r="E546" s="18">
        <v>33.81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4.80983471074381E-2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-0.25714285714285712</v>
      </c>
      <c r="R546" s="19">
        <f ca="1">IF('Stock Price'!$I$11="OK",E546/INDEX(E$5:E$1258,'Stock Price'!$I$9)-1,"")</f>
        <v>-0.27601713062098499</v>
      </c>
      <c r="S546" s="19">
        <f ca="1">IF('Stock Price'!$I$11="OK",F546/INDEX(F$5:F$1258,'Stock Price'!$I$9)-1,"")</f>
        <v>-3.5596026490066213E-2</v>
      </c>
      <c r="T546" s="19">
        <f ca="1">IF('Stock Price'!$I$11="OK",G546/INDEX(G$5:G$1258,'Stock Price'!$I$9)-1,"")</f>
        <v>-0.33564388606086859</v>
      </c>
      <c r="U546" s="19">
        <f ca="1">IF('Stock Price'!$I$11="OK",H546/INDEX(H$5:H$1258,'Stock Price'!$I$9)-1,"")</f>
        <v>0.23933823529411757</v>
      </c>
      <c r="V546" s="19">
        <f ca="1">IF('Stock Price'!$I$11="OK",I546/INDEX(I$5:I$1258,'Stock Price'!$I$9)-1,"")</f>
        <v>-0.28922495274102089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128.5</v>
      </c>
      <c r="C547" s="18">
        <v>97.9</v>
      </c>
      <c r="D547" s="18">
        <v>35.99</v>
      </c>
      <c r="E547" s="18">
        <v>33.69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6.198347107438007E-2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-0.24667713239141809</v>
      </c>
      <c r="R547" s="19">
        <f ca="1">IF('Stock Price'!$I$11="OK",E547/INDEX(E$5:E$1258,'Stock Price'!$I$9)-1,"")</f>
        <v>-0.27858672376873672</v>
      </c>
      <c r="S547" s="19">
        <f ca="1">IF('Stock Price'!$I$11="OK",F547/INDEX(F$5:F$1258,'Stock Price'!$I$9)-1,"")</f>
        <v>-3.24917218543046E-2</v>
      </c>
      <c r="T547" s="19">
        <f ca="1">IF('Stock Price'!$I$11="OK",G547/INDEX(G$5:G$1258,'Stock Price'!$I$9)-1,"")</f>
        <v>-0.32069749810462467</v>
      </c>
      <c r="U547" s="19">
        <f ca="1">IF('Stock Price'!$I$11="OK",H547/INDEX(H$5:H$1258,'Stock Price'!$I$9)-1,"")</f>
        <v>0.25588235294117667</v>
      </c>
      <c r="V547" s="19">
        <f ca="1">IF('Stock Price'!$I$11="OK",I547/INDEX(I$5:I$1258,'Stock Price'!$I$9)-1,"")</f>
        <v>-0.28000945179584125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125</v>
      </c>
      <c r="C548" s="18">
        <v>98.13</v>
      </c>
      <c r="D548" s="18">
        <v>36.57</v>
      </c>
      <c r="E548" s="18">
        <v>34.36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3.3057851239669311E-2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-0.23453689167974878</v>
      </c>
      <c r="R548" s="19">
        <f ca="1">IF('Stock Price'!$I$11="OK",E548/INDEX(E$5:E$1258,'Stock Price'!$I$9)-1,"")</f>
        <v>-0.26423982869379026</v>
      </c>
      <c r="S548" s="19">
        <f ca="1">IF('Stock Price'!$I$11="OK",F548/INDEX(F$5:F$1258,'Stock Price'!$I$9)-1,"")</f>
        <v>-3.3112582781457012E-2</v>
      </c>
      <c r="T548" s="19">
        <f ca="1">IF('Stock Price'!$I$11="OK",G548/INDEX(G$5:G$1258,'Stock Price'!$I$9)-1,"")</f>
        <v>-0.32611285605978557</v>
      </c>
      <c r="U548" s="19">
        <f ca="1">IF('Stock Price'!$I$11="OK",H548/INDEX(H$5:H$1258,'Stock Price'!$I$9)-1,"")</f>
        <v>0.26789215686274503</v>
      </c>
      <c r="V548" s="19">
        <f ca="1">IF('Stock Price'!$I$11="OK",I548/INDEX(I$5:I$1258,'Stock Price'!$I$9)-1,"")</f>
        <v>-0.3168714555765596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128.52000000000001</v>
      </c>
      <c r="C549" s="18">
        <v>98.99</v>
      </c>
      <c r="D549" s="18">
        <v>36.630000000000003</v>
      </c>
      <c r="E549" s="18">
        <v>35.42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6.214876033057859E-2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-0.23328100470957602</v>
      </c>
      <c r="R549" s="19">
        <f ca="1">IF('Stock Price'!$I$11="OK",E549/INDEX(E$5:E$1258,'Stock Price'!$I$9)-1,"")</f>
        <v>-0.24154175588865101</v>
      </c>
      <c r="S549" s="19">
        <f ca="1">IF('Stock Price'!$I$11="OK",F549/INDEX(F$5:F$1258,'Stock Price'!$I$9)-1,"")</f>
        <v>-2.6903973509933676E-2</v>
      </c>
      <c r="T549" s="19">
        <f ca="1">IF('Stock Price'!$I$11="OK",G549/INDEX(G$5:G$1258,'Stock Price'!$I$9)-1,"")</f>
        <v>-0.33228636412866885</v>
      </c>
      <c r="U549" s="19">
        <f ca="1">IF('Stock Price'!$I$11="OK",H549/INDEX(H$5:H$1258,'Stock Price'!$I$9)-1,"")</f>
        <v>0.28750000000000009</v>
      </c>
      <c r="V549" s="19">
        <f ca="1">IF('Stock Price'!$I$11="OK",I549/INDEX(I$5:I$1258,'Stock Price'!$I$9)-1,"")</f>
        <v>-0.3081285444234404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125.75</v>
      </c>
      <c r="C550" s="18">
        <v>96.97</v>
      </c>
      <c r="D550" s="18">
        <v>36.33</v>
      </c>
      <c r="E550" s="18">
        <v>35.86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3.9256198347107363E-2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-0.2395604395604396</v>
      </c>
      <c r="R550" s="19">
        <f ca="1">IF('Stock Price'!$I$11="OK",E550/INDEX(E$5:E$1258,'Stock Price'!$I$9)-1,"")</f>
        <v>-0.23211991434689516</v>
      </c>
      <c r="S550" s="19">
        <f ca="1">IF('Stock Price'!$I$11="OK",F550/INDEX(F$5:F$1258,'Stock Price'!$I$9)-1,"")</f>
        <v>-4.0976821192052926E-2</v>
      </c>
      <c r="T550" s="19">
        <f ca="1">IF('Stock Price'!$I$11="OK",G550/INDEX(G$5:G$1258,'Stock Price'!$I$9)-1,"")</f>
        <v>-0.31322430412650282</v>
      </c>
      <c r="U550" s="19">
        <f ca="1">IF('Stock Price'!$I$11="OK",H550/INDEX(H$5:H$1258,'Stock Price'!$I$9)-1,"")</f>
        <v>0.3018382352941178</v>
      </c>
      <c r="V550" s="19">
        <f ca="1">IF('Stock Price'!$I$11="OK",I550/INDEX(I$5:I$1258,'Stock Price'!$I$9)-1,"")</f>
        <v>-0.31261814744801508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125.5</v>
      </c>
      <c r="C551" s="18">
        <v>97.05</v>
      </c>
      <c r="D551" s="18">
        <v>36.17</v>
      </c>
      <c r="E551" s="18">
        <v>35.85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3.7190082644628086E-2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-0.24290947148090003</v>
      </c>
      <c r="R551" s="19">
        <f ca="1">IF('Stock Price'!$I$11="OK",E551/INDEX(E$5:E$1258,'Stock Price'!$I$9)-1,"")</f>
        <v>-0.23233404710920769</v>
      </c>
      <c r="S551" s="19">
        <f ca="1">IF('Stock Price'!$I$11="OK",F551/INDEX(F$5:F$1258,'Stock Price'!$I$9)-1,"")</f>
        <v>-4.8427152317880862E-2</v>
      </c>
      <c r="T551" s="19">
        <f ca="1">IF('Stock Price'!$I$11="OK",G551/INDEX(G$5:G$1258,'Stock Price'!$I$9)-1,"")</f>
        <v>-0.29838622332936204</v>
      </c>
      <c r="U551" s="19">
        <f ca="1">IF('Stock Price'!$I$11="OK",H551/INDEX(H$5:H$1258,'Stock Price'!$I$9)-1,"")</f>
        <v>0.29448529411764701</v>
      </c>
      <c r="V551" s="19">
        <f ca="1">IF('Stock Price'!$I$11="OK",I551/INDEX(I$5:I$1258,'Stock Price'!$I$9)-1,"")</f>
        <v>-0.31970699432892247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125.4</v>
      </c>
      <c r="C552" s="18">
        <v>95.93</v>
      </c>
      <c r="D552" s="18">
        <v>36</v>
      </c>
      <c r="E552" s="18">
        <v>35.58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3.6363636363636376E-2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-0.24646781789638927</v>
      </c>
      <c r="R552" s="19">
        <f ca="1">IF('Stock Price'!$I$11="OK",E552/INDEX(E$5:E$1258,'Stock Price'!$I$9)-1,"")</f>
        <v>-0.23811563169164895</v>
      </c>
      <c r="S552" s="19">
        <f ca="1">IF('Stock Price'!$I$11="OK",F552/INDEX(F$5:F$1258,'Stock Price'!$I$9)-1,"")</f>
        <v>-4.677152317880795E-2</v>
      </c>
      <c r="T552" s="19">
        <f ca="1">IF('Stock Price'!$I$11="OK",G552/INDEX(G$5:G$1258,'Stock Price'!$I$9)-1,"")</f>
        <v>-0.31051662514892242</v>
      </c>
      <c r="U552" s="19">
        <f ca="1">IF('Stock Price'!$I$11="OK",H552/INDEX(H$5:H$1258,'Stock Price'!$I$9)-1,"")</f>
        <v>0.27303921568627465</v>
      </c>
      <c r="V552" s="19">
        <f ca="1">IF('Stock Price'!$I$11="OK",I552/INDEX(I$5:I$1258,'Stock Price'!$I$9)-1,"")</f>
        <v>-0.32348771266540643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125.06</v>
      </c>
      <c r="C553" s="18">
        <v>96.3</v>
      </c>
      <c r="D553" s="18">
        <v>35.94</v>
      </c>
      <c r="E553" s="18">
        <v>36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3.3553719008264427E-2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-0.24772370486656203</v>
      </c>
      <c r="R553" s="19">
        <f ca="1">IF('Stock Price'!$I$11="OK",E553/INDEX(E$5:E$1258,'Stock Price'!$I$9)-1,"")</f>
        <v>-0.22912205567451827</v>
      </c>
      <c r="S553" s="19">
        <f ca="1">IF('Stock Price'!$I$11="OK",F553/INDEX(F$5:F$1258,'Stock Price'!$I$9)-1,"")</f>
        <v>-4.1390728476821237E-2</v>
      </c>
      <c r="T553" s="19">
        <f ca="1">IF('Stock Price'!$I$11="OK",G553/INDEX(G$5:G$1258,'Stock Price'!$I$9)-1,"")</f>
        <v>-0.30910863208058048</v>
      </c>
      <c r="U553" s="19">
        <f ca="1">IF('Stock Price'!$I$11="OK",H553/INDEX(H$5:H$1258,'Stock Price'!$I$9)-1,"")</f>
        <v>0.27144607843137258</v>
      </c>
      <c r="V553" s="19">
        <f ca="1">IF('Stock Price'!$I$11="OK",I553/INDEX(I$5:I$1258,'Stock Price'!$I$9)-1,"")</f>
        <v>-0.31994328922495274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125.2</v>
      </c>
      <c r="C554" s="18">
        <v>97.28</v>
      </c>
      <c r="D554" s="18">
        <v>36.369999999999997</v>
      </c>
      <c r="E554" s="18">
        <v>36.130000000000003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3.4710743801652955E-2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-0.23872318158032446</v>
      </c>
      <c r="R554" s="19">
        <f ca="1">IF('Stock Price'!$I$11="OK",E554/INDEX(E$5:E$1258,'Stock Price'!$I$9)-1,"")</f>
        <v>-0.226338329764454</v>
      </c>
      <c r="S554" s="19">
        <f ca="1">IF('Stock Price'!$I$11="OK",F554/INDEX(F$5:F$1258,'Stock Price'!$I$9)-1,"")</f>
        <v>-2.4213576158940486E-2</v>
      </c>
      <c r="T554" s="19">
        <f ca="1">IF('Stock Price'!$I$11="OK",G554/INDEX(G$5:G$1258,'Stock Price'!$I$9)-1,"")</f>
        <v>-0.31788151196794112</v>
      </c>
      <c r="U554" s="19">
        <f ca="1">IF('Stock Price'!$I$11="OK",H554/INDEX(H$5:H$1258,'Stock Price'!$I$9)-1,"")</f>
        <v>0.27904411764705905</v>
      </c>
      <c r="V554" s="19">
        <f ca="1">IF('Stock Price'!$I$11="OK",I554/INDEX(I$5:I$1258,'Stock Price'!$I$9)-1,"")</f>
        <v>-0.32325141776937616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126.48</v>
      </c>
      <c r="C555" s="18">
        <v>98.17</v>
      </c>
      <c r="D555" s="18">
        <v>36.42</v>
      </c>
      <c r="E555" s="18">
        <v>36.22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4.5289256198347116E-2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-0.23767660910518051</v>
      </c>
      <c r="R555" s="19">
        <f ca="1">IF('Stock Price'!$I$11="OK",E555/INDEX(E$5:E$1258,'Stock Price'!$I$9)-1,"")</f>
        <v>-0.22441113490364029</v>
      </c>
      <c r="S555" s="19">
        <f ca="1">IF('Stock Price'!$I$11="OK",F555/INDEX(F$5:F$1258,'Stock Price'!$I$9)-1,"")</f>
        <v>-2.0488410596026574E-2</v>
      </c>
      <c r="T555" s="19">
        <f ca="1">IF('Stock Price'!$I$11="OK",G555/INDEX(G$5:G$1258,'Stock Price'!$I$9)-1,"")</f>
        <v>-0.3211307267410376</v>
      </c>
      <c r="U555" s="19">
        <f ca="1">IF('Stock Price'!$I$11="OK",H555/INDEX(H$5:H$1258,'Stock Price'!$I$9)-1,"")</f>
        <v>0.2789215686274511</v>
      </c>
      <c r="V555" s="19">
        <f ca="1">IF('Stock Price'!$I$11="OK",I555/INDEX(I$5:I$1258,'Stock Price'!$I$9)-1,"")</f>
        <v>-0.3246691871455577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129.25989999999999</v>
      </c>
      <c r="C556" s="18">
        <v>99.71</v>
      </c>
      <c r="D556" s="18">
        <v>36.74</v>
      </c>
      <c r="E556" s="18">
        <v>36.200000000000003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6.8263636363636193E-2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-0.23097854526425954</v>
      </c>
      <c r="R556" s="19">
        <f ca="1">IF('Stock Price'!$I$11="OK",E556/INDEX(E$5:E$1258,'Stock Price'!$I$9)-1,"")</f>
        <v>-0.22483940042826556</v>
      </c>
      <c r="S556" s="19">
        <f ca="1">IF('Stock Price'!$I$11="OK",F556/INDEX(F$5:F$1258,'Stock Price'!$I$9)-1,"")</f>
        <v>-4.1390728476831118E-4</v>
      </c>
      <c r="T556" s="19">
        <f ca="1">IF('Stock Price'!$I$11="OK",G556/INDEX(G$5:G$1258,'Stock Price'!$I$9)-1,"")</f>
        <v>-0.32719592765081773</v>
      </c>
      <c r="U556" s="19">
        <f ca="1">IF('Stock Price'!$I$11="OK",H556/INDEX(H$5:H$1258,'Stock Price'!$I$9)-1,"")</f>
        <v>0.31262254901960795</v>
      </c>
      <c r="V556" s="19">
        <f ca="1">IF('Stock Price'!$I$11="OK",I556/INDEX(I$5:I$1258,'Stock Price'!$I$9)-1,"")</f>
        <v>-0.37003780718336488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132.495</v>
      </c>
      <c r="C557" s="18">
        <v>98.87</v>
      </c>
      <c r="D557" s="18">
        <v>36.979999999999997</v>
      </c>
      <c r="E557" s="18">
        <v>35.4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9.4999999999999973E-2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-0.22595499738356883</v>
      </c>
      <c r="R557" s="19">
        <f ca="1">IF('Stock Price'!$I$11="OK",E557/INDEX(E$5:E$1258,'Stock Price'!$I$9)-1,"")</f>
        <v>-0.24197002141327628</v>
      </c>
      <c r="S557" s="19">
        <f ca="1">IF('Stock Price'!$I$11="OK",F557/INDEX(F$5:F$1258,'Stock Price'!$I$9)-1,"")</f>
        <v>-1.6556291390728006E-3</v>
      </c>
      <c r="T557" s="19">
        <f ca="1">IF('Stock Price'!$I$11="OK",G557/INDEX(G$5:G$1258,'Stock Price'!$I$9)-1,"")</f>
        <v>-0.30910863208058048</v>
      </c>
      <c r="U557" s="19">
        <f ca="1">IF('Stock Price'!$I$11="OK",H557/INDEX(H$5:H$1258,'Stock Price'!$I$9)-1,"")</f>
        <v>0.29754901960784319</v>
      </c>
      <c r="V557" s="19">
        <f ca="1">IF('Stock Price'!$I$11="OK",I557/INDEX(I$5:I$1258,'Stock Price'!$I$9)-1,"")</f>
        <v>-0.38256143667296794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131.28</v>
      </c>
      <c r="C558" s="18">
        <v>97.4</v>
      </c>
      <c r="D558" s="18">
        <v>35.880000000000003</v>
      </c>
      <c r="E558" s="18">
        <v>34.729999999999997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8.4958677685950335E-2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-0.24897959183673457</v>
      </c>
      <c r="R558" s="19">
        <f ca="1">IF('Stock Price'!$I$11="OK",E558/INDEX(E$5:E$1258,'Stock Price'!$I$9)-1,"")</f>
        <v>-0.25631691648822286</v>
      </c>
      <c r="S558" s="19">
        <f ca="1">IF('Stock Price'!$I$11="OK",F558/INDEX(F$5:F$1258,'Stock Price'!$I$9)-1,"")</f>
        <v>-1.3245033112582738E-2</v>
      </c>
      <c r="T558" s="19">
        <f ca="1">IF('Stock Price'!$I$11="OK",G558/INDEX(G$5:G$1258,'Stock Price'!$I$9)-1,"")</f>
        <v>-0.30455973139824544</v>
      </c>
      <c r="U558" s="19">
        <f ca="1">IF('Stock Price'!$I$11="OK",H558/INDEX(H$5:H$1258,'Stock Price'!$I$9)-1,"")</f>
        <v>0.28811274509803919</v>
      </c>
      <c r="V558" s="19">
        <f ca="1">IF('Stock Price'!$I$11="OK",I558/INDEX(I$5:I$1258,'Stock Price'!$I$9)-1,"")</f>
        <v>-0.37074669187145559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128</v>
      </c>
      <c r="C559" s="18">
        <v>98.22</v>
      </c>
      <c r="D559" s="18">
        <v>36.46</v>
      </c>
      <c r="E559" s="18">
        <v>35.159999999999997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5.7851239669421517E-2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-0.23683935112506538</v>
      </c>
      <c r="R559" s="19">
        <f ca="1">IF('Stock Price'!$I$11="OK",E559/INDEX(E$5:E$1258,'Stock Price'!$I$9)-1,"")</f>
        <v>-0.24710920770877953</v>
      </c>
      <c r="S559" s="19">
        <f ca="1">IF('Stock Price'!$I$11="OK",F559/INDEX(F$5:F$1258,'Stock Price'!$I$9)-1,"")</f>
        <v>4.5529801324502017E-3</v>
      </c>
      <c r="T559" s="19">
        <f ca="1">IF('Stock Price'!$I$11="OK",G559/INDEX(G$5:G$1258,'Stock Price'!$I$9)-1,"")</f>
        <v>-0.30445142423914218</v>
      </c>
      <c r="U559" s="19">
        <f ca="1">IF('Stock Price'!$I$11="OK",H559/INDEX(H$5:H$1258,'Stock Price'!$I$9)-1,"")</f>
        <v>0.2995098039215689</v>
      </c>
      <c r="V559" s="19">
        <f ca="1">IF('Stock Price'!$I$11="OK",I559/INDEX(I$5:I$1258,'Stock Price'!$I$9)-1,"")</f>
        <v>-0.36058601134215507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132.88</v>
      </c>
      <c r="C560" s="18">
        <v>98.29</v>
      </c>
      <c r="D560" s="18">
        <v>36.5</v>
      </c>
      <c r="E560" s="18">
        <v>35.47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9.8181818181818148E-2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-0.23600209314495024</v>
      </c>
      <c r="R560" s="19">
        <f ca="1">IF('Stock Price'!$I$11="OK",E560/INDEX(E$5:E$1258,'Stock Price'!$I$9)-1,"")</f>
        <v>-0.24047109207708783</v>
      </c>
      <c r="S560" s="19">
        <f ca="1">IF('Stock Price'!$I$11="OK",F560/INDEX(F$5:F$1258,'Stock Price'!$I$9)-1,"")</f>
        <v>1.531456953642385E-2</v>
      </c>
      <c r="T560" s="19">
        <f ca="1">IF('Stock Price'!$I$11="OK",G560/INDEX(G$5:G$1258,'Stock Price'!$I$9)-1,"")</f>
        <v>-0.30261020253438753</v>
      </c>
      <c r="U560" s="19">
        <f ca="1">IF('Stock Price'!$I$11="OK",H560/INDEX(H$5:H$1258,'Stock Price'!$I$9)-1,"")</f>
        <v>0.30502450980392171</v>
      </c>
      <c r="V560" s="19">
        <f ca="1">IF('Stock Price'!$I$11="OK",I560/INDEX(I$5:I$1258,'Stock Price'!$I$9)-1,"")</f>
        <v>-0.33459357277882795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131.125</v>
      </c>
      <c r="C561" s="18">
        <v>97.14</v>
      </c>
      <c r="D561" s="18">
        <v>36.19</v>
      </c>
      <c r="E561" s="18">
        <v>35.01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8.3677685950413139E-2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-0.24249084249084252</v>
      </c>
      <c r="R561" s="19">
        <f ca="1">IF('Stock Price'!$I$11="OK",E561/INDEX(E$5:E$1258,'Stock Price'!$I$9)-1,"")</f>
        <v>-0.25032119914346906</v>
      </c>
      <c r="S561" s="19">
        <f ca="1">IF('Stock Price'!$I$11="OK",F561/INDEX(F$5:F$1258,'Stock Price'!$I$9)-1,"")</f>
        <v>-2.2764900662251009E-3</v>
      </c>
      <c r="T561" s="19">
        <f ca="1">IF('Stock Price'!$I$11="OK",G561/INDEX(G$5:G$1258,'Stock Price'!$I$9)-1,"")</f>
        <v>-0.2948120870789559</v>
      </c>
      <c r="U561" s="19">
        <f ca="1">IF('Stock Price'!$I$11="OK",H561/INDEX(H$5:H$1258,'Stock Price'!$I$9)-1,"")</f>
        <v>0.29117647058823537</v>
      </c>
      <c r="V561" s="19">
        <f ca="1">IF('Stock Price'!$I$11="OK",I561/INDEX(I$5:I$1258,'Stock Price'!$I$9)-1,"")</f>
        <v>-0.34711720226843101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130.5</v>
      </c>
      <c r="C562" s="18">
        <v>98.1</v>
      </c>
      <c r="D562" s="18">
        <v>36.81</v>
      </c>
      <c r="E562" s="18">
        <v>35.65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7.8512396694214948E-2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-0.22951334379905797</v>
      </c>
      <c r="R562" s="19">
        <f ca="1">IF('Stock Price'!$I$11="OK",E562/INDEX(E$5:E$1258,'Stock Price'!$I$9)-1,"")</f>
        <v>-0.23661670235546051</v>
      </c>
      <c r="S562" s="19">
        <f ca="1">IF('Stock Price'!$I$11="OK",F562/INDEX(F$5:F$1258,'Stock Price'!$I$9)-1,"")</f>
        <v>1.3038079470198749E-2</v>
      </c>
      <c r="T562" s="19">
        <f ca="1">IF('Stock Price'!$I$11="OK",G562/INDEX(G$5:G$1258,'Stock Price'!$I$9)-1,"")</f>
        <v>-0.29351240116971722</v>
      </c>
      <c r="U562" s="19">
        <f ca="1">IF('Stock Price'!$I$11="OK",H562/INDEX(H$5:H$1258,'Stock Price'!$I$9)-1,"")</f>
        <v>0.30379901960784328</v>
      </c>
      <c r="V562" s="19">
        <f ca="1">IF('Stock Price'!$I$11="OK",I562/INDEX(I$5:I$1258,'Stock Price'!$I$9)-1,"")</f>
        <v>-0.33104914933837437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130.9</v>
      </c>
      <c r="C563" s="18">
        <v>98.75</v>
      </c>
      <c r="D563" s="18">
        <v>36.99</v>
      </c>
      <c r="E563" s="18">
        <v>35.54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8.181818181818179E-2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-0.22574568288853991</v>
      </c>
      <c r="R563" s="19">
        <f ca="1">IF('Stock Price'!$I$11="OK",E563/INDEX(E$5:E$1258,'Stock Price'!$I$9)-1,"")</f>
        <v>-0.23897216274089939</v>
      </c>
      <c r="S563" s="19">
        <f ca="1">IF('Stock Price'!$I$11="OK",F563/INDEX(F$5:F$1258,'Stock Price'!$I$9)-1,"")</f>
        <v>8.6920529801324253E-3</v>
      </c>
      <c r="T563" s="19">
        <f ca="1">IF('Stock Price'!$I$11="OK",G563/INDEX(G$5:G$1258,'Stock Price'!$I$9)-1,"")</f>
        <v>-0.29156287230585942</v>
      </c>
      <c r="U563" s="19">
        <f ca="1">IF('Stock Price'!$I$11="OK",H563/INDEX(H$5:H$1258,'Stock Price'!$I$9)-1,"")</f>
        <v>0.31985294117647078</v>
      </c>
      <c r="V563" s="19">
        <f ca="1">IF('Stock Price'!$I$11="OK",I563/INDEX(I$5:I$1258,'Stock Price'!$I$9)-1,"")</f>
        <v>-0.32892249527410211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134.4</v>
      </c>
      <c r="C564" s="18">
        <v>98.55</v>
      </c>
      <c r="D564" s="18">
        <v>37.01</v>
      </c>
      <c r="E564" s="18">
        <v>35.619999999999997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0.11074380165289255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-0.22532705389848251</v>
      </c>
      <c r="R564" s="19">
        <f ca="1">IF('Stock Price'!$I$11="OK",E564/INDEX(E$5:E$1258,'Stock Price'!$I$9)-1,"")</f>
        <v>-0.23725910064239841</v>
      </c>
      <c r="S564" s="19">
        <f ca="1">IF('Stock Price'!$I$11="OK",F564/INDEX(F$5:F$1258,'Stock Price'!$I$9)-1,"")</f>
        <v>1.572847682119205E-2</v>
      </c>
      <c r="T564" s="19">
        <f ca="1">IF('Stock Price'!$I$11="OK",G564/INDEX(G$5:G$1258,'Stock Price'!$I$9)-1,"")</f>
        <v>-0.29156287230585942</v>
      </c>
      <c r="U564" s="19">
        <f ca="1">IF('Stock Price'!$I$11="OK",H564/INDEX(H$5:H$1258,'Stock Price'!$I$9)-1,"")</f>
        <v>0.31899509803921577</v>
      </c>
      <c r="V564" s="19">
        <f ca="1">IF('Stock Price'!$I$11="OK",I564/INDEX(I$5:I$1258,'Stock Price'!$I$9)-1,"")</f>
        <v>-0.32868620037807184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133.09989999999999</v>
      </c>
      <c r="C565" s="18">
        <v>99.71</v>
      </c>
      <c r="D565" s="18">
        <v>37.1</v>
      </c>
      <c r="E565" s="18">
        <v>35.99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9.9999173553718901E-2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-0.22344322344322343</v>
      </c>
      <c r="R565" s="19">
        <f ca="1">IF('Stock Price'!$I$11="OK",E565/INDEX(E$5:E$1258,'Stock Price'!$I$9)-1,"")</f>
        <v>-0.22933618843683079</v>
      </c>
      <c r="S565" s="19">
        <f ca="1">IF('Stock Price'!$I$11="OK",F565/INDEX(F$5:F$1258,'Stock Price'!$I$9)-1,"")</f>
        <v>2.9594370860927199E-2</v>
      </c>
      <c r="T565" s="19">
        <f ca="1">IF('Stock Price'!$I$11="OK",G565/INDEX(G$5:G$1258,'Stock Price'!$I$9)-1,"")</f>
        <v>-0.27510018412217041</v>
      </c>
      <c r="U565" s="19">
        <f ca="1">IF('Stock Price'!$I$11="OK",H565/INDEX(H$5:H$1258,'Stock Price'!$I$9)-1,"")</f>
        <v>0.32328431372549038</v>
      </c>
      <c r="V565" s="19">
        <f ca="1">IF('Stock Price'!$I$11="OK",I565/INDEX(I$5:I$1258,'Stock Price'!$I$9)-1,"")</f>
        <v>-0.32396030245746699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136.32</v>
      </c>
      <c r="C566" s="18">
        <v>99.97</v>
      </c>
      <c r="D566" s="18">
        <v>37.090000000000003</v>
      </c>
      <c r="E566" s="18">
        <v>35.81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0.12661157024793379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-0.22365253793825213</v>
      </c>
      <c r="R566" s="19">
        <f ca="1">IF('Stock Price'!$I$11="OK",E566/INDEX(E$5:E$1258,'Stock Price'!$I$9)-1,"")</f>
        <v>-0.23319057815845823</v>
      </c>
      <c r="S566" s="19">
        <f ca="1">IF('Stock Price'!$I$11="OK",F566/INDEX(F$5:F$1258,'Stock Price'!$I$9)-1,"")</f>
        <v>2.1937086092715274E-2</v>
      </c>
      <c r="T566" s="19">
        <f ca="1">IF('Stock Price'!$I$11="OK",G566/INDEX(G$5:G$1258,'Stock Price'!$I$9)-1,"")</f>
        <v>-0.27455864832665433</v>
      </c>
      <c r="U566" s="19">
        <f ca="1">IF('Stock Price'!$I$11="OK",H566/INDEX(H$5:H$1258,'Stock Price'!$I$9)-1,"")</f>
        <v>0.33296568627450984</v>
      </c>
      <c r="V566" s="19">
        <f ca="1">IF('Stock Price'!$I$11="OK",I566/INDEX(I$5:I$1258,'Stock Price'!$I$9)-1,"")</f>
        <v>-0.31970699432892247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134.44999999999999</v>
      </c>
      <c r="C567" s="18">
        <v>100.97</v>
      </c>
      <c r="D567" s="18">
        <v>37.06</v>
      </c>
      <c r="E567" s="18">
        <v>36.229999999999997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0.1111570247933884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-0.22428048142333845</v>
      </c>
      <c r="R567" s="19">
        <f ca="1">IF('Stock Price'!$I$11="OK",E567/INDEX(E$5:E$1258,'Stock Price'!$I$9)-1,"")</f>
        <v>-0.22419700214132776</v>
      </c>
      <c r="S567" s="19">
        <f ca="1">IF('Stock Price'!$I$11="OK",F567/INDEX(F$5:F$1258,'Stock Price'!$I$9)-1,"")</f>
        <v>2.9180463576158777E-2</v>
      </c>
      <c r="T567" s="19">
        <f ca="1">IF('Stock Price'!$I$11="OK",G567/INDEX(G$5:G$1258,'Stock Price'!$I$9)-1,"")</f>
        <v>-0.27152604787176426</v>
      </c>
      <c r="U567" s="19">
        <f ca="1">IF('Stock Price'!$I$11="OK",H567/INDEX(H$5:H$1258,'Stock Price'!$I$9)-1,"")</f>
        <v>0.33602941176470602</v>
      </c>
      <c r="V567" s="19">
        <f ca="1">IF('Stock Price'!$I$11="OK",I567/INDEX(I$5:I$1258,'Stock Price'!$I$9)-1,"")</f>
        <v>-0.31970699432892247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132.81229999999999</v>
      </c>
      <c r="C568" s="18">
        <v>101</v>
      </c>
      <c r="D568" s="18">
        <v>37.51</v>
      </c>
      <c r="E568" s="18">
        <v>36.35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9.7622314049586656E-2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-0.21486132914704348</v>
      </c>
      <c r="R568" s="19">
        <f ca="1">IF('Stock Price'!$I$11="OK",E568/INDEX(E$5:E$1258,'Stock Price'!$I$9)-1,"")</f>
        <v>-0.22162740899357602</v>
      </c>
      <c r="S568" s="19">
        <f ca="1">IF('Stock Price'!$I$11="OK",F568/INDEX(F$5:F$1258,'Stock Price'!$I$9)-1,"")</f>
        <v>3.4768211920529701E-2</v>
      </c>
      <c r="T568" s="19">
        <f ca="1">IF('Stock Price'!$I$11="OK",G568/INDEX(G$5:G$1258,'Stock Price'!$I$9)-1,"")</f>
        <v>-0.25647135275641708</v>
      </c>
      <c r="U568" s="19">
        <f ca="1">IF('Stock Price'!$I$11="OK",H568/INDEX(H$5:H$1258,'Stock Price'!$I$9)-1,"")</f>
        <v>0.38774509803921564</v>
      </c>
      <c r="V568" s="19">
        <f ca="1">IF('Stock Price'!$I$11="OK",I568/INDEX(I$5:I$1258,'Stock Price'!$I$9)-1,"")</f>
        <v>-0.29749527410207943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138.46</v>
      </c>
      <c r="C569" s="18">
        <v>104.82</v>
      </c>
      <c r="D569" s="18">
        <v>38.92</v>
      </c>
      <c r="E569" s="18">
        <v>37.22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0.1442975206611572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-0.18534798534798524</v>
      </c>
      <c r="R569" s="19">
        <f ca="1">IF('Stock Price'!$I$11="OK",E569/INDEX(E$5:E$1258,'Stock Price'!$I$9)-1,"")</f>
        <v>-0.20299785867237696</v>
      </c>
      <c r="S569" s="19">
        <f ca="1">IF('Stock Price'!$I$11="OK",F569/INDEX(F$5:F$1258,'Stock Price'!$I$9)-1,"")</f>
        <v>4.739238410596025E-2</v>
      </c>
      <c r="T569" s="19">
        <f ca="1">IF('Stock Price'!$I$11="OK",G569/INDEX(G$5:G$1258,'Stock Price'!$I$9)-1,"")</f>
        <v>-0.25473843821076569</v>
      </c>
      <c r="U569" s="19">
        <f ca="1">IF('Stock Price'!$I$11="OK",H569/INDEX(H$5:H$1258,'Stock Price'!$I$9)-1,"")</f>
        <v>0.40649509803921569</v>
      </c>
      <c r="V569" s="19">
        <f ca="1">IF('Stock Price'!$I$11="OK",I569/INDEX(I$5:I$1258,'Stock Price'!$I$9)-1,"")</f>
        <v>-0.29749527410207943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137.05000000000001</v>
      </c>
      <c r="C570" s="18">
        <v>105.57</v>
      </c>
      <c r="D570" s="18">
        <v>39.07</v>
      </c>
      <c r="E570" s="18">
        <v>37.46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0.13264462809917354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-0.18220826792255362</v>
      </c>
      <c r="R570" s="19">
        <f ca="1">IF('Stock Price'!$I$11="OK",E570/INDEX(E$5:E$1258,'Stock Price'!$I$9)-1,"")</f>
        <v>-0.19785867237687371</v>
      </c>
      <c r="S570" s="19">
        <f ca="1">IF('Stock Price'!$I$11="OK",F570/INDEX(F$5:F$1258,'Stock Price'!$I$9)-1,"")</f>
        <v>5.5670529801324475E-2</v>
      </c>
      <c r="T570" s="19">
        <f ca="1">IF('Stock Price'!$I$11="OK",G570/INDEX(G$5:G$1258,'Stock Price'!$I$9)-1,"")</f>
        <v>-0.2367594497996317</v>
      </c>
      <c r="U570" s="19">
        <f ca="1">IF('Stock Price'!$I$11="OK",H570/INDEX(H$5:H$1258,'Stock Price'!$I$9)-1,"")</f>
        <v>0.43394607843137267</v>
      </c>
      <c r="V570" s="19">
        <f ca="1">IF('Stock Price'!$I$11="OK",I570/INDEX(I$5:I$1258,'Stock Price'!$I$9)-1,"")</f>
        <v>-0.31261814744801508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135.66</v>
      </c>
      <c r="C571" s="18">
        <v>106.31</v>
      </c>
      <c r="D571" s="18">
        <v>39.21</v>
      </c>
      <c r="E571" s="18">
        <v>37.03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0.12115702479338841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-0.1792778649921507</v>
      </c>
      <c r="R571" s="19">
        <f ca="1">IF('Stock Price'!$I$11="OK",E571/INDEX(E$5:E$1258,'Stock Price'!$I$9)-1,"")</f>
        <v>-0.20706638115631693</v>
      </c>
      <c r="S571" s="19">
        <f ca="1">IF('Stock Price'!$I$11="OK",F571/INDEX(F$5:F$1258,'Stock Price'!$I$9)-1,"")</f>
        <v>5.9809602649006699E-2</v>
      </c>
      <c r="T571" s="19">
        <f ca="1">IF('Stock Price'!$I$11="OK",G571/INDEX(G$5:G$1258,'Stock Price'!$I$9)-1,"")</f>
        <v>-0.23708437127694137</v>
      </c>
      <c r="U571" s="19">
        <f ca="1">IF('Stock Price'!$I$11="OK",H571/INDEX(H$5:H$1258,'Stock Price'!$I$9)-1,"")</f>
        <v>0.43651960784313726</v>
      </c>
      <c r="V571" s="19">
        <f ca="1">IF('Stock Price'!$I$11="OK",I571/INDEX(I$5:I$1258,'Stock Price'!$I$9)-1,"")</f>
        <v>-0.30363894139886582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139.5</v>
      </c>
      <c r="C572" s="18">
        <v>107.08</v>
      </c>
      <c r="D572" s="18">
        <v>39.64</v>
      </c>
      <c r="E572" s="18">
        <v>37.299999999999997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0.15289256198347112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-0.17027734170591313</v>
      </c>
      <c r="R572" s="19">
        <f ca="1">IF('Stock Price'!$I$11="OK",E572/INDEX(E$5:E$1258,'Stock Price'!$I$9)-1,"")</f>
        <v>-0.20128479657387588</v>
      </c>
      <c r="S572" s="19">
        <f ca="1">IF('Stock Price'!$I$11="OK",F572/INDEX(F$5:F$1258,'Stock Price'!$I$9)-1,"")</f>
        <v>7.5951986754966949E-2</v>
      </c>
      <c r="T572" s="19">
        <f ca="1">IF('Stock Price'!$I$11="OK",G572/INDEX(G$5:G$1258,'Stock Price'!$I$9)-1,"")</f>
        <v>-0.23665114264052844</v>
      </c>
      <c r="U572" s="19">
        <f ca="1">IF('Stock Price'!$I$11="OK",H572/INDEX(H$5:H$1258,'Stock Price'!$I$9)-1,"")</f>
        <v>0.43848039215686274</v>
      </c>
      <c r="V572" s="19">
        <f ca="1">IF('Stock Price'!$I$11="OK",I572/INDEX(I$5:I$1258,'Stock Price'!$I$9)-1,"")</f>
        <v>-0.30103969754253312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139.56</v>
      </c>
      <c r="C573" s="18">
        <v>106.39</v>
      </c>
      <c r="D573" s="18">
        <v>39.76</v>
      </c>
      <c r="E573" s="18">
        <v>36.94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0.15338842975206624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-0.16776556776556784</v>
      </c>
      <c r="R573" s="19">
        <f ca="1">IF('Stock Price'!$I$11="OK",E573/INDEX(E$5:E$1258,'Stock Price'!$I$9)-1,"")</f>
        <v>-0.20899357601713076</v>
      </c>
      <c r="S573" s="19">
        <f ca="1">IF('Stock Price'!$I$11="OK",F573/INDEX(F$5:F$1258,'Stock Price'!$I$9)-1,"")</f>
        <v>7.1192052980132425E-2</v>
      </c>
      <c r="T573" s="19">
        <f ca="1">IF('Stock Price'!$I$11="OK",G573/INDEX(G$5:G$1258,'Stock Price'!$I$9)-1,"")</f>
        <v>-0.22896133434420018</v>
      </c>
      <c r="U573" s="19">
        <f ca="1">IF('Stock Price'!$I$11="OK",H573/INDEX(H$5:H$1258,'Stock Price'!$I$9)-1,"")</f>
        <v>0.45134803921568656</v>
      </c>
      <c r="V573" s="19">
        <f ca="1">IF('Stock Price'!$I$11="OK",I573/INDEX(I$5:I$1258,'Stock Price'!$I$9)-1,"")</f>
        <v>-0.30529300567107753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137.22489999999999</v>
      </c>
      <c r="C574" s="18">
        <v>107.44</v>
      </c>
      <c r="D574" s="18">
        <v>39.99</v>
      </c>
      <c r="E574" s="18">
        <v>37.15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0.13409008264462807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-0.16295133437990572</v>
      </c>
      <c r="R574" s="19">
        <f ca="1">IF('Stock Price'!$I$11="OK",E574/INDEX(E$5:E$1258,'Stock Price'!$I$9)-1,"")</f>
        <v>-0.20449678800856541</v>
      </c>
      <c r="S574" s="19">
        <f ca="1">IF('Stock Price'!$I$11="OK",F574/INDEX(F$5:F$1258,'Stock Price'!$I$9)-1,"")</f>
        <v>8.4644039735099152E-2</v>
      </c>
      <c r="T574" s="19">
        <f ca="1">IF('Stock Price'!$I$11="OK",G574/INDEX(G$5:G$1258,'Stock Price'!$I$9)-1,"")</f>
        <v>-0.24704862991443732</v>
      </c>
      <c r="U574" s="19">
        <f ca="1">IF('Stock Price'!$I$11="OK",H574/INDEX(H$5:H$1258,'Stock Price'!$I$9)-1,"")</f>
        <v>0.45661764705882368</v>
      </c>
      <c r="V574" s="19">
        <f ca="1">IF('Stock Price'!$I$11="OK",I574/INDEX(I$5:I$1258,'Stock Price'!$I$9)-1,"")</f>
        <v>-0.31498109640831762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137.02000000000001</v>
      </c>
      <c r="C575" s="18">
        <v>107.6</v>
      </c>
      <c r="D575" s="18">
        <v>39.64</v>
      </c>
      <c r="E575" s="18">
        <v>36.71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0.13239669421487621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-0.17027734170591313</v>
      </c>
      <c r="R575" s="19">
        <f ca="1">IF('Stock Price'!$I$11="OK",E575/INDEX(E$5:E$1258,'Stock Price'!$I$9)-1,"")</f>
        <v>-0.21391862955032126</v>
      </c>
      <c r="S575" s="19">
        <f ca="1">IF('Stock Price'!$I$11="OK",F575/INDEX(F$5:F$1258,'Stock Price'!$I$9)-1,"")</f>
        <v>8.6092715231788075E-2</v>
      </c>
      <c r="T575" s="19">
        <f ca="1">IF('Stock Price'!$I$11="OK",G575/INDEX(G$5:G$1258,'Stock Price'!$I$9)-1,"")</f>
        <v>-0.26806021878046138</v>
      </c>
      <c r="U575" s="19">
        <f ca="1">IF('Stock Price'!$I$11="OK",H575/INDEX(H$5:H$1258,'Stock Price'!$I$9)-1,"")</f>
        <v>0.45134803921568656</v>
      </c>
      <c r="V575" s="19">
        <f ca="1">IF('Stock Price'!$I$11="OK",I575/INDEX(I$5:I$1258,'Stock Price'!$I$9)-1,"")</f>
        <v>-0.32892249527410211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139.76</v>
      </c>
      <c r="C576" s="18">
        <v>107.45</v>
      </c>
      <c r="D576" s="18">
        <v>40.1</v>
      </c>
      <c r="E576" s="18">
        <v>36.97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0.15504132231404943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-0.16064887493458913</v>
      </c>
      <c r="R576" s="19">
        <f ca="1">IF('Stock Price'!$I$11="OK",E576/INDEX(E$5:E$1258,'Stock Price'!$I$9)-1,"")</f>
        <v>-0.20835117773019274</v>
      </c>
      <c r="S576" s="19">
        <f ca="1">IF('Stock Price'!$I$11="OK",F576/INDEX(F$5:F$1258,'Stock Price'!$I$9)-1,"")</f>
        <v>8.0504966887417151E-2</v>
      </c>
      <c r="T576" s="19">
        <f ca="1">IF('Stock Price'!$I$11="OK",G576/INDEX(G$5:G$1258,'Stock Price'!$I$9)-1,"")</f>
        <v>-0.25809596014296543</v>
      </c>
      <c r="U576" s="19">
        <f ca="1">IF('Stock Price'!$I$11="OK",H576/INDEX(H$5:H$1258,'Stock Price'!$I$9)-1,"")</f>
        <v>0.45379901960784319</v>
      </c>
      <c r="V576" s="19">
        <f ca="1">IF('Stock Price'!$I$11="OK",I576/INDEX(I$5:I$1258,'Stock Price'!$I$9)-1,"")</f>
        <v>-0.32183364839319473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132.96</v>
      </c>
      <c r="C577" s="18">
        <v>107.69</v>
      </c>
      <c r="D577" s="18">
        <v>39.880000000000003</v>
      </c>
      <c r="E577" s="18">
        <v>36.299999999999997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9.8842975206611561E-2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-0.16525379382522232</v>
      </c>
      <c r="R577" s="19">
        <f ca="1">IF('Stock Price'!$I$11="OK",E577/INDEX(E$5:E$1258,'Stock Price'!$I$9)-1,"")</f>
        <v>-0.22269807280513931</v>
      </c>
      <c r="S577" s="19">
        <f ca="1">IF('Stock Price'!$I$11="OK",F577/INDEX(F$5:F$1258,'Stock Price'!$I$9)-1,"")</f>
        <v>6.7052980132450424E-2</v>
      </c>
      <c r="T577" s="19">
        <f ca="1">IF('Stock Price'!$I$11="OK",G577/INDEX(G$5:G$1258,'Stock Price'!$I$9)-1,"")</f>
        <v>-0.27369219105382858</v>
      </c>
      <c r="U577" s="19">
        <f ca="1">IF('Stock Price'!$I$11="OK",H577/INDEX(H$5:H$1258,'Stock Price'!$I$9)-1,"")</f>
        <v>0.45208333333333339</v>
      </c>
      <c r="V577" s="19">
        <f ca="1">IF('Stock Price'!$I$11="OK",I577/INDEX(I$5:I$1258,'Stock Price'!$I$9)-1,"")</f>
        <v>-0.3308128544423441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134</v>
      </c>
      <c r="C578" s="18">
        <v>108.26</v>
      </c>
      <c r="D578" s="18">
        <v>39.78</v>
      </c>
      <c r="E578" s="18">
        <v>35.6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0.10743801652892571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-0.1673469387755101</v>
      </c>
      <c r="R578" s="19">
        <f ca="1">IF('Stock Price'!$I$11="OK",E578/INDEX(E$5:E$1258,'Stock Price'!$I$9)-1,"")</f>
        <v>-0.23768736616702357</v>
      </c>
      <c r="S578" s="19">
        <f ca="1">IF('Stock Price'!$I$11="OK",F578/INDEX(F$5:F$1258,'Stock Price'!$I$9)-1,"")</f>
        <v>6.8708609271523224E-2</v>
      </c>
      <c r="T578" s="19">
        <f ca="1">IF('Stock Price'!$I$11="OK",G578/INDEX(G$5:G$1258,'Stock Price'!$I$9)-1,"")</f>
        <v>-0.28073215639553772</v>
      </c>
      <c r="U578" s="19">
        <f ca="1">IF('Stock Price'!$I$11="OK",H578/INDEX(H$5:H$1258,'Stock Price'!$I$9)-1,"")</f>
        <v>0.44767156862745106</v>
      </c>
      <c r="V578" s="19">
        <f ca="1">IF('Stock Price'!$I$11="OK",I578/INDEX(I$5:I$1258,'Stock Price'!$I$9)-1,"")</f>
        <v>-0.33482986767485823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132.25</v>
      </c>
      <c r="C579" s="18">
        <v>108.03</v>
      </c>
      <c r="D579" s="18">
        <v>39.54</v>
      </c>
      <c r="E579" s="18">
        <v>35.43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9.2975206611570327E-2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-0.17237048665620092</v>
      </c>
      <c r="R579" s="19">
        <f ca="1">IF('Stock Price'!$I$11="OK",E579/INDEX(E$5:E$1258,'Stock Price'!$I$9)-1,"")</f>
        <v>-0.24132762312633838</v>
      </c>
      <c r="S579" s="19">
        <f ca="1">IF('Stock Price'!$I$11="OK",F579/INDEX(F$5:F$1258,'Stock Price'!$I$9)-1,"")</f>
        <v>7.3675496688741848E-2</v>
      </c>
      <c r="T579" s="19">
        <f ca="1">IF('Stock Price'!$I$11="OK",G579/INDEX(G$5:G$1258,'Stock Price'!$I$9)-1,"")</f>
        <v>-0.29557023719267839</v>
      </c>
      <c r="U579" s="19">
        <f ca="1">IF('Stock Price'!$I$11="OK",H579/INDEX(H$5:H$1258,'Stock Price'!$I$9)-1,"")</f>
        <v>0.45269607843137272</v>
      </c>
      <c r="V579" s="19">
        <f ca="1">IF('Stock Price'!$I$11="OK",I579/INDEX(I$5:I$1258,'Stock Price'!$I$9)-1,"")</f>
        <v>-0.33624763705103966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131.80000000000001</v>
      </c>
      <c r="C580" s="18">
        <v>108.23</v>
      </c>
      <c r="D580" s="18">
        <v>39.68</v>
      </c>
      <c r="E580" s="18">
        <v>35.340000000000003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8.9256198347107629E-2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-0.169440083725798</v>
      </c>
      <c r="R580" s="19">
        <f ca="1">IF('Stock Price'!$I$11="OK",E580/INDEX(E$5:E$1258,'Stock Price'!$I$9)-1,"")</f>
        <v>-0.24325481798715198</v>
      </c>
      <c r="S580" s="19">
        <f ca="1">IF('Stock Price'!$I$11="OK",F580/INDEX(F$5:F$1258,'Stock Price'!$I$9)-1,"")</f>
        <v>5.6084437086092676E-2</v>
      </c>
      <c r="T580" s="19">
        <f ca="1">IF('Stock Price'!$I$11="OK",G580/INDEX(G$5:G$1258,'Stock Price'!$I$9)-1,"")</f>
        <v>-0.29838622332936204</v>
      </c>
      <c r="U580" s="19">
        <f ca="1">IF('Stock Price'!$I$11="OK",H580/INDEX(H$5:H$1258,'Stock Price'!$I$9)-1,"")</f>
        <v>0.4569852941176471</v>
      </c>
      <c r="V580" s="19">
        <f ca="1">IF('Stock Price'!$I$11="OK",I580/INDEX(I$5:I$1258,'Stock Price'!$I$9)-1,"")</f>
        <v>-0.33175803402646498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136.28</v>
      </c>
      <c r="C581" s="18">
        <v>108.47</v>
      </c>
      <c r="D581" s="18">
        <v>39.53</v>
      </c>
      <c r="E581" s="18">
        <v>35.53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0.1262809917355372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-0.17257980115122973</v>
      </c>
      <c r="R581" s="19">
        <f ca="1">IF('Stock Price'!$I$11="OK",E581/INDEX(E$5:E$1258,'Stock Price'!$I$9)-1,"")</f>
        <v>-0.23918629550321202</v>
      </c>
      <c r="S581" s="19">
        <f ca="1">IF('Stock Price'!$I$11="OK",F581/INDEX(F$5:F$1258,'Stock Price'!$I$9)-1,"")</f>
        <v>5.1945364238410452E-2</v>
      </c>
      <c r="T581" s="19">
        <f ca="1">IF('Stock Price'!$I$11="OK",G581/INDEX(G$5:G$1258,'Stock Price'!$I$9)-1,"")</f>
        <v>-0.28831365753276295</v>
      </c>
      <c r="U581" s="19">
        <f ca="1">IF('Stock Price'!$I$11="OK",H581/INDEX(H$5:H$1258,'Stock Price'!$I$9)-1,"")</f>
        <v>0.46360294117647083</v>
      </c>
      <c r="V581" s="19">
        <f ca="1">IF('Stock Price'!$I$11="OK",I581/INDEX(I$5:I$1258,'Stock Price'!$I$9)-1,"")</f>
        <v>-0.33104914933837437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134.9</v>
      </c>
      <c r="C582" s="18">
        <v>107.73</v>
      </c>
      <c r="D582" s="18">
        <v>39.28</v>
      </c>
      <c r="E582" s="18">
        <v>35.1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0.11487603305785132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-0.17781266352694924</v>
      </c>
      <c r="R582" s="19">
        <f ca="1">IF('Stock Price'!$I$11="OK",E582/INDEX(E$5:E$1258,'Stock Price'!$I$9)-1,"")</f>
        <v>-0.24839400428265523</v>
      </c>
      <c r="S582" s="19">
        <f ca="1">IF('Stock Price'!$I$11="OK",F582/INDEX(F$5:F$1258,'Stock Price'!$I$9)-1,"")</f>
        <v>3.24917218543046E-2</v>
      </c>
      <c r="T582" s="19">
        <f ca="1">IF('Stock Price'!$I$11="OK",G582/INDEX(G$5:G$1258,'Stock Price'!$I$9)-1,"")</f>
        <v>-0.29557023719267839</v>
      </c>
      <c r="U582" s="19">
        <f ca="1">IF('Stock Price'!$I$11="OK",H582/INDEX(H$5:H$1258,'Stock Price'!$I$9)-1,"")</f>
        <v>0.46862745098039227</v>
      </c>
      <c r="V582" s="19">
        <f ca="1">IF('Stock Price'!$I$11="OK",I582/INDEX(I$5:I$1258,'Stock Price'!$I$9)-1,"")</f>
        <v>-0.3282136105860114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131.91990000000001</v>
      </c>
      <c r="C583" s="18">
        <v>107.55</v>
      </c>
      <c r="D583" s="18">
        <v>39.03</v>
      </c>
      <c r="E583" s="18">
        <v>35.28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9.0247107438016672E-2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-0.18304552590266876</v>
      </c>
      <c r="R583" s="19">
        <f ca="1">IF('Stock Price'!$I$11="OK",E583/INDEX(E$5:E$1258,'Stock Price'!$I$9)-1,"")</f>
        <v>-0.24453961456102791</v>
      </c>
      <c r="S583" s="19">
        <f ca="1">IF('Stock Price'!$I$11="OK",F583/INDEX(F$5:F$1258,'Stock Price'!$I$9)-1,"")</f>
        <v>3.24917218543046E-2</v>
      </c>
      <c r="T583" s="19">
        <f ca="1">IF('Stock Price'!$I$11="OK",G583/INDEX(G$5:G$1258,'Stock Price'!$I$9)-1,"")</f>
        <v>-0.29329578685151092</v>
      </c>
      <c r="U583" s="19">
        <f ca="1">IF('Stock Price'!$I$11="OK",H583/INDEX(H$5:H$1258,'Stock Price'!$I$9)-1,"")</f>
        <v>0.45686274509803937</v>
      </c>
      <c r="V583" s="19">
        <f ca="1">IF('Stock Price'!$I$11="OK",I583/INDEX(I$5:I$1258,'Stock Price'!$I$9)-1,"")</f>
        <v>-0.33057655954631382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132.03989999999999</v>
      </c>
      <c r="C584" s="18">
        <v>106.99</v>
      </c>
      <c r="D584" s="18">
        <v>38.840000000000003</v>
      </c>
      <c r="E584" s="18">
        <v>34.86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9.1238842975206458E-2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-0.18702250130821552</v>
      </c>
      <c r="R584" s="19">
        <f ca="1">IF('Stock Price'!$I$11="OK",E584/INDEX(E$5:E$1258,'Stock Price'!$I$9)-1,"")</f>
        <v>-0.25353319057815848</v>
      </c>
      <c r="S584" s="19">
        <f ca="1">IF('Stock Price'!$I$11="OK",F584/INDEX(F$5:F$1258,'Stock Price'!$I$9)-1,"")</f>
        <v>3.22847682119205E-2</v>
      </c>
      <c r="T584" s="19">
        <f ca="1">IF('Stock Price'!$I$11="OK",G584/INDEX(G$5:G$1258,'Stock Price'!$I$9)-1,"")</f>
        <v>-0.29329578685151092</v>
      </c>
      <c r="U584" s="19">
        <f ca="1">IF('Stock Price'!$I$11="OK",H584/INDEX(H$5:H$1258,'Stock Price'!$I$9)-1,"")</f>
        <v>0.4721813725490196</v>
      </c>
      <c r="V584" s="19">
        <f ca="1">IF('Stock Price'!$I$11="OK",I584/INDEX(I$5:I$1258,'Stock Price'!$I$9)-1,"")</f>
        <v>-0.35089792060491498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131.75</v>
      </c>
      <c r="C585" s="18">
        <v>107.16</v>
      </c>
      <c r="D585" s="18">
        <v>39.07</v>
      </c>
      <c r="E585" s="18">
        <v>35.64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8.8842975206611552E-2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-0.18220826792255362</v>
      </c>
      <c r="R585" s="19">
        <f ca="1">IF('Stock Price'!$I$11="OK",E585/INDEX(E$5:E$1258,'Stock Price'!$I$9)-1,"")</f>
        <v>-0.23683083511777303</v>
      </c>
      <c r="S585" s="19">
        <f ca="1">IF('Stock Price'!$I$11="OK",F585/INDEX(F$5:F$1258,'Stock Price'!$I$9)-1,"")</f>
        <v>3.7665562913907324E-2</v>
      </c>
      <c r="T585" s="19">
        <f ca="1">IF('Stock Price'!$I$11="OK",G585/INDEX(G$5:G$1258,'Stock Price'!$I$9)-1,"")</f>
        <v>-0.30001083071591039</v>
      </c>
      <c r="U585" s="19">
        <f ca="1">IF('Stock Price'!$I$11="OK",H585/INDEX(H$5:H$1258,'Stock Price'!$I$9)-1,"")</f>
        <v>0.48063725490196085</v>
      </c>
      <c r="V585" s="19">
        <f ca="1">IF('Stock Price'!$I$11="OK",I585/INDEX(I$5:I$1258,'Stock Price'!$I$9)-1,"")</f>
        <v>-0.35089792060491498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132.47989999999999</v>
      </c>
      <c r="C586" s="18">
        <v>107.95</v>
      </c>
      <c r="D586" s="18">
        <v>39.06</v>
      </c>
      <c r="E586" s="18">
        <v>35.82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9.4875206611570118E-2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-0.18241758241758232</v>
      </c>
      <c r="R586" s="19">
        <f ca="1">IF('Stock Price'!$I$11="OK",E586/INDEX(E$5:E$1258,'Stock Price'!$I$9)-1,"")</f>
        <v>-0.2329764453961457</v>
      </c>
      <c r="S586" s="19">
        <f ca="1">IF('Stock Price'!$I$11="OK",F586/INDEX(F$5:F$1258,'Stock Price'!$I$9)-1,"")</f>
        <v>4.0562913907284726E-2</v>
      </c>
      <c r="T586" s="19">
        <f ca="1">IF('Stock Price'!$I$11="OK",G586/INDEX(G$5:G$1258,'Stock Price'!$I$9)-1,"")</f>
        <v>-0.33401927867432035</v>
      </c>
      <c r="U586" s="19">
        <f ca="1">IF('Stock Price'!$I$11="OK",H586/INDEX(H$5:H$1258,'Stock Price'!$I$9)-1,"")</f>
        <v>0.48627450980392162</v>
      </c>
      <c r="V586" s="19">
        <f ca="1">IF('Stock Price'!$I$11="OK",I586/INDEX(I$5:I$1258,'Stock Price'!$I$9)-1,"")</f>
        <v>-0.35066162570888471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131.25</v>
      </c>
      <c r="C587" s="18">
        <v>107.75</v>
      </c>
      <c r="D587" s="18">
        <v>39.090000000000003</v>
      </c>
      <c r="E587" s="18">
        <v>35.880000000000003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8.4710743801652999E-2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-0.181789638932496</v>
      </c>
      <c r="R587" s="19">
        <f ca="1">IF('Stock Price'!$I$11="OK",E587/INDEX(E$5:E$1258,'Stock Price'!$I$9)-1,"")</f>
        <v>-0.23169164882226978</v>
      </c>
      <c r="S587" s="19">
        <f ca="1">IF('Stock Price'!$I$11="OK",F587/INDEX(F$5:F$1258,'Stock Price'!$I$9)-1,"")</f>
        <v>3.9942052980132425E-2</v>
      </c>
      <c r="T587" s="19">
        <f ca="1">IF('Stock Price'!$I$11="OK",G587/INDEX(G$5:G$1258,'Stock Price'!$I$9)-1,"")</f>
        <v>-0.3484241308350482</v>
      </c>
      <c r="U587" s="19">
        <f ca="1">IF('Stock Price'!$I$11="OK",H587/INDEX(H$5:H$1258,'Stock Price'!$I$9)-1,"")</f>
        <v>0.49093137254901964</v>
      </c>
      <c r="V587" s="19">
        <f ca="1">IF('Stock Price'!$I$11="OK",I587/INDEX(I$5:I$1258,'Stock Price'!$I$9)-1,"")</f>
        <v>-0.36153119092627606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132.4</v>
      </c>
      <c r="C588" s="18">
        <v>103.47</v>
      </c>
      <c r="D588" s="18">
        <v>39.44</v>
      </c>
      <c r="E588" s="18">
        <v>35.14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9.4214876033057893E-2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-0.17446363160648881</v>
      </c>
      <c r="R588" s="19">
        <f ca="1">IF('Stock Price'!$I$11="OK",E588/INDEX(E$5:E$1258,'Stock Price'!$I$9)-1,"")</f>
        <v>-0.24753747323340469</v>
      </c>
      <c r="S588" s="19">
        <f ca="1">IF('Stock Price'!$I$11="OK",F588/INDEX(F$5:F$1258,'Stock Price'!$I$9)-1,"")</f>
        <v>3.2698675496688701E-2</v>
      </c>
      <c r="T588" s="19">
        <f ca="1">IF('Stock Price'!$I$11="OK",G588/INDEX(G$5:G$1258,'Stock Price'!$I$9)-1,"")</f>
        <v>-0.37398462038340741</v>
      </c>
      <c r="U588" s="19">
        <f ca="1">IF('Stock Price'!$I$11="OK",H588/INDEX(H$5:H$1258,'Stock Price'!$I$9)-1,"")</f>
        <v>0.48014705882352948</v>
      </c>
      <c r="V588" s="19">
        <f ca="1">IF('Stock Price'!$I$11="OK",I588/INDEX(I$5:I$1258,'Stock Price'!$I$9)-1,"")</f>
        <v>-0.36011342155009451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132.12</v>
      </c>
      <c r="C589" s="18">
        <v>105.33</v>
      </c>
      <c r="D589" s="18">
        <v>40.630000000000003</v>
      </c>
      <c r="E589" s="18">
        <v>34.32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9.1900826446281059E-2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-0.14955520669806377</v>
      </c>
      <c r="R589" s="19">
        <f ca="1">IF('Stock Price'!$I$11="OK",E589/INDEX(E$5:E$1258,'Stock Price'!$I$9)-1,"")</f>
        <v>-0.26509635974304069</v>
      </c>
      <c r="S589" s="19">
        <f ca="1">IF('Stock Price'!$I$11="OK",F589/INDEX(F$5:F$1258,'Stock Price'!$I$9)-1,"")</f>
        <v>1.8625827814569007E-3</v>
      </c>
      <c r="T589" s="19">
        <f ca="1">IF('Stock Price'!$I$11="OK",G589/INDEX(G$5:G$1258,'Stock Price'!$I$9)-1,"")</f>
        <v>-0.3875230152713095</v>
      </c>
      <c r="U589" s="19">
        <f ca="1">IF('Stock Price'!$I$11="OK",H589/INDEX(H$5:H$1258,'Stock Price'!$I$9)-1,"")</f>
        <v>0.54877450980392162</v>
      </c>
      <c r="V589" s="19">
        <f ca="1">IF('Stock Price'!$I$11="OK",I589/INDEX(I$5:I$1258,'Stock Price'!$I$9)-1,"")</f>
        <v>-0.35515122873345939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131.9</v>
      </c>
      <c r="C590" s="18">
        <v>103.72</v>
      </c>
      <c r="D590" s="18">
        <v>40.72</v>
      </c>
      <c r="E590" s="18">
        <v>33.950000000000003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9.0082644628099118E-2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-0.1476713762428048</v>
      </c>
      <c r="R590" s="19">
        <f ca="1">IF('Stock Price'!$I$11="OK",E590/INDEX(E$5:E$1258,'Stock Price'!$I$9)-1,"")</f>
        <v>-0.27301927194860809</v>
      </c>
      <c r="S590" s="19">
        <f ca="1">IF('Stock Price'!$I$11="OK",F590/INDEX(F$5:F$1258,'Stock Price'!$I$9)-1,"")</f>
        <v>-2.2557947019867575E-2</v>
      </c>
      <c r="T590" s="19">
        <f ca="1">IF('Stock Price'!$I$11="OK",G590/INDEX(G$5:G$1258,'Stock Price'!$I$9)-1,"")</f>
        <v>-0.37853352106574245</v>
      </c>
      <c r="U590" s="19">
        <f ca="1">IF('Stock Price'!$I$11="OK",H590/INDEX(H$5:H$1258,'Stock Price'!$I$9)-1,"")</f>
        <v>0.54914215686274526</v>
      </c>
      <c r="V590" s="19">
        <f ca="1">IF('Stock Price'!$I$11="OK",I590/INDEX(I$5:I$1258,'Stock Price'!$I$9)-1,"")</f>
        <v>-0.36365784499054821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128.04</v>
      </c>
      <c r="C591" s="18">
        <v>103.47</v>
      </c>
      <c r="D591" s="18">
        <v>41.57</v>
      </c>
      <c r="E591" s="18">
        <v>33.159999999999997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5.8181818181818112E-2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-0.12987964416535847</v>
      </c>
      <c r="R591" s="19">
        <f ca="1">IF('Stock Price'!$I$11="OK",E591/INDEX(E$5:E$1258,'Stock Price'!$I$9)-1,"")</f>
        <v>-0.28993576017130629</v>
      </c>
      <c r="S591" s="19">
        <f ca="1">IF('Stock Price'!$I$11="OK",F591/INDEX(F$5:F$1258,'Stock Price'!$I$9)-1,"")</f>
        <v>-2.8352649006622488E-2</v>
      </c>
      <c r="T591" s="19">
        <f ca="1">IF('Stock Price'!$I$11="OK",G591/INDEX(G$5:G$1258,'Stock Price'!$I$9)-1,"")</f>
        <v>-0.38069966424780677</v>
      </c>
      <c r="U591" s="19">
        <f ca="1">IF('Stock Price'!$I$11="OK",H591/INDEX(H$5:H$1258,'Stock Price'!$I$9)-1,"")</f>
        <v>0.54632352941176499</v>
      </c>
      <c r="V591" s="19">
        <f ca="1">IF('Stock Price'!$I$11="OK",I591/INDEX(I$5:I$1258,'Stock Price'!$I$9)-1,"")</f>
        <v>-0.37216446124763702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133.84</v>
      </c>
      <c r="C592" s="18">
        <v>103.74</v>
      </c>
      <c r="D592" s="18">
        <v>41.75</v>
      </c>
      <c r="E592" s="18">
        <v>33.270000000000003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0.10611570247933888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-0.12611198325484041</v>
      </c>
      <c r="R592" s="19">
        <f ca="1">IF('Stock Price'!$I$11="OK",E592/INDEX(E$5:E$1258,'Stock Price'!$I$9)-1,"")</f>
        <v>-0.28758029978586719</v>
      </c>
      <c r="S592" s="19">
        <f ca="1">IF('Stock Price'!$I$11="OK",F592/INDEX(F$5:F$1258,'Stock Price'!$I$9)-1,"")</f>
        <v>-2.6076158940397276E-2</v>
      </c>
      <c r="T592" s="19">
        <f ca="1">IF('Stock Price'!$I$11="OK",G592/INDEX(G$5:G$1258,'Stock Price'!$I$9)-1,"")</f>
        <v>-0.36737788367811119</v>
      </c>
      <c r="U592" s="19">
        <f ca="1">IF('Stock Price'!$I$11="OK",H592/INDEX(H$5:H$1258,'Stock Price'!$I$9)-1,"")</f>
        <v>0.55490196078431375</v>
      </c>
      <c r="V592" s="19">
        <f ca="1">IF('Stock Price'!$I$11="OK",I592/INDEX(I$5:I$1258,'Stock Price'!$I$9)-1,"")</f>
        <v>-0.35018903591682415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133.34</v>
      </c>
      <c r="C593" s="18">
        <v>103.46</v>
      </c>
      <c r="D593" s="18">
        <v>42.02</v>
      </c>
      <c r="E593" s="18">
        <v>32.549999999999997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0.10198347107438011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-0.12046049188906327</v>
      </c>
      <c r="R593" s="19">
        <f ca="1">IF('Stock Price'!$I$11="OK",E593/INDEX(E$5:E$1258,'Stock Price'!$I$9)-1,"")</f>
        <v>-0.30299785867237694</v>
      </c>
      <c r="S593" s="19">
        <f ca="1">IF('Stock Price'!$I$11="OK",F593/INDEX(F$5:F$1258,'Stock Price'!$I$9)-1,"")</f>
        <v>-2.8973509933774788E-2</v>
      </c>
      <c r="T593" s="19">
        <f ca="1">IF('Stock Price'!$I$11="OK",G593/INDEX(G$5:G$1258,'Stock Price'!$I$9)-1,"")</f>
        <v>-0.37831690674753604</v>
      </c>
      <c r="U593" s="19">
        <f ca="1">IF('Stock Price'!$I$11="OK",H593/INDEX(H$5:H$1258,'Stock Price'!$I$9)-1,"")</f>
        <v>0.56213235294117658</v>
      </c>
      <c r="V593" s="19">
        <f ca="1">IF('Stock Price'!$I$11="OK",I593/INDEX(I$5:I$1258,'Stock Price'!$I$9)-1,"")</f>
        <v>-0.34877126654064272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125</v>
      </c>
      <c r="C594" s="18">
        <v>101.36</v>
      </c>
      <c r="D594" s="18">
        <v>41.82</v>
      </c>
      <c r="E594" s="18">
        <v>32.1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3.3057851239669311E-2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-0.12464678178963895</v>
      </c>
      <c r="R594" s="19">
        <f ca="1">IF('Stock Price'!$I$11="OK",E594/INDEX(E$5:E$1258,'Stock Price'!$I$9)-1,"")</f>
        <v>-0.31263383297644542</v>
      </c>
      <c r="S594" s="19">
        <f ca="1">IF('Stock Price'!$I$11="OK",F594/INDEX(F$5:F$1258,'Stock Price'!$I$9)-1,"")</f>
        <v>-3.6423841059602613E-2</v>
      </c>
      <c r="T594" s="19">
        <f ca="1">IF('Stock Price'!$I$11="OK",G594/INDEX(G$5:G$1258,'Stock Price'!$I$9)-1,"")</f>
        <v>-0.39900357413625043</v>
      </c>
      <c r="U594" s="19">
        <f ca="1">IF('Stock Price'!$I$11="OK",H594/INDEX(H$5:H$1258,'Stock Price'!$I$9)-1,"")</f>
        <v>0.55159313725490211</v>
      </c>
      <c r="V594" s="19">
        <f ca="1">IF('Stock Price'!$I$11="OK",I594/INDEX(I$5:I$1258,'Stock Price'!$I$9)-1,"")</f>
        <v>-0.34853497164461245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123.5</v>
      </c>
      <c r="C595" s="18">
        <v>101.03</v>
      </c>
      <c r="D595" s="18">
        <v>41.91</v>
      </c>
      <c r="E595" s="18">
        <v>32.31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2.0661157024793431E-2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-0.12276295133437998</v>
      </c>
      <c r="R595" s="19">
        <f ca="1">IF('Stock Price'!$I$11="OK",E595/INDEX(E$5:E$1258,'Stock Price'!$I$9)-1,"")</f>
        <v>-0.30813704496788008</v>
      </c>
      <c r="S595" s="19">
        <f ca="1">IF('Stock Price'!$I$11="OK",F595/INDEX(F$5:F$1258,'Stock Price'!$I$9)-1,"")</f>
        <v>-3.7665562913907324E-2</v>
      </c>
      <c r="T595" s="19">
        <f ca="1">IF('Stock Price'!$I$11="OK",G595/INDEX(G$5:G$1258,'Stock Price'!$I$9)-1,"")</f>
        <v>-0.39813711686342468</v>
      </c>
      <c r="U595" s="19">
        <f ca="1">IF('Stock Price'!$I$11="OK",H595/INDEX(H$5:H$1258,'Stock Price'!$I$9)-1,"")</f>
        <v>0.53737745098039236</v>
      </c>
      <c r="V595" s="19">
        <f ca="1">IF('Stock Price'!$I$11="OK",I595/INDEX(I$5:I$1258,'Stock Price'!$I$9)-1,"")</f>
        <v>-0.34877126654064272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120.6649</v>
      </c>
      <c r="C596" s="18">
        <v>100.53</v>
      </c>
      <c r="D596" s="18">
        <v>41.07</v>
      </c>
      <c r="E596" s="18">
        <v>32.6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-2.7694214876032852E-3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-0.1403453689167975</v>
      </c>
      <c r="R596" s="19">
        <f ca="1">IF('Stock Price'!$I$11="OK",E596/INDEX(E$5:E$1258,'Stock Price'!$I$9)-1,"")</f>
        <v>-0.30192719486081376</v>
      </c>
      <c r="S596" s="19">
        <f ca="1">IF('Stock Price'!$I$11="OK",F596/INDEX(F$5:F$1258,'Stock Price'!$I$9)-1,"")</f>
        <v>-4.0976821192052926E-2</v>
      </c>
      <c r="T596" s="19">
        <f ca="1">IF('Stock Price'!$I$11="OK",G596/INDEX(G$5:G$1258,'Stock Price'!$I$9)-1,"")</f>
        <v>-0.38643994368027723</v>
      </c>
      <c r="U596" s="19">
        <f ca="1">IF('Stock Price'!$I$11="OK",H596/INDEX(H$5:H$1258,'Stock Price'!$I$9)-1,"")</f>
        <v>0.53602941176470598</v>
      </c>
      <c r="V596" s="19">
        <f ca="1">IF('Stock Price'!$I$11="OK",I596/INDEX(I$5:I$1258,'Stock Price'!$I$9)-1,"")</f>
        <v>-0.3464083175803403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123.5</v>
      </c>
      <c r="C597" s="18">
        <v>99.06</v>
      </c>
      <c r="D597" s="18">
        <v>41.39</v>
      </c>
      <c r="E597" s="18">
        <v>32.130000000000003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2.0661157024793431E-2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-0.13364730507587652</v>
      </c>
      <c r="R597" s="19">
        <f ca="1">IF('Stock Price'!$I$11="OK",E597/INDEX(E$5:E$1258,'Stock Price'!$I$9)-1,"")</f>
        <v>-0.31199143468950752</v>
      </c>
      <c r="S597" s="19">
        <f ca="1">IF('Stock Price'!$I$11="OK",F597/INDEX(F$5:F$1258,'Stock Price'!$I$9)-1,"")</f>
        <v>-5.3187086092715274E-2</v>
      </c>
      <c r="T597" s="19">
        <f ca="1">IF('Stock Price'!$I$11="OK",G597/INDEX(G$5:G$1258,'Stock Price'!$I$9)-1,"")</f>
        <v>-0.39542943788584428</v>
      </c>
      <c r="U597" s="19">
        <f ca="1">IF('Stock Price'!$I$11="OK",H597/INDEX(H$5:H$1258,'Stock Price'!$I$9)-1,"")</f>
        <v>0.53713235294117667</v>
      </c>
      <c r="V597" s="19">
        <f ca="1">IF('Stock Price'!$I$11="OK",I597/INDEX(I$5:I$1258,'Stock Price'!$I$9)-1,"")</f>
        <v>-0.36271266540642721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121.8</v>
      </c>
      <c r="C598" s="18">
        <v>99.05</v>
      </c>
      <c r="D598" s="18">
        <v>41.8</v>
      </c>
      <c r="E598" s="18">
        <v>32.020000000000003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6.6115702479339067E-3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-0.12506541077969657</v>
      </c>
      <c r="R598" s="19">
        <f ca="1">IF('Stock Price'!$I$11="OK",E598/INDEX(E$5:E$1258,'Stock Price'!$I$9)-1,"")</f>
        <v>-0.3143468950749464</v>
      </c>
      <c r="S598" s="19">
        <f ca="1">IF('Stock Price'!$I$11="OK",F598/INDEX(F$5:F$1258,'Stock Price'!$I$9)-1,"")</f>
        <v>-5.2152317880794774E-2</v>
      </c>
      <c r="T598" s="19">
        <f ca="1">IF('Stock Price'!$I$11="OK",G598/INDEX(G$5:G$1258,'Stock Price'!$I$9)-1,"")</f>
        <v>-0.39196360879454129</v>
      </c>
      <c r="U598" s="19">
        <f ca="1">IF('Stock Price'!$I$11="OK",H598/INDEX(H$5:H$1258,'Stock Price'!$I$9)-1,"")</f>
        <v>0.54191176470588243</v>
      </c>
      <c r="V598" s="19">
        <f ca="1">IF('Stock Price'!$I$11="OK",I598/INDEX(I$5:I$1258,'Stock Price'!$I$9)-1,"")</f>
        <v>-0.3594045368620038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124</v>
      </c>
      <c r="C599" s="18">
        <v>99.63</v>
      </c>
      <c r="D599" s="18">
        <v>41.77</v>
      </c>
      <c r="E599" s="18">
        <v>32.1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2.4793388429751984E-2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-0.12569335426478279</v>
      </c>
      <c r="R599" s="19">
        <f ca="1">IF('Stock Price'!$I$11="OK",E599/INDEX(E$5:E$1258,'Stock Price'!$I$9)-1,"")</f>
        <v>-0.31263383297644542</v>
      </c>
      <c r="S599" s="19">
        <f ca="1">IF('Stock Price'!$I$11="OK",F599/INDEX(F$5:F$1258,'Stock Price'!$I$9)-1,"")</f>
        <v>-3.9942052980132425E-2</v>
      </c>
      <c r="T599" s="19">
        <f ca="1">IF('Stock Price'!$I$11="OK",G599/INDEX(G$5:G$1258,'Stock Price'!$I$9)-1,"")</f>
        <v>-0.39228853027185095</v>
      </c>
      <c r="U599" s="19">
        <f ca="1">IF('Stock Price'!$I$11="OK",H599/INDEX(H$5:H$1258,'Stock Price'!$I$9)-1,"")</f>
        <v>0.55073529411764732</v>
      </c>
      <c r="V599" s="19">
        <f ca="1">IF('Stock Price'!$I$11="OK",I599/INDEX(I$5:I$1258,'Stock Price'!$I$9)-1,"")</f>
        <v>-0.34995274102079388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127.38</v>
      </c>
      <c r="C600" s="18">
        <v>100.19</v>
      </c>
      <c r="D600" s="18">
        <v>41.94</v>
      </c>
      <c r="E600" s="18">
        <v>32.28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5.2727272727272734E-2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-0.12213500784929354</v>
      </c>
      <c r="R600" s="19">
        <f ca="1">IF('Stock Price'!$I$11="OK",E600/INDEX(E$5:E$1258,'Stock Price'!$I$9)-1,"")</f>
        <v>-0.30877944325481799</v>
      </c>
      <c r="S600" s="19">
        <f ca="1">IF('Stock Price'!$I$11="OK",F600/INDEX(F$5:F$1258,'Stock Price'!$I$9)-1,"")</f>
        <v>-4.4288079470198638E-2</v>
      </c>
      <c r="T600" s="19">
        <f ca="1">IF('Stock Price'!$I$11="OK",G600/INDEX(G$5:G$1258,'Stock Price'!$I$9)-1,"")</f>
        <v>-0.38026643561139395</v>
      </c>
      <c r="U600" s="19">
        <f ca="1">IF('Stock Price'!$I$11="OK",H600/INDEX(H$5:H$1258,'Stock Price'!$I$9)-1,"")</f>
        <v>0.56605392156862755</v>
      </c>
      <c r="V600" s="19">
        <f ca="1">IF('Stock Price'!$I$11="OK",I600/INDEX(I$5:I$1258,'Stock Price'!$I$9)-1,"")</f>
        <v>-0.34735349716446118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128.5</v>
      </c>
      <c r="C601" s="18">
        <v>102.72</v>
      </c>
      <c r="D601" s="18">
        <v>42.02</v>
      </c>
      <c r="E601" s="18">
        <v>32.74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6.198347107438007E-2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-0.12046049188906327</v>
      </c>
      <c r="R601" s="19">
        <f ca="1">IF('Stock Price'!$I$11="OK",E601/INDEX(E$5:E$1258,'Stock Price'!$I$9)-1,"")</f>
        <v>-0.29892933618843687</v>
      </c>
      <c r="S601" s="19">
        <f ca="1">IF('Stock Price'!$I$11="OK",F601/INDEX(F$5:F$1258,'Stock Price'!$I$9)-1,"")</f>
        <v>-3.04221854304636E-2</v>
      </c>
      <c r="T601" s="19">
        <f ca="1">IF('Stock Price'!$I$11="OK",G601/INDEX(G$5:G$1258,'Stock Price'!$I$9)-1,"")</f>
        <v>-0.37690891367919421</v>
      </c>
      <c r="U601" s="19">
        <f ca="1">IF('Stock Price'!$I$11="OK",H601/INDEX(H$5:H$1258,'Stock Price'!$I$9)-1,"")</f>
        <v>0.56090686274509816</v>
      </c>
      <c r="V601" s="19">
        <f ca="1">IF('Stock Price'!$I$11="OK",I601/INDEX(I$5:I$1258,'Stock Price'!$I$9)-1,"")</f>
        <v>-0.34806238185255201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127</v>
      </c>
      <c r="C602" s="18">
        <v>102.56</v>
      </c>
      <c r="D602" s="18">
        <v>41.94</v>
      </c>
      <c r="E602" s="18">
        <v>32.909999999999997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4.9586776859504189E-2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-0.12213500784929354</v>
      </c>
      <c r="R602" s="19">
        <f ca="1">IF('Stock Price'!$I$11="OK",E602/INDEX(E$5:E$1258,'Stock Price'!$I$9)-1,"")</f>
        <v>-0.29528907922912218</v>
      </c>
      <c r="S602" s="19">
        <f ca="1">IF('Stock Price'!$I$11="OK",F602/INDEX(F$5:F$1258,'Stock Price'!$I$9)-1,"")</f>
        <v>-8.2781456953642252E-3</v>
      </c>
      <c r="T602" s="19">
        <f ca="1">IF('Stock Price'!$I$11="OK",G602/INDEX(G$5:G$1258,'Stock Price'!$I$9)-1,"")</f>
        <v>-0.37333477742878807</v>
      </c>
      <c r="U602" s="19">
        <f ca="1">IF('Stock Price'!$I$11="OK",H602/INDEX(H$5:H$1258,'Stock Price'!$I$9)-1,"")</f>
        <v>0.57009803921568647</v>
      </c>
      <c r="V602" s="19">
        <f ca="1">IF('Stock Price'!$I$11="OK",I602/INDEX(I$5:I$1258,'Stock Price'!$I$9)-1,"")</f>
        <v>-0.34617202268431002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126.4684</v>
      </c>
      <c r="C603" s="18">
        <v>102.8</v>
      </c>
      <c r="D603" s="18">
        <v>42.16</v>
      </c>
      <c r="E603" s="18">
        <v>32.49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4.5193388429752179E-2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-0.11753008895866046</v>
      </c>
      <c r="R603" s="19">
        <f ca="1">IF('Stock Price'!$I$11="OK",E603/INDEX(E$5:E$1258,'Stock Price'!$I$9)-1,"")</f>
        <v>-0.30428265524625264</v>
      </c>
      <c r="S603" s="19">
        <f ca="1">IF('Stock Price'!$I$11="OK",F603/INDEX(F$5:F$1258,'Stock Price'!$I$9)-1,"")</f>
        <v>-1.0761589403973537E-2</v>
      </c>
      <c r="T603" s="19">
        <f ca="1">IF('Stock Price'!$I$11="OK",G603/INDEX(G$5:G$1258,'Stock Price'!$I$9)-1,"")</f>
        <v>-0.37376800606520089</v>
      </c>
      <c r="U603" s="19">
        <f ca="1">IF('Stock Price'!$I$11="OK",H603/INDEX(H$5:H$1258,'Stock Price'!$I$9)-1,"")</f>
        <v>0.58406862745098032</v>
      </c>
      <c r="V603" s="19">
        <f ca="1">IF('Stock Price'!$I$11="OK",I603/INDEX(I$5:I$1258,'Stock Price'!$I$9)-1,"")</f>
        <v>-0.349007561436673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129.15</v>
      </c>
      <c r="C604" s="18">
        <v>103.9</v>
      </c>
      <c r="D604" s="18">
        <v>42.22</v>
      </c>
      <c r="E604" s="18">
        <v>32.96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6.7355371900826411E-2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-0.1162742019884877</v>
      </c>
      <c r="R604" s="19">
        <f ca="1">IF('Stock Price'!$I$11="OK",E604/INDEX(E$5:E$1258,'Stock Price'!$I$9)-1,"")</f>
        <v>-0.29421841541755889</v>
      </c>
      <c r="S604" s="19">
        <f ca="1">IF('Stock Price'!$I$11="OK",F604/INDEX(F$5:F$1258,'Stock Price'!$I$9)-1,"")</f>
        <v>9.3129139072847256E-3</v>
      </c>
      <c r="T604" s="19">
        <f ca="1">IF('Stock Price'!$I$11="OK",G604/INDEX(G$5:G$1258,'Stock Price'!$I$9)-1,"")</f>
        <v>-0.37582584208816194</v>
      </c>
      <c r="U604" s="19">
        <f ca="1">IF('Stock Price'!$I$11="OK",H604/INDEX(H$5:H$1258,'Stock Price'!$I$9)-1,"")</f>
        <v>0.58639705882352944</v>
      </c>
      <c r="V604" s="19">
        <f ca="1">IF('Stock Price'!$I$11="OK",I604/INDEX(I$5:I$1258,'Stock Price'!$I$9)-1,"")</f>
        <v>-0.34404536862003776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129.99</v>
      </c>
      <c r="C605" s="18">
        <v>103.25</v>
      </c>
      <c r="D605" s="18">
        <v>42.34</v>
      </c>
      <c r="E605" s="18">
        <v>32.520000000000003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7.4297520661157135E-2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-0.11376242804814218</v>
      </c>
      <c r="R605" s="19">
        <f ca="1">IF('Stock Price'!$I$11="OK",E605/INDEX(E$5:E$1258,'Stock Price'!$I$9)-1,"")</f>
        <v>-0.30364025695931474</v>
      </c>
      <c r="S605" s="19">
        <f ca="1">IF('Stock Price'!$I$11="OK",F605/INDEX(F$5:F$1258,'Stock Price'!$I$9)-1,"")</f>
        <v>-2.4834437086092009E-3</v>
      </c>
      <c r="T605" s="19">
        <f ca="1">IF('Stock Price'!$I$11="OK",G605/INDEX(G$5:G$1258,'Stock Price'!$I$9)-1,"")</f>
        <v>-0.38080797140690992</v>
      </c>
      <c r="U605" s="19">
        <f ca="1">IF('Stock Price'!$I$11="OK",H605/INDEX(H$5:H$1258,'Stock Price'!$I$9)-1,"")</f>
        <v>0.57892156862745114</v>
      </c>
      <c r="V605" s="19">
        <f ca="1">IF('Stock Price'!$I$11="OK",I605/INDEX(I$5:I$1258,'Stock Price'!$I$9)-1,"")</f>
        <v>-0.35775047258979209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131</v>
      </c>
      <c r="C606" s="18">
        <v>103.15</v>
      </c>
      <c r="D606" s="18">
        <v>42.38</v>
      </c>
      <c r="E606" s="18">
        <v>33.03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8.2644628099173501E-2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-0.11292517006802716</v>
      </c>
      <c r="R606" s="19">
        <f ca="1">IF('Stock Price'!$I$11="OK",E606/INDEX(E$5:E$1258,'Stock Price'!$I$9)-1,"")</f>
        <v>-0.29271948608137044</v>
      </c>
      <c r="S606" s="19">
        <f ca="1">IF('Stock Price'!$I$11="OK",F606/INDEX(F$5:F$1258,'Stock Price'!$I$9)-1,"")</f>
        <v>-2.2764900662251009E-3</v>
      </c>
      <c r="T606" s="19">
        <f ca="1">IF('Stock Price'!$I$11="OK",G606/INDEX(G$5:G$1258,'Stock Price'!$I$9)-1,"")</f>
        <v>-0.36889418390555606</v>
      </c>
      <c r="U606" s="19">
        <f ca="1">IF('Stock Price'!$I$11="OK",H606/INDEX(H$5:H$1258,'Stock Price'!$I$9)-1,"")</f>
        <v>0.58125000000000004</v>
      </c>
      <c r="V606" s="19">
        <f ca="1">IF('Stock Price'!$I$11="OK",I606/INDEX(I$5:I$1258,'Stock Price'!$I$9)-1,"")</f>
        <v>-0.3646030245746692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131</v>
      </c>
      <c r="C607" s="18">
        <v>102.22</v>
      </c>
      <c r="D607" s="18">
        <v>42.34</v>
      </c>
      <c r="E607" s="18">
        <v>32.93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8.2644628099173501E-2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-0.11376242804814218</v>
      </c>
      <c r="R607" s="19">
        <f ca="1">IF('Stock Price'!$I$11="OK",E607/INDEX(E$5:E$1258,'Stock Price'!$I$9)-1,"")</f>
        <v>-0.29486081370449679</v>
      </c>
      <c r="S607" s="19">
        <f ca="1">IF('Stock Price'!$I$11="OK",F607/INDEX(F$5:F$1258,'Stock Price'!$I$9)-1,"")</f>
        <v>-6.6225165562914245E-3</v>
      </c>
      <c r="T607" s="19">
        <f ca="1">IF('Stock Price'!$I$11="OK",G607/INDEX(G$5:G$1258,'Stock Price'!$I$9)-1,"")</f>
        <v>-0.38134950720242611</v>
      </c>
      <c r="U607" s="19">
        <f ca="1">IF('Stock Price'!$I$11="OK",H607/INDEX(H$5:H$1258,'Stock Price'!$I$9)-1,"")</f>
        <v>0.57095588235294126</v>
      </c>
      <c r="V607" s="19">
        <f ca="1">IF('Stock Price'!$I$11="OK",I607/INDEX(I$5:I$1258,'Stock Price'!$I$9)-1,"")</f>
        <v>-0.36105860113421551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126.625</v>
      </c>
      <c r="C608" s="18">
        <v>100.97</v>
      </c>
      <c r="D608" s="18">
        <v>41.9</v>
      </c>
      <c r="E608" s="18">
        <v>32.729999999999997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4.6487603305785052E-2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-0.12297226582940868</v>
      </c>
      <c r="R608" s="19">
        <f ca="1">IF('Stock Price'!$I$11="OK",E608/INDEX(E$5:E$1258,'Stock Price'!$I$9)-1,"")</f>
        <v>-0.29914346895074961</v>
      </c>
      <c r="S608" s="19">
        <f ca="1">IF('Stock Price'!$I$11="OK",F608/INDEX(F$5:F$1258,'Stock Price'!$I$9)-1,"")</f>
        <v>-9.7268211920529257E-3</v>
      </c>
      <c r="T608" s="19">
        <f ca="1">IF('Stock Price'!$I$11="OK",G608/INDEX(G$5:G$1258,'Stock Price'!$I$9)-1,"")</f>
        <v>-0.39153038015812847</v>
      </c>
      <c r="U608" s="19">
        <f ca="1">IF('Stock Price'!$I$11="OK",H608/INDEX(H$5:H$1258,'Stock Price'!$I$9)-1,"")</f>
        <v>0.55821078431372562</v>
      </c>
      <c r="V608" s="19">
        <f ca="1">IF('Stock Price'!$I$11="OK",I608/INDEX(I$5:I$1258,'Stock Price'!$I$9)-1,"")</f>
        <v>-0.3724007561436673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130</v>
      </c>
      <c r="C609" s="18">
        <v>102.06</v>
      </c>
      <c r="D609" s="18">
        <v>42.03</v>
      </c>
      <c r="E609" s="18">
        <v>33.08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7.4380165289256173E-2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-0.12025117739403446</v>
      </c>
      <c r="R609" s="19">
        <f ca="1">IF('Stock Price'!$I$11="OK",E609/INDEX(E$5:E$1258,'Stock Price'!$I$9)-1,"")</f>
        <v>-0.29164882226980737</v>
      </c>
      <c r="S609" s="19">
        <f ca="1">IF('Stock Price'!$I$11="OK",F609/INDEX(F$5:F$1258,'Stock Price'!$I$9)-1,"")</f>
        <v>-2.1316225165562974E-2</v>
      </c>
      <c r="T609" s="19">
        <f ca="1">IF('Stock Price'!$I$11="OK",G609/INDEX(G$5:G$1258,'Stock Price'!$I$9)-1,"")</f>
        <v>-0.38633163652117408</v>
      </c>
      <c r="U609" s="19">
        <f ca="1">IF('Stock Price'!$I$11="OK",H609/INDEX(H$5:H$1258,'Stock Price'!$I$9)-1,"")</f>
        <v>0.55588235294117649</v>
      </c>
      <c r="V609" s="19">
        <f ca="1">IF('Stock Price'!$I$11="OK",I609/INDEX(I$5:I$1258,'Stock Price'!$I$9)-1,"")</f>
        <v>-0.37169187145557658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129.65</v>
      </c>
      <c r="C610" s="18">
        <v>101.97</v>
      </c>
      <c r="D610" s="18">
        <v>42.44</v>
      </c>
      <c r="E610" s="18">
        <v>32.880000000000003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7.1487603305785186E-2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-0.11166928309785451</v>
      </c>
      <c r="R610" s="19">
        <f ca="1">IF('Stock Price'!$I$11="OK",E610/INDEX(E$5:E$1258,'Stock Price'!$I$9)-1,"")</f>
        <v>-0.29593147751605997</v>
      </c>
      <c r="S610" s="19">
        <f ca="1">IF('Stock Price'!$I$11="OK",F610/INDEX(F$5:F$1258,'Stock Price'!$I$9)-1,"")</f>
        <v>-2.4213576158940486E-2</v>
      </c>
      <c r="T610" s="19">
        <f ca="1">IF('Stock Price'!$I$11="OK",G610/INDEX(G$5:G$1258,'Stock Price'!$I$9)-1,"")</f>
        <v>-0.39174699447633488</v>
      </c>
      <c r="U610" s="19">
        <f ca="1">IF('Stock Price'!$I$11="OK",H610/INDEX(H$5:H$1258,'Stock Price'!$I$9)-1,"")</f>
        <v>0.52022058823529416</v>
      </c>
      <c r="V610" s="19">
        <f ca="1">IF('Stock Price'!$I$11="OK",I610/INDEX(I$5:I$1258,'Stock Price'!$I$9)-1,"")</f>
        <v>-0.38823251417769378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126</v>
      </c>
      <c r="C611" s="18">
        <v>102.1</v>
      </c>
      <c r="D611" s="18">
        <v>42.6</v>
      </c>
      <c r="E611" s="18">
        <v>33.15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4.1322314049586861E-2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-0.10832025117739397</v>
      </c>
      <c r="R611" s="19">
        <f ca="1">IF('Stock Price'!$I$11="OK",E611/INDEX(E$5:E$1258,'Stock Price'!$I$9)-1,"")</f>
        <v>-0.29014989293361892</v>
      </c>
      <c r="S611" s="19">
        <f ca="1">IF('Stock Price'!$I$11="OK",F611/INDEX(F$5:F$1258,'Stock Price'!$I$9)-1,"")</f>
        <v>-1.6970198675496651E-2</v>
      </c>
      <c r="T611" s="19">
        <f ca="1">IF('Stock Price'!$I$11="OK",G611/INDEX(G$5:G$1258,'Stock Price'!$I$9)-1,"")</f>
        <v>-0.43777753709520206</v>
      </c>
      <c r="U611" s="19">
        <f ca="1">IF('Stock Price'!$I$11="OK",H611/INDEX(H$5:H$1258,'Stock Price'!$I$9)-1,"")</f>
        <v>0.50526960784313735</v>
      </c>
      <c r="V611" s="19">
        <f ca="1">IF('Stock Price'!$I$11="OK",I611/INDEX(I$5:I$1258,'Stock Price'!$I$9)-1,"")</f>
        <v>-0.38374291115311909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128.9</v>
      </c>
      <c r="C612" s="18">
        <v>102.64</v>
      </c>
      <c r="D612" s="18">
        <v>42.62</v>
      </c>
      <c r="E612" s="18">
        <v>33.47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6.5289256198347134E-2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-0.10790162218733645</v>
      </c>
      <c r="R612" s="19">
        <f ca="1">IF('Stock Price'!$I$11="OK",E612/INDEX(E$5:E$1258,'Stock Price'!$I$9)-1,"")</f>
        <v>-0.28329764453961459</v>
      </c>
      <c r="S612" s="19">
        <f ca="1">IF('Stock Price'!$I$11="OK",F612/INDEX(F$5:F$1258,'Stock Price'!$I$9)-1,"")</f>
        <v>-1.3245033112582738E-2</v>
      </c>
      <c r="T612" s="19">
        <f ca="1">IF('Stock Price'!$I$11="OK",G612/INDEX(G$5:G$1258,'Stock Price'!$I$9)-1,"")</f>
        <v>-0.42283114913895803</v>
      </c>
      <c r="U612" s="19">
        <f ca="1">IF('Stock Price'!$I$11="OK",H612/INDEX(H$5:H$1258,'Stock Price'!$I$9)-1,"")</f>
        <v>0.51654411764705888</v>
      </c>
      <c r="V612" s="19">
        <f ca="1">IF('Stock Price'!$I$11="OK",I612/INDEX(I$5:I$1258,'Stock Price'!$I$9)-1,"")</f>
        <v>-0.35751417769376181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129.25</v>
      </c>
      <c r="C613" s="18">
        <v>99.93</v>
      </c>
      <c r="D613" s="18">
        <v>43.58</v>
      </c>
      <c r="E613" s="18">
        <v>33.770000000000003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6.8181818181818121E-2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-8.7807430664573527E-2</v>
      </c>
      <c r="R613" s="19">
        <f ca="1">IF('Stock Price'!$I$11="OK",E613/INDEX(E$5:E$1258,'Stock Price'!$I$9)-1,"")</f>
        <v>-0.27687366167023553</v>
      </c>
      <c r="S613" s="19">
        <f ca="1">IF('Stock Price'!$I$11="OK",F613/INDEX(F$5:F$1258,'Stock Price'!$I$9)-1,"")</f>
        <v>-5.3807947019867131E-3</v>
      </c>
      <c r="T613" s="19">
        <f ca="1">IF('Stock Price'!$I$11="OK",G613/INDEX(G$5:G$1258,'Stock Price'!$I$9)-1,"")</f>
        <v>-0.42802989277591241</v>
      </c>
      <c r="U613" s="19">
        <f ca="1">IF('Stock Price'!$I$11="OK",H613/INDEX(H$5:H$1258,'Stock Price'!$I$9)-1,"")</f>
        <v>0.5194852941176471</v>
      </c>
      <c r="V613" s="19">
        <f ca="1">IF('Stock Price'!$I$11="OK",I613/INDEX(I$5:I$1258,'Stock Price'!$I$9)-1,"")</f>
        <v>-0.36696597353497162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131.125</v>
      </c>
      <c r="C614" s="18">
        <v>100.71</v>
      </c>
      <c r="D614" s="18">
        <v>43.14</v>
      </c>
      <c r="E614" s="18">
        <v>33.9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8.3677685950413139E-2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-9.7017268445839799E-2</v>
      </c>
      <c r="R614" s="19">
        <f ca="1">IF('Stock Price'!$I$11="OK",E614/INDEX(E$5:E$1258,'Stock Price'!$I$9)-1,"")</f>
        <v>-0.27408993576017138</v>
      </c>
      <c r="S614" s="19">
        <f ca="1">IF('Stock Price'!$I$11="OK",F614/INDEX(F$5:F$1258,'Stock Price'!$I$9)-1,"")</f>
        <v>-1.4486754966887005E-3</v>
      </c>
      <c r="T614" s="19">
        <f ca="1">IF('Stock Price'!$I$11="OK",G614/INDEX(G$5:G$1258,'Stock Price'!$I$9)-1,"")</f>
        <v>-0.43084587891259618</v>
      </c>
      <c r="U614" s="19">
        <f ca="1">IF('Stock Price'!$I$11="OK",H614/INDEX(H$5:H$1258,'Stock Price'!$I$9)-1,"")</f>
        <v>0.51348039215686292</v>
      </c>
      <c r="V614" s="19">
        <f ca="1">IF('Stock Price'!$I$11="OK",I614/INDEX(I$5:I$1258,'Stock Price'!$I$9)-1,"")</f>
        <v>-0.3568052930056711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133.375</v>
      </c>
      <c r="C615" s="18">
        <v>101.37</v>
      </c>
      <c r="D615" s="18">
        <v>42.92</v>
      </c>
      <c r="E615" s="18">
        <v>34.61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0.10227272727272729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-0.10162218733647299</v>
      </c>
      <c r="R615" s="19">
        <f ca="1">IF('Stock Price'!$I$11="OK",E615/INDEX(E$5:E$1258,'Stock Price'!$I$9)-1,"")</f>
        <v>-0.25888650963597437</v>
      </c>
      <c r="S615" s="19">
        <f ca="1">IF('Stock Price'!$I$11="OK",F615/INDEX(F$5:F$1258,'Stock Price'!$I$9)-1,"")</f>
        <v>6.2086092715230023E-4</v>
      </c>
      <c r="T615" s="19">
        <f ca="1">IF('Stock Price'!$I$11="OK",G615/INDEX(G$5:G$1258,'Stock Price'!$I$9)-1,"")</f>
        <v>-0.41904039857034547</v>
      </c>
      <c r="U615" s="19">
        <f ca="1">IF('Stock Price'!$I$11="OK",H615/INDEX(H$5:H$1258,'Stock Price'!$I$9)-1,"")</f>
        <v>0.50453431372549029</v>
      </c>
      <c r="V615" s="19">
        <f ca="1">IF('Stock Price'!$I$11="OK",I615/INDEX(I$5:I$1258,'Stock Price'!$I$9)-1,"")</f>
        <v>-0.32963137996219283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133.31989999999999</v>
      </c>
      <c r="C616" s="18">
        <v>99.77</v>
      </c>
      <c r="D616" s="18">
        <v>43.27</v>
      </c>
      <c r="E616" s="18">
        <v>35.15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0.10181735537190084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-9.429618001046558E-2</v>
      </c>
      <c r="R616" s="19">
        <f ca="1">IF('Stock Price'!$I$11="OK",E616/INDEX(E$5:E$1258,'Stock Price'!$I$9)-1,"")</f>
        <v>-0.24732334047109217</v>
      </c>
      <c r="S616" s="19">
        <f ca="1">IF('Stock Price'!$I$11="OK",F616/INDEX(F$5:F$1258,'Stock Price'!$I$9)-1,"")</f>
        <v>2.8973509933774011E-3</v>
      </c>
      <c r="T616" s="19">
        <f ca="1">IF('Stock Price'!$I$11="OK",G616/INDEX(G$5:G$1258,'Stock Price'!$I$9)-1,"")</f>
        <v>-0.42618867107115788</v>
      </c>
      <c r="U616" s="19">
        <f ca="1">IF('Stock Price'!$I$11="OK",H616/INDEX(H$5:H$1258,'Stock Price'!$I$9)-1,"")</f>
        <v>0.50318627450980391</v>
      </c>
      <c r="V616" s="19">
        <f ca="1">IF('Stock Price'!$I$11="OK",I616/INDEX(I$5:I$1258,'Stock Price'!$I$9)-1,"")</f>
        <v>-0.33813799621928164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136.4</v>
      </c>
      <c r="C617" s="18">
        <v>99</v>
      </c>
      <c r="D617" s="18">
        <v>43.36</v>
      </c>
      <c r="E617" s="18">
        <v>34.22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0.12727272727272743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-9.2412349555206719E-2</v>
      </c>
      <c r="R617" s="19">
        <f ca="1">IF('Stock Price'!$I$11="OK",E617/INDEX(E$5:E$1258,'Stock Price'!$I$9)-1,"")</f>
        <v>-0.26723768736616704</v>
      </c>
      <c r="S617" s="19">
        <f ca="1">IF('Stock Price'!$I$11="OK",F617/INDEX(F$5:F$1258,'Stock Price'!$I$9)-1,"")</f>
        <v>-1.6556291390728006E-3</v>
      </c>
      <c r="T617" s="19">
        <f ca="1">IF('Stock Price'!$I$11="OK",G617/INDEX(G$5:G$1258,'Stock Price'!$I$9)-1,"")</f>
        <v>-0.42900465720784142</v>
      </c>
      <c r="U617" s="19">
        <f ca="1">IF('Stock Price'!$I$11="OK",H617/INDEX(H$5:H$1258,'Stock Price'!$I$9)-1,"")</f>
        <v>0.49705882352941178</v>
      </c>
      <c r="V617" s="19">
        <f ca="1">IF('Stock Price'!$I$11="OK",I617/INDEX(I$5:I$1258,'Stock Price'!$I$9)-1,"")</f>
        <v>-0.33317580340264652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134.125</v>
      </c>
      <c r="C618" s="18">
        <v>98.13</v>
      </c>
      <c r="D618" s="18">
        <v>43.08</v>
      </c>
      <c r="E618" s="18">
        <v>32.89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0.10847107438016534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-9.8273155416012559E-2</v>
      </c>
      <c r="R618" s="19">
        <f ca="1">IF('Stock Price'!$I$11="OK",E618/INDEX(E$5:E$1258,'Stock Price'!$I$9)-1,"")</f>
        <v>-0.29571734475374734</v>
      </c>
      <c r="S618" s="19">
        <f ca="1">IF('Stock Price'!$I$11="OK",F618/INDEX(F$5:F$1258,'Stock Price'!$I$9)-1,"")</f>
        <v>-4.7599337748344128E-3</v>
      </c>
      <c r="T618" s="19">
        <f ca="1">IF('Stock Price'!$I$11="OK",G618/INDEX(G$5:G$1258,'Stock Price'!$I$9)-1,"")</f>
        <v>-0.43626123686775697</v>
      </c>
      <c r="U618" s="19">
        <f ca="1">IF('Stock Price'!$I$11="OK",H618/INDEX(H$5:H$1258,'Stock Price'!$I$9)-1,"")</f>
        <v>0.47683823529411784</v>
      </c>
      <c r="V618" s="19">
        <f ca="1">IF('Stock Price'!$I$11="OK",I618/INDEX(I$5:I$1258,'Stock Price'!$I$9)-1,"")</f>
        <v>-0.33530245746691878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131.41990000000001</v>
      </c>
      <c r="C619" s="18">
        <v>97.27</v>
      </c>
      <c r="D619" s="18">
        <v>42.19</v>
      </c>
      <c r="E619" s="18">
        <v>32.64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8.6114876033057897E-2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-0.11690214547357403</v>
      </c>
      <c r="R619" s="19">
        <f ca="1">IF('Stock Price'!$I$11="OK",E619/INDEX(E$5:E$1258,'Stock Price'!$I$9)-1,"")</f>
        <v>-0.30107066381156322</v>
      </c>
      <c r="S619" s="19">
        <f ca="1">IF('Stock Price'!$I$11="OK",F619/INDEX(F$5:F$1258,'Stock Price'!$I$9)-1,"")</f>
        <v>-6.2086092715230023E-4</v>
      </c>
      <c r="T619" s="19">
        <f ca="1">IF('Stock Price'!$I$11="OK",G619/INDEX(G$5:G$1258,'Stock Price'!$I$9)-1,"")</f>
        <v>-0.43171233618542182</v>
      </c>
      <c r="U619" s="19">
        <f ca="1">IF('Stock Price'!$I$11="OK",H619/INDEX(H$5:H$1258,'Stock Price'!$I$9)-1,"")</f>
        <v>0.48921568627450984</v>
      </c>
      <c r="V619" s="19">
        <f ca="1">IF('Stock Price'!$I$11="OK",I619/INDEX(I$5:I$1258,'Stock Price'!$I$9)-1,"")</f>
        <v>-0.33979206049149335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130.91</v>
      </c>
      <c r="C620" s="18">
        <v>95.92</v>
      </c>
      <c r="D620" s="18">
        <v>42.14</v>
      </c>
      <c r="E620" s="18">
        <v>32.18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8.190082644628105E-2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-0.11794871794871786</v>
      </c>
      <c r="R620" s="19">
        <f ca="1">IF('Stock Price'!$I$11="OK",E620/INDEX(E$5:E$1258,'Stock Price'!$I$9)-1,"")</f>
        <v>-0.31092077087794434</v>
      </c>
      <c r="S620" s="19">
        <f ca="1">IF('Stock Price'!$I$11="OK",F620/INDEX(F$5:F$1258,'Stock Price'!$I$9)-1,"")</f>
        <v>-1.0140728476821237E-2</v>
      </c>
      <c r="T620" s="19">
        <f ca="1">IF('Stock Price'!$I$11="OK",G620/INDEX(G$5:G$1258,'Stock Price'!$I$9)-1,"")</f>
        <v>-0.43214556482183475</v>
      </c>
      <c r="U620" s="19">
        <f ca="1">IF('Stock Price'!$I$11="OK",H620/INDEX(H$5:H$1258,'Stock Price'!$I$9)-1,"")</f>
        <v>0.4882352941176471</v>
      </c>
      <c r="V620" s="19">
        <f ca="1">IF('Stock Price'!$I$11="OK",I620/INDEX(I$5:I$1258,'Stock Price'!$I$9)-1,"")</f>
        <v>-0.34499054820415886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129.94</v>
      </c>
      <c r="C621" s="18">
        <v>96.32</v>
      </c>
      <c r="D621" s="18">
        <v>42.32</v>
      </c>
      <c r="E621" s="18">
        <v>32.119999999999997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7.3884297520661057E-2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-0.11418105703819992</v>
      </c>
      <c r="R621" s="19">
        <f ca="1">IF('Stock Price'!$I$11="OK",E621/INDEX(E$5:E$1258,'Stock Price'!$I$9)-1,"")</f>
        <v>-0.31220556745182027</v>
      </c>
      <c r="S621" s="19">
        <f ca="1">IF('Stock Price'!$I$11="OK",F621/INDEX(F$5:F$1258,'Stock Price'!$I$9)-1,"")</f>
        <v>-1.7384105960264962E-2</v>
      </c>
      <c r="T621" s="19">
        <f ca="1">IF('Stock Price'!$I$11="OK",G621/INDEX(G$5:G$1258,'Stock Price'!$I$9)-1,"")</f>
        <v>-0.4396187587999566</v>
      </c>
      <c r="U621" s="19">
        <f ca="1">IF('Stock Price'!$I$11="OK",H621/INDEX(H$5:H$1258,'Stock Price'!$I$9)-1,"")</f>
        <v>0.49754901960784337</v>
      </c>
      <c r="V621" s="19">
        <f ca="1">IF('Stock Price'!$I$11="OK",I621/INDEX(I$5:I$1258,'Stock Price'!$I$9)-1,"")</f>
        <v>-0.34711720226843101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130.99</v>
      </c>
      <c r="C622" s="18">
        <v>96.05</v>
      </c>
      <c r="D622" s="18">
        <v>41.93</v>
      </c>
      <c r="E622" s="18">
        <v>32.619999999999997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8.2561983471074463E-2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-0.12234432234432235</v>
      </c>
      <c r="R622" s="19">
        <f ca="1">IF('Stock Price'!$I$11="OK",E622/INDEX(E$5:E$1258,'Stock Price'!$I$9)-1,"")</f>
        <v>-0.30149892933618849</v>
      </c>
      <c r="S622" s="19">
        <f ca="1">IF('Stock Price'!$I$11="OK",F622/INDEX(F$5:F$1258,'Stock Price'!$I$9)-1,"")</f>
        <v>-1.8625827814570117E-3</v>
      </c>
      <c r="T622" s="19">
        <f ca="1">IF('Stock Price'!$I$11="OK",G622/INDEX(G$5:G$1258,'Stock Price'!$I$9)-1,"")</f>
        <v>-0.43214556482183475</v>
      </c>
      <c r="U622" s="19">
        <f ca="1">IF('Stock Price'!$I$11="OK",H622/INDEX(H$5:H$1258,'Stock Price'!$I$9)-1,"")</f>
        <v>0.5177696078431373</v>
      </c>
      <c r="V622" s="19">
        <f ca="1">IF('Stock Price'!$I$11="OK",I622/INDEX(I$5:I$1258,'Stock Price'!$I$9)-1,"")</f>
        <v>-0.3454631379962193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131</v>
      </c>
      <c r="C623" s="18">
        <v>96.08</v>
      </c>
      <c r="D623" s="18">
        <v>42.37</v>
      </c>
      <c r="E623" s="18">
        <v>31.32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8.2644628099173501E-2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-0.11313448456305597</v>
      </c>
      <c r="R623" s="19">
        <f ca="1">IF('Stock Price'!$I$11="OK",E623/INDEX(E$5:E$1258,'Stock Price'!$I$9)-1,"")</f>
        <v>-0.32933618843683088</v>
      </c>
      <c r="S623" s="19">
        <f ca="1">IF('Stock Price'!$I$11="OK",F623/INDEX(F$5:F$1258,'Stock Price'!$I$9)-1,"")</f>
        <v>-1.2210264900662349E-2</v>
      </c>
      <c r="T623" s="19">
        <f ca="1">IF('Stock Price'!$I$11="OK",G623/INDEX(G$5:G$1258,'Stock Price'!$I$9)-1,"")</f>
        <v>-0.42640528538936417</v>
      </c>
      <c r="U623" s="19">
        <f ca="1">IF('Stock Price'!$I$11="OK",H623/INDEX(H$5:H$1258,'Stock Price'!$I$9)-1,"")</f>
        <v>0.51495098039215703</v>
      </c>
      <c r="V623" s="19">
        <f ca="1">IF('Stock Price'!$I$11="OK",I623/INDEX(I$5:I$1258,'Stock Price'!$I$9)-1,"")</f>
        <v>-0.3464083175803403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132.37</v>
      </c>
      <c r="C624" s="18">
        <v>96.23</v>
      </c>
      <c r="D624" s="18">
        <v>42.35</v>
      </c>
      <c r="E624" s="18">
        <v>31.32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9.3966942148760335E-2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-0.11355311355311348</v>
      </c>
      <c r="R624" s="19">
        <f ca="1">IF('Stock Price'!$I$11="OK",E624/INDEX(E$5:E$1258,'Stock Price'!$I$9)-1,"")</f>
        <v>-0.32933618843683088</v>
      </c>
      <c r="S624" s="19">
        <f ca="1">IF('Stock Price'!$I$11="OK",F624/INDEX(F$5:F$1258,'Stock Price'!$I$9)-1,"")</f>
        <v>-5.173841059602613E-3</v>
      </c>
      <c r="T624" s="19">
        <f ca="1">IF('Stock Price'!$I$11="OK",G624/INDEX(G$5:G$1258,'Stock Price'!$I$9)-1,"")</f>
        <v>-0.42066500595689371</v>
      </c>
      <c r="U624" s="19">
        <f ca="1">IF('Stock Price'!$I$11="OK",H624/INDEX(H$5:H$1258,'Stock Price'!$I$9)-1,"")</f>
        <v>0.5177696078431373</v>
      </c>
      <c r="V624" s="19">
        <f ca="1">IF('Stock Price'!$I$11="OK",I624/INDEX(I$5:I$1258,'Stock Price'!$I$9)-1,"")</f>
        <v>-0.35349716446124768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133.22</v>
      </c>
      <c r="C625" s="18">
        <v>95.73</v>
      </c>
      <c r="D625" s="18">
        <v>42.83</v>
      </c>
      <c r="E625" s="18">
        <v>31.29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0.1009917355371901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-0.10350601779173207</v>
      </c>
      <c r="R625" s="19">
        <f ca="1">IF('Stock Price'!$I$11="OK",E625/INDEX(E$5:E$1258,'Stock Price'!$I$9)-1,"")</f>
        <v>-0.32997858672376879</v>
      </c>
      <c r="S625" s="19">
        <f ca="1">IF('Stock Price'!$I$11="OK",F625/INDEX(F$5:F$1258,'Stock Price'!$I$9)-1,"")</f>
        <v>2.3178807947019875E-2</v>
      </c>
      <c r="T625" s="19">
        <f ca="1">IF('Stock Price'!$I$11="OK",G625/INDEX(G$5:G$1258,'Stock Price'!$I$9)-1,"")</f>
        <v>-0.41860716993393265</v>
      </c>
      <c r="U625" s="19">
        <f ca="1">IF('Stock Price'!$I$11="OK",H625/INDEX(H$5:H$1258,'Stock Price'!$I$9)-1,"")</f>
        <v>0.53566176470588256</v>
      </c>
      <c r="V625" s="19">
        <f ca="1">IF('Stock Price'!$I$11="OK",I625/INDEX(I$5:I$1258,'Stock Price'!$I$9)-1,"")</f>
        <v>-0.35184310018903597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130.55000000000001</v>
      </c>
      <c r="C626" s="18">
        <v>95.27</v>
      </c>
      <c r="D626" s="18">
        <v>42.79</v>
      </c>
      <c r="E626" s="18">
        <v>31.31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7.8925619834710803E-2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-0.10434327577184721</v>
      </c>
      <c r="R626" s="19">
        <f ca="1">IF('Stock Price'!$I$11="OK",E626/INDEX(E$5:E$1258,'Stock Price'!$I$9)-1,"")</f>
        <v>-0.32955032119914351</v>
      </c>
      <c r="S626" s="19">
        <f ca="1">IF('Stock Price'!$I$11="OK",F626/INDEX(F$5:F$1258,'Stock Price'!$I$9)-1,"")</f>
        <v>2.9594370860927199E-2</v>
      </c>
      <c r="T626" s="19">
        <f ca="1">IF('Stock Price'!$I$11="OK",G626/INDEX(G$5:G$1258,'Stock Price'!$I$9)-1,"")</f>
        <v>-0.40831798981912704</v>
      </c>
      <c r="U626" s="19">
        <f ca="1">IF('Stock Price'!$I$11="OK",H626/INDEX(H$5:H$1258,'Stock Price'!$I$9)-1,"")</f>
        <v>0.53823529411764715</v>
      </c>
      <c r="V626" s="19">
        <f ca="1">IF('Stock Price'!$I$11="OK",I626/INDEX(I$5:I$1258,'Stock Price'!$I$9)-1,"")</f>
        <v>-0.34806238185255201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134.70490000000001</v>
      </c>
      <c r="C627" s="18">
        <v>95.88</v>
      </c>
      <c r="D627" s="18">
        <v>42.99</v>
      </c>
      <c r="E627" s="18">
        <v>31.31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0.11326363636363634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-0.10015698587127153</v>
      </c>
      <c r="R627" s="19">
        <f ca="1">IF('Stock Price'!$I$11="OK",E627/INDEX(E$5:E$1258,'Stock Price'!$I$9)-1,"")</f>
        <v>-0.32955032119914351</v>
      </c>
      <c r="S627" s="19">
        <f ca="1">IF('Stock Price'!$I$11="OK",F627/INDEX(F$5:F$1258,'Stock Price'!$I$9)-1,"")</f>
        <v>2.5248344370860876E-2</v>
      </c>
      <c r="T627" s="19">
        <f ca="1">IF('Stock Price'!$I$11="OK",G627/INDEX(G$5:G$1258,'Stock Price'!$I$9)-1,"")</f>
        <v>-0.38438210765731606</v>
      </c>
      <c r="U627" s="19">
        <f ca="1">IF('Stock Price'!$I$11="OK",H627/INDEX(H$5:H$1258,'Stock Price'!$I$9)-1,"")</f>
        <v>0.61458333333333348</v>
      </c>
      <c r="V627" s="19">
        <f ca="1">IF('Stock Price'!$I$11="OK",I627/INDEX(I$5:I$1258,'Stock Price'!$I$9)-1,"")</f>
        <v>-0.34357277882797732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136.96</v>
      </c>
      <c r="C628" s="18">
        <v>96.73</v>
      </c>
      <c r="D628" s="18">
        <v>42.87</v>
      </c>
      <c r="E628" s="18">
        <v>31.92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0.13190082644628109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-0.10266875981161694</v>
      </c>
      <c r="R628" s="19">
        <f ca="1">IF('Stock Price'!$I$11="OK",E628/INDEX(E$5:E$1258,'Stock Price'!$I$9)-1,"")</f>
        <v>-0.31648822269807286</v>
      </c>
      <c r="S628" s="19">
        <f ca="1">IF('Stock Price'!$I$11="OK",F628/INDEX(F$5:F$1258,'Stock Price'!$I$9)-1,"")</f>
        <v>5.7947019867550242E-3</v>
      </c>
      <c r="T628" s="19">
        <f ca="1">IF('Stock Price'!$I$11="OK",G628/INDEX(G$5:G$1258,'Stock Price'!$I$9)-1,"")</f>
        <v>-0.38416549333910976</v>
      </c>
      <c r="U628" s="19">
        <f ca="1">IF('Stock Price'!$I$11="OK",H628/INDEX(H$5:H$1258,'Stock Price'!$I$9)-1,"")</f>
        <v>0.61703431372549011</v>
      </c>
      <c r="V628" s="19">
        <f ca="1">IF('Stock Price'!$I$11="OK",I628/INDEX(I$5:I$1258,'Stock Price'!$I$9)-1,"")</f>
        <v>-0.34428166351606804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135.80000000000001</v>
      </c>
      <c r="C629" s="18">
        <v>95.87</v>
      </c>
      <c r="D629" s="18">
        <v>42.42</v>
      </c>
      <c r="E629" s="18">
        <v>31.95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0.12231404958677694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-0.11208791208791202</v>
      </c>
      <c r="R629" s="19">
        <f ca="1">IF('Stock Price'!$I$11="OK",E629/INDEX(E$5:E$1258,'Stock Price'!$I$9)-1,"")</f>
        <v>-0.31584582441113496</v>
      </c>
      <c r="S629" s="19">
        <f ca="1">IF('Stock Price'!$I$11="OK",F629/INDEX(F$5:F$1258,'Stock Price'!$I$9)-1,"")</f>
        <v>-6.2086092715230023E-4</v>
      </c>
      <c r="T629" s="19">
        <f ca="1">IF('Stock Price'!$I$11="OK",G629/INDEX(G$5:G$1258,'Stock Price'!$I$9)-1,"")</f>
        <v>-0.38416549333910976</v>
      </c>
      <c r="U629" s="19">
        <f ca="1">IF('Stock Price'!$I$11="OK",H629/INDEX(H$5:H$1258,'Stock Price'!$I$9)-1,"")</f>
        <v>0.60526960784313744</v>
      </c>
      <c r="V629" s="19">
        <f ca="1">IF('Stock Price'!$I$11="OK",I629/INDEX(I$5:I$1258,'Stock Price'!$I$9)-1,"")</f>
        <v>-0.34499054820415886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131.66</v>
      </c>
      <c r="C630" s="18">
        <v>94.41</v>
      </c>
      <c r="D630" s="18">
        <v>41.79</v>
      </c>
      <c r="E630" s="18">
        <v>31.38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8.8099173553718879E-2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-0.12527472527472527</v>
      </c>
      <c r="R630" s="19">
        <f ca="1">IF('Stock Price'!$I$11="OK",E630/INDEX(E$5:E$1258,'Stock Price'!$I$9)-1,"")</f>
        <v>-0.32805139186295507</v>
      </c>
      <c r="S630" s="19">
        <f ca="1">IF('Stock Price'!$I$11="OK",F630/INDEX(F$5:F$1258,'Stock Price'!$I$9)-1,"")</f>
        <v>-1.2831125827814538E-2</v>
      </c>
      <c r="T630" s="19">
        <f ca="1">IF('Stock Price'!$I$11="OK",G630/INDEX(G$5:G$1258,'Stock Price'!$I$9)-1,"")</f>
        <v>-0.39358821618108952</v>
      </c>
      <c r="U630" s="19">
        <f ca="1">IF('Stock Price'!$I$11="OK",H630/INDEX(H$5:H$1258,'Stock Price'!$I$9)-1,"")</f>
        <v>0.59742647058823528</v>
      </c>
      <c r="V630" s="19">
        <f ca="1">IF('Stock Price'!$I$11="OK",I630/INDEX(I$5:I$1258,'Stock Price'!$I$9)-1,"")</f>
        <v>-0.349007561436673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131.76490000000001</v>
      </c>
      <c r="C631" s="18">
        <v>94.37</v>
      </c>
      <c r="D631" s="18">
        <v>41.54</v>
      </c>
      <c r="E631" s="18">
        <v>31.3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8.8966115702479476E-2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-0.13050758765044479</v>
      </c>
      <c r="R631" s="19">
        <f ca="1">IF('Stock Price'!$I$11="OK",E631/INDEX(E$5:E$1258,'Stock Price'!$I$9)-1,"")</f>
        <v>-0.32976445396145615</v>
      </c>
      <c r="S631" s="19">
        <f ca="1">IF('Stock Price'!$I$11="OK",F631/INDEX(F$5:F$1258,'Stock Price'!$I$9)-1,"")</f>
        <v>-7.4503311258278249E-3</v>
      </c>
      <c r="T631" s="19">
        <f ca="1">IF('Stock Price'!$I$11="OK",G631/INDEX(G$5:G$1258,'Stock Price'!$I$9)-1,"")</f>
        <v>-0.37690891367919421</v>
      </c>
      <c r="U631" s="19">
        <f ca="1">IF('Stock Price'!$I$11="OK",H631/INDEX(H$5:H$1258,'Stock Price'!$I$9)-1,"")</f>
        <v>0.59191176470588247</v>
      </c>
      <c r="V631" s="19">
        <f ca="1">IF('Stock Price'!$I$11="OK",I631/INDEX(I$5:I$1258,'Stock Price'!$I$9)-1,"")</f>
        <v>-0.3568052930056711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137.35</v>
      </c>
      <c r="C632" s="18">
        <v>96.89</v>
      </c>
      <c r="D632" s="18">
        <v>40.86</v>
      </c>
      <c r="E632" s="18">
        <v>30.75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0.13512396694214868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-0.14474097331240188</v>
      </c>
      <c r="R632" s="19">
        <f ca="1">IF('Stock Price'!$I$11="OK",E632/INDEX(E$5:E$1258,'Stock Price'!$I$9)-1,"")</f>
        <v>-0.34154175588865099</v>
      </c>
      <c r="S632" s="19">
        <f ca="1">IF('Stock Price'!$I$11="OK",F632/INDEX(F$5:F$1258,'Stock Price'!$I$9)-1,"")</f>
        <v>-1.0761589403973537E-2</v>
      </c>
      <c r="T632" s="19">
        <f ca="1">IF('Stock Price'!$I$11="OK",G632/INDEX(G$5:G$1258,'Stock Price'!$I$9)-1,"")</f>
        <v>-0.38134950720242611</v>
      </c>
      <c r="U632" s="19">
        <f ca="1">IF('Stock Price'!$I$11="OK",H632/INDEX(H$5:H$1258,'Stock Price'!$I$9)-1,"")</f>
        <v>0.56446078431372548</v>
      </c>
      <c r="V632" s="19">
        <f ca="1">IF('Stock Price'!$I$11="OK",I632/INDEX(I$5:I$1258,'Stock Price'!$I$9)-1,"")</f>
        <v>-0.37027410207939515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133.22</v>
      </c>
      <c r="C633" s="18">
        <v>95.79</v>
      </c>
      <c r="D633" s="18">
        <v>41.19</v>
      </c>
      <c r="E633" s="18">
        <v>30.24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0.1009917355371901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-0.13783359497645209</v>
      </c>
      <c r="R633" s="19">
        <f ca="1">IF('Stock Price'!$I$11="OK",E633/INDEX(E$5:E$1258,'Stock Price'!$I$9)-1,"")</f>
        <v>-0.3524625267665954</v>
      </c>
      <c r="S633" s="19">
        <f ca="1">IF('Stock Price'!$I$11="OK",F633/INDEX(F$5:F$1258,'Stock Price'!$I$9)-1,"")</f>
        <v>-2.2144039735099375E-2</v>
      </c>
      <c r="T633" s="19">
        <f ca="1">IF('Stock Price'!$I$11="OK",G633/INDEX(G$5:G$1258,'Stock Price'!$I$9)-1,"")</f>
        <v>-0.4057186180006499</v>
      </c>
      <c r="U633" s="19">
        <f ca="1">IF('Stock Price'!$I$11="OK",H633/INDEX(H$5:H$1258,'Stock Price'!$I$9)-1,"")</f>
        <v>0.5685049019607844</v>
      </c>
      <c r="V633" s="19">
        <f ca="1">IF('Stock Price'!$I$11="OK",I633/INDEX(I$5:I$1258,'Stock Price'!$I$9)-1,"")</f>
        <v>-0.37003780718336488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136.63999999999999</v>
      </c>
      <c r="C634" s="18">
        <v>95.48</v>
      </c>
      <c r="D634" s="18">
        <v>40.85</v>
      </c>
      <c r="E634" s="18">
        <v>30.19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0.12925619834710722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-0.14495028780743058</v>
      </c>
      <c r="R634" s="19">
        <f ca="1">IF('Stock Price'!$I$11="OK",E634/INDEX(E$5:E$1258,'Stock Price'!$I$9)-1,"")</f>
        <v>-0.35353319057815846</v>
      </c>
      <c r="S634" s="19">
        <f ca="1">IF('Stock Price'!$I$11="OK",F634/INDEX(F$5:F$1258,'Stock Price'!$I$9)-1,"")</f>
        <v>-2.4213576158940486E-2</v>
      </c>
      <c r="T634" s="19">
        <f ca="1">IF('Stock Price'!$I$11="OK",G634/INDEX(G$5:G$1258,'Stock Price'!$I$9)-1,"")</f>
        <v>-0.40810137550092063</v>
      </c>
      <c r="U634" s="19">
        <f ca="1">IF('Stock Price'!$I$11="OK",H634/INDEX(H$5:H$1258,'Stock Price'!$I$9)-1,"")</f>
        <v>0.55098039215686279</v>
      </c>
      <c r="V634" s="19">
        <f ca="1">IF('Stock Price'!$I$11="OK",I634/INDEX(I$5:I$1258,'Stock Price'!$I$9)-1,"")</f>
        <v>-0.37192816635160686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134.75989999999999</v>
      </c>
      <c r="C635" s="18">
        <v>95.81</v>
      </c>
      <c r="D635" s="18">
        <v>40.880000000000003</v>
      </c>
      <c r="E635" s="18">
        <v>30.66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0.11371818181818161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-0.14432234432234425</v>
      </c>
      <c r="R635" s="19">
        <f ca="1">IF('Stock Price'!$I$11="OK",E635/INDEX(E$5:E$1258,'Stock Price'!$I$9)-1,"")</f>
        <v>-0.34346895074946471</v>
      </c>
      <c r="S635" s="19">
        <f ca="1">IF('Stock Price'!$I$11="OK",F635/INDEX(F$5:F$1258,'Stock Price'!$I$9)-1,"")</f>
        <v>-1.634933774834435E-2</v>
      </c>
      <c r="T635" s="19">
        <f ca="1">IF('Stock Price'!$I$11="OK",G635/INDEX(G$5:G$1258,'Stock Price'!$I$9)-1,"")</f>
        <v>-0.40658507527347554</v>
      </c>
      <c r="U635" s="19">
        <f ca="1">IF('Stock Price'!$I$11="OK",H635/INDEX(H$5:H$1258,'Stock Price'!$I$9)-1,"")</f>
        <v>0.55281862745098032</v>
      </c>
      <c r="V635" s="19">
        <f ca="1">IF('Stock Price'!$I$11="OK",I635/INDEX(I$5:I$1258,'Stock Price'!$I$9)-1,"")</f>
        <v>-0.3672022684310019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136.25</v>
      </c>
      <c r="C636" s="18">
        <v>94.38</v>
      </c>
      <c r="D636" s="18">
        <v>40.69</v>
      </c>
      <c r="E636" s="18">
        <v>30.59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0.12603305785123964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-0.14829931972789123</v>
      </c>
      <c r="R636" s="19">
        <f ca="1">IF('Stock Price'!$I$11="OK",E636/INDEX(E$5:E$1258,'Stock Price'!$I$9)-1,"")</f>
        <v>-0.34496788008565316</v>
      </c>
      <c r="S636" s="19">
        <f ca="1">IF('Stock Price'!$I$11="OK",F636/INDEX(F$5:F$1258,'Stock Price'!$I$9)-1,"")</f>
        <v>-2.4627483443708575E-2</v>
      </c>
      <c r="T636" s="19">
        <f ca="1">IF('Stock Price'!$I$11="OK",G636/INDEX(G$5:G$1258,'Stock Price'!$I$9)-1,"")</f>
        <v>-0.40268601754575983</v>
      </c>
      <c r="U636" s="19">
        <f ca="1">IF('Stock Price'!$I$11="OK",H636/INDEX(H$5:H$1258,'Stock Price'!$I$9)-1,"")</f>
        <v>0.55330882352941191</v>
      </c>
      <c r="V636" s="19">
        <f ca="1">IF('Stock Price'!$I$11="OK",I636/INDEX(I$5:I$1258,'Stock Price'!$I$9)-1,"")</f>
        <v>-0.37807183364839314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136.5</v>
      </c>
      <c r="C637" s="18">
        <v>94.34</v>
      </c>
      <c r="D637" s="18">
        <v>40.799999999999997</v>
      </c>
      <c r="E637" s="18">
        <v>30.96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0.12809917355371891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-0.14599686028257464</v>
      </c>
      <c r="R637" s="19">
        <f ca="1">IF('Stock Price'!$I$11="OK",E637/INDEX(E$5:E$1258,'Stock Price'!$I$9)-1,"")</f>
        <v>-0.33704496788008564</v>
      </c>
      <c r="S637" s="19">
        <f ca="1">IF('Stock Price'!$I$11="OK",F637/INDEX(F$5:F$1258,'Stock Price'!$I$9)-1,"")</f>
        <v>-3.5596026490066213E-2</v>
      </c>
      <c r="T637" s="19">
        <f ca="1">IF('Stock Price'!$I$11="OK",G637/INDEX(G$5:G$1258,'Stock Price'!$I$9)-1,"")</f>
        <v>-0.41470811220621684</v>
      </c>
      <c r="U637" s="19">
        <f ca="1">IF('Stock Price'!$I$11="OK",H637/INDEX(H$5:H$1258,'Stock Price'!$I$9)-1,"")</f>
        <v>0.54595588235294135</v>
      </c>
      <c r="V637" s="19">
        <f ca="1">IF('Stock Price'!$I$11="OK",I637/INDEX(I$5:I$1258,'Stock Price'!$I$9)-1,"")</f>
        <v>-0.3775992438563327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138.88</v>
      </c>
      <c r="C638" s="18">
        <v>93.52</v>
      </c>
      <c r="D638" s="18">
        <v>40.659999999999997</v>
      </c>
      <c r="E638" s="18">
        <v>30.59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0.14776859504132234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-0.14892726321297756</v>
      </c>
      <c r="R638" s="19">
        <f ca="1">IF('Stock Price'!$I$11="OK",E638/INDEX(E$5:E$1258,'Stock Price'!$I$9)-1,"")</f>
        <v>-0.34496788008565316</v>
      </c>
      <c r="S638" s="19">
        <f ca="1">IF('Stock Price'!$I$11="OK",F638/INDEX(F$5:F$1258,'Stock Price'!$I$9)-1,"")</f>
        <v>-4.9461920529801362E-2</v>
      </c>
      <c r="T638" s="19">
        <f ca="1">IF('Stock Price'!$I$11="OK",G638/INDEX(G$5:G$1258,'Stock Price'!$I$9)-1,"")</f>
        <v>-0.41589949095635226</v>
      </c>
      <c r="U638" s="19">
        <f ca="1">IF('Stock Price'!$I$11="OK",H638/INDEX(H$5:H$1258,'Stock Price'!$I$9)-1,"")</f>
        <v>0.54093137254901968</v>
      </c>
      <c r="V638" s="19">
        <f ca="1">IF('Stock Price'!$I$11="OK",I638/INDEX(I$5:I$1258,'Stock Price'!$I$9)-1,"")</f>
        <v>-0.38894139886578449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135.94</v>
      </c>
      <c r="C639" s="18">
        <v>94.41</v>
      </c>
      <c r="D639" s="18">
        <v>40.5</v>
      </c>
      <c r="E639" s="18">
        <v>30.58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0.12347107438016525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-0.15227629513343799</v>
      </c>
      <c r="R639" s="19">
        <f ca="1">IF('Stock Price'!$I$11="OK",E639/INDEX(E$5:E$1258,'Stock Price'!$I$9)-1,"")</f>
        <v>-0.34518201284796579</v>
      </c>
      <c r="S639" s="19">
        <f ca="1">IF('Stock Price'!$I$11="OK",F639/INDEX(F$5:F$1258,'Stock Price'!$I$9)-1,"")</f>
        <v>-4.3046357615894038E-2</v>
      </c>
      <c r="T639" s="19">
        <f ca="1">IF('Stock Price'!$I$11="OK",G639/INDEX(G$5:G$1258,'Stock Price'!$I$9)-1,"")</f>
        <v>-0.4268385140257771</v>
      </c>
      <c r="U639" s="19">
        <f ca="1">IF('Stock Price'!$I$11="OK",H639/INDEX(H$5:H$1258,'Stock Price'!$I$9)-1,"")</f>
        <v>0.54644607843137272</v>
      </c>
      <c r="V639" s="19">
        <f ca="1">IF('Stock Price'!$I$11="OK",I639/INDEX(I$5:I$1258,'Stock Price'!$I$9)-1,"")</f>
        <v>-0.38775992438563323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135.30500000000001</v>
      </c>
      <c r="C640" s="18">
        <v>93.2</v>
      </c>
      <c r="D640" s="18">
        <v>39.950000000000003</v>
      </c>
      <c r="E640" s="18">
        <v>30.23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0.1182231404958678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-0.16378859236002086</v>
      </c>
      <c r="R640" s="19">
        <f ca="1">IF('Stock Price'!$I$11="OK",E640/INDEX(E$5:E$1258,'Stock Price'!$I$9)-1,"")</f>
        <v>-0.35267665952890792</v>
      </c>
      <c r="S640" s="19">
        <f ca="1">IF('Stock Price'!$I$11="OK",F640/INDEX(F$5:F$1258,'Stock Price'!$I$9)-1,"")</f>
        <v>-5.2152317880794774E-2</v>
      </c>
      <c r="T640" s="19">
        <f ca="1">IF('Stock Price'!$I$11="OK",G640/INDEX(G$5:G$1258,'Stock Price'!$I$9)-1,"")</f>
        <v>-0.43506985811762156</v>
      </c>
      <c r="U640" s="19">
        <f ca="1">IF('Stock Price'!$I$11="OK",H640/INDEX(H$5:H$1258,'Stock Price'!$I$9)-1,"")</f>
        <v>0.53259803921568638</v>
      </c>
      <c r="V640" s="19">
        <f ca="1">IF('Stock Price'!$I$11="OK",I640/INDEX(I$5:I$1258,'Stock Price'!$I$9)-1,"")</f>
        <v>-0.39295841209829863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140.15</v>
      </c>
      <c r="C641" s="18">
        <v>93.08</v>
      </c>
      <c r="D641" s="18">
        <v>39.6</v>
      </c>
      <c r="E641" s="18">
        <v>30.08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0.15826446280991746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-0.17111459968602816</v>
      </c>
      <c r="R641" s="19">
        <f ca="1">IF('Stock Price'!$I$11="OK",E641/INDEX(E$5:E$1258,'Stock Price'!$I$9)-1,"")</f>
        <v>-0.35588865096359745</v>
      </c>
      <c r="S641" s="19">
        <f ca="1">IF('Stock Price'!$I$11="OK",F641/INDEX(F$5:F$1258,'Stock Price'!$I$9)-1,"")</f>
        <v>-4.573675496688745E-2</v>
      </c>
      <c r="T641" s="19">
        <f ca="1">IF('Stock Price'!$I$11="OK",G641/INDEX(G$5:G$1258,'Stock Price'!$I$9)-1,"")</f>
        <v>-0.43138741470811215</v>
      </c>
      <c r="U641" s="19">
        <f ca="1">IF('Stock Price'!$I$11="OK",H641/INDEX(H$5:H$1258,'Stock Price'!$I$9)-1,"")</f>
        <v>0.53639705882352962</v>
      </c>
      <c r="V641" s="19">
        <f ca="1">IF('Stock Price'!$I$11="OK",I641/INDEX(I$5:I$1258,'Stock Price'!$I$9)-1,"")</f>
        <v>-0.39933837429111529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138.24</v>
      </c>
      <c r="C642" s="18">
        <v>92.57</v>
      </c>
      <c r="D642" s="18">
        <v>39.270000000000003</v>
      </c>
      <c r="E642" s="18">
        <v>30.05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0.14247933884297526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-0.17802197802197794</v>
      </c>
      <c r="R642" s="19">
        <f ca="1">IF('Stock Price'!$I$11="OK",E642/INDEX(E$5:E$1258,'Stock Price'!$I$9)-1,"")</f>
        <v>-0.35653104925053536</v>
      </c>
      <c r="S642" s="19">
        <f ca="1">IF('Stock Price'!$I$11="OK",F642/INDEX(F$5:F$1258,'Stock Price'!$I$9)-1,"")</f>
        <v>-6.0637417218542988E-2</v>
      </c>
      <c r="T642" s="19">
        <f ca="1">IF('Stock Price'!$I$11="OK",G642/INDEX(G$5:G$1258,'Stock Price'!$I$9)-1,"")</f>
        <v>-0.43160402902631867</v>
      </c>
      <c r="U642" s="19">
        <f ca="1">IF('Stock Price'!$I$11="OK",H642/INDEX(H$5:H$1258,'Stock Price'!$I$9)-1,"")</f>
        <v>0.53468137254901982</v>
      </c>
      <c r="V642" s="19">
        <f ca="1">IF('Stock Price'!$I$11="OK",I642/INDEX(I$5:I$1258,'Stock Price'!$I$9)-1,"")</f>
        <v>-0.40004725897920601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136.19999999999999</v>
      </c>
      <c r="C643" s="18">
        <v>94.36</v>
      </c>
      <c r="D643" s="18">
        <v>39.75</v>
      </c>
      <c r="E643" s="18">
        <v>30.41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0.12561983471074378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-0.16797488226059654</v>
      </c>
      <c r="R643" s="19">
        <f ca="1">IF('Stock Price'!$I$11="OK",E643/INDEX(E$5:E$1258,'Stock Price'!$I$9)-1,"")</f>
        <v>-0.34882226980728059</v>
      </c>
      <c r="S643" s="19">
        <f ca="1">IF('Stock Price'!$I$11="OK",F643/INDEX(F$5:F$1258,'Stock Price'!$I$9)-1,"")</f>
        <v>-4.1804635761589437E-2</v>
      </c>
      <c r="T643" s="19">
        <f ca="1">IF('Stock Price'!$I$11="OK",G643/INDEX(G$5:G$1258,'Stock Price'!$I$9)-1,"")</f>
        <v>-0.42976280732156391</v>
      </c>
      <c r="U643" s="19">
        <f ca="1">IF('Stock Price'!$I$11="OK",H643/INDEX(H$5:H$1258,'Stock Price'!$I$9)-1,"")</f>
        <v>0.54142156862745106</v>
      </c>
      <c r="V643" s="19">
        <f ca="1">IF('Stock Price'!$I$11="OK",I643/INDEX(I$5:I$1258,'Stock Price'!$I$9)-1,"")</f>
        <v>-0.38563327032136108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138.72999999999999</v>
      </c>
      <c r="C644" s="18">
        <v>95.12</v>
      </c>
      <c r="D644" s="18">
        <v>40.590000000000003</v>
      </c>
      <c r="E644" s="18">
        <v>30.91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0.14652892561983455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-0.15039246467817891</v>
      </c>
      <c r="R644" s="19">
        <f ca="1">IF('Stock Price'!$I$11="OK",E644/INDEX(E$5:E$1258,'Stock Price'!$I$9)-1,"")</f>
        <v>-0.33811563169164882</v>
      </c>
      <c r="S644" s="19">
        <f ca="1">IF('Stock Price'!$I$11="OK",F644/INDEX(F$5:F$1258,'Stock Price'!$I$9)-1,"")</f>
        <v>-2.4213576158940486E-2</v>
      </c>
      <c r="T644" s="19">
        <f ca="1">IF('Stock Price'!$I$11="OK",G644/INDEX(G$5:G$1258,'Stock Price'!$I$9)-1,"")</f>
        <v>-0.40831798981912704</v>
      </c>
      <c r="U644" s="19">
        <f ca="1">IF('Stock Price'!$I$11="OK",H644/INDEX(H$5:H$1258,'Stock Price'!$I$9)-1,"")</f>
        <v>0.55563725490196081</v>
      </c>
      <c r="V644" s="19">
        <f ca="1">IF('Stock Price'!$I$11="OK",I644/INDEX(I$5:I$1258,'Stock Price'!$I$9)-1,"")</f>
        <v>-0.37948960302457468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140.30000000000001</v>
      </c>
      <c r="C645" s="18">
        <v>97.28</v>
      </c>
      <c r="D645" s="18">
        <v>41.24</v>
      </c>
      <c r="E645" s="18">
        <v>31.24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0.15950413223140503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-0.13678702250130814</v>
      </c>
      <c r="R645" s="19">
        <f ca="1">IF('Stock Price'!$I$11="OK",E645/INDEX(E$5:E$1258,'Stock Price'!$I$9)-1,"")</f>
        <v>-0.33104925053533196</v>
      </c>
      <c r="S645" s="19">
        <f ca="1">IF('Stock Price'!$I$11="OK",F645/INDEX(F$5:F$1258,'Stock Price'!$I$9)-1,"")</f>
        <v>-1.3038079470198749E-2</v>
      </c>
      <c r="T645" s="19">
        <f ca="1">IF('Stock Price'!$I$11="OK",G645/INDEX(G$5:G$1258,'Stock Price'!$I$9)-1,"")</f>
        <v>-0.40766814686450781</v>
      </c>
      <c r="U645" s="19">
        <f ca="1">IF('Stock Price'!$I$11="OK",H645/INDEX(H$5:H$1258,'Stock Price'!$I$9)-1,"")</f>
        <v>0.55490196078431375</v>
      </c>
      <c r="V645" s="19">
        <f ca="1">IF('Stock Price'!$I$11="OK",I645/INDEX(I$5:I$1258,'Stock Price'!$I$9)-1,"")</f>
        <v>-0.37807183364839314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135.35</v>
      </c>
      <c r="C646" s="18">
        <v>98.35</v>
      </c>
      <c r="D646" s="18">
        <v>40.86</v>
      </c>
      <c r="E646" s="18">
        <v>30.54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0.11859504132231402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-0.14474097331240188</v>
      </c>
      <c r="R646" s="19">
        <f ca="1">IF('Stock Price'!$I$11="OK",E646/INDEX(E$5:E$1258,'Stock Price'!$I$9)-1,"")</f>
        <v>-0.34603854389721633</v>
      </c>
      <c r="S646" s="19">
        <f ca="1">IF('Stock Price'!$I$11="OK",F646/INDEX(F$5:F$1258,'Stock Price'!$I$9)-1,"")</f>
        <v>-3.5389072847682113E-2</v>
      </c>
      <c r="T646" s="19">
        <f ca="1">IF('Stock Price'!$I$11="OK",G646/INDEX(G$5:G$1258,'Stock Price'!$I$9)-1,"")</f>
        <v>-0.415791183797249</v>
      </c>
      <c r="U646" s="19">
        <f ca="1">IF('Stock Price'!$I$11="OK",H646/INDEX(H$5:H$1258,'Stock Price'!$I$9)-1,"")</f>
        <v>0.55637254901960786</v>
      </c>
      <c r="V646" s="19">
        <f ca="1">IF('Stock Price'!$I$11="OK",I646/INDEX(I$5:I$1258,'Stock Price'!$I$9)-1,"")</f>
        <v>-0.37925330812854441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146.0549</v>
      </c>
      <c r="C647" s="18">
        <v>99.06</v>
      </c>
      <c r="D647" s="18">
        <v>40.909999999999997</v>
      </c>
      <c r="E647" s="18">
        <v>30.02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0.20706528925619838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-0.14369440083725804</v>
      </c>
      <c r="R647" s="19">
        <f ca="1">IF('Stock Price'!$I$11="OK",E647/INDEX(E$5:E$1258,'Stock Price'!$I$9)-1,"")</f>
        <v>-0.35717344753747327</v>
      </c>
      <c r="S647" s="19">
        <f ca="1">IF('Stock Price'!$I$11="OK",F647/INDEX(F$5:F$1258,'Stock Price'!$I$9)-1,"")</f>
        <v>2.1523178807947074E-2</v>
      </c>
      <c r="T647" s="19">
        <f ca="1">IF('Stock Price'!$I$11="OK",G647/INDEX(G$5:G$1258,'Stock Price'!$I$9)-1,"")</f>
        <v>-0.41741579118379724</v>
      </c>
      <c r="U647" s="19">
        <f ca="1">IF('Stock Price'!$I$11="OK",H647/INDEX(H$5:H$1258,'Stock Price'!$I$9)-1,"")</f>
        <v>0.60196078431372557</v>
      </c>
      <c r="V647" s="19">
        <f ca="1">IF('Stock Price'!$I$11="OK",I647/INDEX(I$5:I$1258,'Stock Price'!$I$9)-1,"")</f>
        <v>-0.40311909262759926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145.1</v>
      </c>
      <c r="C648" s="18">
        <v>97.44</v>
      </c>
      <c r="D648" s="18">
        <v>41.11</v>
      </c>
      <c r="E648" s="18">
        <v>30.25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0.19917355371900825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-0.13950811093668236</v>
      </c>
      <c r="R648" s="19">
        <f ca="1">IF('Stock Price'!$I$11="OK",E648/INDEX(E$5:E$1258,'Stock Price'!$I$9)-1,"")</f>
        <v>-0.35224839400428265</v>
      </c>
      <c r="S648" s="19">
        <f ca="1">IF('Stock Price'!$I$11="OK",F648/INDEX(F$5:F$1258,'Stock Price'!$I$9)-1,"")</f>
        <v>1.676324503311255E-2</v>
      </c>
      <c r="T648" s="19">
        <f ca="1">IF('Stock Price'!$I$11="OK",G648/INDEX(G$5:G$1258,'Stock Price'!$I$9)-1,"")</f>
        <v>-0.40647676811437239</v>
      </c>
      <c r="U648" s="19">
        <f ca="1">IF('Stock Price'!$I$11="OK",H648/INDEX(H$5:H$1258,'Stock Price'!$I$9)-1,"")</f>
        <v>0.60784313725490202</v>
      </c>
      <c r="V648" s="19">
        <f ca="1">IF('Stock Price'!$I$11="OK",I648/INDEX(I$5:I$1258,'Stock Price'!$I$9)-1,"")</f>
        <v>-0.39981096408317585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146.25</v>
      </c>
      <c r="C649" s="18">
        <v>97.09</v>
      </c>
      <c r="D649" s="18">
        <v>41.61</v>
      </c>
      <c r="E649" s="18">
        <v>30.33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0.20867768595041314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-0.12904238618524333</v>
      </c>
      <c r="R649" s="19">
        <f ca="1">IF('Stock Price'!$I$11="OK",E649/INDEX(E$5:E$1258,'Stock Price'!$I$9)-1,"")</f>
        <v>-0.35053533190578168</v>
      </c>
      <c r="S649" s="19">
        <f ca="1">IF('Stock Price'!$I$11="OK",F649/INDEX(F$5:F$1258,'Stock Price'!$I$9)-1,"")</f>
        <v>1.593543046357615E-2</v>
      </c>
      <c r="T649" s="19">
        <f ca="1">IF('Stock Price'!$I$11="OK",G649/INDEX(G$5:G$1258,'Stock Price'!$I$9)-1,"")</f>
        <v>-0.40236109606845016</v>
      </c>
      <c r="U649" s="19">
        <f ca="1">IF('Stock Price'!$I$11="OK",H649/INDEX(H$5:H$1258,'Stock Price'!$I$9)-1,"")</f>
        <v>0.59460784313725501</v>
      </c>
      <c r="V649" s="19">
        <f ca="1">IF('Stock Price'!$I$11="OK",I649/INDEX(I$5:I$1258,'Stock Price'!$I$9)-1,"")</f>
        <v>-0.39413988657844989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151</v>
      </c>
      <c r="C650" s="18">
        <v>97.13</v>
      </c>
      <c r="D650" s="18">
        <v>41.44</v>
      </c>
      <c r="E650" s="18">
        <v>29.82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0.24793388429752072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-0.13260073260073257</v>
      </c>
      <c r="R650" s="19">
        <f ca="1">IF('Stock Price'!$I$11="OK",E650/INDEX(E$5:E$1258,'Stock Price'!$I$9)-1,"")</f>
        <v>-0.36145610278372597</v>
      </c>
      <c r="S650" s="19">
        <f ca="1">IF('Stock Price'!$I$11="OK",F650/INDEX(F$5:F$1258,'Stock Price'!$I$9)-1,"")</f>
        <v>1.8832781456953551E-2</v>
      </c>
      <c r="T650" s="19">
        <f ca="1">IF('Stock Price'!$I$11="OK",G650/INDEX(G$5:G$1258,'Stock Price'!$I$9)-1,"")</f>
        <v>-0.40755983970540444</v>
      </c>
      <c r="U650" s="19">
        <f ca="1">IF('Stock Price'!$I$11="OK",H650/INDEX(H$5:H$1258,'Stock Price'!$I$9)-1,"")</f>
        <v>0.58357843137254917</v>
      </c>
      <c r="V650" s="19">
        <f ca="1">IF('Stock Price'!$I$11="OK",I650/INDEX(I$5:I$1258,'Stock Price'!$I$9)-1,"")</f>
        <v>-0.39461247637051033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151.024</v>
      </c>
      <c r="C651" s="18">
        <v>97.5</v>
      </c>
      <c r="D651" s="18">
        <v>42.57</v>
      </c>
      <c r="E651" s="18">
        <v>29.75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0.24813223140495877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-0.10894819466248029</v>
      </c>
      <c r="R651" s="19">
        <f ca="1">IF('Stock Price'!$I$11="OK",E651/INDEX(E$5:E$1258,'Stock Price'!$I$9)-1,"")</f>
        <v>-0.36295503211991442</v>
      </c>
      <c r="S651" s="19">
        <f ca="1">IF('Stock Price'!$I$11="OK",F651/INDEX(F$5:F$1258,'Stock Price'!$I$9)-1,"")</f>
        <v>3.5389072847682224E-2</v>
      </c>
      <c r="T651" s="19">
        <f ca="1">IF('Stock Price'!$I$11="OK",G651/INDEX(G$5:G$1258,'Stock Price'!$I$9)-1,"")</f>
        <v>-0.40755983970540444</v>
      </c>
      <c r="U651" s="19">
        <f ca="1">IF('Stock Price'!$I$11="OK",H651/INDEX(H$5:H$1258,'Stock Price'!$I$9)-1,"")</f>
        <v>0.57843137254901977</v>
      </c>
      <c r="V651" s="19">
        <f ca="1">IF('Stock Price'!$I$11="OK",I651/INDEX(I$5:I$1258,'Stock Price'!$I$9)-1,"")</f>
        <v>-0.35775047258979209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153.47999999999999</v>
      </c>
      <c r="C652" s="18">
        <v>97.34</v>
      </c>
      <c r="D652" s="18">
        <v>43.35</v>
      </c>
      <c r="E652" s="18">
        <v>29.26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0.26842975206611563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-9.2621664050235419E-2</v>
      </c>
      <c r="R652" s="19">
        <f ca="1">IF('Stock Price'!$I$11="OK",E652/INDEX(E$5:E$1258,'Stock Price'!$I$9)-1,"")</f>
        <v>-0.37344753747323345</v>
      </c>
      <c r="S652" s="19">
        <f ca="1">IF('Stock Price'!$I$11="OK",F652/INDEX(F$5:F$1258,'Stock Price'!$I$9)-1,"")</f>
        <v>2.3592715231788075E-2</v>
      </c>
      <c r="T652" s="19">
        <f ca="1">IF('Stock Price'!$I$11="OK",G652/INDEX(G$5:G$1258,'Stock Price'!$I$9)-1,"")</f>
        <v>-0.39066392288530272</v>
      </c>
      <c r="U652" s="19">
        <f ca="1">IF('Stock Price'!$I$11="OK",H652/INDEX(H$5:H$1258,'Stock Price'!$I$9)-1,"")</f>
        <v>0.57181372549019605</v>
      </c>
      <c r="V652" s="19">
        <f ca="1">IF('Stock Price'!$I$11="OK",I652/INDEX(I$5:I$1258,'Stock Price'!$I$9)-1,"")</f>
        <v>-0.3454631379962193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149.245</v>
      </c>
      <c r="C653" s="18">
        <v>97.27</v>
      </c>
      <c r="D653" s="18">
        <v>43.5</v>
      </c>
      <c r="E653" s="18">
        <v>29.83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0.23342975206611571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-8.9481946624803688E-2</v>
      </c>
      <c r="R653" s="19">
        <f ca="1">IF('Stock Price'!$I$11="OK",E653/INDEX(E$5:E$1258,'Stock Price'!$I$9)-1,"")</f>
        <v>-0.36124197002141334</v>
      </c>
      <c r="S653" s="19">
        <f ca="1">IF('Stock Price'!$I$11="OK",F653/INDEX(F$5:F$1258,'Stock Price'!$I$9)-1,"")</f>
        <v>1.4279801324503349E-2</v>
      </c>
      <c r="T653" s="19">
        <f ca="1">IF('Stock Price'!$I$11="OK",G653/INDEX(G$5:G$1258,'Stock Price'!$I$9)-1,"")</f>
        <v>-0.39304668038557344</v>
      </c>
      <c r="U653" s="19">
        <f ca="1">IF('Stock Price'!$I$11="OK",H653/INDEX(H$5:H$1258,'Stock Price'!$I$9)-1,"")</f>
        <v>0.56262254901960795</v>
      </c>
      <c r="V653" s="19">
        <f ca="1">IF('Stock Price'!$I$11="OK",I653/INDEX(I$5:I$1258,'Stock Price'!$I$9)-1,"")</f>
        <v>-0.3428638941398866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148.22999999999999</v>
      </c>
      <c r="C654" s="18">
        <v>97.73</v>
      </c>
      <c r="D654" s="18">
        <v>43.45</v>
      </c>
      <c r="E654" s="18">
        <v>30.09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0.2250413223140495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-9.0528519099947635E-2</v>
      </c>
      <c r="R654" s="19">
        <f ca="1">IF('Stock Price'!$I$11="OK",E654/INDEX(E$5:E$1258,'Stock Price'!$I$9)-1,"")</f>
        <v>-0.35567451820128482</v>
      </c>
      <c r="S654" s="19">
        <f ca="1">IF('Stock Price'!$I$11="OK",F654/INDEX(F$5:F$1258,'Stock Price'!$I$9)-1,"")</f>
        <v>2.0902317880794552E-2</v>
      </c>
      <c r="T654" s="19">
        <f ca="1">IF('Stock Price'!$I$11="OK",G654/INDEX(G$5:G$1258,'Stock Price'!$I$9)-1,"")</f>
        <v>-0.39218022311274781</v>
      </c>
      <c r="U654" s="19">
        <f ca="1">IF('Stock Price'!$I$11="OK",H654/INDEX(H$5:H$1258,'Stock Price'!$I$9)-1,"")</f>
        <v>0.56335784313725501</v>
      </c>
      <c r="V654" s="19">
        <f ca="1">IF('Stock Price'!$I$11="OK",I654/INDEX(I$5:I$1258,'Stock Price'!$I$9)-1,"")</f>
        <v>-0.33459357277882795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146.65</v>
      </c>
      <c r="C655" s="18">
        <v>99.07</v>
      </c>
      <c r="D655" s="18">
        <v>44.15</v>
      </c>
      <c r="E655" s="18">
        <v>30.48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0.2119834710743802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-7.5876504447933035E-2</v>
      </c>
      <c r="R655" s="19">
        <f ca="1">IF('Stock Price'!$I$11="OK",E655/INDEX(E$5:E$1258,'Stock Price'!$I$9)-1,"")</f>
        <v>-0.34732334047109215</v>
      </c>
      <c r="S655" s="19">
        <f ca="1">IF('Stock Price'!$I$11="OK",F655/INDEX(F$5:F$1258,'Stock Price'!$I$9)-1,"")</f>
        <v>2.5869205298013176E-2</v>
      </c>
      <c r="T655" s="19">
        <f ca="1">IF('Stock Price'!$I$11="OK",G655/INDEX(G$5:G$1258,'Stock Price'!$I$9)-1,"")</f>
        <v>-0.38297411458897435</v>
      </c>
      <c r="U655" s="19">
        <f ca="1">IF('Stock Price'!$I$11="OK",H655/INDEX(H$5:H$1258,'Stock Price'!$I$9)-1,"")</f>
        <v>0.59779411764705892</v>
      </c>
      <c r="V655" s="19">
        <f ca="1">IF('Stock Price'!$I$11="OK",I655/INDEX(I$5:I$1258,'Stock Price'!$I$9)-1,"")</f>
        <v>-0.3438090737240076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152.4</v>
      </c>
      <c r="C656" s="18">
        <v>99.6</v>
      </c>
      <c r="D656" s="18">
        <v>44.14</v>
      </c>
      <c r="E656" s="18">
        <v>30.42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0.25950413223140512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-7.6085818942961736E-2</v>
      </c>
      <c r="R656" s="19">
        <f ca="1">IF('Stock Price'!$I$11="OK",E656/INDEX(E$5:E$1258,'Stock Price'!$I$9)-1,"")</f>
        <v>-0.34860813704496785</v>
      </c>
      <c r="S656" s="19">
        <f ca="1">IF('Stock Price'!$I$11="OK",F656/INDEX(F$5:F$1258,'Stock Price'!$I$9)-1,"")</f>
        <v>3.6837748344370924E-2</v>
      </c>
      <c r="T656" s="19">
        <f ca="1">IF('Stock Price'!$I$11="OK",G656/INDEX(G$5:G$1258,'Stock Price'!$I$9)-1,"")</f>
        <v>-0.38319072890718076</v>
      </c>
      <c r="U656" s="19">
        <f ca="1">IF('Stock Price'!$I$11="OK",H656/INDEX(H$5:H$1258,'Stock Price'!$I$9)-1,"")</f>
        <v>0.58762254901960809</v>
      </c>
      <c r="V656" s="19">
        <f ca="1">IF('Stock Price'!$I$11="OK",I656/INDEX(I$5:I$1258,'Stock Price'!$I$9)-1,"")</f>
        <v>-0.33199432892249525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152.33000000000001</v>
      </c>
      <c r="C657" s="18">
        <v>100.21</v>
      </c>
      <c r="D657" s="18">
        <v>44.67</v>
      </c>
      <c r="E657" s="18">
        <v>30.9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0.25892561983471074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-6.499215070643638E-2</v>
      </c>
      <c r="R657" s="19">
        <f ca="1">IF('Stock Price'!$I$11="OK",E657/INDEX(E$5:E$1258,'Stock Price'!$I$9)-1,"")</f>
        <v>-0.33832976445396157</v>
      </c>
      <c r="S657" s="19">
        <f ca="1">IF('Stock Price'!$I$11="OK",F657/INDEX(F$5:F$1258,'Stock Price'!$I$9)-1,"")</f>
        <v>7.6572847682119249E-3</v>
      </c>
      <c r="T657" s="19">
        <f ca="1">IF('Stock Price'!$I$11="OK",G657/INDEX(G$5:G$1258,'Stock Price'!$I$9)-1,"")</f>
        <v>-0.37853352106574245</v>
      </c>
      <c r="U657" s="19">
        <f ca="1">IF('Stock Price'!$I$11="OK",H657/INDEX(H$5:H$1258,'Stock Price'!$I$9)-1,"")</f>
        <v>0.59595588235294117</v>
      </c>
      <c r="V657" s="19">
        <f ca="1">IF('Stock Price'!$I$11="OK",I657/INDEX(I$5:I$1258,'Stock Price'!$I$9)-1,"")</f>
        <v>-0.33412098298676751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156.00729999999999</v>
      </c>
      <c r="C658" s="18">
        <v>102.1</v>
      </c>
      <c r="D658" s="18">
        <v>45.07</v>
      </c>
      <c r="E658" s="18">
        <v>30.95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0.28931652892561965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-5.6619570905285133E-2</v>
      </c>
      <c r="R658" s="19">
        <f ca="1">IF('Stock Price'!$I$11="OK",E658/INDEX(E$5:E$1258,'Stock Price'!$I$9)-1,"")</f>
        <v>-0.33725910064239839</v>
      </c>
      <c r="S658" s="19">
        <f ca="1">IF('Stock Price'!$I$11="OK",F658/INDEX(F$5:F$1258,'Stock Price'!$I$9)-1,"")</f>
        <v>1.9867549668874274E-2</v>
      </c>
      <c r="T658" s="19">
        <f ca="1">IF('Stock Price'!$I$11="OK",G658/INDEX(G$5:G$1258,'Stock Price'!$I$9)-1,"")</f>
        <v>-0.37279324163327199</v>
      </c>
      <c r="U658" s="19">
        <f ca="1">IF('Stock Price'!$I$11="OK",H658/INDEX(H$5:H$1258,'Stock Price'!$I$9)-1,"")</f>
        <v>0.59387254901960795</v>
      </c>
      <c r="V658" s="19">
        <f ca="1">IF('Stock Price'!$I$11="OK",I658/INDEX(I$5:I$1258,'Stock Price'!$I$9)-1,"")</f>
        <v>-0.33813799621928164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155.84</v>
      </c>
      <c r="C659" s="18">
        <v>102.26</v>
      </c>
      <c r="D659" s="18">
        <v>45.17</v>
      </c>
      <c r="E659" s="18">
        <v>30.35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0.28793388429752076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-5.4526425954997348E-2</v>
      </c>
      <c r="R659" s="19">
        <f ca="1">IF('Stock Price'!$I$11="OK",E659/INDEX(E$5:E$1258,'Stock Price'!$I$9)-1,"")</f>
        <v>-0.3501070663811563</v>
      </c>
      <c r="S659" s="19">
        <f ca="1">IF('Stock Price'!$I$11="OK",F659/INDEX(F$5:F$1258,'Stock Price'!$I$9)-1,"")</f>
        <v>3.9114238410596025E-2</v>
      </c>
      <c r="T659" s="19">
        <f ca="1">IF('Stock Price'!$I$11="OK",G659/INDEX(G$5:G$1258,'Stock Price'!$I$9)-1,"")</f>
        <v>-0.36358713310949853</v>
      </c>
      <c r="U659" s="19">
        <f ca="1">IF('Stock Price'!$I$11="OK",H659/INDEX(H$5:H$1258,'Stock Price'!$I$9)-1,"")</f>
        <v>0.58443627450980395</v>
      </c>
      <c r="V659" s="19">
        <f ca="1">IF('Stock Price'!$I$11="OK",I659/INDEX(I$5:I$1258,'Stock Price'!$I$9)-1,"")</f>
        <v>-0.32797731568998112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152.87989999999999</v>
      </c>
      <c r="C660" s="18">
        <v>103.31</v>
      </c>
      <c r="D660" s="18">
        <v>45.66</v>
      </c>
      <c r="E660" s="18">
        <v>30.95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0.26347024793388418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-4.4270015698587128E-2</v>
      </c>
      <c r="R660" s="19">
        <f ca="1">IF('Stock Price'!$I$11="OK",E660/INDEX(E$5:E$1258,'Stock Price'!$I$9)-1,"")</f>
        <v>-0.33725910064239839</v>
      </c>
      <c r="S660" s="19">
        <f ca="1">IF('Stock Price'!$I$11="OK",F660/INDEX(F$5:F$1258,'Stock Price'!$I$9)-1,"")</f>
        <v>2.4420529801324475E-2</v>
      </c>
      <c r="T660" s="19">
        <f ca="1">IF('Stock Price'!$I$11="OK",G660/INDEX(G$5:G$1258,'Stock Price'!$I$9)-1,"")</f>
        <v>-0.36705296220080152</v>
      </c>
      <c r="U660" s="19">
        <f ca="1">IF('Stock Price'!$I$11="OK",H660/INDEX(H$5:H$1258,'Stock Price'!$I$9)-1,"")</f>
        <v>0.57671568627450998</v>
      </c>
      <c r="V660" s="19">
        <f ca="1">IF('Stock Price'!$I$11="OK",I660/INDEX(I$5:I$1258,'Stock Price'!$I$9)-1,"")</f>
        <v>-0.32939508506616255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153</v>
      </c>
      <c r="C661" s="18">
        <v>103.22</v>
      </c>
      <c r="D661" s="18">
        <v>45.7</v>
      </c>
      <c r="E661" s="18">
        <v>31.4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0.26446280991735538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-4.3432757718471882E-2</v>
      </c>
      <c r="R661" s="19">
        <f ca="1">IF('Stock Price'!$I$11="OK",E661/INDEX(E$5:E$1258,'Stock Price'!$I$9)-1,"")</f>
        <v>-0.3276231263383298</v>
      </c>
      <c r="S661" s="19">
        <f ca="1">IF('Stock Price'!$I$11="OK",F661/INDEX(F$5:F$1258,'Stock Price'!$I$9)-1,"")</f>
        <v>1.4279801324503349E-2</v>
      </c>
      <c r="T661" s="19">
        <f ca="1">IF('Stock Price'!$I$11="OK",G661/INDEX(G$5:G$1258,'Stock Price'!$I$9)-1,"")</f>
        <v>-0.36477851185963395</v>
      </c>
      <c r="U661" s="19">
        <f ca="1">IF('Stock Price'!$I$11="OK",H661/INDEX(H$5:H$1258,'Stock Price'!$I$9)-1,"")</f>
        <v>0.61433823529411757</v>
      </c>
      <c r="V661" s="19">
        <f ca="1">IF('Stock Price'!$I$11="OK",I661/INDEX(I$5:I$1258,'Stock Price'!$I$9)-1,"")</f>
        <v>-0.31899810964083175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155.72</v>
      </c>
      <c r="C662" s="18">
        <v>102.69</v>
      </c>
      <c r="D662" s="18">
        <v>44.88</v>
      </c>
      <c r="E662" s="18">
        <v>32.65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0.28694214876033053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-6.0596546310831889E-2</v>
      </c>
      <c r="R662" s="19">
        <f ca="1">IF('Stock Price'!$I$11="OK",E662/INDEX(E$5:E$1258,'Stock Price'!$I$9)-1,"")</f>
        <v>-0.30085653104925059</v>
      </c>
      <c r="S662" s="19">
        <f ca="1">IF('Stock Price'!$I$11="OK",F662/INDEX(F$5:F$1258,'Stock Price'!$I$9)-1,"")</f>
        <v>1.0347682119205226E-2</v>
      </c>
      <c r="T662" s="19">
        <f ca="1">IF('Stock Price'!$I$11="OK",G662/INDEX(G$5:G$1258,'Stock Price'!$I$9)-1,"")</f>
        <v>-0.3793999783385682</v>
      </c>
      <c r="U662" s="19">
        <f ca="1">IF('Stock Price'!$I$11="OK",H662/INDEX(H$5:H$1258,'Stock Price'!$I$9)-1,"")</f>
        <v>0.60392156862745106</v>
      </c>
      <c r="V662" s="19">
        <f ca="1">IF('Stock Price'!$I$11="OK",I662/INDEX(I$5:I$1258,'Stock Price'!$I$9)-1,"")</f>
        <v>-0.31663516068052922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155.26</v>
      </c>
      <c r="C663" s="18">
        <v>102.57</v>
      </c>
      <c r="D663" s="18">
        <v>44.98</v>
      </c>
      <c r="E663" s="18">
        <v>32.81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0.28314049586776857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-5.8503401360544216E-2</v>
      </c>
      <c r="R663" s="19">
        <f ca="1">IF('Stock Price'!$I$11="OK",E663/INDEX(E$5:E$1258,'Stock Price'!$I$9)-1,"")</f>
        <v>-0.29743040685224842</v>
      </c>
      <c r="S663" s="19">
        <f ca="1">IF('Stock Price'!$I$11="OK",F663/INDEX(F$5:F$1258,'Stock Price'!$I$9)-1,"")</f>
        <v>7.2433774834437248E-3</v>
      </c>
      <c r="T663" s="19">
        <f ca="1">IF('Stock Price'!$I$11="OK",G663/INDEX(G$5:G$1258,'Stock Price'!$I$9)-1,"")</f>
        <v>-0.38091627856601329</v>
      </c>
      <c r="U663" s="19">
        <f ca="1">IF('Stock Price'!$I$11="OK",H663/INDEX(H$5:H$1258,'Stock Price'!$I$9)-1,"")</f>
        <v>0.60772058823529429</v>
      </c>
      <c r="V663" s="19">
        <f ca="1">IF('Stock Price'!$I$11="OK",I663/INDEX(I$5:I$1258,'Stock Price'!$I$9)-1,"")</f>
        <v>-0.32325141776937616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154.61000000000001</v>
      </c>
      <c r="C664" s="18">
        <v>102.84</v>
      </c>
      <c r="D664" s="18">
        <v>44.59</v>
      </c>
      <c r="E664" s="18">
        <v>32.770000000000003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0.27776859504132245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-6.6666666666666541E-2</v>
      </c>
      <c r="R664" s="19">
        <f ca="1">IF('Stock Price'!$I$11="OK",E664/INDEX(E$5:E$1258,'Stock Price'!$I$9)-1,"")</f>
        <v>-0.29828693790149885</v>
      </c>
      <c r="S664" s="19">
        <f ca="1">IF('Stock Price'!$I$11="OK",F664/INDEX(F$5:F$1258,'Stock Price'!$I$9)-1,"")</f>
        <v>2.0695364238410008E-3</v>
      </c>
      <c r="T664" s="19">
        <f ca="1">IF('Stock Price'!$I$11="OK",G664/INDEX(G$5:G$1258,'Stock Price'!$I$9)-1,"")</f>
        <v>-0.37907505686125853</v>
      </c>
      <c r="U664" s="19">
        <f ca="1">IF('Stock Price'!$I$11="OK",H664/INDEX(H$5:H$1258,'Stock Price'!$I$9)-1,"")</f>
        <v>0.60526960784313744</v>
      </c>
      <c r="V664" s="19">
        <f ca="1">IF('Stock Price'!$I$11="OK",I664/INDEX(I$5:I$1258,'Stock Price'!$I$9)-1,"")</f>
        <v>-0.32585066162570886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159.06</v>
      </c>
      <c r="C665" s="18">
        <v>102.84</v>
      </c>
      <c r="D665" s="18">
        <v>44.46</v>
      </c>
      <c r="E665" s="18">
        <v>32.32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0.31454545454545446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-6.938775510204076E-2</v>
      </c>
      <c r="R665" s="19">
        <f ca="1">IF('Stock Price'!$I$11="OK",E665/INDEX(E$5:E$1258,'Stock Price'!$I$9)-1,"")</f>
        <v>-0.30792291220556745</v>
      </c>
      <c r="S665" s="19">
        <f ca="1">IF('Stock Price'!$I$11="OK",F665/INDEX(F$5:F$1258,'Stock Price'!$I$9)-1,"")</f>
        <v>1.3038079470198749E-2</v>
      </c>
      <c r="T665" s="19">
        <f ca="1">IF('Stock Price'!$I$11="OK",G665/INDEX(G$5:G$1258,'Stock Price'!$I$9)-1,"")</f>
        <v>-0.38665655799848364</v>
      </c>
      <c r="U665" s="19">
        <f ca="1">IF('Stock Price'!$I$11="OK",H665/INDEX(H$5:H$1258,'Stock Price'!$I$9)-1,"")</f>
        <v>0.60245098039215694</v>
      </c>
      <c r="V665" s="19">
        <f ca="1">IF('Stock Price'!$I$11="OK",I665/INDEX(I$5:I$1258,'Stock Price'!$I$9)-1,"")</f>
        <v>-0.32514177693761814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158.74</v>
      </c>
      <c r="C666" s="18">
        <v>101.96</v>
      </c>
      <c r="D666" s="18">
        <v>45.78</v>
      </c>
      <c r="E666" s="18">
        <v>31.67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0.31190082644628103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-4.1758241758241721E-2</v>
      </c>
      <c r="R666" s="19">
        <f ca="1">IF('Stock Price'!$I$11="OK",E666/INDEX(E$5:E$1258,'Stock Price'!$I$9)-1,"")</f>
        <v>-0.32184154175588864</v>
      </c>
      <c r="S666" s="19">
        <f ca="1">IF('Stock Price'!$I$11="OK",F666/INDEX(F$5:F$1258,'Stock Price'!$I$9)-1,"")</f>
        <v>4.2218543046357526E-2</v>
      </c>
      <c r="T666" s="19">
        <f ca="1">IF('Stock Price'!$I$11="OK",G666/INDEX(G$5:G$1258,'Stock Price'!$I$9)-1,"")</f>
        <v>-0.38492364345283225</v>
      </c>
      <c r="U666" s="19">
        <f ca="1">IF('Stock Price'!$I$11="OK",H666/INDEX(H$5:H$1258,'Stock Price'!$I$9)-1,"")</f>
        <v>0.60661764705882359</v>
      </c>
      <c r="V666" s="19">
        <f ca="1">IF('Stock Price'!$I$11="OK",I666/INDEX(I$5:I$1258,'Stock Price'!$I$9)-1,"")</f>
        <v>-0.30056710775047257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159.36000000000001</v>
      </c>
      <c r="C667" s="18">
        <v>101.11</v>
      </c>
      <c r="D667" s="18">
        <v>45.15</v>
      </c>
      <c r="E667" s="18">
        <v>31.79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0.31702479338842982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-5.4945054945054972E-2</v>
      </c>
      <c r="R667" s="19">
        <f ca="1">IF('Stock Price'!$I$11="OK",E667/INDEX(E$5:E$1258,'Stock Price'!$I$9)-1,"")</f>
        <v>-0.31927194860813712</v>
      </c>
      <c r="S667" s="19">
        <f ca="1">IF('Stock Price'!$I$11="OK",F667/INDEX(F$5:F$1258,'Stock Price'!$I$9)-1,"")</f>
        <v>1.4072847682119249E-2</v>
      </c>
      <c r="T667" s="19">
        <f ca="1">IF('Stock Price'!$I$11="OK",G667/INDEX(G$5:G$1258,'Stock Price'!$I$9)-1,"")</f>
        <v>-0.40246940322755331</v>
      </c>
      <c r="U667" s="19">
        <f ca="1">IF('Stock Price'!$I$11="OK",H667/INDEX(H$5:H$1258,'Stock Price'!$I$9)-1,"")</f>
        <v>0.60649509803921586</v>
      </c>
      <c r="V667" s="19">
        <f ca="1">IF('Stock Price'!$I$11="OK",I667/INDEX(I$5:I$1258,'Stock Price'!$I$9)-1,"")</f>
        <v>-0.32206994328922489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159.12</v>
      </c>
      <c r="C668" s="18">
        <v>100.53</v>
      </c>
      <c r="D668" s="18">
        <v>45.12</v>
      </c>
      <c r="E668" s="18">
        <v>31.6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0.31504132231404958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-5.5572998430141296E-2</v>
      </c>
      <c r="R668" s="19">
        <f ca="1">IF('Stock Price'!$I$11="OK",E668/INDEX(E$5:E$1258,'Stock Price'!$I$9)-1,"")</f>
        <v>-0.32334047109207709</v>
      </c>
      <c r="S668" s="19">
        <f ca="1">IF('Stock Price'!$I$11="OK",F668/INDEX(F$5:F$1258,'Stock Price'!$I$9)-1,"")</f>
        <v>4.5529801324502017E-3</v>
      </c>
      <c r="T668" s="19">
        <f ca="1">IF('Stock Price'!$I$11="OK",G668/INDEX(G$5:G$1258,'Stock Price'!$I$9)-1,"")</f>
        <v>-0.40149463879562441</v>
      </c>
      <c r="U668" s="19">
        <f ca="1">IF('Stock Price'!$I$11="OK",H668/INDEX(H$5:H$1258,'Stock Price'!$I$9)-1,"")</f>
        <v>0.58688725490196103</v>
      </c>
      <c r="V668" s="19">
        <f ca="1">IF('Stock Price'!$I$11="OK",I668/INDEX(I$5:I$1258,'Stock Price'!$I$9)-1,"")</f>
        <v>-0.31758034026465032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158.5</v>
      </c>
      <c r="C669" s="18">
        <v>99.68</v>
      </c>
      <c r="D669" s="18">
        <v>44.24</v>
      </c>
      <c r="E669" s="18">
        <v>31.3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0.30991735537190079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-7.3992673992673952E-2</v>
      </c>
      <c r="R669" s="19">
        <f ca="1">IF('Stock Price'!$I$11="OK",E669/INDEX(E$5:E$1258,'Stock Price'!$I$9)-1,"")</f>
        <v>-0.32976445396145615</v>
      </c>
      <c r="S669" s="19">
        <f ca="1">IF('Stock Price'!$I$11="OK",F669/INDEX(F$5:F$1258,'Stock Price'!$I$9)-1,"")</f>
        <v>-7.864238410596025E-3</v>
      </c>
      <c r="T669" s="19">
        <f ca="1">IF('Stock Price'!$I$11="OK",G669/INDEX(G$5:G$1258,'Stock Price'!$I$9)-1,"")</f>
        <v>-0.39781219538611501</v>
      </c>
      <c r="U669" s="19">
        <f ca="1">IF('Stock Price'!$I$11="OK",H669/INDEX(H$5:H$1258,'Stock Price'!$I$9)-1,"")</f>
        <v>0.54522058823529429</v>
      </c>
      <c r="V669" s="19">
        <f ca="1">IF('Stock Price'!$I$11="OK",I669/INDEX(I$5:I$1258,'Stock Price'!$I$9)-1,"")</f>
        <v>-0.33128544423440454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146.19999999999999</v>
      </c>
      <c r="C670" s="18">
        <v>99.36</v>
      </c>
      <c r="D670" s="18">
        <v>44.28</v>
      </c>
      <c r="E670" s="18">
        <v>31.33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0.20826446280991728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-7.3155416012558816E-2</v>
      </c>
      <c r="R670" s="19">
        <f ca="1">IF('Stock Price'!$I$11="OK",E670/INDEX(E$5:E$1258,'Stock Price'!$I$9)-1,"")</f>
        <v>-0.32912205567451824</v>
      </c>
      <c r="S670" s="19">
        <f ca="1">IF('Stock Price'!$I$11="OK",F670/INDEX(F$5:F$1258,'Stock Price'!$I$9)-1,"")</f>
        <v>-1.552152317880795E-2</v>
      </c>
      <c r="T670" s="19">
        <f ca="1">IF('Stock Price'!$I$11="OK",G670/INDEX(G$5:G$1258,'Stock Price'!$I$9)-1,"")</f>
        <v>-0.4167659482291779</v>
      </c>
      <c r="U670" s="19">
        <f ca="1">IF('Stock Price'!$I$11="OK",H670/INDEX(H$5:H$1258,'Stock Price'!$I$9)-1,"")</f>
        <v>0.54289215686274517</v>
      </c>
      <c r="V670" s="19">
        <f ca="1">IF('Stock Price'!$I$11="OK",I670/INDEX(I$5:I$1258,'Stock Price'!$I$9)-1,"")</f>
        <v>-0.34262759924385633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146.19999999999999</v>
      </c>
      <c r="C671" s="18">
        <v>100.7</v>
      </c>
      <c r="D671" s="18">
        <v>44.02</v>
      </c>
      <c r="E671" s="18">
        <v>31.57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0.20826446280991728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-7.8597592883307033E-2</v>
      </c>
      <c r="R671" s="19">
        <f ca="1">IF('Stock Price'!$I$11="OK",E671/INDEX(E$5:E$1258,'Stock Price'!$I$9)-1,"")</f>
        <v>-0.32398286937901499</v>
      </c>
      <c r="S671" s="19">
        <f ca="1">IF('Stock Price'!$I$11="OK",F671/INDEX(F$5:F$1258,'Stock Price'!$I$9)-1,"")</f>
        <v>-1.0140728476821237E-2</v>
      </c>
      <c r="T671" s="19">
        <f ca="1">IF('Stock Price'!$I$11="OK",G671/INDEX(G$5:G$1258,'Stock Price'!$I$9)-1,"")</f>
        <v>-0.39228853027185095</v>
      </c>
      <c r="U671" s="19">
        <f ca="1">IF('Stock Price'!$I$11="OK",H671/INDEX(H$5:H$1258,'Stock Price'!$I$9)-1,"")</f>
        <v>0.52610294117647061</v>
      </c>
      <c r="V671" s="19">
        <f ca="1">IF('Stock Price'!$I$11="OK",I671/INDEX(I$5:I$1258,'Stock Price'!$I$9)-1,"")</f>
        <v>-0.33364839319470696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153.78</v>
      </c>
      <c r="C672" s="18">
        <v>103.13</v>
      </c>
      <c r="D672" s="18">
        <v>44.77</v>
      </c>
      <c r="E672" s="18">
        <v>32.01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0.27090909090909099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-6.2899005756148485E-2</v>
      </c>
      <c r="R672" s="19">
        <f ca="1">IF('Stock Price'!$I$11="OK",E672/INDEX(E$5:E$1258,'Stock Price'!$I$9)-1,"")</f>
        <v>-0.31456102783725914</v>
      </c>
      <c r="S672" s="19">
        <f ca="1">IF('Stock Price'!$I$11="OK",F672/INDEX(F$5:F$1258,'Stock Price'!$I$9)-1,"")</f>
        <v>1.469370860927155E-2</v>
      </c>
      <c r="T672" s="19">
        <f ca="1">IF('Stock Price'!$I$11="OK",G672/INDEX(G$5:G$1258,'Stock Price'!$I$9)-1,"")</f>
        <v>-0.38828116538503199</v>
      </c>
      <c r="U672" s="19">
        <f ca="1">IF('Stock Price'!$I$11="OK",H672/INDEX(H$5:H$1258,'Stock Price'!$I$9)-1,"")</f>
        <v>0.53848039215686283</v>
      </c>
      <c r="V672" s="19">
        <f ca="1">IF('Stock Price'!$I$11="OK",I672/INDEX(I$5:I$1258,'Stock Price'!$I$9)-1,"")</f>
        <v>-0.32277882797731572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158.43</v>
      </c>
      <c r="C673" s="18">
        <v>102.76</v>
      </c>
      <c r="D673" s="18">
        <v>40.880000000000003</v>
      </c>
      <c r="E673" s="18">
        <v>32.340000000000003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0.30933884297520664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-0.14432234432234425</v>
      </c>
      <c r="R673" s="19">
        <f ca="1">IF('Stock Price'!$I$11="OK",E673/INDEX(E$5:E$1258,'Stock Price'!$I$9)-1,"")</f>
        <v>-0.30749464668094217</v>
      </c>
      <c r="S673" s="19">
        <f ca="1">IF('Stock Price'!$I$11="OK",F673/INDEX(F$5:F$1258,'Stock Price'!$I$9)-1,"")</f>
        <v>1.9246688741721751E-2</v>
      </c>
      <c r="T673" s="19">
        <f ca="1">IF('Stock Price'!$I$11="OK",G673/INDEX(G$5:G$1258,'Stock Price'!$I$9)-1,"")</f>
        <v>-0.37994151413408428</v>
      </c>
      <c r="U673" s="19">
        <f ca="1">IF('Stock Price'!$I$11="OK",H673/INDEX(H$5:H$1258,'Stock Price'!$I$9)-1,"")</f>
        <v>0.57377450980392153</v>
      </c>
      <c r="V673" s="19">
        <f ca="1">IF('Stock Price'!$I$11="OK",I673/INDEX(I$5:I$1258,'Stock Price'!$I$9)-1,"")</f>
        <v>-0.30741965973534979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156.35</v>
      </c>
      <c r="C674" s="18">
        <v>104.92</v>
      </c>
      <c r="D674" s="18">
        <v>41.35</v>
      </c>
      <c r="E674" s="18">
        <v>32.89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0.29214876033057857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-0.13448456305599155</v>
      </c>
      <c r="R674" s="19">
        <f ca="1">IF('Stock Price'!$I$11="OK",E674/INDEX(E$5:E$1258,'Stock Price'!$I$9)-1,"")</f>
        <v>-0.29571734475374734</v>
      </c>
      <c r="S674" s="19">
        <f ca="1">IF('Stock Price'!$I$11="OK",F674/INDEX(F$5:F$1258,'Stock Price'!$I$9)-1,"")</f>
        <v>1.8418874172185351E-2</v>
      </c>
      <c r="T674" s="19">
        <f ca="1">IF('Stock Price'!$I$11="OK",G674/INDEX(G$5:G$1258,'Stock Price'!$I$9)-1,"")</f>
        <v>-0.38622332936207082</v>
      </c>
      <c r="U674" s="19">
        <f ca="1">IF('Stock Price'!$I$11="OK",H674/INDEX(H$5:H$1258,'Stock Price'!$I$9)-1,"")</f>
        <v>0.5773284313725493</v>
      </c>
      <c r="V674" s="19">
        <f ca="1">IF('Stock Price'!$I$11="OK",I674/INDEX(I$5:I$1258,'Stock Price'!$I$9)-1,"")</f>
        <v>-0.30316635160680538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160.1</v>
      </c>
      <c r="C675" s="18">
        <v>105.36</v>
      </c>
      <c r="D675" s="18">
        <v>41.97</v>
      </c>
      <c r="E675" s="18">
        <v>33.04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0.32314049586776861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-0.12150706436420722</v>
      </c>
      <c r="R675" s="19">
        <f ca="1">IF('Stock Price'!$I$11="OK",E675/INDEX(E$5:E$1258,'Stock Price'!$I$9)-1,"")</f>
        <v>-0.29250535331905791</v>
      </c>
      <c r="S675" s="19">
        <f ca="1">IF('Stock Price'!$I$11="OK",F675/INDEX(F$5:F$1258,'Stock Price'!$I$9)-1,"")</f>
        <v>1.676324503311255E-2</v>
      </c>
      <c r="T675" s="19">
        <f ca="1">IF('Stock Price'!$I$11="OK",G675/INDEX(G$5:G$1258,'Stock Price'!$I$9)-1,"")</f>
        <v>-0.38059135708870362</v>
      </c>
      <c r="U675" s="19">
        <f ca="1">IF('Stock Price'!$I$11="OK",H675/INDEX(H$5:H$1258,'Stock Price'!$I$9)-1,"")</f>
        <v>0.58639705882352944</v>
      </c>
      <c r="V675" s="19">
        <f ca="1">IF('Stock Price'!$I$11="OK",I675/INDEX(I$5:I$1258,'Stock Price'!$I$9)-1,"")</f>
        <v>-0.30174858223062384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159.96</v>
      </c>
      <c r="C676" s="18">
        <v>106.13</v>
      </c>
      <c r="D676" s="18">
        <v>41.54</v>
      </c>
      <c r="E676" s="18">
        <v>33.479999999999997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0.3219834710743803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-0.13050758765044479</v>
      </c>
      <c r="R676" s="19">
        <f ca="1">IF('Stock Price'!$I$11="OK",E676/INDEX(E$5:E$1258,'Stock Price'!$I$9)-1,"")</f>
        <v>-0.28308351177730207</v>
      </c>
      <c r="S676" s="19">
        <f ca="1">IF('Stock Price'!$I$11="OK",F676/INDEX(F$5:F$1258,'Stock Price'!$I$9)-1,"")</f>
        <v>2.4627483443708575E-2</v>
      </c>
      <c r="T676" s="19">
        <f ca="1">IF('Stock Price'!$I$11="OK",G676/INDEX(G$5:G$1258,'Stock Price'!$I$9)-1,"")</f>
        <v>-0.38514025777103866</v>
      </c>
      <c r="U676" s="19">
        <f ca="1">IF('Stock Price'!$I$11="OK",H676/INDEX(H$5:H$1258,'Stock Price'!$I$9)-1,"")</f>
        <v>0.59950980392156894</v>
      </c>
      <c r="V676" s="19">
        <f ca="1">IF('Stock Price'!$I$11="OK",I676/INDEX(I$5:I$1258,'Stock Price'!$I$9)-1,"")</f>
        <v>-0.31947069943289219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159.96</v>
      </c>
      <c r="C677" s="18">
        <v>105.33</v>
      </c>
      <c r="D677" s="18">
        <v>41.21</v>
      </c>
      <c r="E677" s="18">
        <v>33.549999999999997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0.3219834710743803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-0.13741496598639447</v>
      </c>
      <c r="R677" s="19">
        <f ca="1">IF('Stock Price'!$I$11="OK",E677/INDEX(E$5:E$1258,'Stock Price'!$I$9)-1,"")</f>
        <v>-0.28158458244111362</v>
      </c>
      <c r="S677" s="19">
        <f ca="1">IF('Stock Price'!$I$11="OK",F677/INDEX(F$5:F$1258,'Stock Price'!$I$9)-1,"")</f>
        <v>1.3658940397350827E-2</v>
      </c>
      <c r="T677" s="19">
        <f ca="1">IF('Stock Price'!$I$11="OK",G677/INDEX(G$5:G$1258,'Stock Price'!$I$9)-1,"")</f>
        <v>-0.39153038015812847</v>
      </c>
      <c r="U677" s="19">
        <f ca="1">IF('Stock Price'!$I$11="OK",H677/INDEX(H$5:H$1258,'Stock Price'!$I$9)-1,"")</f>
        <v>0.60134803921568625</v>
      </c>
      <c r="V677" s="19">
        <f ca="1">IF('Stock Price'!$I$11="OK",I677/INDEX(I$5:I$1258,'Stock Price'!$I$9)-1,"")</f>
        <v>-0.3246691871455577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159.37989999999999</v>
      </c>
      <c r="C678" s="18">
        <v>105.4</v>
      </c>
      <c r="D678" s="18">
        <v>41.29</v>
      </c>
      <c r="E678" s="18">
        <v>33.46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0.31718925619834715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-0.13574045002616431</v>
      </c>
      <c r="R678" s="19">
        <f ca="1">IF('Stock Price'!$I$11="OK",E678/INDEX(E$5:E$1258,'Stock Price'!$I$9)-1,"")</f>
        <v>-0.28351177730192723</v>
      </c>
      <c r="S678" s="19">
        <f ca="1">IF('Stock Price'!$I$11="OK",F678/INDEX(F$5:F$1258,'Stock Price'!$I$9)-1,"")</f>
        <v>1.1175496688741626E-2</v>
      </c>
      <c r="T678" s="19">
        <f ca="1">IF('Stock Price'!$I$11="OK",G678/INDEX(G$5:G$1258,'Stock Price'!$I$9)-1,"")</f>
        <v>-0.40485216072782404</v>
      </c>
      <c r="U678" s="19">
        <f ca="1">IF('Stock Price'!$I$11="OK",H678/INDEX(H$5:H$1258,'Stock Price'!$I$9)-1,"")</f>
        <v>0.61139705882352957</v>
      </c>
      <c r="V678" s="19">
        <f ca="1">IF('Stock Price'!$I$11="OK",I678/INDEX(I$5:I$1258,'Stock Price'!$I$9)-1,"")</f>
        <v>-0.33672022684310021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161</v>
      </c>
      <c r="C679" s="18">
        <v>104.51</v>
      </c>
      <c r="D679" s="18">
        <v>41.06</v>
      </c>
      <c r="E679" s="18">
        <v>33.51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0.33057851239669422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-0.1405546834118262</v>
      </c>
      <c r="R679" s="19">
        <f ca="1">IF('Stock Price'!$I$11="OK",E679/INDEX(E$5:E$1258,'Stock Price'!$I$9)-1,"")</f>
        <v>-0.28244111349036416</v>
      </c>
      <c r="S679" s="19">
        <f ca="1">IF('Stock Price'!$I$11="OK",F679/INDEX(F$5:F$1258,'Stock Price'!$I$9)-1,"")</f>
        <v>3.9321192052979015E-3</v>
      </c>
      <c r="T679" s="19">
        <f ca="1">IF('Stock Price'!$I$11="OK",G679/INDEX(G$5:G$1258,'Stock Price'!$I$9)-1,"")</f>
        <v>-0.41340842629697827</v>
      </c>
      <c r="U679" s="19">
        <f ca="1">IF('Stock Price'!$I$11="OK",H679/INDEX(H$5:H$1258,'Stock Price'!$I$9)-1,"")</f>
        <v>0.61568627450980418</v>
      </c>
      <c r="V679" s="19">
        <f ca="1">IF('Stock Price'!$I$11="OK",I679/INDEX(I$5:I$1258,'Stock Price'!$I$9)-1,"")</f>
        <v>-0.3376654064272212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160.44999999999999</v>
      </c>
      <c r="C680" s="18">
        <v>105.55</v>
      </c>
      <c r="D680" s="18">
        <v>41.11</v>
      </c>
      <c r="E680" s="18">
        <v>34.090000000000003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0.32603305785123959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-0.13950811093668236</v>
      </c>
      <c r="R680" s="19">
        <f ca="1">IF('Stock Price'!$I$11="OK",E680/INDEX(E$5:E$1258,'Stock Price'!$I$9)-1,"")</f>
        <v>-0.27002141327623119</v>
      </c>
      <c r="S680" s="19">
        <f ca="1">IF('Stock Price'!$I$11="OK",F680/INDEX(F$5:F$1258,'Stock Price'!$I$9)-1,"")</f>
        <v>2.4834437086092009E-3</v>
      </c>
      <c r="T680" s="19">
        <f ca="1">IF('Stock Price'!$I$11="OK",G680/INDEX(G$5:G$1258,'Stock Price'!$I$9)-1,"")</f>
        <v>-0.39727065959059893</v>
      </c>
      <c r="U680" s="19">
        <f ca="1">IF('Stock Price'!$I$11="OK",H680/INDEX(H$5:H$1258,'Stock Price'!$I$9)-1,"")</f>
        <v>0.59558823529411753</v>
      </c>
      <c r="V680" s="19">
        <f ca="1">IF('Stock Price'!$I$11="OK",I680/INDEX(I$5:I$1258,'Stock Price'!$I$9)-1,"")</f>
        <v>-0.3464083175803403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160.44999999999999</v>
      </c>
      <c r="C681" s="18">
        <v>106.02</v>
      </c>
      <c r="D681" s="18">
        <v>41.11</v>
      </c>
      <c r="E681" s="18">
        <v>34.520000000000003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0.32603305785123959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-0.13950811093668236</v>
      </c>
      <c r="R681" s="19">
        <f ca="1">IF('Stock Price'!$I$11="OK",E681/INDEX(E$5:E$1258,'Stock Price'!$I$9)-1,"")</f>
        <v>-0.26081370449678798</v>
      </c>
      <c r="S681" s="19">
        <f ca="1">IF('Stock Price'!$I$11="OK",F681/INDEX(F$5:F$1258,'Stock Price'!$I$9)-1,"")</f>
        <v>-1.634933774834435E-2</v>
      </c>
      <c r="T681" s="19">
        <f ca="1">IF('Stock Price'!$I$11="OK",G681/INDEX(G$5:G$1258,'Stock Price'!$I$9)-1,"")</f>
        <v>-0.40766814686450781</v>
      </c>
      <c r="U681" s="19">
        <f ca="1">IF('Stock Price'!$I$11="OK",H681/INDEX(H$5:H$1258,'Stock Price'!$I$9)-1,"")</f>
        <v>0.58541666666666692</v>
      </c>
      <c r="V681" s="19">
        <f ca="1">IF('Stock Price'!$I$11="OK",I681/INDEX(I$5:I$1258,'Stock Price'!$I$9)-1,"")</f>
        <v>-0.34664461247637057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160.41999999999999</v>
      </c>
      <c r="C682" s="18">
        <v>105.72</v>
      </c>
      <c r="D682" s="18">
        <v>40.65</v>
      </c>
      <c r="E682" s="18">
        <v>34.67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0.32578512396694204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-0.14913657770800626</v>
      </c>
      <c r="R682" s="19">
        <f ca="1">IF('Stock Price'!$I$11="OK",E682/INDEX(E$5:E$1258,'Stock Price'!$I$9)-1,"")</f>
        <v>-0.25760171306209856</v>
      </c>
      <c r="S682" s="19">
        <f ca="1">IF('Stock Price'!$I$11="OK",F682/INDEX(F$5:F$1258,'Stock Price'!$I$9)-1,"")</f>
        <v>-4.2839403973509937E-2</v>
      </c>
      <c r="T682" s="19">
        <f ca="1">IF('Stock Price'!$I$11="OK",G682/INDEX(G$5:G$1258,'Stock Price'!$I$9)-1,"")</f>
        <v>-0.41373334777428783</v>
      </c>
      <c r="U682" s="19">
        <f ca="1">IF('Stock Price'!$I$11="OK",H682/INDEX(H$5:H$1258,'Stock Price'!$I$9)-1,"")</f>
        <v>0.58676470588235285</v>
      </c>
      <c r="V682" s="19">
        <f ca="1">IF('Stock Price'!$I$11="OK",I682/INDEX(I$5:I$1258,'Stock Price'!$I$9)-1,"")</f>
        <v>-0.34948015122873344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160.41999999999999</v>
      </c>
      <c r="C683" s="18">
        <v>104.93</v>
      </c>
      <c r="D683" s="18">
        <v>40.659999999999997</v>
      </c>
      <c r="E683" s="18">
        <v>34.58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0.32578512396694204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-0.14892726321297756</v>
      </c>
      <c r="R683" s="19">
        <f ca="1">IF('Stock Price'!$I$11="OK",E683/INDEX(E$5:E$1258,'Stock Price'!$I$9)-1,"")</f>
        <v>-0.25952890792291228</v>
      </c>
      <c r="S683" s="19">
        <f ca="1">IF('Stock Price'!$I$11="OK",F683/INDEX(F$5:F$1258,'Stock Price'!$I$9)-1,"")</f>
        <v>-2.1316225165562974E-2</v>
      </c>
      <c r="T683" s="19">
        <f ca="1">IF('Stock Price'!$I$11="OK",G683/INDEX(G$5:G$1258,'Stock Price'!$I$9)-1,"")</f>
        <v>-0.4339867865265894</v>
      </c>
      <c r="U683" s="19">
        <f ca="1">IF('Stock Price'!$I$11="OK",H683/INDEX(H$5:H$1258,'Stock Price'!$I$9)-1,"")</f>
        <v>0.5625</v>
      </c>
      <c r="V683" s="19">
        <f ca="1">IF('Stock Price'!$I$11="OK",I683/INDEX(I$5:I$1258,'Stock Price'!$I$9)-1,"")</f>
        <v>-0.36247637051039694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158.80000000000001</v>
      </c>
      <c r="C684" s="18">
        <v>104.94</v>
      </c>
      <c r="D684" s="18">
        <v>40.950000000000003</v>
      </c>
      <c r="E684" s="18">
        <v>34.979999999999997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0.31239669421487615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-0.14285714285714279</v>
      </c>
      <c r="R684" s="19">
        <f ca="1">IF('Stock Price'!$I$11="OK",E684/INDEX(E$5:E$1258,'Stock Price'!$I$9)-1,"")</f>
        <v>-0.25096359743040697</v>
      </c>
      <c r="S684" s="19">
        <f ca="1">IF('Stock Price'!$I$11="OK",F684/INDEX(F$5:F$1258,'Stock Price'!$I$9)-1,"")</f>
        <v>-2.2764900662251675E-2</v>
      </c>
      <c r="T684" s="19">
        <f ca="1">IF('Stock Price'!$I$11="OK",G684/INDEX(G$5:G$1258,'Stock Price'!$I$9)-1,"")</f>
        <v>-0.43377017220838299</v>
      </c>
      <c r="U684" s="19">
        <f ca="1">IF('Stock Price'!$I$11="OK",H684/INDEX(H$5:H$1258,'Stock Price'!$I$9)-1,"")</f>
        <v>0.5685049019607844</v>
      </c>
      <c r="V684" s="19">
        <f ca="1">IF('Stock Price'!$I$11="OK",I684/INDEX(I$5:I$1258,'Stock Price'!$I$9)-1,"")</f>
        <v>-0.35231568998109641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152</v>
      </c>
      <c r="C685" s="18">
        <v>105.74</v>
      </c>
      <c r="D685" s="18">
        <v>40.76</v>
      </c>
      <c r="E685" s="18">
        <v>35.22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0.25619834710743805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-0.14683411826268966</v>
      </c>
      <c r="R685" s="19">
        <f ca="1">IF('Stock Price'!$I$11="OK",E685/INDEX(E$5:E$1258,'Stock Price'!$I$9)-1,"")</f>
        <v>-0.24582441113490372</v>
      </c>
      <c r="S685" s="19">
        <f ca="1">IF('Stock Price'!$I$11="OK",F685/INDEX(F$5:F$1258,'Stock Price'!$I$9)-1,"")</f>
        <v>-3.04221854304636E-2</v>
      </c>
      <c r="T685" s="19">
        <f ca="1">IF('Stock Price'!$I$11="OK",G685/INDEX(G$5:G$1258,'Stock Price'!$I$9)-1,"")</f>
        <v>-0.43680277266327305</v>
      </c>
      <c r="U685" s="19">
        <f ca="1">IF('Stock Price'!$I$11="OK",H685/INDEX(H$5:H$1258,'Stock Price'!$I$9)-1,"")</f>
        <v>0.58909313725490198</v>
      </c>
      <c r="V685" s="19">
        <f ca="1">IF('Stock Price'!$I$11="OK",I685/INDEX(I$5:I$1258,'Stock Price'!$I$9)-1,"")</f>
        <v>-0.34451795841209831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152</v>
      </c>
      <c r="C686" s="18">
        <v>105.22</v>
      </c>
      <c r="D686" s="18">
        <v>40.479999999999997</v>
      </c>
      <c r="E686" s="18">
        <v>35.590000000000003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0.25619834710743805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-0.15269492412349561</v>
      </c>
      <c r="R686" s="19">
        <f ca="1">IF('Stock Price'!$I$11="OK",E686/INDEX(E$5:E$1258,'Stock Price'!$I$9)-1,"")</f>
        <v>-0.23790149892933621</v>
      </c>
      <c r="S686" s="19">
        <f ca="1">IF('Stock Price'!$I$11="OK",F686/INDEX(F$5:F$1258,'Stock Price'!$I$9)-1,"")</f>
        <v>-2.2971854304635775E-2</v>
      </c>
      <c r="T686" s="19">
        <f ca="1">IF('Stock Price'!$I$11="OK",G686/INDEX(G$5:G$1258,'Stock Price'!$I$9)-1,"")</f>
        <v>-0.43680277266327305</v>
      </c>
      <c r="U686" s="19">
        <f ca="1">IF('Stock Price'!$I$11="OK",H686/INDEX(H$5:H$1258,'Stock Price'!$I$9)-1,"")</f>
        <v>0.60196078431372557</v>
      </c>
      <c r="V686" s="19">
        <f ca="1">IF('Stock Price'!$I$11="OK",I686/INDEX(I$5:I$1258,'Stock Price'!$I$9)-1,"")</f>
        <v>-0.34451795841209831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152.11000000000001</v>
      </c>
      <c r="C687" s="18">
        <v>106.95</v>
      </c>
      <c r="D687" s="18">
        <v>40.549999999999997</v>
      </c>
      <c r="E687" s="18">
        <v>35.71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0.25710743801652902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-0.15122972265829415</v>
      </c>
      <c r="R687" s="19">
        <f ca="1">IF('Stock Price'!$I$11="OK",E687/INDEX(E$5:E$1258,'Stock Price'!$I$9)-1,"")</f>
        <v>-0.23533190578158458</v>
      </c>
      <c r="S687" s="19">
        <f ca="1">IF('Stock Price'!$I$11="OK",F687/INDEX(F$5:F$1258,'Stock Price'!$I$9)-1,"")</f>
        <v>1.3451986754966949E-2</v>
      </c>
      <c r="T687" s="19">
        <f ca="1">IF('Stock Price'!$I$11="OK",G687/INDEX(G$5:G$1258,'Stock Price'!$I$9)-1,"")</f>
        <v>-0.42261453482075162</v>
      </c>
      <c r="U687" s="19">
        <f ca="1">IF('Stock Price'!$I$11="OK",H687/INDEX(H$5:H$1258,'Stock Price'!$I$9)-1,"")</f>
        <v>0.62941176470588256</v>
      </c>
      <c r="V687" s="19">
        <f ca="1">IF('Stock Price'!$I$11="OK",I687/INDEX(I$5:I$1258,'Stock Price'!$I$9)-1,"")</f>
        <v>-0.3298676748582231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157.87989999999999</v>
      </c>
      <c r="C688" s="18">
        <v>107.37</v>
      </c>
      <c r="D688" s="18">
        <v>40.31</v>
      </c>
      <c r="E688" s="18">
        <v>35.57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0.30479256198347104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-0.15625327053898475</v>
      </c>
      <c r="R688" s="19">
        <f ca="1">IF('Stock Price'!$I$11="OK",E688/INDEX(E$5:E$1258,'Stock Price'!$I$9)-1,"")</f>
        <v>-0.23832976445396148</v>
      </c>
      <c r="S688" s="19">
        <f ca="1">IF('Stock Price'!$I$11="OK",F688/INDEX(F$5:F$1258,'Stock Price'!$I$9)-1,"")</f>
        <v>3.7044701986755024E-2</v>
      </c>
      <c r="T688" s="19">
        <f ca="1">IF('Stock Price'!$I$11="OK",G688/INDEX(G$5:G$1258,'Stock Price'!$I$9)-1,"")</f>
        <v>-0.43355355789017658</v>
      </c>
      <c r="U688" s="19">
        <f ca="1">IF('Stock Price'!$I$11="OK",H688/INDEX(H$5:H$1258,'Stock Price'!$I$9)-1,"")</f>
        <v>0.62892156862745097</v>
      </c>
      <c r="V688" s="19">
        <f ca="1">IF('Stock Price'!$I$11="OK",I688/INDEX(I$5:I$1258,'Stock Price'!$I$9)-1,"")</f>
        <v>-0.3386105860113422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157.87989999999999</v>
      </c>
      <c r="C689" s="18">
        <v>107.07</v>
      </c>
      <c r="D689" s="18">
        <v>38.869999999999997</v>
      </c>
      <c r="E689" s="18">
        <v>34.659999999999997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0.30479256198347104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-0.1863945578231293</v>
      </c>
      <c r="R689" s="19">
        <f ca="1">IF('Stock Price'!$I$11="OK",E689/INDEX(E$5:E$1258,'Stock Price'!$I$9)-1,"")</f>
        <v>-0.2578158458244113</v>
      </c>
      <c r="S689" s="19">
        <f ca="1">IF('Stock Price'!$I$11="OK",F689/INDEX(F$5:F$1258,'Stock Price'!$I$9)-1,"")</f>
        <v>2.0695364238410008E-4</v>
      </c>
      <c r="T689" s="19">
        <f ca="1">IF('Stock Price'!$I$11="OK",G689/INDEX(G$5:G$1258,'Stock Price'!$I$9)-1,"")</f>
        <v>-0.43712769414058272</v>
      </c>
      <c r="U689" s="19">
        <f ca="1">IF('Stock Price'!$I$11="OK",H689/INDEX(H$5:H$1258,'Stock Price'!$I$9)-1,"")</f>
        <v>0.6115196078431373</v>
      </c>
      <c r="V689" s="19">
        <f ca="1">IF('Stock Price'!$I$11="OK",I689/INDEX(I$5:I$1258,'Stock Price'!$I$9)-1,"")</f>
        <v>-0.35207939508506614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158.63999999999999</v>
      </c>
      <c r="C690" s="18">
        <v>106.55</v>
      </c>
      <c r="D690" s="18">
        <v>38.64</v>
      </c>
      <c r="E690" s="18">
        <v>34.909999999999997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0.3110743801652891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-0.1912087912087912</v>
      </c>
      <c r="R690" s="19">
        <f ca="1">IF('Stock Price'!$I$11="OK",E690/INDEX(E$5:E$1258,'Stock Price'!$I$9)-1,"")</f>
        <v>-0.25246252676659542</v>
      </c>
      <c r="S690" s="19">
        <f ca="1">IF('Stock Price'!$I$11="OK",F690/INDEX(F$5:F$1258,'Stock Price'!$I$9)-1,"")</f>
        <v>-4.9668874172186239E-3</v>
      </c>
      <c r="T690" s="19">
        <f ca="1">IF('Stock Price'!$I$11="OK",G690/INDEX(G$5:G$1258,'Stock Price'!$I$9)-1,"")</f>
        <v>-0.43442001516300233</v>
      </c>
      <c r="U690" s="19">
        <f ca="1">IF('Stock Price'!$I$11="OK",H690/INDEX(H$5:H$1258,'Stock Price'!$I$9)-1,"")</f>
        <v>0.59093137254901973</v>
      </c>
      <c r="V690" s="19">
        <f ca="1">IF('Stock Price'!$I$11="OK",I690/INDEX(I$5:I$1258,'Stock Price'!$I$9)-1,"")</f>
        <v>-0.34310018903591677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156.26750000000001</v>
      </c>
      <c r="C691" s="18">
        <v>106.46</v>
      </c>
      <c r="D691" s="18">
        <v>38.5</v>
      </c>
      <c r="E691" s="18">
        <v>34.67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0.29146694214876034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-0.19413919413919412</v>
      </c>
      <c r="R691" s="19">
        <f ca="1">IF('Stock Price'!$I$11="OK",E691/INDEX(E$5:E$1258,'Stock Price'!$I$9)-1,"")</f>
        <v>-0.25760171306209856</v>
      </c>
      <c r="S691" s="19">
        <f ca="1">IF('Stock Price'!$I$11="OK",F691/INDEX(F$5:F$1258,'Stock Price'!$I$9)-1,"")</f>
        <v>4.1390728476822236E-3</v>
      </c>
      <c r="T691" s="19">
        <f ca="1">IF('Stock Price'!$I$11="OK",G691/INDEX(G$5:G$1258,'Stock Price'!$I$9)-1,"")</f>
        <v>-0.4285714285714286</v>
      </c>
      <c r="U691" s="19">
        <f ca="1">IF('Stock Price'!$I$11="OK",H691/INDEX(H$5:H$1258,'Stock Price'!$I$9)-1,"")</f>
        <v>0.5171568627450982</v>
      </c>
      <c r="V691" s="19">
        <f ca="1">IF('Stock Price'!$I$11="OK",I691/INDEX(I$5:I$1258,'Stock Price'!$I$9)-1,"")</f>
        <v>-0.33884688090737236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157.5</v>
      </c>
      <c r="C692" s="18">
        <v>106.54</v>
      </c>
      <c r="D692" s="18">
        <v>38.380000000000003</v>
      </c>
      <c r="E692" s="18">
        <v>34.64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0.30165289256198347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-0.19665096807953941</v>
      </c>
      <c r="R692" s="19">
        <f ca="1">IF('Stock Price'!$I$11="OK",E692/INDEX(E$5:E$1258,'Stock Price'!$I$9)-1,"")</f>
        <v>-0.25824411134903646</v>
      </c>
      <c r="S692" s="19">
        <f ca="1">IF('Stock Price'!$I$11="OK",F692/INDEX(F$5:F$1258,'Stock Price'!$I$9)-1,"")</f>
        <v>2.6283112582781598E-2</v>
      </c>
      <c r="T692" s="19">
        <f ca="1">IF('Stock Price'!$I$11="OK",G692/INDEX(G$5:G$1258,'Stock Price'!$I$9)-1,"")</f>
        <v>-0.43312032925376365</v>
      </c>
      <c r="U692" s="19">
        <f ca="1">IF('Stock Price'!$I$11="OK",H692/INDEX(H$5:H$1258,'Stock Price'!$I$9)-1,"")</f>
        <v>0.56740196078431393</v>
      </c>
      <c r="V692" s="19">
        <f ca="1">IF('Stock Price'!$I$11="OK",I692/INDEX(I$5:I$1258,'Stock Price'!$I$9)-1,"")</f>
        <v>-0.33317580340264652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154.72</v>
      </c>
      <c r="C693" s="18">
        <v>106.44</v>
      </c>
      <c r="D693" s="18">
        <v>38.21</v>
      </c>
      <c r="E693" s="18">
        <v>34.43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0.2786776859504132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-0.20020931449502877</v>
      </c>
      <c r="R693" s="19">
        <f ca="1">IF('Stock Price'!$I$11="OK",E693/INDEX(E$5:E$1258,'Stock Price'!$I$9)-1,"")</f>
        <v>-0.26274089935760181</v>
      </c>
      <c r="S693" s="19">
        <f ca="1">IF('Stock Price'!$I$11="OK",F693/INDEX(F$5:F$1258,'Stock Price'!$I$9)-1,"")</f>
        <v>4.5529801324502017E-3</v>
      </c>
      <c r="T693" s="19">
        <f ca="1">IF('Stock Price'!$I$11="OK",G693/INDEX(G$5:G$1258,'Stock Price'!$I$9)-1,"")</f>
        <v>-0.43994368027726627</v>
      </c>
      <c r="U693" s="19">
        <f ca="1">IF('Stock Price'!$I$11="OK",H693/INDEX(H$5:H$1258,'Stock Price'!$I$9)-1,"")</f>
        <v>0.56519607843137254</v>
      </c>
      <c r="V693" s="19">
        <f ca="1">IF('Stock Price'!$I$11="OK",I693/INDEX(I$5:I$1258,'Stock Price'!$I$9)-1,"")</f>
        <v>-0.34239130434782616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147.15</v>
      </c>
      <c r="C694" s="18">
        <v>106.78</v>
      </c>
      <c r="D694" s="18">
        <v>38.46</v>
      </c>
      <c r="E694" s="18">
        <v>34.11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0.21611570247933898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-0.19497645211930925</v>
      </c>
      <c r="R694" s="19">
        <f ca="1">IF('Stock Price'!$I$11="OK",E694/INDEX(E$5:E$1258,'Stock Price'!$I$9)-1,"")</f>
        <v>-0.26959314775160603</v>
      </c>
      <c r="S694" s="19">
        <f ca="1">IF('Stock Price'!$I$11="OK",F694/INDEX(F$5:F$1258,'Stock Price'!$I$9)-1,"")</f>
        <v>1.1175496688741626E-2</v>
      </c>
      <c r="T694" s="19">
        <f ca="1">IF('Stock Price'!$I$11="OK",G694/INDEX(G$5:G$1258,'Stock Price'!$I$9)-1,"")</f>
        <v>-0.43192895050362823</v>
      </c>
      <c r="U694" s="19">
        <f ca="1">IF('Stock Price'!$I$11="OK",H694/INDEX(H$5:H$1258,'Stock Price'!$I$9)-1,"")</f>
        <v>0.54227941176470584</v>
      </c>
      <c r="V694" s="19">
        <f ca="1">IF('Stock Price'!$I$11="OK",I694/INDEX(I$5:I$1258,'Stock Price'!$I$9)-1,"")</f>
        <v>-0.3454631379962193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148.69999999999999</v>
      </c>
      <c r="C695" s="18">
        <v>108.13</v>
      </c>
      <c r="D695" s="18">
        <v>38.840000000000003</v>
      </c>
      <c r="E695" s="18">
        <v>34.03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0.22892561983471071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-0.18702250130821552</v>
      </c>
      <c r="R695" s="19">
        <f ca="1">IF('Stock Price'!$I$11="OK",E695/INDEX(E$5:E$1258,'Stock Price'!$I$9)-1,"")</f>
        <v>-0.27130620985010712</v>
      </c>
      <c r="S695" s="19">
        <f ca="1">IF('Stock Price'!$I$11="OK",F695/INDEX(F$5:F$1258,'Stock Price'!$I$9)-1,"")</f>
        <v>2.7731788079470077E-2</v>
      </c>
      <c r="T695" s="19">
        <f ca="1">IF('Stock Price'!$I$11="OK",G695/INDEX(G$5:G$1258,'Stock Price'!$I$9)-1,"")</f>
        <v>-0.43322863641286691</v>
      </c>
      <c r="U695" s="19">
        <f ca="1">IF('Stock Price'!$I$11="OK",H695/INDEX(H$5:H$1258,'Stock Price'!$I$9)-1,"")</f>
        <v>0.54963235294117663</v>
      </c>
      <c r="V695" s="19">
        <f ca="1">IF('Stock Price'!$I$11="OK",I695/INDEX(I$5:I$1258,'Stock Price'!$I$9)-1,"")</f>
        <v>-0.33719281663516065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157</v>
      </c>
      <c r="C696" s="18">
        <v>108.06</v>
      </c>
      <c r="D696" s="18">
        <v>38.71</v>
      </c>
      <c r="E696" s="18">
        <v>33.89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0.29752066115702469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-0.18974358974358974</v>
      </c>
      <c r="R696" s="19">
        <f ca="1">IF('Stock Price'!$I$11="OK",E696/INDEX(E$5:E$1258,'Stock Price'!$I$9)-1,"")</f>
        <v>-0.27430406852248401</v>
      </c>
      <c r="S696" s="19">
        <f ca="1">IF('Stock Price'!$I$11="OK",F696/INDEX(F$5:F$1258,'Stock Price'!$I$9)-1,"")</f>
        <v>3.9735099337748325E-2</v>
      </c>
      <c r="T696" s="19">
        <f ca="1">IF('Stock Price'!$I$11="OK",G696/INDEX(G$5:G$1258,'Stock Price'!$I$9)-1,"")</f>
        <v>-0.43561139391313763</v>
      </c>
      <c r="U696" s="19">
        <f ca="1">IF('Stock Price'!$I$11="OK",H696/INDEX(H$5:H$1258,'Stock Price'!$I$9)-1,"")</f>
        <v>0.54142156862745106</v>
      </c>
      <c r="V696" s="19">
        <f ca="1">IF('Stock Price'!$I$11="OK",I696/INDEX(I$5:I$1258,'Stock Price'!$I$9)-1,"")</f>
        <v>-0.34002835538752363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154.35</v>
      </c>
      <c r="C697" s="18">
        <v>108.23</v>
      </c>
      <c r="D697" s="18">
        <v>38.6</v>
      </c>
      <c r="E697" s="18">
        <v>34.25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0.27561983471074369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-0.19204604918890633</v>
      </c>
      <c r="R697" s="19">
        <f ca="1">IF('Stock Price'!$I$11="OK",E697/INDEX(E$5:E$1258,'Stock Price'!$I$9)-1,"")</f>
        <v>-0.26659528907922914</v>
      </c>
      <c r="S697" s="19">
        <f ca="1">IF('Stock Price'!$I$11="OK",F697/INDEX(F$5:F$1258,'Stock Price'!$I$9)-1,"")</f>
        <v>3.6216887417218624E-2</v>
      </c>
      <c r="T697" s="19">
        <f ca="1">IF('Stock Price'!$I$11="OK",G697/INDEX(G$5:G$1258,'Stock Price'!$I$9)-1,"")</f>
        <v>-0.45088270334669123</v>
      </c>
      <c r="U697" s="19">
        <f ca="1">IF('Stock Price'!$I$11="OK",H697/INDEX(H$5:H$1258,'Stock Price'!$I$9)-1,"")</f>
        <v>0.54460784313725519</v>
      </c>
      <c r="V697" s="19">
        <f ca="1">IF('Stock Price'!$I$11="OK",I697/INDEX(I$5:I$1258,'Stock Price'!$I$9)-1,"")</f>
        <v>-0.34499054820415886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153.86000000000001</v>
      </c>
      <c r="C698" s="18">
        <v>109.94</v>
      </c>
      <c r="D698" s="18">
        <v>38.56</v>
      </c>
      <c r="E698" s="18">
        <v>34.799999999999997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0.2715702479338844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-0.19288330716902136</v>
      </c>
      <c r="R698" s="19">
        <f ca="1">IF('Stock Price'!$I$11="OK",E698/INDEX(E$5:E$1258,'Stock Price'!$I$9)-1,"")</f>
        <v>-0.25481798715203441</v>
      </c>
      <c r="S698" s="19">
        <f ca="1">IF('Stock Price'!$I$11="OK",F698/INDEX(F$5:F$1258,'Stock Price'!$I$9)-1,"")</f>
        <v>5.6084437086092676E-2</v>
      </c>
      <c r="T698" s="19">
        <f ca="1">IF('Stock Price'!$I$11="OK",G698/INDEX(G$5:G$1258,'Stock Price'!$I$9)-1,"")</f>
        <v>-0.43409509368569266</v>
      </c>
      <c r="U698" s="19">
        <f ca="1">IF('Stock Price'!$I$11="OK",H698/INDEX(H$5:H$1258,'Stock Price'!$I$9)-1,"")</f>
        <v>0.56004901960784315</v>
      </c>
      <c r="V698" s="19">
        <f ca="1">IF('Stock Price'!$I$11="OK",I698/INDEX(I$5:I$1258,'Stock Price'!$I$9)-1,"")</f>
        <v>-0.33010396975425327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153.41</v>
      </c>
      <c r="C699" s="18">
        <v>110.5</v>
      </c>
      <c r="D699" s="18">
        <v>38.9</v>
      </c>
      <c r="E699" s="18">
        <v>35.159999999999997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0.26785123966942148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-0.18576661433804287</v>
      </c>
      <c r="R699" s="19">
        <f ca="1">IF('Stock Price'!$I$11="OK",E699/INDEX(E$5:E$1258,'Stock Price'!$I$9)-1,"")</f>
        <v>-0.24710920770877953</v>
      </c>
      <c r="S699" s="19">
        <f ca="1">IF('Stock Price'!$I$11="OK",F699/INDEX(F$5:F$1258,'Stock Price'!$I$9)-1,"")</f>
        <v>5.9809602649006699E-2</v>
      </c>
      <c r="T699" s="19">
        <f ca="1">IF('Stock Price'!$I$11="OK",G699/INDEX(G$5:G$1258,'Stock Price'!$I$9)-1,"")</f>
        <v>-0.42293945629806129</v>
      </c>
      <c r="U699" s="19">
        <f ca="1">IF('Stock Price'!$I$11="OK",H699/INDEX(H$5:H$1258,'Stock Price'!$I$9)-1,"")</f>
        <v>0.58051470588235299</v>
      </c>
      <c r="V699" s="19">
        <f ca="1">IF('Stock Price'!$I$11="OK",I699/INDEX(I$5:I$1258,'Stock Price'!$I$9)-1,"")</f>
        <v>-0.32277882797731572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153.41</v>
      </c>
      <c r="C700" s="18">
        <v>111.7</v>
      </c>
      <c r="D700" s="18">
        <v>39.159999999999997</v>
      </c>
      <c r="E700" s="18">
        <v>35.69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0.26785123966942148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-0.18032443746729465</v>
      </c>
      <c r="R700" s="19">
        <f ca="1">IF('Stock Price'!$I$11="OK",E700/INDEX(E$5:E$1258,'Stock Price'!$I$9)-1,"")</f>
        <v>-0.23576017130620996</v>
      </c>
      <c r="S700" s="19">
        <f ca="1">IF('Stock Price'!$I$11="OK",F700/INDEX(F$5:F$1258,'Stock Price'!$I$9)-1,"")</f>
        <v>6.22930463576159E-2</v>
      </c>
      <c r="T700" s="19">
        <f ca="1">IF('Stock Price'!$I$11="OK",G700/INDEX(G$5:G$1258,'Stock Price'!$I$9)-1,"")</f>
        <v>-0.41654933391097149</v>
      </c>
      <c r="U700" s="19">
        <f ca="1">IF('Stock Price'!$I$11="OK",H700/INDEX(H$5:H$1258,'Stock Price'!$I$9)-1,"")</f>
        <v>0.56568627450980413</v>
      </c>
      <c r="V700" s="19">
        <f ca="1">IF('Stock Price'!$I$11="OK",I700/INDEX(I$5:I$1258,'Stock Price'!$I$9)-1,"")</f>
        <v>-0.31663516068052922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156.13990000000001</v>
      </c>
      <c r="C701" s="18">
        <v>110.33</v>
      </c>
      <c r="D701" s="18">
        <v>38.67</v>
      </c>
      <c r="E701" s="18">
        <v>35.96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0.29041239669421492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-0.19058084772370476</v>
      </c>
      <c r="R701" s="19">
        <f ca="1">IF('Stock Price'!$I$11="OK",E701/INDEX(E$5:E$1258,'Stock Price'!$I$9)-1,"")</f>
        <v>-0.22997858672376881</v>
      </c>
      <c r="S701" s="19">
        <f ca="1">IF('Stock Price'!$I$11="OK",F701/INDEX(F$5:F$1258,'Stock Price'!$I$9)-1,"")</f>
        <v>3.7872516556291425E-2</v>
      </c>
      <c r="T701" s="19">
        <f ca="1">IF('Stock Price'!$I$11="OK",G701/INDEX(G$5:G$1258,'Stock Price'!$I$9)-1,"")</f>
        <v>-0.42846312141232534</v>
      </c>
      <c r="U701" s="19">
        <f ca="1">IF('Stock Price'!$I$11="OK",H701/INDEX(H$5:H$1258,'Stock Price'!$I$9)-1,"")</f>
        <v>0.57009803921568647</v>
      </c>
      <c r="V701" s="19">
        <f ca="1">IF('Stock Price'!$I$11="OK",I701/INDEX(I$5:I$1258,'Stock Price'!$I$9)-1,"")</f>
        <v>-0.31238185255198481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156.18</v>
      </c>
      <c r="C702" s="18">
        <v>110.53</v>
      </c>
      <c r="D702" s="18">
        <v>38.9</v>
      </c>
      <c r="E702" s="18">
        <v>36.270000000000003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0.29074380165289271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-0.18576661433804287</v>
      </c>
      <c r="R702" s="19">
        <f ca="1">IF('Stock Price'!$I$11="OK",E702/INDEX(E$5:E$1258,'Stock Price'!$I$9)-1,"")</f>
        <v>-0.22334047109207711</v>
      </c>
      <c r="S702" s="19">
        <f ca="1">IF('Stock Price'!$I$11="OK",F702/INDEX(F$5:F$1258,'Stock Price'!$I$9)-1,"")</f>
        <v>3.5802980132450202E-2</v>
      </c>
      <c r="T702" s="19">
        <f ca="1">IF('Stock Price'!$I$11="OK",G702/INDEX(G$5:G$1258,'Stock Price'!$I$9)-1,"")</f>
        <v>-0.43561139391313763</v>
      </c>
      <c r="U702" s="19">
        <f ca="1">IF('Stock Price'!$I$11="OK",H702/INDEX(H$5:H$1258,'Stock Price'!$I$9)-1,"")</f>
        <v>0.5372549019607844</v>
      </c>
      <c r="V702" s="19">
        <f ca="1">IF('Stock Price'!$I$11="OK",I702/INDEX(I$5:I$1258,'Stock Price'!$I$9)-1,"")</f>
        <v>-0.302930056710775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156.18</v>
      </c>
      <c r="C703" s="18">
        <v>111.8</v>
      </c>
      <c r="D703" s="18">
        <v>39.840000000000003</v>
      </c>
      <c r="E703" s="18">
        <v>39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0.29074380165289271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-0.16609105180533745</v>
      </c>
      <c r="R703" s="19">
        <f ca="1">IF('Stock Price'!$I$11="OK",E703/INDEX(E$5:E$1258,'Stock Price'!$I$9)-1,"")</f>
        <v>-0.16488222698072807</v>
      </c>
      <c r="S703" s="19">
        <f ca="1">IF('Stock Price'!$I$11="OK",F703/INDEX(F$5:F$1258,'Stock Price'!$I$9)-1,"")</f>
        <v>3.9114238410596025E-2</v>
      </c>
      <c r="T703" s="19">
        <f ca="1">IF('Stock Price'!$I$11="OK",G703/INDEX(G$5:G$1258,'Stock Price'!$I$9)-1,"")</f>
        <v>-0.42207299902523554</v>
      </c>
      <c r="U703" s="19">
        <f ca="1">IF('Stock Price'!$I$11="OK",H703/INDEX(H$5:H$1258,'Stock Price'!$I$9)-1,"")</f>
        <v>0.54276960784313744</v>
      </c>
      <c r="V703" s="19">
        <f ca="1">IF('Stock Price'!$I$11="OK",I703/INDEX(I$5:I$1258,'Stock Price'!$I$9)-1,"")</f>
        <v>-0.29040642722117205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154.33029999999999</v>
      </c>
      <c r="C704" s="18">
        <v>107.22</v>
      </c>
      <c r="D704" s="18">
        <v>39.36</v>
      </c>
      <c r="E704" s="18">
        <v>39.340000000000003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0.27545702479338829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-0.17613814756671897</v>
      </c>
      <c r="R704" s="19">
        <f ca="1">IF('Stock Price'!$I$11="OK",E704/INDEX(E$5:E$1258,'Stock Price'!$I$9)-1,"")</f>
        <v>-0.15760171306209847</v>
      </c>
      <c r="S704" s="19">
        <f ca="1">IF('Stock Price'!$I$11="OK",F704/INDEX(F$5:F$1258,'Stock Price'!$I$9)-1,"")</f>
        <v>4.2218543046357526E-2</v>
      </c>
      <c r="T704" s="19">
        <f ca="1">IF('Stock Price'!$I$11="OK",G704/INDEX(G$5:G$1258,'Stock Price'!$I$9)-1,"")</f>
        <v>-0.415791183797249</v>
      </c>
      <c r="U704" s="19">
        <f ca="1">IF('Stock Price'!$I$11="OK",H704/INDEX(H$5:H$1258,'Stock Price'!$I$9)-1,"")</f>
        <v>0.52267156862745101</v>
      </c>
      <c r="V704" s="19">
        <f ca="1">IF('Stock Price'!$I$11="OK",I704/INDEX(I$5:I$1258,'Stock Price'!$I$9)-1,"")</f>
        <v>-0.29796786389413987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154.30000000000001</v>
      </c>
      <c r="C705" s="18">
        <v>106.13</v>
      </c>
      <c r="D705" s="18">
        <v>39.35</v>
      </c>
      <c r="E705" s="18">
        <v>39.270000000000003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0.27520661157024806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-0.17634746206174767</v>
      </c>
      <c r="R705" s="19">
        <f ca="1">IF('Stock Price'!$I$11="OK",E705/INDEX(E$5:E$1258,'Stock Price'!$I$9)-1,"")</f>
        <v>-0.15910064239828692</v>
      </c>
      <c r="S705" s="19">
        <f ca="1">IF('Stock Price'!$I$11="OK",F705/INDEX(F$5:F$1258,'Stock Price'!$I$9)-1,"")</f>
        <v>4.759933774834435E-2</v>
      </c>
      <c r="T705" s="19">
        <f ca="1">IF('Stock Price'!$I$11="OK",G705/INDEX(G$5:G$1258,'Stock Price'!$I$9)-1,"")</f>
        <v>-0.43117080038990574</v>
      </c>
      <c r="U705" s="19">
        <f ca="1">IF('Stock Price'!$I$11="OK",H705/INDEX(H$5:H$1258,'Stock Price'!$I$9)-1,"")</f>
        <v>0.5412990196078431</v>
      </c>
      <c r="V705" s="19">
        <f ca="1">IF('Stock Price'!$I$11="OK",I705/INDEX(I$5:I$1258,'Stock Price'!$I$9)-1,"")</f>
        <v>-0.29182419659735348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157.85</v>
      </c>
      <c r="C706" s="18">
        <v>108.73</v>
      </c>
      <c r="D706" s="18">
        <v>39.39</v>
      </c>
      <c r="E706" s="18">
        <v>39.36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0.30454545454545445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-0.17551020408163265</v>
      </c>
      <c r="R706" s="19">
        <f ca="1">IF('Stock Price'!$I$11="OK",E706/INDEX(E$5:E$1258,'Stock Price'!$I$9)-1,"")</f>
        <v>-0.15717344753747331</v>
      </c>
      <c r="S706" s="19">
        <f ca="1">IF('Stock Price'!$I$11="OK",F706/INDEX(F$5:F$1258,'Stock Price'!$I$9)-1,"")</f>
        <v>5.6705298013244976E-2</v>
      </c>
      <c r="T706" s="19">
        <f ca="1">IF('Stock Price'!$I$11="OK",G706/INDEX(G$5:G$1258,'Stock Price'!$I$9)-1,"")</f>
        <v>-0.4084262969782303</v>
      </c>
      <c r="U706" s="19">
        <f ca="1">IF('Stock Price'!$I$11="OK",H706/INDEX(H$5:H$1258,'Stock Price'!$I$9)-1,"")</f>
        <v>0.54031862745098058</v>
      </c>
      <c r="V706" s="19">
        <f ca="1">IF('Stock Price'!$I$11="OK",I706/INDEX(I$5:I$1258,'Stock Price'!$I$9)-1,"")</f>
        <v>-0.30056710775047257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159.85</v>
      </c>
      <c r="C707" s="18">
        <v>107.7</v>
      </c>
      <c r="D707" s="18">
        <v>38.840000000000003</v>
      </c>
      <c r="E707" s="18">
        <v>38.200000000000003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0.32107438016528911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-0.18702250130821552</v>
      </c>
      <c r="R707" s="19">
        <f ca="1">IF('Stock Price'!$I$11="OK",E707/INDEX(E$5:E$1258,'Stock Price'!$I$9)-1,"")</f>
        <v>-0.1820128479657388</v>
      </c>
      <c r="S707" s="19">
        <f ca="1">IF('Stock Price'!$I$11="OK",F707/INDEX(F$5:F$1258,'Stock Price'!$I$9)-1,"")</f>
        <v>4.3667218543046449E-2</v>
      </c>
      <c r="T707" s="19">
        <f ca="1">IF('Stock Price'!$I$11="OK",G707/INDEX(G$5:G$1258,'Stock Price'!$I$9)-1,"")</f>
        <v>-0.415791183797249</v>
      </c>
      <c r="U707" s="19">
        <f ca="1">IF('Stock Price'!$I$11="OK",H707/INDEX(H$5:H$1258,'Stock Price'!$I$9)-1,"")</f>
        <v>0.52426470588235308</v>
      </c>
      <c r="V707" s="19">
        <f ca="1">IF('Stock Price'!$I$11="OK",I707/INDEX(I$5:I$1258,'Stock Price'!$I$9)-1,"")</f>
        <v>-0.302930056710775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157.25</v>
      </c>
      <c r="C708" s="18">
        <v>109.29</v>
      </c>
      <c r="D708" s="18">
        <v>39.299999999999997</v>
      </c>
      <c r="E708" s="18">
        <v>38.54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0.29958677685950419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-0.17739403453689173</v>
      </c>
      <c r="R708" s="19">
        <f ca="1">IF('Stock Price'!$I$11="OK",E708/INDEX(E$5:E$1258,'Stock Price'!$I$9)-1,"")</f>
        <v>-0.17473233404710931</v>
      </c>
      <c r="S708" s="19">
        <f ca="1">IF('Stock Price'!$I$11="OK",F708/INDEX(F$5:F$1258,'Stock Price'!$I$9)-1,"")</f>
        <v>5.9602649006622599E-2</v>
      </c>
      <c r="T708" s="19">
        <f ca="1">IF('Stock Price'!$I$11="OK",G708/INDEX(G$5:G$1258,'Stock Price'!$I$9)-1,"")</f>
        <v>-0.41568287663814574</v>
      </c>
      <c r="U708" s="19">
        <f ca="1">IF('Stock Price'!$I$11="OK",H708/INDEX(H$5:H$1258,'Stock Price'!$I$9)-1,"")</f>
        <v>0.54313725490196085</v>
      </c>
      <c r="V708" s="19">
        <f ca="1">IF('Stock Price'!$I$11="OK",I708/INDEX(I$5:I$1258,'Stock Price'!$I$9)-1,"")</f>
        <v>-0.2915879017013232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155.47999999999999</v>
      </c>
      <c r="C709" s="18">
        <v>109.93</v>
      </c>
      <c r="D709" s="18">
        <v>39.07</v>
      </c>
      <c r="E709" s="18">
        <v>39.56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0.28495867768595029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-0.18220826792255362</v>
      </c>
      <c r="R709" s="19">
        <f ca="1">IF('Stock Price'!$I$11="OK",E709/INDEX(E$5:E$1258,'Stock Price'!$I$9)-1,"")</f>
        <v>-0.1528907922912206</v>
      </c>
      <c r="S709" s="19">
        <f ca="1">IF('Stock Price'!$I$11="OK",F709/INDEX(F$5:F$1258,'Stock Price'!$I$9)-1,"")</f>
        <v>9.8923841059602724E-2</v>
      </c>
      <c r="T709" s="19">
        <f ca="1">IF('Stock Price'!$I$11="OK",G709/INDEX(G$5:G$1258,'Stock Price'!$I$9)-1,"")</f>
        <v>-0.40366078197768873</v>
      </c>
      <c r="U709" s="19">
        <f ca="1">IF('Stock Price'!$I$11="OK",H709/INDEX(H$5:H$1258,'Stock Price'!$I$9)-1,"")</f>
        <v>0.54227941176470584</v>
      </c>
      <c r="V709" s="19">
        <f ca="1">IF('Stock Price'!$I$11="OK",I709/INDEX(I$5:I$1258,'Stock Price'!$I$9)-1,"")</f>
        <v>-0.28686200378071836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159.465</v>
      </c>
      <c r="C710" s="18">
        <v>110.32</v>
      </c>
      <c r="D710" s="18">
        <v>39.86</v>
      </c>
      <c r="E710" s="18">
        <v>40.76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0.31789256198347116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-0.16567242281527994</v>
      </c>
      <c r="R710" s="19">
        <f ca="1">IF('Stock Price'!$I$11="OK",E710/INDEX(E$5:E$1258,'Stock Price'!$I$9)-1,"")</f>
        <v>-0.12719486081370457</v>
      </c>
      <c r="S710" s="19">
        <f ca="1">IF('Stock Price'!$I$11="OK",F710/INDEX(F$5:F$1258,'Stock Price'!$I$9)-1,"")</f>
        <v>8.4437086092715274E-2</v>
      </c>
      <c r="T710" s="19">
        <f ca="1">IF('Stock Price'!$I$11="OK",G710/INDEX(G$5:G$1258,'Stock Price'!$I$9)-1,"")</f>
        <v>-0.40506877504603056</v>
      </c>
      <c r="U710" s="19">
        <f ca="1">IF('Stock Price'!$I$11="OK",H710/INDEX(H$5:H$1258,'Stock Price'!$I$9)-1,"")</f>
        <v>0.53504901960784323</v>
      </c>
      <c r="V710" s="19">
        <f ca="1">IF('Stock Price'!$I$11="OK",I710/INDEX(I$5:I$1258,'Stock Price'!$I$9)-1,"")</f>
        <v>-0.27292060491493386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156.28</v>
      </c>
      <c r="C711" s="18">
        <v>110.67</v>
      </c>
      <c r="D711" s="18">
        <v>40.01</v>
      </c>
      <c r="E711" s="18">
        <v>40.4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0.2915702479338842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-0.16253270538984821</v>
      </c>
      <c r="R711" s="19">
        <f ca="1">IF('Stock Price'!$I$11="OK",E711/INDEX(E$5:E$1258,'Stock Price'!$I$9)-1,"")</f>
        <v>-0.13490364025695945</v>
      </c>
      <c r="S711" s="19">
        <f ca="1">IF('Stock Price'!$I$11="OK",F711/INDEX(F$5:F$1258,'Stock Price'!$I$9)-1,"")</f>
        <v>7.802152317880795E-2</v>
      </c>
      <c r="T711" s="19">
        <f ca="1">IF('Stock Price'!$I$11="OK",G711/INDEX(G$5:G$1258,'Stock Price'!$I$9)-1,"")</f>
        <v>-0.4057186180006499</v>
      </c>
      <c r="U711" s="19">
        <f ca="1">IF('Stock Price'!$I$11="OK",H711/INDEX(H$5:H$1258,'Stock Price'!$I$9)-1,"")</f>
        <v>0.56593137254901982</v>
      </c>
      <c r="V711" s="19">
        <f ca="1">IF('Stock Price'!$I$11="OK",I711/INDEX(I$5:I$1258,'Stock Price'!$I$9)-1,"")</f>
        <v>-0.27410207939508513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156.28</v>
      </c>
      <c r="C712" s="18">
        <v>111.93</v>
      </c>
      <c r="D712" s="18">
        <v>39.770000000000003</v>
      </c>
      <c r="E712" s="18">
        <v>40.31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0.2915702479338842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-0.16755625327053891</v>
      </c>
      <c r="R712" s="19">
        <f ca="1">IF('Stock Price'!$I$11="OK",E712/INDEX(E$5:E$1258,'Stock Price'!$I$9)-1,"")</f>
        <v>-0.13683083511777305</v>
      </c>
      <c r="S712" s="19">
        <f ca="1">IF('Stock Price'!$I$11="OK",F712/INDEX(F$5:F$1258,'Stock Price'!$I$9)-1,"")</f>
        <v>6.9743377483443725E-2</v>
      </c>
      <c r="T712" s="19">
        <f ca="1">IF('Stock Price'!$I$11="OK",G712/INDEX(G$5:G$1258,'Stock Price'!$I$9)-1,"")</f>
        <v>-0.40214448175024364</v>
      </c>
      <c r="U712" s="19">
        <f ca="1">IF('Stock Price'!$I$11="OK",H712/INDEX(H$5:H$1258,'Stock Price'!$I$9)-1,"")</f>
        <v>0.41237745098039236</v>
      </c>
      <c r="V712" s="19">
        <f ca="1">IF('Stock Price'!$I$11="OK",I712/INDEX(I$5:I$1258,'Stock Price'!$I$9)-1,"")</f>
        <v>-0.25827032136105854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156.35</v>
      </c>
      <c r="C713" s="18">
        <v>111.48</v>
      </c>
      <c r="D713" s="18">
        <v>38.770000000000003</v>
      </c>
      <c r="E713" s="18">
        <v>40.51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0.29214876033057857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-0.18848770277341698</v>
      </c>
      <c r="R713" s="19">
        <f ca="1">IF('Stock Price'!$I$11="OK",E713/INDEX(E$5:E$1258,'Stock Price'!$I$9)-1,"")</f>
        <v>-0.13254817987152046</v>
      </c>
      <c r="S713" s="19">
        <f ca="1">IF('Stock Price'!$I$11="OK",F713/INDEX(F$5:F$1258,'Stock Price'!$I$9)-1,"")</f>
        <v>7.2226821192052926E-2</v>
      </c>
      <c r="T713" s="19">
        <f ca="1">IF('Stock Price'!$I$11="OK",G713/INDEX(G$5:G$1258,'Stock Price'!$I$9)-1,"")</f>
        <v>-0.40441893209141122</v>
      </c>
      <c r="U713" s="19">
        <f ca="1">IF('Stock Price'!$I$11="OK",H713/INDEX(H$5:H$1258,'Stock Price'!$I$9)-1,"")</f>
        <v>0.38639705882352948</v>
      </c>
      <c r="V713" s="19">
        <f ca="1">IF('Stock Price'!$I$11="OK",I713/INDEX(I$5:I$1258,'Stock Price'!$I$9)-1,"")</f>
        <v>-0.27835538752362954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160.6</v>
      </c>
      <c r="C714" s="18">
        <v>112.1</v>
      </c>
      <c r="D714" s="18">
        <v>39.64</v>
      </c>
      <c r="E714" s="18">
        <v>40.72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0.32727272727272716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-0.17027734170591313</v>
      </c>
      <c r="R714" s="19">
        <f ca="1">IF('Stock Price'!$I$11="OK",E714/INDEX(E$5:E$1258,'Stock Price'!$I$9)-1,"")</f>
        <v>-0.12805139186295511</v>
      </c>
      <c r="S714" s="19">
        <f ca="1">IF('Stock Price'!$I$11="OK",F714/INDEX(F$5:F$1258,'Stock Price'!$I$9)-1,"")</f>
        <v>6.9122516556291425E-2</v>
      </c>
      <c r="T714" s="19">
        <f ca="1">IF('Stock Price'!$I$11="OK",G714/INDEX(G$5:G$1258,'Stock Price'!$I$9)-1,"")</f>
        <v>-0.40929275425105605</v>
      </c>
      <c r="U714" s="19">
        <f ca="1">IF('Stock Price'!$I$11="OK",H714/INDEX(H$5:H$1258,'Stock Price'!$I$9)-1,"")</f>
        <v>0.39485294117647052</v>
      </c>
      <c r="V714" s="19">
        <f ca="1">IF('Stock Price'!$I$11="OK",I714/INDEX(I$5:I$1258,'Stock Price'!$I$9)-1,"")</f>
        <v>-0.27575614366729684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164.02</v>
      </c>
      <c r="C715" s="18">
        <v>112.87</v>
      </c>
      <c r="D715" s="18">
        <v>40.42</v>
      </c>
      <c r="E715" s="18">
        <v>40.71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0.35553719008264473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-0.15395081109366815</v>
      </c>
      <c r="R715" s="19">
        <f ca="1">IF('Stock Price'!$I$11="OK",E715/INDEX(E$5:E$1258,'Stock Price'!$I$9)-1,"")</f>
        <v>-0.12826552462526775</v>
      </c>
      <c r="S715" s="19">
        <f ca="1">IF('Stock Price'!$I$11="OK",F715/INDEX(F$5:F$1258,'Stock Price'!$I$9)-1,"")</f>
        <v>9.7889072847682002E-2</v>
      </c>
      <c r="T715" s="19">
        <f ca="1">IF('Stock Price'!$I$11="OK",G715/INDEX(G$5:G$1258,'Stock Price'!$I$9)-1,"")</f>
        <v>-0.40745153254630129</v>
      </c>
      <c r="U715" s="19">
        <f ca="1">IF('Stock Price'!$I$11="OK",H715/INDEX(H$5:H$1258,'Stock Price'!$I$9)-1,"")</f>
        <v>0.41176470588235303</v>
      </c>
      <c r="V715" s="19">
        <f ca="1">IF('Stock Price'!$I$11="OK",I715/INDEX(I$5:I$1258,'Stock Price'!$I$9)-1,"")</f>
        <v>-0.28095463137996224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156.88</v>
      </c>
      <c r="C716" s="18">
        <v>109.85</v>
      </c>
      <c r="D716" s="18">
        <v>39.380000000000003</v>
      </c>
      <c r="E716" s="18">
        <v>39.340000000000003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0.29652892561983468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-0.17571951857666135</v>
      </c>
      <c r="R716" s="19">
        <f ca="1">IF('Stock Price'!$I$11="OK",E716/INDEX(E$5:E$1258,'Stock Price'!$I$9)-1,"")</f>
        <v>-0.15760171306209847</v>
      </c>
      <c r="S716" s="19">
        <f ca="1">IF('Stock Price'!$I$11="OK",F716/INDEX(F$5:F$1258,'Stock Price'!$I$9)-1,"")</f>
        <v>6.4776490066225323E-2</v>
      </c>
      <c r="T716" s="19">
        <f ca="1">IF('Stock Price'!$I$11="OK",G716/INDEX(G$5:G$1258,'Stock Price'!$I$9)-1,"")</f>
        <v>-0.41633271959276508</v>
      </c>
      <c r="U716" s="19">
        <f ca="1">IF('Stock Price'!$I$11="OK",H716/INDEX(H$5:H$1258,'Stock Price'!$I$9)-1,"")</f>
        <v>0.37634803921568638</v>
      </c>
      <c r="V716" s="19">
        <f ca="1">IF('Stock Price'!$I$11="OK",I716/INDEX(I$5:I$1258,'Stock Price'!$I$9)-1,"")</f>
        <v>-0.29725897920604916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152.94999999999999</v>
      </c>
      <c r="C717" s="18">
        <v>110.06</v>
      </c>
      <c r="D717" s="18">
        <v>38.68</v>
      </c>
      <c r="E717" s="18">
        <v>39.26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0.2640495867768593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-0.19037153322867606</v>
      </c>
      <c r="R717" s="19">
        <f ca="1">IF('Stock Price'!$I$11="OK",E717/INDEX(E$5:E$1258,'Stock Price'!$I$9)-1,"")</f>
        <v>-0.15931477516059966</v>
      </c>
      <c r="S717" s="19">
        <f ca="1">IF('Stock Price'!$I$11="OK",F717/INDEX(F$5:F$1258,'Stock Price'!$I$9)-1,"")</f>
        <v>5.5670529801324475E-2</v>
      </c>
      <c r="T717" s="19">
        <f ca="1">IF('Stock Price'!$I$11="OK",G717/INDEX(G$5:G$1258,'Stock Price'!$I$9)-1,"")</f>
        <v>-0.45164085346041372</v>
      </c>
      <c r="U717" s="19">
        <f ca="1">IF('Stock Price'!$I$11="OK",H717/INDEX(H$5:H$1258,'Stock Price'!$I$9)-1,"")</f>
        <v>0.36213235294117663</v>
      </c>
      <c r="V717" s="19">
        <f ca="1">IF('Stock Price'!$I$11="OK",I717/INDEX(I$5:I$1258,'Stock Price'!$I$9)-1,"")</f>
        <v>-0.30718336483931952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159.75989999999999</v>
      </c>
      <c r="C718" s="18">
        <v>111.16</v>
      </c>
      <c r="D718" s="18">
        <v>39.369999999999997</v>
      </c>
      <c r="E718" s="18">
        <v>39.479999999999997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0.32032975206611569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-0.17592883307169027</v>
      </c>
      <c r="R718" s="19">
        <f ca="1">IF('Stock Price'!$I$11="OK",E718/INDEX(E$5:E$1258,'Stock Price'!$I$9)-1,"")</f>
        <v>-0.1546038543897218</v>
      </c>
      <c r="S718" s="19">
        <f ca="1">IF('Stock Price'!$I$11="OK",F718/INDEX(F$5:F$1258,'Stock Price'!$I$9)-1,"")</f>
        <v>7.2019867549668826E-2</v>
      </c>
      <c r="T718" s="19">
        <f ca="1">IF('Stock Price'!$I$11="OK",G718/INDEX(G$5:G$1258,'Stock Price'!$I$9)-1,"")</f>
        <v>-0.43431170800389907</v>
      </c>
      <c r="U718" s="19">
        <f ca="1">IF('Stock Price'!$I$11="OK",H718/INDEX(H$5:H$1258,'Stock Price'!$I$9)-1,"")</f>
        <v>0.37855392156862755</v>
      </c>
      <c r="V718" s="19">
        <f ca="1">IF('Stock Price'!$I$11="OK",I718/INDEX(I$5:I$1258,'Stock Price'!$I$9)-1,"")</f>
        <v>-0.31828922495274103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165.6</v>
      </c>
      <c r="C719" s="18">
        <v>111.02</v>
      </c>
      <c r="D719" s="18">
        <v>40.020000000000003</v>
      </c>
      <c r="E719" s="18">
        <v>39.83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0.36859504132231402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-0.1623233908948194</v>
      </c>
      <c r="R719" s="19">
        <f ca="1">IF('Stock Price'!$I$11="OK",E719/INDEX(E$5:E$1258,'Stock Price'!$I$9)-1,"")</f>
        <v>-0.14710920770877955</v>
      </c>
      <c r="S719" s="19">
        <f ca="1">IF('Stock Price'!$I$11="OK",F719/INDEX(F$5:F$1258,'Stock Price'!$I$9)-1,"")</f>
        <v>7.843543046357615E-2</v>
      </c>
      <c r="T719" s="19">
        <f ca="1">IF('Stock Price'!$I$11="OK",G719/INDEX(G$5:G$1258,'Stock Price'!$I$9)-1,"")</f>
        <v>-0.42922127152604783</v>
      </c>
      <c r="U719" s="19">
        <f ca="1">IF('Stock Price'!$I$11="OK",H719/INDEX(H$5:H$1258,'Stock Price'!$I$9)-1,"")</f>
        <v>0.39607843137254917</v>
      </c>
      <c r="V719" s="19">
        <f ca="1">IF('Stock Price'!$I$11="OK",I719/INDEX(I$5:I$1258,'Stock Price'!$I$9)-1,"")</f>
        <v>-0.32041587901701318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165.6</v>
      </c>
      <c r="C720" s="18">
        <v>111.89</v>
      </c>
      <c r="D720" s="18">
        <v>40.26</v>
      </c>
      <c r="E720" s="18">
        <v>40.18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0.36859504132231402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-0.15729984301412869</v>
      </c>
      <c r="R720" s="19">
        <f ca="1">IF('Stock Price'!$I$11="OK",E720/INDEX(E$5:E$1258,'Stock Price'!$I$9)-1,"")</f>
        <v>-0.13961456102783731</v>
      </c>
      <c r="S720" s="19">
        <f ca="1">IF('Stock Price'!$I$11="OK",F720/INDEX(F$5:F$1258,'Stock Price'!$I$9)-1,"")</f>
        <v>8.3816225165562752E-2</v>
      </c>
      <c r="T720" s="19">
        <f ca="1">IF('Stock Price'!$I$11="OK",G720/INDEX(G$5:G$1258,'Stock Price'!$I$9)-1,"")</f>
        <v>-0.43756092277699554</v>
      </c>
      <c r="U720" s="19">
        <f ca="1">IF('Stock Price'!$I$11="OK",H720/INDEX(H$5:H$1258,'Stock Price'!$I$9)-1,"")</f>
        <v>0.40379901960784315</v>
      </c>
      <c r="V720" s="19">
        <f ca="1">IF('Stock Price'!$I$11="OK",I720/INDEX(I$5:I$1258,'Stock Price'!$I$9)-1,"")</f>
        <v>-0.32537807183364842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160.7099</v>
      </c>
      <c r="C721" s="18">
        <v>111.42</v>
      </c>
      <c r="D721" s="18">
        <v>40.32</v>
      </c>
      <c r="E721" s="18">
        <v>40.119999999999997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0.32818099173553716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-0.15604395604395604</v>
      </c>
      <c r="R721" s="19">
        <f ca="1">IF('Stock Price'!$I$11="OK",E721/INDEX(E$5:E$1258,'Stock Price'!$I$9)-1,"")</f>
        <v>-0.14089935760171313</v>
      </c>
      <c r="S721" s="19">
        <f ca="1">IF('Stock Price'!$I$11="OK",F721/INDEX(F$5:F$1258,'Stock Price'!$I$9)-1,"")</f>
        <v>7.9884105960264851E-2</v>
      </c>
      <c r="T721" s="19">
        <f ca="1">IF('Stock Price'!$I$11="OK",G721/INDEX(G$5:G$1258,'Stock Price'!$I$9)-1,"")</f>
        <v>-0.4376692299360988</v>
      </c>
      <c r="U721" s="19">
        <f ca="1">IF('Stock Price'!$I$11="OK",H721/INDEX(H$5:H$1258,'Stock Price'!$I$9)-1,"")</f>
        <v>0.39068627450980409</v>
      </c>
      <c r="V721" s="19">
        <f ca="1">IF('Stock Price'!$I$11="OK",I721/INDEX(I$5:I$1258,'Stock Price'!$I$9)-1,"")</f>
        <v>-0.32774102079395084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163.56</v>
      </c>
      <c r="C722" s="18">
        <v>112.53</v>
      </c>
      <c r="D722" s="18">
        <v>41.18</v>
      </c>
      <c r="E722" s="18">
        <v>40.409999999999997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0.35173553719008277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-0.1380429094714809</v>
      </c>
      <c r="R722" s="19">
        <f ca="1">IF('Stock Price'!$I$11="OK",E722/INDEX(E$5:E$1258,'Stock Price'!$I$9)-1,"")</f>
        <v>-0.13468950749464681</v>
      </c>
      <c r="S722" s="19">
        <f ca="1">IF('Stock Price'!$I$11="OK",F722/INDEX(F$5:F$1258,'Stock Price'!$I$9)-1,"")</f>
        <v>0.10885761589403975</v>
      </c>
      <c r="T722" s="19">
        <f ca="1">IF('Stock Price'!$I$11="OK",G722/INDEX(G$5:G$1258,'Stock Price'!$I$9)-1,"")</f>
        <v>-0.43712769414058272</v>
      </c>
      <c r="U722" s="19">
        <f ca="1">IF('Stock Price'!$I$11="OK",H722/INDEX(H$5:H$1258,'Stock Price'!$I$9)-1,"")</f>
        <v>0.40183823529411766</v>
      </c>
      <c r="V722" s="19">
        <f ca="1">IF('Stock Price'!$I$11="OK",I722/INDEX(I$5:I$1258,'Stock Price'!$I$9)-1,"")</f>
        <v>-0.31828922495274103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166</v>
      </c>
      <c r="C723" s="18">
        <v>113.53</v>
      </c>
      <c r="D723" s="18">
        <v>41.22</v>
      </c>
      <c r="E723" s="18">
        <v>40.590000000000003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0.37190082644628109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-0.13720565149136577</v>
      </c>
      <c r="R723" s="19">
        <f ca="1">IF('Stock Price'!$I$11="OK",E723/INDEX(E$5:E$1258,'Stock Price'!$I$9)-1,"")</f>
        <v>-0.13083511777301926</v>
      </c>
      <c r="S723" s="19">
        <f ca="1">IF('Stock Price'!$I$11="OK",F723/INDEX(F$5:F$1258,'Stock Price'!$I$9)-1,"")</f>
        <v>0.10782284768211925</v>
      </c>
      <c r="T723" s="19">
        <f ca="1">IF('Stock Price'!$I$11="OK",G723/INDEX(G$5:G$1258,'Stock Price'!$I$9)-1,"")</f>
        <v>-0.4403769089136792</v>
      </c>
      <c r="U723" s="19">
        <f ca="1">IF('Stock Price'!$I$11="OK",H723/INDEX(H$5:H$1258,'Stock Price'!$I$9)-1,"")</f>
        <v>0.39191176470588251</v>
      </c>
      <c r="V723" s="19">
        <f ca="1">IF('Stock Price'!$I$11="OK",I723/INDEX(I$5:I$1258,'Stock Price'!$I$9)-1,"")</f>
        <v>-0.31758034026465032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167</v>
      </c>
      <c r="C724" s="18">
        <v>113.31</v>
      </c>
      <c r="D724" s="18">
        <v>41.4</v>
      </c>
      <c r="E724" s="18">
        <v>40.39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0.38016528925619841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-0.13343799058084771</v>
      </c>
      <c r="R724" s="19">
        <f ca="1">IF('Stock Price'!$I$11="OK",E724/INDEX(E$5:E$1258,'Stock Price'!$I$9)-1,"")</f>
        <v>-0.13511777301927197</v>
      </c>
      <c r="S724" s="19">
        <f ca="1">IF('Stock Price'!$I$11="OK",F724/INDEX(F$5:F$1258,'Stock Price'!$I$9)-1,"")</f>
        <v>0.11796357615894038</v>
      </c>
      <c r="T724" s="19">
        <f ca="1">IF('Stock Price'!$I$11="OK",G724/INDEX(G$5:G$1258,'Stock Price'!$I$9)-1,"")</f>
        <v>-0.43084587891259618</v>
      </c>
      <c r="U724" s="19">
        <f ca="1">IF('Stock Price'!$I$11="OK",H724/INDEX(H$5:H$1258,'Stock Price'!$I$9)-1,"")</f>
        <v>0.38860294117647065</v>
      </c>
      <c r="V724" s="19">
        <f ca="1">IF('Stock Price'!$I$11="OK",I724/INDEX(I$5:I$1258,'Stock Price'!$I$9)-1,"")</f>
        <v>-0.32159735349716445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169.9</v>
      </c>
      <c r="C725" s="18">
        <v>114.7</v>
      </c>
      <c r="D725" s="18">
        <v>41.28</v>
      </c>
      <c r="E725" s="18">
        <v>40.56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0.40413223140495869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-0.13594976452119301</v>
      </c>
      <c r="R725" s="19">
        <f ca="1">IF('Stock Price'!$I$11="OK",E725/INDEX(E$5:E$1258,'Stock Price'!$I$9)-1,"")</f>
        <v>-0.13147751605995717</v>
      </c>
      <c r="S725" s="19">
        <f ca="1">IF('Stock Price'!$I$11="OK",F725/INDEX(F$5:F$1258,'Stock Price'!$I$9)-1,"")</f>
        <v>0.11899834437086088</v>
      </c>
      <c r="T725" s="19">
        <f ca="1">IF('Stock Price'!$I$11="OK",G725/INDEX(G$5:G$1258,'Stock Price'!$I$9)-1,"")</f>
        <v>-0.37181847720134298</v>
      </c>
      <c r="U725" s="19">
        <f ca="1">IF('Stock Price'!$I$11="OK",H725/INDEX(H$5:H$1258,'Stock Price'!$I$9)-1,"")</f>
        <v>0.39301470588235299</v>
      </c>
      <c r="V725" s="19">
        <f ca="1">IF('Stock Price'!$I$11="OK",I725/INDEX(I$5:I$1258,'Stock Price'!$I$9)-1,"")</f>
        <v>-0.33128544423440454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164.41300000000001</v>
      </c>
      <c r="C726" s="18">
        <v>115.93</v>
      </c>
      <c r="D726" s="18">
        <v>41.52</v>
      </c>
      <c r="E726" s="18">
        <v>41.02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0.35878512396694218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-0.1309262166405023</v>
      </c>
      <c r="R726" s="19">
        <f ca="1">IF('Stock Price'!$I$11="OK",E726/INDEX(E$5:E$1258,'Stock Price'!$I$9)-1,"")</f>
        <v>-0.12162740899357605</v>
      </c>
      <c r="S726" s="19">
        <f ca="1">IF('Stock Price'!$I$11="OK",F726/INDEX(F$5:F$1258,'Stock Price'!$I$9)-1,"")</f>
        <v>0.12831125827814582</v>
      </c>
      <c r="T726" s="19">
        <f ca="1">IF('Stock Price'!$I$11="OK",G726/INDEX(G$5:G$1258,'Stock Price'!$I$9)-1,"")</f>
        <v>-0.36997725549658833</v>
      </c>
      <c r="U726" s="19">
        <f ca="1">IF('Stock Price'!$I$11="OK",H726/INDEX(H$5:H$1258,'Stock Price'!$I$9)-1,"")</f>
        <v>0.4022058823529413</v>
      </c>
      <c r="V726" s="19">
        <f ca="1">IF('Stock Price'!$I$11="OK",I726/INDEX(I$5:I$1258,'Stock Price'!$I$9)-1,"")</f>
        <v>-0.31947069943289219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169.25</v>
      </c>
      <c r="C727" s="18">
        <v>117.13</v>
      </c>
      <c r="D727" s="18">
        <v>41.6</v>
      </c>
      <c r="E727" s="18">
        <v>41.45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0.39876033057851235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-0.12925170068027203</v>
      </c>
      <c r="R727" s="19">
        <f ca="1">IF('Stock Price'!$I$11="OK",E727/INDEX(E$5:E$1258,'Stock Price'!$I$9)-1,"")</f>
        <v>-0.11241970021413272</v>
      </c>
      <c r="S727" s="19">
        <f ca="1">IF('Stock Price'!$I$11="OK",F727/INDEX(F$5:F$1258,'Stock Price'!$I$9)-1,"")</f>
        <v>0.13369205298013243</v>
      </c>
      <c r="T727" s="19">
        <f ca="1">IF('Stock Price'!$I$11="OK",G727/INDEX(G$5:G$1258,'Stock Price'!$I$9)-1,"")</f>
        <v>-0.38763132243041265</v>
      </c>
      <c r="U727" s="19">
        <f ca="1">IF('Stock Price'!$I$11="OK",H727/INDEX(H$5:H$1258,'Stock Price'!$I$9)-1,"")</f>
        <v>0.41102941176470598</v>
      </c>
      <c r="V727" s="19">
        <f ca="1">IF('Stock Price'!$I$11="OK",I727/INDEX(I$5:I$1258,'Stock Price'!$I$9)-1,"")</f>
        <v>-0.31710775047258988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169.25</v>
      </c>
      <c r="C728" s="18">
        <v>117.61</v>
      </c>
      <c r="D728" s="18">
        <v>41.85</v>
      </c>
      <c r="E728" s="18">
        <v>41.5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0.39876033057851235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-0.12401883830455251</v>
      </c>
      <c r="R728" s="19">
        <f ca="1">IF('Stock Price'!$I$11="OK",E728/INDEX(E$5:E$1258,'Stock Price'!$I$9)-1,"")</f>
        <v>-0.11134903640256966</v>
      </c>
      <c r="S728" s="19">
        <f ca="1">IF('Stock Price'!$I$11="OK",F728/INDEX(F$5:F$1258,'Stock Price'!$I$9)-1,"")</f>
        <v>0.14279801324503305</v>
      </c>
      <c r="T728" s="19">
        <f ca="1">IF('Stock Price'!$I$11="OK",G728/INDEX(G$5:G$1258,'Stock Price'!$I$9)-1,"")</f>
        <v>-0.39109715152171554</v>
      </c>
      <c r="U728" s="19">
        <f ca="1">IF('Stock Price'!$I$11="OK",H728/INDEX(H$5:H$1258,'Stock Price'!$I$9)-1,"")</f>
        <v>0.42193627450980409</v>
      </c>
      <c r="V728" s="19">
        <f ca="1">IF('Stock Price'!$I$11="OK",I728/INDEX(I$5:I$1258,'Stock Price'!$I$9)-1,"")</f>
        <v>-0.31403591682419663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169.5</v>
      </c>
      <c r="C729" s="18">
        <v>117.76</v>
      </c>
      <c r="D729" s="18">
        <v>41.95</v>
      </c>
      <c r="E729" s="18">
        <v>41.43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0.40082644628099184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-0.12192569335426473</v>
      </c>
      <c r="R729" s="19">
        <f ca="1">IF('Stock Price'!$I$11="OK",E729/INDEX(E$5:E$1258,'Stock Price'!$I$9)-1,"")</f>
        <v>-0.1128479657387581</v>
      </c>
      <c r="S729" s="19">
        <f ca="1">IF('Stock Price'!$I$11="OK",F729/INDEX(F$5:F$1258,'Stock Price'!$I$9)-1,"")</f>
        <v>0.14300496688741715</v>
      </c>
      <c r="T729" s="19">
        <f ca="1">IF('Stock Price'!$I$11="OK",G729/INDEX(G$5:G$1258,'Stock Price'!$I$9)-1,"")</f>
        <v>-0.39976172424997292</v>
      </c>
      <c r="U729" s="19">
        <f ca="1">IF('Stock Price'!$I$11="OK",H729/INDEX(H$5:H$1258,'Stock Price'!$I$9)-1,"")</f>
        <v>0.42830882352941191</v>
      </c>
      <c r="V729" s="19">
        <f ca="1">IF('Stock Price'!$I$11="OK",I729/INDEX(I$5:I$1258,'Stock Price'!$I$9)-1,"")</f>
        <v>-0.31994328922495274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169.55</v>
      </c>
      <c r="C730" s="18">
        <v>118.56</v>
      </c>
      <c r="D730" s="18">
        <v>42.63</v>
      </c>
      <c r="E730" s="18">
        <v>41.71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0.4012396694214877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-0.10769230769230764</v>
      </c>
      <c r="R730" s="19">
        <f ca="1">IF('Stock Price'!$I$11="OK",E730/INDEX(E$5:E$1258,'Stock Price'!$I$9)-1,"")</f>
        <v>-0.10685224839400431</v>
      </c>
      <c r="S730" s="19">
        <f ca="1">IF('Stock Price'!$I$11="OK",F730/INDEX(F$5:F$1258,'Stock Price'!$I$9)-1,"")</f>
        <v>0.16328642384105962</v>
      </c>
      <c r="T730" s="19">
        <f ca="1">IF('Stock Price'!$I$11="OK",G730/INDEX(G$5:G$1258,'Stock Price'!$I$9)-1,"")</f>
        <v>-0.39640420231777318</v>
      </c>
      <c r="U730" s="19">
        <f ca="1">IF('Stock Price'!$I$11="OK",H730/INDEX(H$5:H$1258,'Stock Price'!$I$9)-1,"")</f>
        <v>0.42892156862745101</v>
      </c>
      <c r="V730" s="19">
        <f ca="1">IF('Stock Price'!$I$11="OK",I730/INDEX(I$5:I$1258,'Stock Price'!$I$9)-1,"")</f>
        <v>-0.31710775047258988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174.9</v>
      </c>
      <c r="C731" s="18">
        <v>119.15</v>
      </c>
      <c r="D731" s="18">
        <v>42.54</v>
      </c>
      <c r="E731" s="18">
        <v>42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0.44545454545454555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-0.10957613814756673</v>
      </c>
      <c r="R731" s="19">
        <f ca="1">IF('Stock Price'!$I$11="OK",E731/INDEX(E$5:E$1258,'Stock Price'!$I$9)-1,"")</f>
        <v>-0.100642398286938</v>
      </c>
      <c r="S731" s="19">
        <f ca="1">IF('Stock Price'!$I$11="OK",F731/INDEX(F$5:F$1258,'Stock Price'!$I$9)-1,"")</f>
        <v>0.16452814569536423</v>
      </c>
      <c r="T731" s="19">
        <f ca="1">IF('Stock Price'!$I$11="OK",G731/INDEX(G$5:G$1258,'Stock Price'!$I$9)-1,"")</f>
        <v>-0.40311924618217265</v>
      </c>
      <c r="U731" s="19">
        <f ca="1">IF('Stock Price'!$I$11="OK",H731/INDEX(H$5:H$1258,'Stock Price'!$I$9)-1,"")</f>
        <v>0.42487745098039231</v>
      </c>
      <c r="V731" s="19">
        <f ca="1">IF('Stock Price'!$I$11="OK",I731/INDEX(I$5:I$1258,'Stock Price'!$I$9)-1,"")</f>
        <v>-0.31663516068052922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171</v>
      </c>
      <c r="C732" s="18">
        <v>119.84</v>
      </c>
      <c r="D732" s="18">
        <v>44.15</v>
      </c>
      <c r="E732" s="18">
        <v>41.74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0.41322314049586772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-7.5876504447933035E-2</v>
      </c>
      <c r="R732" s="19">
        <f ca="1">IF('Stock Price'!$I$11="OK",E732/INDEX(E$5:E$1258,'Stock Price'!$I$9)-1,"")</f>
        <v>-0.10620985010706641</v>
      </c>
      <c r="S732" s="19">
        <f ca="1">IF('Stock Price'!$I$11="OK",F732/INDEX(F$5:F$1258,'Stock Price'!$I$9)-1,"")</f>
        <v>0.16556291390728473</v>
      </c>
      <c r="T732" s="19">
        <f ca="1">IF('Stock Price'!$I$11="OK",G732/INDEX(G$5:G$1258,'Stock Price'!$I$9)-1,"")</f>
        <v>-0.40344416765948232</v>
      </c>
      <c r="U732" s="19">
        <f ca="1">IF('Stock Price'!$I$11="OK",H732/INDEX(H$5:H$1258,'Stock Price'!$I$9)-1,"")</f>
        <v>0.42769607843137258</v>
      </c>
      <c r="V732" s="19">
        <f ca="1">IF('Stock Price'!$I$11="OK",I732/INDEX(I$5:I$1258,'Stock Price'!$I$9)-1,"")</f>
        <v>-0.31899810964083175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173.625</v>
      </c>
      <c r="C733" s="18">
        <v>119.98</v>
      </c>
      <c r="D733" s="18">
        <v>43.9</v>
      </c>
      <c r="E733" s="18">
        <v>41.7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0.43491735537190079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-8.1109366823652551E-2</v>
      </c>
      <c r="R733" s="19">
        <f ca="1">IF('Stock Price'!$I$11="OK",E733/INDEX(E$5:E$1258,'Stock Price'!$I$9)-1,"")</f>
        <v>-0.10706638115631695</v>
      </c>
      <c r="S733" s="19">
        <f ca="1">IF('Stock Price'!$I$11="OK",F733/INDEX(F$5:F$1258,'Stock Price'!$I$9)-1,"")</f>
        <v>0.16121688741721862</v>
      </c>
      <c r="T733" s="19">
        <f ca="1">IF('Stock Price'!$I$11="OK",G733/INDEX(G$5:G$1258,'Stock Price'!$I$9)-1,"")</f>
        <v>-0.40192786743203723</v>
      </c>
      <c r="U733" s="19">
        <f ca="1">IF('Stock Price'!$I$11="OK",H733/INDEX(H$5:H$1258,'Stock Price'!$I$9)-1,"")</f>
        <v>0.43872549019607865</v>
      </c>
      <c r="V733" s="19">
        <f ca="1">IF('Stock Price'!$I$11="OK",I733/INDEX(I$5:I$1258,'Stock Price'!$I$9)-1,"")</f>
        <v>-0.32065217391304346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172.01990000000001</v>
      </c>
      <c r="C734" s="18">
        <v>120.42</v>
      </c>
      <c r="D734" s="18">
        <v>43.74</v>
      </c>
      <c r="E734" s="18">
        <v>42.04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0.42165206611570261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-8.4458398744112984E-2</v>
      </c>
      <c r="R734" s="19">
        <f ca="1">IF('Stock Price'!$I$11="OK",E734/INDEX(E$5:E$1258,'Stock Price'!$I$9)-1,"")</f>
        <v>-9.9785867237687453E-2</v>
      </c>
      <c r="S734" s="19">
        <f ca="1">IF('Stock Price'!$I$11="OK",F734/INDEX(F$5:F$1258,'Stock Price'!$I$9)-1,"")</f>
        <v>0.16576986754966883</v>
      </c>
      <c r="T734" s="19">
        <f ca="1">IF('Stock Price'!$I$11="OK",G734/INDEX(G$5:G$1258,'Stock Price'!$I$9)-1,"")</f>
        <v>-0.3975955810679086</v>
      </c>
      <c r="U734" s="19">
        <f ca="1">IF('Stock Price'!$I$11="OK",H734/INDEX(H$5:H$1258,'Stock Price'!$I$9)-1,"")</f>
        <v>0.43946078431372548</v>
      </c>
      <c r="V734" s="19">
        <f ca="1">IF('Stock Price'!$I$11="OK",I734/INDEX(I$5:I$1258,'Stock Price'!$I$9)-1,"")</f>
        <v>-0.32136105860113429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175</v>
      </c>
      <c r="C735" s="18">
        <v>120.89</v>
      </c>
      <c r="D735" s="18">
        <v>43.91</v>
      </c>
      <c r="E735" s="18">
        <v>42.33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0.44628099173553726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-8.090005232862385E-2</v>
      </c>
      <c r="R735" s="19">
        <f ca="1">IF('Stock Price'!$I$11="OK",E735/INDEX(E$5:E$1258,'Stock Price'!$I$9)-1,"")</f>
        <v>-9.3576017130621025E-2</v>
      </c>
      <c r="S735" s="19">
        <f ca="1">IF('Stock Price'!$I$11="OK",F735/INDEX(F$5:F$1258,'Stock Price'!$I$9)-1,"")</f>
        <v>0.16432119205298013</v>
      </c>
      <c r="T735" s="19">
        <f ca="1">IF('Stock Price'!$I$11="OK",G735/INDEX(G$5:G$1258,'Stock Price'!$I$9)-1,"")</f>
        <v>-0.39640420231777318</v>
      </c>
      <c r="U735" s="19">
        <f ca="1">IF('Stock Price'!$I$11="OK",H735/INDEX(H$5:H$1258,'Stock Price'!$I$9)-1,"")</f>
        <v>0.45159313725490202</v>
      </c>
      <c r="V735" s="19">
        <f ca="1">IF('Stock Price'!$I$11="OK",I735/INDEX(I$5:I$1258,'Stock Price'!$I$9)-1,"")</f>
        <v>-0.31450850661625707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172.8</v>
      </c>
      <c r="C736" s="18">
        <v>118.5</v>
      </c>
      <c r="D736" s="18">
        <v>43.44</v>
      </c>
      <c r="E736" s="18">
        <v>41.16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0.42809917355371918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-9.0737833594976447E-2</v>
      </c>
      <c r="R736" s="19">
        <f ca="1">IF('Stock Price'!$I$11="OK",E736/INDEX(E$5:E$1258,'Stock Price'!$I$9)-1,"")</f>
        <v>-0.11862955032119926</v>
      </c>
      <c r="S736" s="19">
        <f ca="1">IF('Stock Price'!$I$11="OK",F736/INDEX(F$5:F$1258,'Stock Price'!$I$9)-1,"")</f>
        <v>0.1906043046357615</v>
      </c>
      <c r="T736" s="19">
        <f ca="1">IF('Stock Price'!$I$11="OK",G736/INDEX(G$5:G$1258,'Stock Price'!$I$9)-1,"")</f>
        <v>-0.3975955810679086</v>
      </c>
      <c r="U736" s="19">
        <f ca="1">IF('Stock Price'!$I$11="OK",H736/INDEX(H$5:H$1258,'Stock Price'!$I$9)-1,"")</f>
        <v>0.42867647058823533</v>
      </c>
      <c r="V736" s="19">
        <f ca="1">IF('Stock Price'!$I$11="OK",I736/INDEX(I$5:I$1258,'Stock Price'!$I$9)-1,"")</f>
        <v>-0.33128544423440454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169.78</v>
      </c>
      <c r="C737" s="18">
        <v>119.38</v>
      </c>
      <c r="D737" s="18">
        <v>44.26</v>
      </c>
      <c r="E737" s="18">
        <v>40.950000000000003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0.40314049586776868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-7.3574045002616439E-2</v>
      </c>
      <c r="R737" s="19">
        <f ca="1">IF('Stock Price'!$I$11="OK",E737/INDEX(E$5:E$1258,'Stock Price'!$I$9)-1,"")</f>
        <v>-0.1231263383297645</v>
      </c>
      <c r="S737" s="19">
        <f ca="1">IF('Stock Price'!$I$11="OK",F737/INDEX(F$5:F$1258,'Stock Price'!$I$9)-1,"")</f>
        <v>0.21129966887417218</v>
      </c>
      <c r="T737" s="19">
        <f ca="1">IF('Stock Price'!$I$11="OK",G737/INDEX(G$5:G$1258,'Stock Price'!$I$9)-1,"")</f>
        <v>-0.3958626665222571</v>
      </c>
      <c r="U737" s="19">
        <f ca="1">IF('Stock Price'!$I$11="OK",H737/INDEX(H$5:H$1258,'Stock Price'!$I$9)-1,"")</f>
        <v>0.41911764705882359</v>
      </c>
      <c r="V737" s="19">
        <f ca="1">IF('Stock Price'!$I$11="OK",I737/INDEX(I$5:I$1258,'Stock Price'!$I$9)-1,"")</f>
        <v>-0.32915879017013228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164.76</v>
      </c>
      <c r="C738" s="18">
        <v>116.49</v>
      </c>
      <c r="D738" s="18">
        <v>43.13</v>
      </c>
      <c r="E738" s="18">
        <v>40.64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0.3616528925619833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-9.7226582940868611E-2</v>
      </c>
      <c r="R738" s="19">
        <f ca="1">IF('Stock Price'!$I$11="OK",E738/INDEX(E$5:E$1258,'Stock Price'!$I$9)-1,"")</f>
        <v>-0.12976445396145619</v>
      </c>
      <c r="S738" s="19">
        <f ca="1">IF('Stock Price'!$I$11="OK",F738/INDEX(F$5:F$1258,'Stock Price'!$I$9)-1,"")</f>
        <v>0.20529801324503305</v>
      </c>
      <c r="T738" s="19">
        <f ca="1">IF('Stock Price'!$I$11="OK",G738/INDEX(G$5:G$1258,'Stock Price'!$I$9)-1,"")</f>
        <v>-0.37236001299685906</v>
      </c>
      <c r="U738" s="19">
        <f ca="1">IF('Stock Price'!$I$11="OK",H738/INDEX(H$5:H$1258,'Stock Price'!$I$9)-1,"")</f>
        <v>0.45330882352941182</v>
      </c>
      <c r="V738" s="19">
        <f ca="1">IF('Stock Price'!$I$11="OK",I738/INDEX(I$5:I$1258,'Stock Price'!$I$9)-1,"")</f>
        <v>-0.3263232514177693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168.97499999999999</v>
      </c>
      <c r="C739" s="18">
        <v>116.65</v>
      </c>
      <c r="D739" s="18">
        <v>43.67</v>
      </c>
      <c r="E739" s="18">
        <v>40.49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0.39648760330578514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-8.5923600209314444E-2</v>
      </c>
      <c r="R739" s="19">
        <f ca="1">IF('Stock Price'!$I$11="OK",E739/INDEX(E$5:E$1258,'Stock Price'!$I$9)-1,"")</f>
        <v>-0.13297644539614561</v>
      </c>
      <c r="S739" s="19">
        <f ca="1">IF('Stock Price'!$I$11="OK",F739/INDEX(F$5:F$1258,'Stock Price'!$I$9)-1,"")</f>
        <v>0.19474337748344372</v>
      </c>
      <c r="T739" s="19">
        <f ca="1">IF('Stock Price'!$I$11="OK",G739/INDEX(G$5:G$1258,'Stock Price'!$I$9)-1,"")</f>
        <v>-0.37376800606520089</v>
      </c>
      <c r="U739" s="19">
        <f ca="1">IF('Stock Price'!$I$11="OK",H739/INDEX(H$5:H$1258,'Stock Price'!$I$9)-1,"")</f>
        <v>0.44411764705882373</v>
      </c>
      <c r="V739" s="19">
        <f ca="1">IF('Stock Price'!$I$11="OK",I739/INDEX(I$5:I$1258,'Stock Price'!$I$9)-1,"")</f>
        <v>-0.32514177693761814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160.08000000000001</v>
      </c>
      <c r="C740" s="18">
        <v>117.16</v>
      </c>
      <c r="D740" s="18">
        <v>43.94</v>
      </c>
      <c r="E740" s="18">
        <v>39.11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0.32297520661157031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-8.0272108843537415E-2</v>
      </c>
      <c r="R740" s="19">
        <f ca="1">IF('Stock Price'!$I$11="OK",E740/INDEX(E$5:E$1258,'Stock Price'!$I$9)-1,"")</f>
        <v>-0.1625267665952892</v>
      </c>
      <c r="S740" s="19">
        <f ca="1">IF('Stock Price'!$I$11="OK",F740/INDEX(F$5:F$1258,'Stock Price'!$I$9)-1,"")</f>
        <v>0.21088576158940397</v>
      </c>
      <c r="T740" s="19">
        <f ca="1">IF('Stock Price'!$I$11="OK",G740/INDEX(G$5:G$1258,'Stock Price'!$I$9)-1,"")</f>
        <v>-0.37875013538394886</v>
      </c>
      <c r="U740" s="19">
        <f ca="1">IF('Stock Price'!$I$11="OK",H740/INDEX(H$5:H$1258,'Stock Price'!$I$9)-1,"")</f>
        <v>0.41433823529411762</v>
      </c>
      <c r="V740" s="19">
        <f ca="1">IF('Stock Price'!$I$11="OK",I740/INDEX(I$5:I$1258,'Stock Price'!$I$9)-1,"")</f>
        <v>-0.30505671077504726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160.24</v>
      </c>
      <c r="C741" s="18">
        <v>116.99</v>
      </c>
      <c r="D741" s="18">
        <v>44.1</v>
      </c>
      <c r="E741" s="18">
        <v>39.72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0.32429752066115713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-7.6923076923076872E-2</v>
      </c>
      <c r="R741" s="19">
        <f ca="1">IF('Stock Price'!$I$11="OK",E741/INDEX(E$5:E$1258,'Stock Price'!$I$9)-1,"")</f>
        <v>-0.14946466809421854</v>
      </c>
      <c r="S741" s="19">
        <f ca="1">IF('Stock Price'!$I$11="OK",F741/INDEX(F$5:F$1258,'Stock Price'!$I$9)-1,"")</f>
        <v>0.20302152317880795</v>
      </c>
      <c r="T741" s="19">
        <f ca="1">IF('Stock Price'!$I$11="OK",G741/INDEX(G$5:G$1258,'Stock Price'!$I$9)-1,"")</f>
        <v>-0.40181956027293408</v>
      </c>
      <c r="U741" s="19">
        <f ca="1">IF('Stock Price'!$I$11="OK",H741/INDEX(H$5:H$1258,'Stock Price'!$I$9)-1,"")</f>
        <v>0.41335784313725488</v>
      </c>
      <c r="V741" s="19">
        <f ca="1">IF('Stock Price'!$I$11="OK",I741/INDEX(I$5:I$1258,'Stock Price'!$I$9)-1,"")</f>
        <v>-0.29725897920604916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160.24</v>
      </c>
      <c r="C742" s="18">
        <v>115.28</v>
      </c>
      <c r="D742" s="18">
        <v>43.77</v>
      </c>
      <c r="E742" s="18">
        <v>37.33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0.32429752066115713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-8.3830455259026548E-2</v>
      </c>
      <c r="R742" s="19">
        <f ca="1">IF('Stock Price'!$I$11="OK",E742/INDEX(E$5:E$1258,'Stock Price'!$I$9)-1,"")</f>
        <v>-0.20064239828693797</v>
      </c>
      <c r="S742" s="19">
        <f ca="1">IF('Stock Price'!$I$11="OK",F742/INDEX(F$5:F$1258,'Stock Price'!$I$9)-1,"")</f>
        <v>0.1891556291390728</v>
      </c>
      <c r="T742" s="19">
        <f ca="1">IF('Stock Price'!$I$11="OK",G742/INDEX(G$5:G$1258,'Stock Price'!$I$9)-1,"")</f>
        <v>-0.41492472652442325</v>
      </c>
      <c r="U742" s="19">
        <f ca="1">IF('Stock Price'!$I$11="OK",H742/INDEX(H$5:H$1258,'Stock Price'!$I$9)-1,"")</f>
        <v>0.40575980392156863</v>
      </c>
      <c r="V742" s="19">
        <f ca="1">IF('Stock Price'!$I$11="OK",I742/INDEX(I$5:I$1258,'Stock Price'!$I$9)-1,"")</f>
        <v>-0.29914933837429114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156.37989999999999</v>
      </c>
      <c r="C743" s="18">
        <v>115.72</v>
      </c>
      <c r="D743" s="18">
        <v>43.11</v>
      </c>
      <c r="E743" s="18">
        <v>38.71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0.29239586776859494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-9.7645211930926235E-2</v>
      </c>
      <c r="R743" s="19">
        <f ca="1">IF('Stock Price'!$I$11="OK",E743/INDEX(E$5:E$1258,'Stock Price'!$I$9)-1,"")</f>
        <v>-0.1710920770877945</v>
      </c>
      <c r="S743" s="19">
        <f ca="1">IF('Stock Price'!$I$11="OK",F743/INDEX(F$5:F$1258,'Stock Price'!$I$9)-1,"")</f>
        <v>0.17446192052980125</v>
      </c>
      <c r="T743" s="19">
        <f ca="1">IF('Stock Price'!$I$11="OK",G743/INDEX(G$5:G$1258,'Stock Price'!$I$9)-1,"")</f>
        <v>-0.41969024152496481</v>
      </c>
      <c r="U743" s="19">
        <f ca="1">IF('Stock Price'!$I$11="OK",H743/INDEX(H$5:H$1258,'Stock Price'!$I$9)-1,"")</f>
        <v>0.41237745098039236</v>
      </c>
      <c r="V743" s="19">
        <f ca="1">IF('Stock Price'!$I$11="OK",I743/INDEX(I$5:I$1258,'Stock Price'!$I$9)-1,"")</f>
        <v>-0.31096408317580337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158.13999999999999</v>
      </c>
      <c r="C744" s="18">
        <v>115.66</v>
      </c>
      <c r="D744" s="18">
        <v>43.01</v>
      </c>
      <c r="E744" s="18">
        <v>39.11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0.30694214876033055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-9.9738356881214019E-2</v>
      </c>
      <c r="R744" s="19">
        <f ca="1">IF('Stock Price'!$I$11="OK",E744/INDEX(E$5:E$1258,'Stock Price'!$I$9)-1,"")</f>
        <v>-0.1625267665952892</v>
      </c>
      <c r="S744" s="19">
        <f ca="1">IF('Stock Price'!$I$11="OK",F744/INDEX(F$5:F$1258,'Stock Price'!$I$9)-1,"")</f>
        <v>0.1823261589403975</v>
      </c>
      <c r="T744" s="19">
        <f ca="1">IF('Stock Price'!$I$11="OK",G744/INDEX(G$5:G$1258,'Stock Price'!$I$9)-1,"")</f>
        <v>-0.41557456947904259</v>
      </c>
      <c r="U744" s="19">
        <f ca="1">IF('Stock Price'!$I$11="OK",H744/INDEX(H$5:H$1258,'Stock Price'!$I$9)-1,"")</f>
        <v>0.41985294117647065</v>
      </c>
      <c r="V744" s="19">
        <f ca="1">IF('Stock Price'!$I$11="OK",I744/INDEX(I$5:I$1258,'Stock Price'!$I$9)-1,"")</f>
        <v>-0.30836483931947067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157</v>
      </c>
      <c r="C745" s="18">
        <v>116.95</v>
      </c>
      <c r="D745" s="18">
        <v>43.55</v>
      </c>
      <c r="E745" s="18">
        <v>39.21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0.29752066115702469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-8.8435374149659851E-2</v>
      </c>
      <c r="R745" s="19">
        <f ca="1">IF('Stock Price'!$I$11="OK",E745/INDEX(E$5:E$1258,'Stock Price'!$I$9)-1,"")</f>
        <v>-0.16038543897216273</v>
      </c>
      <c r="S745" s="19">
        <f ca="1">IF('Stock Price'!$I$11="OK",F745/INDEX(F$5:F$1258,'Stock Price'!$I$9)-1,"")</f>
        <v>0.1864652317880795</v>
      </c>
      <c r="T745" s="19">
        <f ca="1">IF('Stock Price'!$I$11="OK",G745/INDEX(G$5:G$1258,'Stock Price'!$I$9)-1,"")</f>
        <v>-0.4214231560706162</v>
      </c>
      <c r="U745" s="19">
        <f ca="1">IF('Stock Price'!$I$11="OK",H745/INDEX(H$5:H$1258,'Stock Price'!$I$9)-1,"")</f>
        <v>0.44558823529411762</v>
      </c>
      <c r="V745" s="19">
        <f ca="1">IF('Stock Price'!$I$11="OK",I745/INDEX(I$5:I$1258,'Stock Price'!$I$9)-1,"")</f>
        <v>-0.28946124763705106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157.80160000000001</v>
      </c>
      <c r="C746" s="18">
        <v>115.7</v>
      </c>
      <c r="D746" s="18">
        <v>42.56</v>
      </c>
      <c r="E746" s="18">
        <v>39.33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0.30414545454545472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-0.1091575091575091</v>
      </c>
      <c r="R746" s="19">
        <f ca="1">IF('Stock Price'!$I$11="OK",E746/INDEX(E$5:E$1258,'Stock Price'!$I$9)-1,"")</f>
        <v>-0.15781584582441122</v>
      </c>
      <c r="S746" s="19">
        <f ca="1">IF('Stock Price'!$I$11="OK",F746/INDEX(F$5:F$1258,'Stock Price'!$I$9)-1,"")</f>
        <v>0.17777317880794685</v>
      </c>
      <c r="T746" s="19">
        <f ca="1">IF('Stock Price'!$I$11="OK",G746/INDEX(G$5:G$1258,'Stock Price'!$I$9)-1,"")</f>
        <v>-0.40506877504603056</v>
      </c>
      <c r="U746" s="19">
        <f ca="1">IF('Stock Price'!$I$11="OK",H746/INDEX(H$5:H$1258,'Stock Price'!$I$9)-1,"")</f>
        <v>0.44963235294117654</v>
      </c>
      <c r="V746" s="19">
        <f ca="1">IF('Stock Price'!$I$11="OK",I746/INDEX(I$5:I$1258,'Stock Price'!$I$9)-1,"")</f>
        <v>-0.29513232514177701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163.97</v>
      </c>
      <c r="C747" s="18">
        <v>115.97</v>
      </c>
      <c r="D747" s="18">
        <v>42.43</v>
      </c>
      <c r="E747" s="18">
        <v>39.61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0.35512396694214865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-0.11187859759288332</v>
      </c>
      <c r="R747" s="19">
        <f ca="1">IF('Stock Price'!$I$11="OK",E747/INDEX(E$5:E$1258,'Stock Price'!$I$9)-1,"")</f>
        <v>-0.15182012847965742</v>
      </c>
      <c r="S747" s="19">
        <f ca="1">IF('Stock Price'!$I$11="OK",F747/INDEX(F$5:F$1258,'Stock Price'!$I$9)-1,"")</f>
        <v>0.1893625827814569</v>
      </c>
      <c r="T747" s="19">
        <f ca="1">IF('Stock Price'!$I$11="OK",G747/INDEX(G$5:G$1258,'Stock Price'!$I$9)-1,"")</f>
        <v>-0.39510451640853461</v>
      </c>
      <c r="U747" s="19">
        <f ca="1">IF('Stock Price'!$I$11="OK",H747/INDEX(H$5:H$1258,'Stock Price'!$I$9)-1,"")</f>
        <v>0.45392156862745114</v>
      </c>
      <c r="V747" s="19">
        <f ca="1">IF('Stock Price'!$I$11="OK",I747/INDEX(I$5:I$1258,'Stock Price'!$I$9)-1,"")</f>
        <v>-0.29702268431001888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157.73269999999999</v>
      </c>
      <c r="C748" s="18">
        <v>115.98</v>
      </c>
      <c r="D748" s="18">
        <v>41.62</v>
      </c>
      <c r="E748" s="18">
        <v>39.46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0.30357603305785119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-0.12883307169021463</v>
      </c>
      <c r="R748" s="19">
        <f ca="1">IF('Stock Price'!$I$11="OK",E748/INDEX(E$5:E$1258,'Stock Price'!$I$9)-1,"")</f>
        <v>-0.15503211991434696</v>
      </c>
      <c r="S748" s="19">
        <f ca="1">IF('Stock Price'!$I$11="OK",F748/INDEX(F$5:F$1258,'Stock Price'!$I$9)-1,"")</f>
        <v>0.20571192052980125</v>
      </c>
      <c r="T748" s="19">
        <f ca="1">IF('Stock Price'!$I$11="OK",G748/INDEX(G$5:G$1258,'Stock Price'!$I$9)-1,"")</f>
        <v>-0.37246832015596232</v>
      </c>
      <c r="U748" s="19">
        <f ca="1">IF('Stock Price'!$I$11="OK",H748/INDEX(H$5:H$1258,'Stock Price'!$I$9)-1,"")</f>
        <v>0.43664215686274521</v>
      </c>
      <c r="V748" s="19">
        <f ca="1">IF('Stock Price'!$I$11="OK",I748/INDEX(I$5:I$1258,'Stock Price'!$I$9)-1,"")</f>
        <v>-0.29914933837429114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155.13990000000001</v>
      </c>
      <c r="C749" s="18">
        <v>115.94</v>
      </c>
      <c r="D749" s="18">
        <v>40.799999999999997</v>
      </c>
      <c r="E749" s="18">
        <v>39.450000000000003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0.2821479338842976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-0.14599686028257464</v>
      </c>
      <c r="R749" s="19">
        <f ca="1">IF('Stock Price'!$I$11="OK",E749/INDEX(E$5:E$1258,'Stock Price'!$I$9)-1,"")</f>
        <v>-0.15524625267665948</v>
      </c>
      <c r="S749" s="19">
        <f ca="1">IF('Stock Price'!$I$11="OK",F749/INDEX(F$5:F$1258,'Stock Price'!$I$9)-1,"")</f>
        <v>0.19267384105960272</v>
      </c>
      <c r="T749" s="19">
        <f ca="1">IF('Stock Price'!$I$11="OK",G749/INDEX(G$5:G$1258,'Stock Price'!$I$9)-1,"")</f>
        <v>-0.37918336402036168</v>
      </c>
      <c r="U749" s="19">
        <f ca="1">IF('Stock Price'!$I$11="OK",H749/INDEX(H$5:H$1258,'Stock Price'!$I$9)-1,"")</f>
        <v>0.43590686274509816</v>
      </c>
      <c r="V749" s="19">
        <f ca="1">IF('Stock Price'!$I$11="OK",I749/INDEX(I$5:I$1258,'Stock Price'!$I$9)-1,"")</f>
        <v>-0.30482041587901698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155.13990000000001</v>
      </c>
      <c r="C750" s="18">
        <v>116.37</v>
      </c>
      <c r="D750" s="18">
        <v>40.86</v>
      </c>
      <c r="E750" s="18">
        <v>39.5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0.2821479338842976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-0.14474097331240188</v>
      </c>
      <c r="R750" s="19">
        <f ca="1">IF('Stock Price'!$I$11="OK",E750/INDEX(E$5:E$1258,'Stock Price'!$I$9)-1,"")</f>
        <v>-0.15417558886509641</v>
      </c>
      <c r="S750" s="19">
        <f ca="1">IF('Stock Price'!$I$11="OK",F750/INDEX(F$5:F$1258,'Stock Price'!$I$9)-1,"")</f>
        <v>0.1885347682119205</v>
      </c>
      <c r="T750" s="19">
        <f ca="1">IF('Stock Price'!$I$11="OK",G750/INDEX(G$5:G$1258,'Stock Price'!$I$9)-1,"")</f>
        <v>-0.38080797140690992</v>
      </c>
      <c r="U750" s="19">
        <f ca="1">IF('Stock Price'!$I$11="OK",H750/INDEX(H$5:H$1258,'Stock Price'!$I$9)-1,"")</f>
        <v>0.41703431372549016</v>
      </c>
      <c r="V750" s="19">
        <f ca="1">IF('Stock Price'!$I$11="OK",I750/INDEX(I$5:I$1258,'Stock Price'!$I$9)-1,"")</f>
        <v>-0.30741965973534979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149.34</v>
      </c>
      <c r="C751" s="18">
        <v>116.42</v>
      </c>
      <c r="D751" s="18">
        <v>40.98</v>
      </c>
      <c r="E751" s="18">
        <v>39.950000000000003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0.2342148760330578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-0.14222919937205658</v>
      </c>
      <c r="R751" s="19">
        <f ca="1">IF('Stock Price'!$I$11="OK",E751/INDEX(E$5:E$1258,'Stock Price'!$I$9)-1,"")</f>
        <v>-0.14453961456102782</v>
      </c>
      <c r="S751" s="19">
        <f ca="1">IF('Stock Price'!$I$11="OK",F751/INDEX(F$5:F$1258,'Stock Price'!$I$9)-1,"")</f>
        <v>0.1924668874172184</v>
      </c>
      <c r="T751" s="19">
        <f ca="1">IF('Stock Price'!$I$11="OK",G751/INDEX(G$5:G$1258,'Stock Price'!$I$9)-1,"")</f>
        <v>-0.37192678436044624</v>
      </c>
      <c r="U751" s="19">
        <f ca="1">IF('Stock Price'!$I$11="OK",H751/INDEX(H$5:H$1258,'Stock Price'!$I$9)-1,"")</f>
        <v>0.40882352941176481</v>
      </c>
      <c r="V751" s="19">
        <f ca="1">IF('Stock Price'!$I$11="OK",I751/INDEX(I$5:I$1258,'Stock Price'!$I$9)-1,"")</f>
        <v>-0.302930056710775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153.30000000000001</v>
      </c>
      <c r="C752" s="18">
        <v>116.43</v>
      </c>
      <c r="D752" s="18">
        <v>40.56</v>
      </c>
      <c r="E752" s="18">
        <v>39.85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0.26694214876033073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-0.15102040816326523</v>
      </c>
      <c r="R752" s="19">
        <f ca="1">IF('Stock Price'!$I$11="OK",E752/INDEX(E$5:E$1258,'Stock Price'!$I$9)-1,"")</f>
        <v>-0.14668094218415417</v>
      </c>
      <c r="S752" s="19">
        <f ca="1">IF('Stock Price'!$I$11="OK",F752/INDEX(F$5:F$1258,'Stock Price'!$I$9)-1,"")</f>
        <v>0.17239238410596025</v>
      </c>
      <c r="T752" s="19">
        <f ca="1">IF('Stock Price'!$I$11="OK",G752/INDEX(G$5:G$1258,'Stock Price'!$I$9)-1,"")</f>
        <v>-0.37810029242932952</v>
      </c>
      <c r="U752" s="19">
        <f ca="1">IF('Stock Price'!$I$11="OK",H752/INDEX(H$5:H$1258,'Stock Price'!$I$9)-1,"")</f>
        <v>0.40600490196078454</v>
      </c>
      <c r="V752" s="19">
        <f ca="1">IF('Stock Price'!$I$11="OK",I752/INDEX(I$5:I$1258,'Stock Price'!$I$9)-1,"")</f>
        <v>-0.31639886578449905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153.30000000000001</v>
      </c>
      <c r="C753" s="18">
        <v>115.61</v>
      </c>
      <c r="D753" s="18">
        <v>40.9</v>
      </c>
      <c r="E753" s="18">
        <v>40.159999999999997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0.26694214876033073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-0.14390371533228674</v>
      </c>
      <c r="R753" s="19">
        <f ca="1">IF('Stock Price'!$I$11="OK",E753/INDEX(E$5:E$1258,'Stock Price'!$I$9)-1,"")</f>
        <v>-0.1400428265524627</v>
      </c>
      <c r="S753" s="19">
        <f ca="1">IF('Stock Price'!$I$11="OK",F753/INDEX(F$5:F$1258,'Stock Price'!$I$9)-1,"")</f>
        <v>0.17963576158940397</v>
      </c>
      <c r="T753" s="19">
        <f ca="1">IF('Stock Price'!$I$11="OK",G753/INDEX(G$5:G$1258,'Stock Price'!$I$9)-1,"")</f>
        <v>-0.36932741254196899</v>
      </c>
      <c r="U753" s="19">
        <f ca="1">IF('Stock Price'!$I$11="OK",H753/INDEX(H$5:H$1258,'Stock Price'!$I$9)-1,"")</f>
        <v>0.38590686274509811</v>
      </c>
      <c r="V753" s="19">
        <f ca="1">IF('Stock Price'!$I$11="OK",I753/INDEX(I$5:I$1258,'Stock Price'!$I$9)-1,"")</f>
        <v>-0.31545368620037806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154.46</v>
      </c>
      <c r="C754" s="18">
        <v>115.61</v>
      </c>
      <c r="D754" s="18">
        <v>40.71</v>
      </c>
      <c r="E754" s="18">
        <v>40.14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0.27652892561983489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-0.1478806907378335</v>
      </c>
      <c r="R754" s="19">
        <f ca="1">IF('Stock Price'!$I$11="OK",E754/INDEX(E$5:E$1258,'Stock Price'!$I$9)-1,"")</f>
        <v>-0.14047109207708786</v>
      </c>
      <c r="S754" s="19">
        <f ca="1">IF('Stock Price'!$I$11="OK",F754/INDEX(F$5:F$1258,'Stock Price'!$I$9)-1,"")</f>
        <v>0.19308774834437092</v>
      </c>
      <c r="T754" s="19">
        <f ca="1">IF('Stock Price'!$I$11="OK",G754/INDEX(G$5:G$1258,'Stock Price'!$I$9)-1,"")</f>
        <v>-0.34181739412975198</v>
      </c>
      <c r="U754" s="19">
        <f ca="1">IF('Stock Price'!$I$11="OK",H754/INDEX(H$5:H$1258,'Stock Price'!$I$9)-1,"")</f>
        <v>0.39325980392156867</v>
      </c>
      <c r="V754" s="19">
        <f ca="1">IF('Stock Price'!$I$11="OK",I754/INDEX(I$5:I$1258,'Stock Price'!$I$9)-1,"")</f>
        <v>-0.31261814744801508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154.46</v>
      </c>
      <c r="C755" s="18">
        <v>115.02</v>
      </c>
      <c r="D755" s="18">
        <v>40.880000000000003</v>
      </c>
      <c r="E755" s="18">
        <v>39.950000000000003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0.27652892561983489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-0.14432234432234425</v>
      </c>
      <c r="R755" s="19">
        <f ca="1">IF('Stock Price'!$I$11="OK",E755/INDEX(E$5:E$1258,'Stock Price'!$I$9)-1,"")</f>
        <v>-0.14453961456102782</v>
      </c>
      <c r="S755" s="19">
        <f ca="1">IF('Stock Price'!$I$11="OK",F755/INDEX(F$5:F$1258,'Stock Price'!$I$9)-1,"")</f>
        <v>0.19267384105960272</v>
      </c>
      <c r="T755" s="19">
        <f ca="1">IF('Stock Price'!$I$11="OK",G755/INDEX(G$5:G$1258,'Stock Price'!$I$9)-1,"")</f>
        <v>-0.34311708003899055</v>
      </c>
      <c r="U755" s="19">
        <f ca="1">IF('Stock Price'!$I$11="OK",H755/INDEX(H$5:H$1258,'Stock Price'!$I$9)-1,"")</f>
        <v>0.39166666666666683</v>
      </c>
      <c r="V755" s="19">
        <f ca="1">IF('Stock Price'!$I$11="OK",I755/INDEX(I$5:I$1258,'Stock Price'!$I$9)-1,"")</f>
        <v>-0.31616257088846877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155.52000000000001</v>
      </c>
      <c r="C756" s="18">
        <v>114.55</v>
      </c>
      <c r="D756" s="18">
        <v>40.299999999999997</v>
      </c>
      <c r="E756" s="18">
        <v>39.24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0.28528925619834711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-0.15646258503401367</v>
      </c>
      <c r="R756" s="19">
        <f ca="1">IF('Stock Price'!$I$11="OK",E756/INDEX(E$5:E$1258,'Stock Price'!$I$9)-1,"")</f>
        <v>-0.15974304068522482</v>
      </c>
      <c r="S756" s="19">
        <f ca="1">IF('Stock Price'!$I$11="OK",F756/INDEX(F$5:F$1258,'Stock Price'!$I$9)-1,"")</f>
        <v>0.1860513245033113</v>
      </c>
      <c r="T756" s="19">
        <f ca="1">IF('Stock Price'!$I$11="OK",G756/INDEX(G$5:G$1258,'Stock Price'!$I$9)-1,"")</f>
        <v>-0.3405177082205133</v>
      </c>
      <c r="U756" s="19">
        <f ca="1">IF('Stock Price'!$I$11="OK",H756/INDEX(H$5:H$1258,'Stock Price'!$I$9)-1,"")</f>
        <v>0.40612745098039227</v>
      </c>
      <c r="V756" s="19">
        <f ca="1">IF('Stock Price'!$I$11="OK",I756/INDEX(I$5:I$1258,'Stock Price'!$I$9)-1,"")</f>
        <v>-0.32254253308128544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158.94</v>
      </c>
      <c r="C757" s="18">
        <v>114.47</v>
      </c>
      <c r="D757" s="18">
        <v>39.450000000000003</v>
      </c>
      <c r="E757" s="18">
        <v>39.07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0.31355371900826445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-0.17425431711145989</v>
      </c>
      <c r="R757" s="19">
        <f ca="1">IF('Stock Price'!$I$11="OK",E757/INDEX(E$5:E$1258,'Stock Price'!$I$9)-1,"")</f>
        <v>-0.16338329764453963</v>
      </c>
      <c r="S757" s="19">
        <f ca="1">IF('Stock Price'!$I$11="OK",F757/INDEX(F$5:F$1258,'Stock Price'!$I$9)-1,"")</f>
        <v>0.16411423841059603</v>
      </c>
      <c r="T757" s="19">
        <f ca="1">IF('Stock Price'!$I$11="OK",G757/INDEX(G$5:G$1258,'Stock Price'!$I$9)-1,"")</f>
        <v>-0.34160077981154557</v>
      </c>
      <c r="U757" s="19">
        <f ca="1">IF('Stock Price'!$I$11="OK",H757/INDEX(H$5:H$1258,'Stock Price'!$I$9)-1,"")</f>
        <v>0.37352941176470589</v>
      </c>
      <c r="V757" s="19">
        <f ca="1">IF('Stock Price'!$I$11="OK",I757/INDEX(I$5:I$1258,'Stock Price'!$I$9)-1,"")</f>
        <v>-0.32396030245746699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152.80000000000001</v>
      </c>
      <c r="C758" s="18">
        <v>113.77</v>
      </c>
      <c r="D758" s="18">
        <v>38.369999999999997</v>
      </c>
      <c r="E758" s="18">
        <v>38.28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0.26280991735537196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-0.19686028257456833</v>
      </c>
      <c r="R758" s="19">
        <f ca="1">IF('Stock Price'!$I$11="OK",E758/INDEX(E$5:E$1258,'Stock Price'!$I$9)-1,"")</f>
        <v>-0.18029978586723772</v>
      </c>
      <c r="S758" s="19">
        <f ca="1">IF('Stock Price'!$I$11="OK",F758/INDEX(F$5:F$1258,'Stock Price'!$I$9)-1,"")</f>
        <v>0.14942052980132448</v>
      </c>
      <c r="T758" s="19">
        <f ca="1">IF('Stock Price'!$I$11="OK",G758/INDEX(G$5:G$1258,'Stock Price'!$I$9)-1,"")</f>
        <v>-0.3530813386764865</v>
      </c>
      <c r="U758" s="19">
        <f ca="1">IF('Stock Price'!$I$11="OK",H758/INDEX(H$5:H$1258,'Stock Price'!$I$9)-1,"")</f>
        <v>0.35024509803921577</v>
      </c>
      <c r="V758" s="19">
        <f ca="1">IF('Stock Price'!$I$11="OK",I758/INDEX(I$5:I$1258,'Stock Price'!$I$9)-1,"")</f>
        <v>-0.33034026465028354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152.66</v>
      </c>
      <c r="C759" s="18">
        <v>113.95</v>
      </c>
      <c r="D759" s="18">
        <v>38.82</v>
      </c>
      <c r="E759" s="18">
        <v>37.770000000000003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0.26165289256198343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-0.18744113029827314</v>
      </c>
      <c r="R759" s="19">
        <f ca="1">IF('Stock Price'!$I$11="OK",E759/INDEX(E$5:E$1258,'Stock Price'!$I$9)-1,"")</f>
        <v>-0.19122055674518201</v>
      </c>
      <c r="S759" s="19">
        <f ca="1">IF('Stock Price'!$I$11="OK",F759/INDEX(F$5:F$1258,'Stock Price'!$I$9)-1,"")</f>
        <v>0.14797185430463577</v>
      </c>
      <c r="T759" s="19">
        <f ca="1">IF('Stock Price'!$I$11="OK",G759/INDEX(G$5:G$1258,'Stock Price'!$I$9)-1,"")</f>
        <v>-0.35438102458572507</v>
      </c>
      <c r="U759" s="19">
        <f ca="1">IF('Stock Price'!$I$11="OK",H759/INDEX(H$5:H$1258,'Stock Price'!$I$9)-1,"")</f>
        <v>0.34522058823529411</v>
      </c>
      <c r="V759" s="19">
        <f ca="1">IF('Stock Price'!$I$11="OK",I759/INDEX(I$5:I$1258,'Stock Price'!$I$9)-1,"")</f>
        <v>-0.3246691871455577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155.72</v>
      </c>
      <c r="C760" s="18">
        <v>113.86</v>
      </c>
      <c r="D760" s="18">
        <v>38.630000000000003</v>
      </c>
      <c r="E760" s="18">
        <v>37.99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0.28694214876033053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-0.1914181057038199</v>
      </c>
      <c r="R760" s="19">
        <f ca="1">IF('Stock Price'!$I$11="OK",E760/INDEX(E$5:E$1258,'Stock Price'!$I$9)-1,"")</f>
        <v>-0.18650963597430403</v>
      </c>
      <c r="S760" s="19">
        <f ca="1">IF('Stock Price'!$I$11="OK",F760/INDEX(F$5:F$1258,'Stock Price'!$I$9)-1,"")</f>
        <v>0.13327814569536423</v>
      </c>
      <c r="T760" s="19">
        <f ca="1">IF('Stock Price'!$I$11="OK",G760/INDEX(G$5:G$1258,'Stock Price'!$I$9)-1,"")</f>
        <v>-0.35513917469944767</v>
      </c>
      <c r="U760" s="19">
        <f ca="1">IF('Stock Price'!$I$11="OK",H760/INDEX(H$5:H$1258,'Stock Price'!$I$9)-1,"")</f>
        <v>0.33075980392156867</v>
      </c>
      <c r="V760" s="19">
        <f ca="1">IF('Stock Price'!$I$11="OK",I760/INDEX(I$5:I$1258,'Stock Price'!$I$9)-1,"")</f>
        <v>-0.31001890359168249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148.65</v>
      </c>
      <c r="C761" s="18">
        <v>113.77</v>
      </c>
      <c r="D761" s="18">
        <v>38.020000000000003</v>
      </c>
      <c r="E761" s="18">
        <v>38.270000000000003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0.22851239669421486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-0.20418628990057552</v>
      </c>
      <c r="R761" s="19">
        <f ca="1">IF('Stock Price'!$I$11="OK",E761/INDEX(E$5:E$1258,'Stock Price'!$I$9)-1,"")</f>
        <v>-0.18051391862955035</v>
      </c>
      <c r="S761" s="19">
        <f ca="1">IF('Stock Price'!$I$11="OK",F761/INDEX(F$5:F$1258,'Stock Price'!$I$9)-1,"")</f>
        <v>0.13514072847682113</v>
      </c>
      <c r="T761" s="19">
        <f ca="1">IF('Stock Price'!$I$11="OK",G761/INDEX(G$5:G$1258,'Stock Price'!$I$9)-1,"")</f>
        <v>-0.36672804072349185</v>
      </c>
      <c r="U761" s="19">
        <f ca="1">IF('Stock Price'!$I$11="OK",H761/INDEX(H$5:H$1258,'Stock Price'!$I$9)-1,"")</f>
        <v>0.32990196078431366</v>
      </c>
      <c r="V761" s="19">
        <f ca="1">IF('Stock Price'!$I$11="OK",I761/INDEX(I$5:I$1258,'Stock Price'!$I$9)-1,"")</f>
        <v>-0.31049149338374293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148.65</v>
      </c>
      <c r="C762" s="18">
        <v>115.64</v>
      </c>
      <c r="D762" s="18">
        <v>40.24</v>
      </c>
      <c r="E762" s="18">
        <v>38.409999999999997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0.22851239669421486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-0.15771847200418621</v>
      </c>
      <c r="R762" s="19">
        <f ca="1">IF('Stock Price'!$I$11="OK",E762/INDEX(E$5:E$1258,'Stock Price'!$I$9)-1,"")</f>
        <v>-0.17751605995717357</v>
      </c>
      <c r="S762" s="19">
        <f ca="1">IF('Stock Price'!$I$11="OK",F762/INDEX(F$5:F$1258,'Stock Price'!$I$9)-1,"")</f>
        <v>0.14134933774834435</v>
      </c>
      <c r="T762" s="19">
        <f ca="1">IF('Stock Price'!$I$11="OK",G762/INDEX(G$5:G$1258,'Stock Price'!$I$9)-1,"")</f>
        <v>-0.40972598288746886</v>
      </c>
      <c r="U762" s="19">
        <f ca="1">IF('Stock Price'!$I$11="OK",H762/INDEX(H$5:H$1258,'Stock Price'!$I$9)-1,"")</f>
        <v>0.35134803921568625</v>
      </c>
      <c r="V762" s="19">
        <f ca="1">IF('Stock Price'!$I$11="OK",I762/INDEX(I$5:I$1258,'Stock Price'!$I$9)-1,"")</f>
        <v>-0.28662570888468808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147.37</v>
      </c>
      <c r="C763" s="18">
        <v>114.81</v>
      </c>
      <c r="D763" s="18">
        <v>39.21</v>
      </c>
      <c r="E763" s="18">
        <v>38.869999999999997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0.2179338842975207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-0.1792778649921507</v>
      </c>
      <c r="R763" s="19">
        <f ca="1">IF('Stock Price'!$I$11="OK",E763/INDEX(E$5:E$1258,'Stock Price'!$I$9)-1,"")</f>
        <v>-0.16766595289079245</v>
      </c>
      <c r="S763" s="19">
        <f ca="1">IF('Stock Price'!$I$11="OK",F763/INDEX(F$5:F$1258,'Stock Price'!$I$9)-1,"")</f>
        <v>0.13348509933774833</v>
      </c>
      <c r="T763" s="19">
        <f ca="1">IF('Stock Price'!$I$11="OK",G763/INDEX(G$5:G$1258,'Stock Price'!$I$9)-1,"")</f>
        <v>-0.42012347016137763</v>
      </c>
      <c r="U763" s="19">
        <f ca="1">IF('Stock Price'!$I$11="OK",H763/INDEX(H$5:H$1258,'Stock Price'!$I$9)-1,"")</f>
        <v>0.34068627450980404</v>
      </c>
      <c r="V763" s="19">
        <f ca="1">IF('Stock Price'!$I$11="OK",I763/INDEX(I$5:I$1258,'Stock Price'!$I$9)-1,"")</f>
        <v>-0.30671077504725897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147.37</v>
      </c>
      <c r="C764" s="18">
        <v>116.22</v>
      </c>
      <c r="D764" s="18">
        <v>38.83</v>
      </c>
      <c r="E764" s="18">
        <v>39.18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0.2179338842975207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-0.18723181580324444</v>
      </c>
      <c r="R764" s="19">
        <f ca="1">IF('Stock Price'!$I$11="OK",E764/INDEX(E$5:E$1258,'Stock Price'!$I$9)-1,"")</f>
        <v>-0.16102783725910075</v>
      </c>
      <c r="S764" s="19">
        <f ca="1">IF('Stock Price'!$I$11="OK",F764/INDEX(F$5:F$1258,'Stock Price'!$I$9)-1,"")</f>
        <v>0.13741721854304645</v>
      </c>
      <c r="T764" s="19">
        <f ca="1">IF('Stock Price'!$I$11="OK",G764/INDEX(G$5:G$1258,'Stock Price'!$I$9)-1,"")</f>
        <v>-0.43106249323080248</v>
      </c>
      <c r="U764" s="19">
        <f ca="1">IF('Stock Price'!$I$11="OK",H764/INDEX(H$5:H$1258,'Stock Price'!$I$9)-1,"")</f>
        <v>0.34473039215686296</v>
      </c>
      <c r="V764" s="19">
        <f ca="1">IF('Stock Price'!$I$11="OK",I764/INDEX(I$5:I$1258,'Stock Price'!$I$9)-1,"")</f>
        <v>-0.31096408317580337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147.37</v>
      </c>
      <c r="C765" s="18">
        <v>116.3</v>
      </c>
      <c r="D765" s="18">
        <v>39.130000000000003</v>
      </c>
      <c r="E765" s="18">
        <v>39.17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0.2179338842975207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-0.18095238095238086</v>
      </c>
      <c r="R765" s="19">
        <f ca="1">IF('Stock Price'!$I$11="OK",E765/INDEX(E$5:E$1258,'Stock Price'!$I$9)-1,"")</f>
        <v>-0.16124197002141327</v>
      </c>
      <c r="S765" s="19">
        <f ca="1">IF('Stock Price'!$I$11="OK",F765/INDEX(F$5:F$1258,'Stock Price'!$I$9)-1,"")</f>
        <v>0.13658940397351005</v>
      </c>
      <c r="T765" s="19">
        <f ca="1">IF('Stock Price'!$I$11="OK",G765/INDEX(G$5:G$1258,'Stock Price'!$I$9)-1,"")</f>
        <v>-0.43452832232210548</v>
      </c>
      <c r="U765" s="19">
        <f ca="1">IF('Stock Price'!$I$11="OK",H765/INDEX(H$5:H$1258,'Stock Price'!$I$9)-1,"")</f>
        <v>0.34424019607843137</v>
      </c>
      <c r="V765" s="19">
        <f ca="1">IF('Stock Price'!$I$11="OK",I765/INDEX(I$5:I$1258,'Stock Price'!$I$9)-1,"")</f>
        <v>-0.31285444234404536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153.69990000000001</v>
      </c>
      <c r="C766" s="18">
        <v>116.22</v>
      </c>
      <c r="D766" s="18">
        <v>38.96</v>
      </c>
      <c r="E766" s="18">
        <v>39.36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0.27024710743801661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-0.18451072736787022</v>
      </c>
      <c r="R766" s="19">
        <f ca="1">IF('Stock Price'!$I$11="OK",E766/INDEX(E$5:E$1258,'Stock Price'!$I$9)-1,"")</f>
        <v>-0.15717344753747331</v>
      </c>
      <c r="S766" s="19">
        <f ca="1">IF('Stock Price'!$I$11="OK",F766/INDEX(F$5:F$1258,'Stock Price'!$I$9)-1,"")</f>
        <v>0.12934602649006632</v>
      </c>
      <c r="T766" s="19">
        <f ca="1">IF('Stock Price'!$I$11="OK",G766/INDEX(G$5:G$1258,'Stock Price'!$I$9)-1,"")</f>
        <v>-0.42532221379833202</v>
      </c>
      <c r="U766" s="19">
        <f ca="1">IF('Stock Price'!$I$11="OK",H766/INDEX(H$5:H$1258,'Stock Price'!$I$9)-1,"")</f>
        <v>0.36678921568627465</v>
      </c>
      <c r="V766" s="19">
        <f ca="1">IF('Stock Price'!$I$11="OK",I766/INDEX(I$5:I$1258,'Stock Price'!$I$9)-1,"")</f>
        <v>-0.30434782608695654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153.69990000000001</v>
      </c>
      <c r="C767" s="18">
        <v>116.57</v>
      </c>
      <c r="D767" s="18">
        <v>39.21</v>
      </c>
      <c r="E767" s="18">
        <v>39.08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0.27024710743801661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-0.1792778649921507</v>
      </c>
      <c r="R767" s="19">
        <f ca="1">IF('Stock Price'!$I$11="OK",E767/INDEX(E$5:E$1258,'Stock Price'!$I$9)-1,"")</f>
        <v>-0.1631691648822271</v>
      </c>
      <c r="S767" s="19">
        <f ca="1">IF('Stock Price'!$I$11="OK",F767/INDEX(F$5:F$1258,'Stock Price'!$I$9)-1,"")</f>
        <v>0.1266556291390728</v>
      </c>
      <c r="T767" s="19">
        <f ca="1">IF('Stock Price'!$I$11="OK",G767/INDEX(G$5:G$1258,'Stock Price'!$I$9)-1,"")</f>
        <v>-0.42759666413949959</v>
      </c>
      <c r="U767" s="19">
        <f ca="1">IF('Stock Price'!$I$11="OK",H767/INDEX(H$5:H$1258,'Stock Price'!$I$9)-1,"")</f>
        <v>0.353186274509804</v>
      </c>
      <c r="V767" s="19">
        <f ca="1">IF('Stock Price'!$I$11="OK",I767/INDEX(I$5:I$1258,'Stock Price'!$I$9)-1,"")</f>
        <v>-0.29891304347826086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154.52000000000001</v>
      </c>
      <c r="C768" s="18">
        <v>116.51</v>
      </c>
      <c r="D768" s="18">
        <v>38.96</v>
      </c>
      <c r="E768" s="18">
        <v>39.090000000000003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0.27702479338842978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-0.18451072736787022</v>
      </c>
      <c r="R768" s="19">
        <f ca="1">IF('Stock Price'!$I$11="OK",E768/INDEX(E$5:E$1258,'Stock Price'!$I$9)-1,"")</f>
        <v>-0.16295503211991436</v>
      </c>
      <c r="S768" s="19">
        <f ca="1">IF('Stock Price'!$I$11="OK",F768/INDEX(F$5:F$1258,'Stock Price'!$I$9)-1,"")</f>
        <v>0.13534768211920523</v>
      </c>
      <c r="T768" s="19">
        <f ca="1">IF('Stock Price'!$I$11="OK",G768/INDEX(G$5:G$1258,'Stock Price'!$I$9)-1,"")</f>
        <v>-0.42597205675295136</v>
      </c>
      <c r="U768" s="19">
        <f ca="1">IF('Stock Price'!$I$11="OK",H768/INDEX(H$5:H$1258,'Stock Price'!$I$9)-1,"")</f>
        <v>0.34497549019607843</v>
      </c>
      <c r="V768" s="19">
        <f ca="1">IF('Stock Price'!$I$11="OK",I768/INDEX(I$5:I$1258,'Stock Price'!$I$9)-1,"")</f>
        <v>-0.30836483931947067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157.88</v>
      </c>
      <c r="C769" s="18">
        <v>117.18</v>
      </c>
      <c r="D769" s="18">
        <v>38.549999999999997</v>
      </c>
      <c r="E769" s="18">
        <v>39.56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0.30479338842975201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-0.19309262166405028</v>
      </c>
      <c r="R769" s="19">
        <f ca="1">IF('Stock Price'!$I$11="OK",E769/INDEX(E$5:E$1258,'Stock Price'!$I$9)-1,"")</f>
        <v>-0.1528907922912206</v>
      </c>
      <c r="S769" s="19">
        <f ca="1">IF('Stock Price'!$I$11="OK",F769/INDEX(F$5:F$1258,'Stock Price'!$I$9)-1,"")</f>
        <v>0.13679635761589393</v>
      </c>
      <c r="T769" s="19">
        <f ca="1">IF('Stock Price'!$I$11="OK",G769/INDEX(G$5:G$1258,'Stock Price'!$I$9)-1,"")</f>
        <v>-0.42867973573053175</v>
      </c>
      <c r="U769" s="19">
        <f ca="1">IF('Stock Price'!$I$11="OK",H769/INDEX(H$5:H$1258,'Stock Price'!$I$9)-1,"")</f>
        <v>0.33210784313725505</v>
      </c>
      <c r="V769" s="19">
        <f ca="1">IF('Stock Price'!$I$11="OK",I769/INDEX(I$5:I$1258,'Stock Price'!$I$9)-1,"")</f>
        <v>-0.30954631379962194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154.636</v>
      </c>
      <c r="C770" s="18">
        <v>115.73</v>
      </c>
      <c r="D770" s="18">
        <v>38.159999999999997</v>
      </c>
      <c r="E770" s="18">
        <v>39.4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0.27798347107438004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-0.20125588697017271</v>
      </c>
      <c r="R770" s="19">
        <f ca="1">IF('Stock Price'!$I$11="OK",E770/INDEX(E$5:E$1258,'Stock Price'!$I$9)-1,"")</f>
        <v>-0.15631691648822277</v>
      </c>
      <c r="S770" s="19">
        <f ca="1">IF('Stock Price'!$I$11="OK",F770/INDEX(F$5:F$1258,'Stock Price'!$I$9)-1,"")</f>
        <v>0.11051324503311255</v>
      </c>
      <c r="T770" s="19">
        <f ca="1">IF('Stock Price'!$I$11="OK",G770/INDEX(G$5:G$1258,'Stock Price'!$I$9)-1,"")</f>
        <v>-0.43463662948120863</v>
      </c>
      <c r="U770" s="19">
        <f ca="1">IF('Stock Price'!$I$11="OK",H770/INDEX(H$5:H$1258,'Stock Price'!$I$9)-1,"")</f>
        <v>0.30318627450980395</v>
      </c>
      <c r="V770" s="19">
        <f ca="1">IF('Stock Price'!$I$11="OK",I770/INDEX(I$5:I$1258,'Stock Price'!$I$9)-1,"")</f>
        <v>-0.31639886578449905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156.4</v>
      </c>
      <c r="C771" s="18">
        <v>114.32</v>
      </c>
      <c r="D771" s="18">
        <v>38</v>
      </c>
      <c r="E771" s="18">
        <v>39.19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0.29256198347107443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-0.20460491889063315</v>
      </c>
      <c r="R771" s="19">
        <f ca="1">IF('Stock Price'!$I$11="OK",E771/INDEX(E$5:E$1258,'Stock Price'!$I$9)-1,"")</f>
        <v>-0.16081370449678811</v>
      </c>
      <c r="S771" s="19">
        <f ca="1">IF('Stock Price'!$I$11="OK",F771/INDEX(F$5:F$1258,'Stock Price'!$I$9)-1,"")</f>
        <v>0.10223509933774833</v>
      </c>
      <c r="T771" s="19">
        <f ca="1">IF('Stock Price'!$I$11="OK",G771/INDEX(G$5:G$1258,'Stock Price'!$I$9)-1,"")</f>
        <v>-0.43951045164085345</v>
      </c>
      <c r="U771" s="19">
        <f ca="1">IF('Stock Price'!$I$11="OK",H771/INDEX(H$5:H$1258,'Stock Price'!$I$9)-1,"")</f>
        <v>0.30686274509803924</v>
      </c>
      <c r="V771" s="19">
        <f ca="1">IF('Stock Price'!$I$11="OK",I771/INDEX(I$5:I$1258,'Stock Price'!$I$9)-1,"")</f>
        <v>-0.31852551984877131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152.33500000000001</v>
      </c>
      <c r="C772" s="18">
        <v>114.07</v>
      </c>
      <c r="D772" s="18">
        <v>37.979999999999997</v>
      </c>
      <c r="E772" s="18">
        <v>40.200000000000003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0.25896694214876037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-0.20502354788069077</v>
      </c>
      <c r="R772" s="19">
        <f ca="1">IF('Stock Price'!$I$11="OK",E772/INDEX(E$5:E$1258,'Stock Price'!$I$9)-1,"")</f>
        <v>-0.13918629550321193</v>
      </c>
      <c r="S772" s="19">
        <f ca="1">IF('Stock Price'!$I$11="OK",F772/INDEX(F$5:F$1258,'Stock Price'!$I$9)-1,"")</f>
        <v>9.45778145695364E-2</v>
      </c>
      <c r="T772" s="19">
        <f ca="1">IF('Stock Price'!$I$11="OK",G772/INDEX(G$5:G$1258,'Stock Price'!$I$9)-1,"")</f>
        <v>-0.4450341167551175</v>
      </c>
      <c r="U772" s="19">
        <f ca="1">IF('Stock Price'!$I$11="OK",H772/INDEX(H$5:H$1258,'Stock Price'!$I$9)-1,"")</f>
        <v>0.30367647058823533</v>
      </c>
      <c r="V772" s="19">
        <f ca="1">IF('Stock Price'!$I$11="OK",I772/INDEX(I$5:I$1258,'Stock Price'!$I$9)-1,"")</f>
        <v>-0.31805293005671076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151.69999999999999</v>
      </c>
      <c r="C773" s="18">
        <v>113.13</v>
      </c>
      <c r="D773" s="18">
        <v>37.74</v>
      </c>
      <c r="E773" s="18">
        <v>40.49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0.2537190082644627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-0.21004709576138136</v>
      </c>
      <c r="R773" s="19">
        <f ca="1">IF('Stock Price'!$I$11="OK",E773/INDEX(E$5:E$1258,'Stock Price'!$I$9)-1,"")</f>
        <v>-0.13297644539614561</v>
      </c>
      <c r="S773" s="19">
        <f ca="1">IF('Stock Price'!$I$11="OK",F773/INDEX(F$5:F$1258,'Stock Price'!$I$9)-1,"")</f>
        <v>7.719370860927155E-2</v>
      </c>
      <c r="T773" s="19">
        <f ca="1">IF('Stock Price'!$I$11="OK",G773/INDEX(G$5:G$1258,'Stock Price'!$I$9)-1,"")</f>
        <v>-0.44265135925484678</v>
      </c>
      <c r="U773" s="19">
        <f ca="1">IF('Stock Price'!$I$11="OK",H773/INDEX(H$5:H$1258,'Stock Price'!$I$9)-1,"")</f>
        <v>0.29754901960784319</v>
      </c>
      <c r="V773" s="19">
        <f ca="1">IF('Stock Price'!$I$11="OK",I773/INDEX(I$5:I$1258,'Stock Price'!$I$9)-1,"")</f>
        <v>-0.32325141776937616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148.6</v>
      </c>
      <c r="C774" s="18">
        <v>113.79</v>
      </c>
      <c r="D774" s="18">
        <v>37.520000000000003</v>
      </c>
      <c r="E774" s="18">
        <v>40.57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0.228099173553719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-0.21465201465201456</v>
      </c>
      <c r="R774" s="19">
        <f ca="1">IF('Stock Price'!$I$11="OK",E774/INDEX(E$5:E$1258,'Stock Price'!$I$9)-1,"")</f>
        <v>-0.13126338329764453</v>
      </c>
      <c r="S774" s="19">
        <f ca="1">IF('Stock Price'!$I$11="OK",F774/INDEX(F$5:F$1258,'Stock Price'!$I$9)-1,"")</f>
        <v>0.1245860927152318</v>
      </c>
      <c r="T774" s="19">
        <f ca="1">IF('Stock Price'!$I$11="OK",G774/INDEX(G$5:G$1258,'Stock Price'!$I$9)-1,"")</f>
        <v>-0.44221813061843385</v>
      </c>
      <c r="U774" s="19">
        <f ca="1">IF('Stock Price'!$I$11="OK",H774/INDEX(H$5:H$1258,'Stock Price'!$I$9)-1,"")</f>
        <v>0.27426470588235308</v>
      </c>
      <c r="V774" s="19">
        <f ca="1">IF('Stock Price'!$I$11="OK",I774/INDEX(I$5:I$1258,'Stock Price'!$I$9)-1,"")</f>
        <v>-0.32774102079395084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148.6</v>
      </c>
      <c r="C775" s="18">
        <v>115.63</v>
      </c>
      <c r="D775" s="18">
        <v>37.880000000000003</v>
      </c>
      <c r="E775" s="18">
        <v>40.31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0.228099173553719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-0.20711669283097844</v>
      </c>
      <c r="R775" s="19">
        <f ca="1">IF('Stock Price'!$I$11="OK",E775/INDEX(E$5:E$1258,'Stock Price'!$I$9)-1,"")</f>
        <v>-0.13683083511777305</v>
      </c>
      <c r="S775" s="19">
        <f ca="1">IF('Stock Price'!$I$11="OK",F775/INDEX(F$5:F$1258,'Stock Price'!$I$9)-1,"")</f>
        <v>0.125</v>
      </c>
      <c r="T775" s="19">
        <f ca="1">IF('Stock Price'!$I$11="OK",G775/INDEX(G$5:G$1258,'Stock Price'!$I$9)-1,"")</f>
        <v>-0.43452832232210548</v>
      </c>
      <c r="U775" s="19">
        <f ca="1">IF('Stock Price'!$I$11="OK",H775/INDEX(H$5:H$1258,'Stock Price'!$I$9)-1,"")</f>
        <v>0.27732843137254926</v>
      </c>
      <c r="V775" s="19">
        <f ca="1">IF('Stock Price'!$I$11="OK",I775/INDEX(I$5:I$1258,'Stock Price'!$I$9)-1,"")</f>
        <v>-0.31805293005671076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149.65</v>
      </c>
      <c r="C776" s="18">
        <v>110.53</v>
      </c>
      <c r="D776" s="18">
        <v>38.17</v>
      </c>
      <c r="E776" s="18">
        <v>39.85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0.23677685950413219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-0.20104657247514379</v>
      </c>
      <c r="R776" s="19">
        <f ca="1">IF('Stock Price'!$I$11="OK",E776/INDEX(E$5:E$1258,'Stock Price'!$I$9)-1,"")</f>
        <v>-0.14668094218415417</v>
      </c>
      <c r="S776" s="19">
        <f ca="1">IF('Stock Price'!$I$11="OK",F776/INDEX(F$5:F$1258,'Stock Price'!$I$9)-1,"")</f>
        <v>0.11403145695364225</v>
      </c>
      <c r="T776" s="19">
        <f ca="1">IF('Stock Price'!$I$11="OK",G776/INDEX(G$5:G$1258,'Stock Price'!$I$9)-1,"")</f>
        <v>-0.44655041698256248</v>
      </c>
      <c r="U776" s="19">
        <f ca="1">IF('Stock Price'!$I$11="OK",H776/INDEX(H$5:H$1258,'Stock Price'!$I$9)-1,"")</f>
        <v>0.2712009803921569</v>
      </c>
      <c r="V776" s="19">
        <f ca="1">IF('Stock Price'!$I$11="OK",I776/INDEX(I$5:I$1258,'Stock Price'!$I$9)-1,"")</f>
        <v>-0.32750472589792057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149.5</v>
      </c>
      <c r="C777" s="18">
        <v>109.91</v>
      </c>
      <c r="D777" s="18">
        <v>37.01</v>
      </c>
      <c r="E777" s="18">
        <v>39.46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0.23553719008264462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-0.22532705389848251</v>
      </c>
      <c r="R777" s="19">
        <f ca="1">IF('Stock Price'!$I$11="OK",E777/INDEX(E$5:E$1258,'Stock Price'!$I$9)-1,"")</f>
        <v>-0.15503211991434696</v>
      </c>
      <c r="S777" s="19">
        <f ca="1">IF('Stock Price'!$I$11="OK",F777/INDEX(F$5:F$1258,'Stock Price'!$I$9)-1,"")</f>
        <v>0.10616721854304645</v>
      </c>
      <c r="T777" s="19">
        <f ca="1">IF('Stock Price'!$I$11="OK",G777/INDEX(G$5:G$1258,'Stock Price'!$I$9)-1,"")</f>
        <v>-0.4585725116430196</v>
      </c>
      <c r="U777" s="19">
        <f ca="1">IF('Stock Price'!$I$11="OK",H777/INDEX(H$5:H$1258,'Stock Price'!$I$9)-1,"")</f>
        <v>0.2846813725490196</v>
      </c>
      <c r="V777" s="19">
        <f ca="1">IF('Stock Price'!$I$11="OK",I777/INDEX(I$5:I$1258,'Stock Price'!$I$9)-1,"")</f>
        <v>-0.32608695652173914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141.9</v>
      </c>
      <c r="C778" s="18">
        <v>108.4</v>
      </c>
      <c r="D778" s="18">
        <v>36.76</v>
      </c>
      <c r="E778" s="18">
        <v>38.81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0.17272727272727284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-0.23055991627420203</v>
      </c>
      <c r="R778" s="19">
        <f ca="1">IF('Stock Price'!$I$11="OK",E778/INDEX(E$5:E$1258,'Stock Price'!$I$9)-1,"")</f>
        <v>-0.16895074946466815</v>
      </c>
      <c r="S778" s="19">
        <f ca="1">IF('Stock Price'!$I$11="OK",F778/INDEX(F$5:F$1258,'Stock Price'!$I$9)-1,"")</f>
        <v>9.43708609271523E-2</v>
      </c>
      <c r="T778" s="19">
        <f ca="1">IF('Stock Price'!$I$11="OK",G778/INDEX(G$5:G$1258,'Stock Price'!$I$9)-1,"")</f>
        <v>-0.46290479800714823</v>
      </c>
      <c r="U778" s="19">
        <f ca="1">IF('Stock Price'!$I$11="OK",H778/INDEX(H$5:H$1258,'Stock Price'!$I$9)-1,"")</f>
        <v>0.25392156862745097</v>
      </c>
      <c r="V778" s="19">
        <f ca="1">IF('Stock Price'!$I$11="OK",I778/INDEX(I$5:I$1258,'Stock Price'!$I$9)-1,"")</f>
        <v>-0.33128544423440454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142.85</v>
      </c>
      <c r="C779" s="18">
        <v>109.35</v>
      </c>
      <c r="D779" s="18">
        <v>36.880000000000003</v>
      </c>
      <c r="E779" s="18">
        <v>39.26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0.18057851239669409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-0.22804814233385651</v>
      </c>
      <c r="R779" s="19">
        <f ca="1">IF('Stock Price'!$I$11="OK",E779/INDEX(E$5:E$1258,'Stock Price'!$I$9)-1,"")</f>
        <v>-0.15931477516059966</v>
      </c>
      <c r="S779" s="19">
        <f ca="1">IF('Stock Price'!$I$11="OK",F779/INDEX(F$5:F$1258,'Stock Price'!$I$9)-1,"")</f>
        <v>0.10244205298013243</v>
      </c>
      <c r="T779" s="19">
        <f ca="1">IF('Stock Price'!$I$11="OK",G779/INDEX(G$5:G$1258,'Stock Price'!$I$9)-1,"")</f>
        <v>-0.45629806130185202</v>
      </c>
      <c r="U779" s="19">
        <f ca="1">IF('Stock Price'!$I$11="OK",H779/INDEX(H$5:H$1258,'Stock Price'!$I$9)-1,"")</f>
        <v>0.24852941176470589</v>
      </c>
      <c r="V779" s="19">
        <f ca="1">IF('Stock Price'!$I$11="OK",I779/INDEX(I$5:I$1258,'Stock Price'!$I$9)-1,"")</f>
        <v>-0.33624763705103966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142.43270000000001</v>
      </c>
      <c r="C780" s="18">
        <v>110.52</v>
      </c>
      <c r="D780" s="18">
        <v>36.97</v>
      </c>
      <c r="E780" s="18">
        <v>39.43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0.1771297520661157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-0.22616431187859765</v>
      </c>
      <c r="R780" s="19">
        <f ca="1">IF('Stock Price'!$I$11="OK",E780/INDEX(E$5:E$1258,'Stock Price'!$I$9)-1,"")</f>
        <v>-0.15567451820128486</v>
      </c>
      <c r="S780" s="19">
        <f ca="1">IF('Stock Price'!$I$11="OK",F780/INDEX(F$5:F$1258,'Stock Price'!$I$9)-1,"")</f>
        <v>9.5819536423841223E-2</v>
      </c>
      <c r="T780" s="19">
        <f ca="1">IF('Stock Price'!$I$11="OK",G780/INDEX(G$5:G$1258,'Stock Price'!$I$9)-1,"")</f>
        <v>-0.46398786959818039</v>
      </c>
      <c r="U780" s="19">
        <f ca="1">IF('Stock Price'!$I$11="OK",H780/INDEX(H$5:H$1258,'Stock Price'!$I$9)-1,"")</f>
        <v>0.24840686274509816</v>
      </c>
      <c r="V780" s="19">
        <f ca="1">IF('Stock Price'!$I$11="OK",I780/INDEX(I$5:I$1258,'Stock Price'!$I$9)-1,"")</f>
        <v>-0.34404536862003776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131.03989999999999</v>
      </c>
      <c r="C781" s="18">
        <v>109.38</v>
      </c>
      <c r="D781" s="18">
        <v>37.020000000000003</v>
      </c>
      <c r="E781" s="18">
        <v>38.909999999999997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8.297438016528913E-2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-0.22511773940345359</v>
      </c>
      <c r="R781" s="19">
        <f ca="1">IF('Stock Price'!$I$11="OK",E781/INDEX(E$5:E$1258,'Stock Price'!$I$9)-1,"")</f>
        <v>-0.1668094218415419</v>
      </c>
      <c r="S781" s="19">
        <f ca="1">IF('Stock Price'!$I$11="OK",F781/INDEX(F$5:F$1258,'Stock Price'!$I$9)-1,"")</f>
        <v>9.375E-2</v>
      </c>
      <c r="T781" s="19">
        <f ca="1">IF('Stock Price'!$I$11="OK",G781/INDEX(G$5:G$1258,'Stock Price'!$I$9)-1,"")</f>
        <v>-0.46756200584858665</v>
      </c>
      <c r="U781" s="19">
        <f ca="1">IF('Stock Price'!$I$11="OK",H781/INDEX(H$5:H$1258,'Stock Price'!$I$9)-1,"")</f>
        <v>0.24571078431372562</v>
      </c>
      <c r="V781" s="19">
        <f ca="1">IF('Stock Price'!$I$11="OK",I781/INDEX(I$5:I$1258,'Stock Price'!$I$9)-1,"")</f>
        <v>-0.3386105860113422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126.5399</v>
      </c>
      <c r="C782" s="18">
        <v>106.81</v>
      </c>
      <c r="D782" s="18">
        <v>35.9</v>
      </c>
      <c r="E782" s="18">
        <v>37.770000000000003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4.5784297520661266E-2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-0.24856096284667717</v>
      </c>
      <c r="R782" s="19">
        <f ca="1">IF('Stock Price'!$I$11="OK",E782/INDEX(E$5:E$1258,'Stock Price'!$I$9)-1,"")</f>
        <v>-0.19122055674518201</v>
      </c>
      <c r="S782" s="19">
        <f ca="1">IF('Stock Price'!$I$11="OK",F782/INDEX(F$5:F$1258,'Stock Price'!$I$9)-1,"")</f>
        <v>6.0844370860927199E-2</v>
      </c>
      <c r="T782" s="19">
        <f ca="1">IF('Stock Price'!$I$11="OK",G782/INDEX(G$5:G$1258,'Stock Price'!$I$9)-1,"")</f>
        <v>-0.48131701505469515</v>
      </c>
      <c r="U782" s="19">
        <f ca="1">IF('Stock Price'!$I$11="OK",H782/INDEX(H$5:H$1258,'Stock Price'!$I$9)-1,"")</f>
        <v>0.23443627450980409</v>
      </c>
      <c r="V782" s="19">
        <f ca="1">IF('Stock Price'!$I$11="OK",I782/INDEX(I$5:I$1258,'Stock Price'!$I$9)-1,"")</f>
        <v>-0.35349716446124768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126.55500000000001</v>
      </c>
      <c r="C783" s="18">
        <v>107.08</v>
      </c>
      <c r="D783" s="18">
        <v>36.659999999999997</v>
      </c>
      <c r="E783" s="18">
        <v>38.17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4.5909090909090899E-2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-0.23265306122448981</v>
      </c>
      <c r="R783" s="19">
        <f ca="1">IF('Stock Price'!$I$11="OK",E783/INDEX(E$5:E$1258,'Stock Price'!$I$9)-1,"")</f>
        <v>-0.18265524625267671</v>
      </c>
      <c r="S783" s="19">
        <f ca="1">IF('Stock Price'!$I$11="OK",F783/INDEX(F$5:F$1258,'Stock Price'!$I$9)-1,"")</f>
        <v>7.0571192052980125E-2</v>
      </c>
      <c r="T783" s="19">
        <f ca="1">IF('Stock Price'!$I$11="OK",G783/INDEX(G$5:G$1258,'Stock Price'!$I$9)-1,"")</f>
        <v>-0.47221921369002495</v>
      </c>
      <c r="U783" s="19">
        <f ca="1">IF('Stock Price'!$I$11="OK",H783/INDEX(H$5:H$1258,'Stock Price'!$I$9)-1,"")</f>
        <v>0.23982843137254917</v>
      </c>
      <c r="V783" s="19">
        <f ca="1">IF('Stock Price'!$I$11="OK",I783/INDEX(I$5:I$1258,'Stock Price'!$I$9)-1,"")</f>
        <v>-0.35113421550094515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127.74</v>
      </c>
      <c r="C784" s="18">
        <v>106.45</v>
      </c>
      <c r="D784" s="18">
        <v>36.29</v>
      </c>
      <c r="E784" s="18">
        <v>37.61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5.5702479338842981E-2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-0.24039769754055473</v>
      </c>
      <c r="R784" s="19">
        <f ca="1">IF('Stock Price'!$I$11="OK",E784/INDEX(E$5:E$1258,'Stock Price'!$I$9)-1,"")</f>
        <v>-0.19464668094218418</v>
      </c>
      <c r="S784" s="19">
        <f ca="1">IF('Stock Price'!$I$11="OK",F784/INDEX(F$5:F$1258,'Stock Price'!$I$9)-1,"")</f>
        <v>6.20860927152318E-2</v>
      </c>
      <c r="T784" s="19">
        <f ca="1">IF('Stock Price'!$I$11="OK",G784/INDEX(G$5:G$1258,'Stock Price'!$I$9)-1,"")</f>
        <v>-0.47839272175890835</v>
      </c>
      <c r="U784" s="19">
        <f ca="1">IF('Stock Price'!$I$11="OK",H784/INDEX(H$5:H$1258,'Stock Price'!$I$9)-1,"")</f>
        <v>0.26127450980392175</v>
      </c>
      <c r="V784" s="19">
        <f ca="1">IF('Stock Price'!$I$11="OK",I784/INDEX(I$5:I$1258,'Stock Price'!$I$9)-1,"")</f>
        <v>-0.36862003780718344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126.8</v>
      </c>
      <c r="C785" s="18">
        <v>105.67</v>
      </c>
      <c r="D785" s="18">
        <v>36.35</v>
      </c>
      <c r="E785" s="18">
        <v>37.619999999999997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4.7933884297520546E-2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-0.23914181057038197</v>
      </c>
      <c r="R785" s="19">
        <f ca="1">IF('Stock Price'!$I$11="OK",E785/INDEX(E$5:E$1258,'Stock Price'!$I$9)-1,"")</f>
        <v>-0.19443254817987166</v>
      </c>
      <c r="S785" s="19">
        <f ca="1">IF('Stock Price'!$I$11="OK",F785/INDEX(F$5:F$1258,'Stock Price'!$I$9)-1,"")</f>
        <v>4.759933774834435E-2</v>
      </c>
      <c r="T785" s="19">
        <f ca="1">IF('Stock Price'!$I$11="OK",G785/INDEX(G$5:G$1258,'Stock Price'!$I$9)-1,"")</f>
        <v>-0.47102783493988953</v>
      </c>
      <c r="U785" s="19">
        <f ca="1">IF('Stock Price'!$I$11="OK",H785/INDEX(H$5:H$1258,'Stock Price'!$I$9)-1,"")</f>
        <v>0.23443627450980409</v>
      </c>
      <c r="V785" s="19">
        <f ca="1">IF('Stock Price'!$I$11="OK",I785/INDEX(I$5:I$1258,'Stock Price'!$I$9)-1,"")</f>
        <v>-0.37996219281663524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128.41489999999999</v>
      </c>
      <c r="C786" s="18">
        <v>104.92</v>
      </c>
      <c r="D786" s="18">
        <v>35.520000000000003</v>
      </c>
      <c r="E786" s="18">
        <v>37.35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6.1280165289256061E-2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-0.25651491365777068</v>
      </c>
      <c r="R786" s="19">
        <f ca="1">IF('Stock Price'!$I$11="OK",E786/INDEX(E$5:E$1258,'Stock Price'!$I$9)-1,"")</f>
        <v>-0.2002141327623127</v>
      </c>
      <c r="S786" s="19">
        <f ca="1">IF('Stock Price'!$I$11="OK",F786/INDEX(F$5:F$1258,'Stock Price'!$I$9)-1,"")</f>
        <v>3.7665562913907324E-2</v>
      </c>
      <c r="T786" s="19">
        <f ca="1">IF('Stock Price'!$I$11="OK",G786/INDEX(G$5:G$1258,'Stock Price'!$I$9)-1,"")</f>
        <v>-0.54770930358496694</v>
      </c>
      <c r="U786" s="19">
        <f ca="1">IF('Stock Price'!$I$11="OK",H786/INDEX(H$5:H$1258,'Stock Price'!$I$9)-1,"")</f>
        <v>0.2080882352941178</v>
      </c>
      <c r="V786" s="19">
        <f ca="1">IF('Stock Price'!$I$11="OK",I786/INDEX(I$5:I$1258,'Stock Price'!$I$9)-1,"")</f>
        <v>-0.38114366729678639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129.19990000000001</v>
      </c>
      <c r="C787" s="18">
        <v>103.86</v>
      </c>
      <c r="D787" s="18">
        <v>35.11</v>
      </c>
      <c r="E787" s="18">
        <v>37.020000000000003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6.7767768595041522E-2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-0.26509680795395085</v>
      </c>
      <c r="R787" s="19">
        <f ca="1">IF('Stock Price'!$I$11="OK",E787/INDEX(E$5:E$1258,'Stock Price'!$I$9)-1,"")</f>
        <v>-0.20728051391862956</v>
      </c>
      <c r="S787" s="19">
        <f ca="1">IF('Stock Price'!$I$11="OK",F787/INDEX(F$5:F$1258,'Stock Price'!$I$9)-1,"")</f>
        <v>2.4627483443708575E-2</v>
      </c>
      <c r="T787" s="19">
        <f ca="1">IF('Stock Price'!$I$11="OK",G787/INDEX(G$5:G$1258,'Stock Price'!$I$9)-1,"")</f>
        <v>-0.56363045597313977</v>
      </c>
      <c r="U787" s="19">
        <f ca="1">IF('Stock Price'!$I$11="OK",H787/INDEX(H$5:H$1258,'Stock Price'!$I$9)-1,"")</f>
        <v>0.20710784313725505</v>
      </c>
      <c r="V787" s="19">
        <f ca="1">IF('Stock Price'!$I$11="OK",I787/INDEX(I$5:I$1258,'Stock Price'!$I$9)-1,"")</f>
        <v>-0.36862003780718344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130.24</v>
      </c>
      <c r="C788" s="18">
        <v>103.4</v>
      </c>
      <c r="D788" s="18">
        <v>34.39</v>
      </c>
      <c r="E788" s="18">
        <v>36.14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7.6363636363636411E-2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-0.28016745159602296</v>
      </c>
      <c r="R788" s="19">
        <f ca="1">IF('Stock Price'!$I$11="OK",E788/INDEX(E$5:E$1258,'Stock Price'!$I$9)-1,"")</f>
        <v>-0.22612419700214137</v>
      </c>
      <c r="S788" s="19">
        <f ca="1">IF('Stock Price'!$I$11="OK",F788/INDEX(F$5:F$1258,'Stock Price'!$I$9)-1,"")</f>
        <v>-1.0347682119205337E-2</v>
      </c>
      <c r="T788" s="19">
        <f ca="1">IF('Stock Price'!$I$11="OK",G788/INDEX(G$5:G$1258,'Stock Price'!$I$9)-1,"")</f>
        <v>-0.55594064767681139</v>
      </c>
      <c r="U788" s="19">
        <f ca="1">IF('Stock Price'!$I$11="OK",H788/INDEX(H$5:H$1258,'Stock Price'!$I$9)-1,"")</f>
        <v>0.20539215686274526</v>
      </c>
      <c r="V788" s="19">
        <f ca="1">IF('Stock Price'!$I$11="OK",I788/INDEX(I$5:I$1258,'Stock Price'!$I$9)-1,"")</f>
        <v>-0.38516068052930064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127.96</v>
      </c>
      <c r="C789" s="18">
        <v>103.06</v>
      </c>
      <c r="D789" s="18">
        <v>33.35</v>
      </c>
      <c r="E789" s="18">
        <v>35.840000000000003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5.75206611570247E-2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-0.30193615907901616</v>
      </c>
      <c r="R789" s="19">
        <f ca="1">IF('Stock Price'!$I$11="OK",E789/INDEX(E$5:E$1258,'Stock Price'!$I$9)-1,"")</f>
        <v>-0.23254817987152032</v>
      </c>
      <c r="S789" s="19">
        <f ca="1">IF('Stock Price'!$I$11="OK",F789/INDEX(F$5:F$1258,'Stock Price'!$I$9)-1,"")</f>
        <v>-7.2433774834437248E-3</v>
      </c>
      <c r="T789" s="19">
        <f ca="1">IF('Stock Price'!$I$11="OK",G789/INDEX(G$5:G$1258,'Stock Price'!$I$9)-1,"")</f>
        <v>-0.56016462688183688</v>
      </c>
      <c r="U789" s="19">
        <f ca="1">IF('Stock Price'!$I$11="OK",H789/INDEX(H$5:H$1258,'Stock Price'!$I$9)-1,"")</f>
        <v>0.18026960784313739</v>
      </c>
      <c r="V789" s="19">
        <f ca="1">IF('Stock Price'!$I$11="OK",I789/INDEX(I$5:I$1258,'Stock Price'!$I$9)-1,"")</f>
        <v>-0.4139886578449905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125.46</v>
      </c>
      <c r="C790" s="18">
        <v>103.04</v>
      </c>
      <c r="D790" s="18">
        <v>33.69</v>
      </c>
      <c r="E790" s="18">
        <v>35.67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3.6859504132231269E-2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-0.29481946624803768</v>
      </c>
      <c r="R790" s="19">
        <f ca="1">IF('Stock Price'!$I$11="OK",E790/INDEX(E$5:E$1258,'Stock Price'!$I$9)-1,"")</f>
        <v>-0.23618843683083512</v>
      </c>
      <c r="S790" s="19">
        <f ca="1">IF('Stock Price'!$I$11="OK",F790/INDEX(F$5:F$1258,'Stock Price'!$I$9)-1,"")</f>
        <v>3.9321192052979015E-3</v>
      </c>
      <c r="T790" s="19">
        <f ca="1">IF('Stock Price'!$I$11="OK",G790/INDEX(G$5:G$1258,'Stock Price'!$I$9)-1,"")</f>
        <v>-0.56211415574569479</v>
      </c>
      <c r="U790" s="19">
        <f ca="1">IF('Stock Price'!$I$11="OK",H790/INDEX(H$5:H$1258,'Stock Price'!$I$9)-1,"")</f>
        <v>0.18333333333333335</v>
      </c>
      <c r="V790" s="19">
        <f ca="1">IF('Stock Price'!$I$11="OK",I790/INDEX(I$5:I$1258,'Stock Price'!$I$9)-1,"")</f>
        <v>-0.41257088846880907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126.02</v>
      </c>
      <c r="C791" s="18">
        <v>103.27</v>
      </c>
      <c r="D791" s="18">
        <v>33.46</v>
      </c>
      <c r="E791" s="18">
        <v>35.409999999999997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4.1487603305785159E-2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-0.29963369963369957</v>
      </c>
      <c r="R791" s="19">
        <f ca="1">IF('Stock Price'!$I$11="OK",E791/INDEX(E$5:E$1258,'Stock Price'!$I$9)-1,"")</f>
        <v>-0.24175588865096376</v>
      </c>
      <c r="S791" s="19">
        <f ca="1">IF('Stock Price'!$I$11="OK",F791/INDEX(F$5:F$1258,'Stock Price'!$I$9)-1,"")</f>
        <v>-6.6225165562914245E-3</v>
      </c>
      <c r="T791" s="19">
        <f ca="1">IF('Stock Price'!$I$11="OK",G791/INDEX(G$5:G$1258,'Stock Price'!$I$9)-1,"")</f>
        <v>-0.56341384165493336</v>
      </c>
      <c r="U791" s="19">
        <f ca="1">IF('Stock Price'!$I$11="OK",H791/INDEX(H$5:H$1258,'Stock Price'!$I$9)-1,"")</f>
        <v>0.18308823529411788</v>
      </c>
      <c r="V791" s="19">
        <f ca="1">IF('Stock Price'!$I$11="OK",I791/INDEX(I$5:I$1258,'Stock Price'!$I$9)-1,"")</f>
        <v>-0.40689981096408312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124.7</v>
      </c>
      <c r="C792" s="18">
        <v>103.09</v>
      </c>
      <c r="D792" s="18">
        <v>33.35</v>
      </c>
      <c r="E792" s="18">
        <v>35.130000000000003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3.057851239669418E-2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-0.30193615907901616</v>
      </c>
      <c r="R792" s="19">
        <f ca="1">IF('Stock Price'!$I$11="OK",E792/INDEX(E$5:E$1258,'Stock Price'!$I$9)-1,"")</f>
        <v>-0.24775160599571733</v>
      </c>
      <c r="S792" s="19">
        <f ca="1">IF('Stock Price'!$I$11="OK",F792/INDEX(F$5:F$1258,'Stock Price'!$I$9)-1,"")</f>
        <v>-1.1175496688741737E-2</v>
      </c>
      <c r="T792" s="19">
        <f ca="1">IF('Stock Price'!$I$11="OK",G792/INDEX(G$5:G$1258,'Stock Price'!$I$9)-1,"")</f>
        <v>-0.57664897649734648</v>
      </c>
      <c r="U792" s="19">
        <f ca="1">IF('Stock Price'!$I$11="OK",H792/INDEX(H$5:H$1258,'Stock Price'!$I$9)-1,"")</f>
        <v>0.19411764705882351</v>
      </c>
      <c r="V792" s="19">
        <f ca="1">IF('Stock Price'!$I$11="OK",I792/INDEX(I$5:I$1258,'Stock Price'!$I$9)-1,"")</f>
        <v>-0.41068052930056709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126.06</v>
      </c>
      <c r="C793" s="18">
        <v>103.85</v>
      </c>
      <c r="D793" s="18">
        <v>33.700000000000003</v>
      </c>
      <c r="E793" s="18">
        <v>35.29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4.1818181818181754E-2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-0.29461015175300886</v>
      </c>
      <c r="R793" s="19">
        <f ca="1">IF('Stock Price'!$I$11="OK",E793/INDEX(E$5:E$1258,'Stock Price'!$I$9)-1,"")</f>
        <v>-0.24432548179871527</v>
      </c>
      <c r="S793" s="19">
        <f ca="1">IF('Stock Price'!$I$11="OK",F793/INDEX(F$5:F$1258,'Stock Price'!$I$9)-1,"")</f>
        <v>-7.0364238410596247E-3</v>
      </c>
      <c r="T793" s="19">
        <f ca="1">IF('Stock Price'!$I$11="OK",G793/INDEX(G$5:G$1258,'Stock Price'!$I$9)-1,"")</f>
        <v>-0.57721217372468314</v>
      </c>
      <c r="U793" s="19">
        <f ca="1">IF('Stock Price'!$I$11="OK",H793/INDEX(H$5:H$1258,'Stock Price'!$I$9)-1,"")</f>
        <v>0.22377450980392166</v>
      </c>
      <c r="V793" s="19">
        <f ca="1">IF('Stock Price'!$I$11="OK",I793/INDEX(I$5:I$1258,'Stock Price'!$I$9)-1,"")</f>
        <v>-0.40619092627599251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133.93</v>
      </c>
      <c r="C794" s="18">
        <v>104.28</v>
      </c>
      <c r="D794" s="18">
        <v>33.96</v>
      </c>
      <c r="E794" s="18">
        <v>35.44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0.10685950413223155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-0.28916797488226054</v>
      </c>
      <c r="R794" s="19">
        <f ca="1">IF('Stock Price'!$I$11="OK",E794/INDEX(E$5:E$1258,'Stock Price'!$I$9)-1,"")</f>
        <v>-0.24111349036402574</v>
      </c>
      <c r="S794" s="19">
        <f ca="1">IF('Stock Price'!$I$11="OK",F794/INDEX(F$5:F$1258,'Stock Price'!$I$9)-1,"")</f>
        <v>-8.2781456953640031E-4</v>
      </c>
      <c r="T794" s="19">
        <f ca="1">IF('Stock Price'!$I$11="OK",G794/INDEX(G$5:G$1258,'Stock Price'!$I$9)-1,"")</f>
        <v>-0.57106032708762045</v>
      </c>
      <c r="U794" s="19">
        <f ca="1">IF('Stock Price'!$I$11="OK",H794/INDEX(H$5:H$1258,'Stock Price'!$I$9)-1,"")</f>
        <v>0.21544117647058836</v>
      </c>
      <c r="V794" s="19">
        <f ca="1">IF('Stock Price'!$I$11="OK",I794/INDEX(I$5:I$1258,'Stock Price'!$I$9)-1,"")</f>
        <v>-0.39390359168241973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131.47489999999999</v>
      </c>
      <c r="C795" s="18">
        <v>103.54</v>
      </c>
      <c r="D795" s="18">
        <v>34.15</v>
      </c>
      <c r="E795" s="18">
        <v>35.619999999999997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8.656942148760316E-2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-0.28519099947671378</v>
      </c>
      <c r="R795" s="19">
        <f ca="1">IF('Stock Price'!$I$11="OK",E795/INDEX(E$5:E$1258,'Stock Price'!$I$9)-1,"")</f>
        <v>-0.23725910064239841</v>
      </c>
      <c r="S795" s="19">
        <f ca="1">IF('Stock Price'!$I$11="OK",F795/INDEX(F$5:F$1258,'Stock Price'!$I$9)-1,"")</f>
        <v>6.2086092715230023E-4</v>
      </c>
      <c r="T795" s="19">
        <f ca="1">IF('Stock Price'!$I$11="OK",G795/INDEX(G$5:G$1258,'Stock Price'!$I$9)-1,"")</f>
        <v>-0.56828766381457818</v>
      </c>
      <c r="U795" s="19">
        <f ca="1">IF('Stock Price'!$I$11="OK",H795/INDEX(H$5:H$1258,'Stock Price'!$I$9)-1,"")</f>
        <v>0.23970588235294121</v>
      </c>
      <c r="V795" s="19">
        <f ca="1">IF('Stock Price'!$I$11="OK",I795/INDEX(I$5:I$1258,'Stock Price'!$I$9)-1,"")</f>
        <v>-0.38161625708884683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131.36000000000001</v>
      </c>
      <c r="C796" s="18">
        <v>103.81</v>
      </c>
      <c r="D796" s="18">
        <v>34.020000000000003</v>
      </c>
      <c r="E796" s="18">
        <v>35.409999999999997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8.5619834710743969E-2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-0.28791208791208778</v>
      </c>
      <c r="R796" s="19">
        <f ca="1">IF('Stock Price'!$I$11="OK",E796/INDEX(E$5:E$1258,'Stock Price'!$I$9)-1,"")</f>
        <v>-0.24175588865096376</v>
      </c>
      <c r="S796" s="19">
        <f ca="1">IF('Stock Price'!$I$11="OK",F796/INDEX(F$5:F$1258,'Stock Price'!$I$9)-1,"")</f>
        <v>-8.2781456953640031E-4</v>
      </c>
      <c r="T796" s="19">
        <f ca="1">IF('Stock Price'!$I$11="OK",G796/INDEX(G$5:G$1258,'Stock Price'!$I$9)-1,"")</f>
        <v>-0.59068558431712326</v>
      </c>
      <c r="U796" s="19">
        <f ca="1">IF('Stock Price'!$I$11="OK",H796/INDEX(H$5:H$1258,'Stock Price'!$I$9)-1,"")</f>
        <v>0.2453431372549022</v>
      </c>
      <c r="V796" s="19">
        <f ca="1">IF('Stock Price'!$I$11="OK",I796/INDEX(I$5:I$1258,'Stock Price'!$I$9)-1,"")</f>
        <v>-0.39106805293005675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134.69999999999999</v>
      </c>
      <c r="C797" s="18">
        <v>104.87</v>
      </c>
      <c r="D797" s="18">
        <v>34.33</v>
      </c>
      <c r="E797" s="18">
        <v>35.729999999999997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0.11322314049586768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-0.28142333856619572</v>
      </c>
      <c r="R797" s="19">
        <f ca="1">IF('Stock Price'!$I$11="OK",E797/INDEX(E$5:E$1258,'Stock Price'!$I$9)-1,"")</f>
        <v>-0.23490364025695942</v>
      </c>
      <c r="S797" s="19">
        <f ca="1">IF('Stock Price'!$I$11="OK",F797/INDEX(F$5:F$1258,'Stock Price'!$I$9)-1,"")</f>
        <v>8.2781456953642252E-3</v>
      </c>
      <c r="T797" s="19">
        <f ca="1">IF('Stock Price'!$I$11="OK",G797/INDEX(G$5:G$1258,'Stock Price'!$I$9)-1,"")</f>
        <v>-0.58505361204375617</v>
      </c>
      <c r="U797" s="19">
        <f ca="1">IF('Stock Price'!$I$11="OK",H797/INDEX(H$5:H$1258,'Stock Price'!$I$9)-1,"")</f>
        <v>0.2637254901960786</v>
      </c>
      <c r="V797" s="19">
        <f ca="1">IF('Stock Price'!$I$11="OK",I797/INDEX(I$5:I$1258,'Stock Price'!$I$9)-1,"")</f>
        <v>-0.38965028355387532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136.5</v>
      </c>
      <c r="C798" s="18">
        <v>105.77</v>
      </c>
      <c r="D798" s="18">
        <v>34.130000000000003</v>
      </c>
      <c r="E798" s="18">
        <v>36.24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0.12809917355371891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-0.28560962846677129</v>
      </c>
      <c r="R798" s="19">
        <f ca="1">IF('Stock Price'!$I$11="OK",E798/INDEX(E$5:E$1258,'Stock Price'!$I$9)-1,"")</f>
        <v>-0.22398286937901501</v>
      </c>
      <c r="S798" s="19">
        <f ca="1">IF('Stock Price'!$I$11="OK",F798/INDEX(F$5:F$1258,'Stock Price'!$I$9)-1,"")</f>
        <v>3.5182119205299234E-3</v>
      </c>
      <c r="T798" s="19">
        <f ca="1">IF('Stock Price'!$I$11="OK",G798/INDEX(G$5:G$1258,'Stock Price'!$I$9)-1,"")</f>
        <v>-0.5800281598613668</v>
      </c>
      <c r="U798" s="19">
        <f ca="1">IF('Stock Price'!$I$11="OK",H798/INDEX(H$5:H$1258,'Stock Price'!$I$9)-1,"")</f>
        <v>0.24558823529411766</v>
      </c>
      <c r="V798" s="19">
        <f ca="1">IF('Stock Price'!$I$11="OK",I798/INDEX(I$5:I$1258,'Stock Price'!$I$9)-1,"")</f>
        <v>-0.38067107750472584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135.62</v>
      </c>
      <c r="C799" s="18">
        <v>104.8</v>
      </c>
      <c r="D799" s="18">
        <v>34.31</v>
      </c>
      <c r="E799" s="18">
        <v>36.08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0.12082644628099182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-0.28184196755625324</v>
      </c>
      <c r="R799" s="19">
        <f ca="1">IF('Stock Price'!$I$11="OK",E799/INDEX(E$5:E$1258,'Stock Price'!$I$9)-1,"")</f>
        <v>-0.22740899357601718</v>
      </c>
      <c r="S799" s="19">
        <f ca="1">IF('Stock Price'!$I$11="OK",F799/INDEX(F$5:F$1258,'Stock Price'!$I$9)-1,"")</f>
        <v>-7.4503311258278249E-3</v>
      </c>
      <c r="T799" s="19">
        <f ca="1">IF('Stock Price'!$I$11="OK",G799/INDEX(G$5:G$1258,'Stock Price'!$I$9)-1,"")</f>
        <v>-0.5822376259070724</v>
      </c>
      <c r="U799" s="19">
        <f ca="1">IF('Stock Price'!$I$11="OK",H799/INDEX(H$5:H$1258,'Stock Price'!$I$9)-1,"")</f>
        <v>0.23296568627450998</v>
      </c>
      <c r="V799" s="19">
        <f ca="1">IF('Stock Price'!$I$11="OK",I799/INDEX(I$5:I$1258,'Stock Price'!$I$9)-1,"")</f>
        <v>-0.38988657844990549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134.59989999999999</v>
      </c>
      <c r="C800" s="18">
        <v>104.56</v>
      </c>
      <c r="D800" s="18">
        <v>34.9</v>
      </c>
      <c r="E800" s="18">
        <v>35.92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0.112395867768595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-0.26949241234955523</v>
      </c>
      <c r="R800" s="19">
        <f ca="1">IF('Stock Price'!$I$11="OK",E800/INDEX(E$5:E$1258,'Stock Price'!$I$9)-1,"")</f>
        <v>-0.23083511777301924</v>
      </c>
      <c r="S800" s="19">
        <f ca="1">IF('Stock Price'!$I$11="OK",F800/INDEX(F$5:F$1258,'Stock Price'!$I$9)-1,"")</f>
        <v>-3.1043046357616122E-3</v>
      </c>
      <c r="T800" s="19">
        <f ca="1">IF('Stock Price'!$I$11="OK",G800/INDEX(G$5:G$1258,'Stock Price'!$I$9)-1,"")</f>
        <v>-0.58336402036174584</v>
      </c>
      <c r="U800" s="19">
        <f ca="1">IF('Stock Price'!$I$11="OK",H800/INDEX(H$5:H$1258,'Stock Price'!$I$9)-1,"")</f>
        <v>0.24816176470588247</v>
      </c>
      <c r="V800" s="19">
        <f ca="1">IF('Stock Price'!$I$11="OK",I800/INDEX(I$5:I$1258,'Stock Price'!$I$9)-1,"")</f>
        <v>-0.39603024574669188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130.35</v>
      </c>
      <c r="C801" s="18">
        <v>101.84</v>
      </c>
      <c r="D801" s="18">
        <v>34.4</v>
      </c>
      <c r="E801" s="18">
        <v>35.89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7.727272727272716E-2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-0.27995813710099426</v>
      </c>
      <c r="R801" s="19">
        <f ca="1">IF('Stock Price'!$I$11="OK",E801/INDEX(E$5:E$1258,'Stock Price'!$I$9)-1,"")</f>
        <v>-0.23147751605995726</v>
      </c>
      <c r="S801" s="19">
        <f ca="1">IF('Stock Price'!$I$11="OK",F801/INDEX(F$5:F$1258,'Stock Price'!$I$9)-1,"")</f>
        <v>-6.4155629139073245E-3</v>
      </c>
      <c r="T801" s="19">
        <f ca="1">IF('Stock Price'!$I$11="OK",G801/INDEX(G$5:G$1258,'Stock Price'!$I$9)-1,"")</f>
        <v>-0.58280082313440906</v>
      </c>
      <c r="U801" s="19">
        <f ca="1">IF('Stock Price'!$I$11="OK",H801/INDEX(H$5:H$1258,'Stock Price'!$I$9)-1,"")</f>
        <v>0.24227941176470602</v>
      </c>
      <c r="V801" s="19">
        <f ca="1">IF('Stock Price'!$I$11="OK",I801/INDEX(I$5:I$1258,'Stock Price'!$I$9)-1,"")</f>
        <v>-0.40382797731568998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133.52000000000001</v>
      </c>
      <c r="C802" s="18">
        <v>102.52</v>
      </c>
      <c r="D802" s="18">
        <v>34.53</v>
      </c>
      <c r="E802" s="18">
        <v>36.31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0.10347107438016545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-0.27723704866562005</v>
      </c>
      <c r="R802" s="19">
        <f ca="1">IF('Stock Price'!$I$11="OK",E802/INDEX(E$5:E$1258,'Stock Price'!$I$9)-1,"")</f>
        <v>-0.22248394004282657</v>
      </c>
      <c r="S802" s="19">
        <f ca="1">IF('Stock Price'!$I$11="OK",F802/INDEX(F$5:F$1258,'Stock Price'!$I$9)-1,"")</f>
        <v>3.9321192052979015E-3</v>
      </c>
      <c r="T802" s="19">
        <f ca="1">IF('Stock Price'!$I$11="OK",G802/INDEX(G$5:G$1258,'Stock Price'!$I$9)-1,"")</f>
        <v>-0.57760207949745479</v>
      </c>
      <c r="U802" s="19">
        <f ca="1">IF('Stock Price'!$I$11="OK",H802/INDEX(H$5:H$1258,'Stock Price'!$I$9)-1,"")</f>
        <v>0.26899509803921573</v>
      </c>
      <c r="V802" s="19">
        <f ca="1">IF('Stock Price'!$I$11="OK",I802/INDEX(I$5:I$1258,'Stock Price'!$I$9)-1,"")</f>
        <v>-0.39272211720226846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134.86000000000001</v>
      </c>
      <c r="C803" s="18">
        <v>101.99</v>
      </c>
      <c r="D803" s="18">
        <v>34.57</v>
      </c>
      <c r="E803" s="18">
        <v>36.51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0.11454545454545473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-0.27639979068550491</v>
      </c>
      <c r="R803" s="19">
        <f ca="1">IF('Stock Price'!$I$11="OK",E803/INDEX(E$5:E$1258,'Stock Price'!$I$9)-1,"")</f>
        <v>-0.21820128479657397</v>
      </c>
      <c r="S803" s="19">
        <f ca="1">IF('Stock Price'!$I$11="OK",F803/INDEX(F$5:F$1258,'Stock Price'!$I$9)-1,"")</f>
        <v>2.8973509933774011E-3</v>
      </c>
      <c r="T803" s="19">
        <f ca="1">IF('Stock Price'!$I$11="OK",G803/INDEX(G$5:G$1258,'Stock Price'!$I$9)-1,"")</f>
        <v>-0.56644644210982342</v>
      </c>
      <c r="U803" s="19">
        <f ca="1">IF('Stock Price'!$I$11="OK",H803/INDEX(H$5:H$1258,'Stock Price'!$I$9)-1,"")</f>
        <v>0.26335784313725497</v>
      </c>
      <c r="V803" s="19">
        <f ca="1">IF('Stock Price'!$I$11="OK",I803/INDEX(I$5:I$1258,'Stock Price'!$I$9)-1,"")</f>
        <v>-0.39201323251417763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136.25989999999999</v>
      </c>
      <c r="C804" s="18">
        <v>101.68</v>
      </c>
      <c r="D804" s="18">
        <v>35.99</v>
      </c>
      <c r="E804" s="18">
        <v>36.47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0.12611487603305771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-0.24667713239141809</v>
      </c>
      <c r="R804" s="19">
        <f ca="1">IF('Stock Price'!$I$11="OK",E804/INDEX(E$5:E$1258,'Stock Price'!$I$9)-1,"")</f>
        <v>-0.21905781584582451</v>
      </c>
      <c r="S804" s="19">
        <f ca="1">IF('Stock Price'!$I$11="OK",F804/INDEX(F$5:F$1258,'Stock Price'!$I$9)-1,"")</f>
        <v>2.2764900662251009E-3</v>
      </c>
      <c r="T804" s="19">
        <f ca="1">IF('Stock Price'!$I$11="OK",G804/INDEX(G$5:G$1258,'Stock Price'!$I$9)-1,"")</f>
        <v>-0.56178923426838512</v>
      </c>
      <c r="U804" s="19">
        <f ca="1">IF('Stock Price'!$I$11="OK",H804/INDEX(H$5:H$1258,'Stock Price'!$I$9)-1,"")</f>
        <v>0.27193627450980418</v>
      </c>
      <c r="V804" s="19">
        <f ca="1">IF('Stock Price'!$I$11="OK",I804/INDEX(I$5:I$1258,'Stock Price'!$I$9)-1,"")</f>
        <v>-0.38327032136105854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134.09989999999999</v>
      </c>
      <c r="C805" s="18">
        <v>100.13</v>
      </c>
      <c r="D805" s="18">
        <v>35.21</v>
      </c>
      <c r="E805" s="18">
        <v>35.64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0.10826363636363623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-0.26300366300366296</v>
      </c>
      <c r="R805" s="19">
        <f ca="1">IF('Stock Price'!$I$11="OK",E805/INDEX(E$5:E$1258,'Stock Price'!$I$9)-1,"")</f>
        <v>-0.23683083511777303</v>
      </c>
      <c r="S805" s="19">
        <f ca="1">IF('Stock Price'!$I$11="OK",F805/INDEX(F$5:F$1258,'Stock Price'!$I$9)-1,"")</f>
        <v>-4.9668874172186239E-3</v>
      </c>
      <c r="T805" s="19">
        <f ca="1">IF('Stock Price'!$I$11="OK",G805/INDEX(G$5:G$1258,'Stock Price'!$I$9)-1,"")</f>
        <v>-0.56059785551824981</v>
      </c>
      <c r="U805" s="19">
        <f ca="1">IF('Stock Price'!$I$11="OK",H805/INDEX(H$5:H$1258,'Stock Price'!$I$9)-1,"")</f>
        <v>0.23774509803921573</v>
      </c>
      <c r="V805" s="19">
        <f ca="1">IF('Stock Price'!$I$11="OK",I805/INDEX(I$5:I$1258,'Stock Price'!$I$9)-1,"")</f>
        <v>-0.3957939508506616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138.1</v>
      </c>
      <c r="C806" s="18">
        <v>99.17</v>
      </c>
      <c r="D806" s="18">
        <v>34.450000000000003</v>
      </c>
      <c r="E806" s="18">
        <v>36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0.14132231404958673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-0.27891156462585021</v>
      </c>
      <c r="R806" s="19">
        <f ca="1">IF('Stock Price'!$I$11="OK",E806/INDEX(E$5:E$1258,'Stock Price'!$I$9)-1,"")</f>
        <v>-0.22912205567451827</v>
      </c>
      <c r="S806" s="19">
        <f ca="1">IF('Stock Price'!$I$11="OK",F806/INDEX(F$5:F$1258,'Stock Price'!$I$9)-1,"")</f>
        <v>-6.8294701986754136E-3</v>
      </c>
      <c r="T806" s="19">
        <f ca="1">IF('Stock Price'!$I$11="OK",G806/INDEX(G$5:G$1258,'Stock Price'!$I$9)-1,"")</f>
        <v>-0.56685800931441577</v>
      </c>
      <c r="U806" s="19">
        <f ca="1">IF('Stock Price'!$I$11="OK",H806/INDEX(H$5:H$1258,'Stock Price'!$I$9)-1,"")</f>
        <v>0.22242647058823528</v>
      </c>
      <c r="V806" s="19">
        <f ca="1">IF('Stock Price'!$I$11="OK",I806/INDEX(I$5:I$1258,'Stock Price'!$I$9)-1,"")</f>
        <v>-0.40382797731568998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132.41990000000001</v>
      </c>
      <c r="C807" s="18">
        <v>98.59</v>
      </c>
      <c r="D807" s="18">
        <v>34.17</v>
      </c>
      <c r="E807" s="18">
        <v>35.57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9.4379338842975224E-2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-0.28477237048665616</v>
      </c>
      <c r="R807" s="19">
        <f ca="1">IF('Stock Price'!$I$11="OK",E807/INDEX(E$5:E$1258,'Stock Price'!$I$9)-1,"")</f>
        <v>-0.23832976445396148</v>
      </c>
      <c r="S807" s="19">
        <f ca="1">IF('Stock Price'!$I$11="OK",F807/INDEX(F$5:F$1258,'Stock Price'!$I$9)-1,"")</f>
        <v>-2.7524834437086088E-2</v>
      </c>
      <c r="T807" s="19">
        <f ca="1">IF('Stock Price'!$I$11="OK",G807/INDEX(G$5:G$1258,'Stock Price'!$I$9)-1,"")</f>
        <v>-0.56298061301852043</v>
      </c>
      <c r="U807" s="19">
        <f ca="1">IF('Stock Price'!$I$11="OK",H807/INDEX(H$5:H$1258,'Stock Price'!$I$9)-1,"")</f>
        <v>0.24080882352941191</v>
      </c>
      <c r="V807" s="19">
        <f ca="1">IF('Stock Price'!$I$11="OK",I807/INDEX(I$5:I$1258,'Stock Price'!$I$9)-1,"")</f>
        <v>-0.40051984877126656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131.74</v>
      </c>
      <c r="C808" s="18">
        <v>98.36</v>
      </c>
      <c r="D808" s="18">
        <v>33.950000000000003</v>
      </c>
      <c r="E808" s="18">
        <v>35.39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8.8760330578512514E-2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-0.28937728937728935</v>
      </c>
      <c r="R808" s="19">
        <f ca="1">IF('Stock Price'!$I$11="OK",E808/INDEX(E$5:E$1258,'Stock Price'!$I$9)-1,"")</f>
        <v>-0.24218415417558892</v>
      </c>
      <c r="S808" s="19">
        <f ca="1">IF('Stock Price'!$I$11="OK",F808/INDEX(F$5:F$1258,'Stock Price'!$I$9)-1,"")</f>
        <v>-3.1456953642384211E-2</v>
      </c>
      <c r="T808" s="19">
        <f ca="1">IF('Stock Price'!$I$11="OK",G808/INDEX(G$5:G$1258,'Stock Price'!$I$9)-1,"")</f>
        <v>-0.57197010722408748</v>
      </c>
      <c r="U808" s="19">
        <f ca="1">IF('Stock Price'!$I$11="OK",H808/INDEX(H$5:H$1258,'Stock Price'!$I$9)-1,"")</f>
        <v>0.25</v>
      </c>
      <c r="V808" s="19">
        <f ca="1">IF('Stock Price'!$I$11="OK",I808/INDEX(I$5:I$1258,'Stock Price'!$I$9)-1,"")</f>
        <v>-0.39555765595463144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131.69990000000001</v>
      </c>
      <c r="C809" s="18">
        <v>97.77</v>
      </c>
      <c r="D809" s="18">
        <v>33.58</v>
      </c>
      <c r="E809" s="18">
        <v>35.54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8.8428925619834731E-2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-0.29712192569335427</v>
      </c>
      <c r="R809" s="19">
        <f ca="1">IF('Stock Price'!$I$11="OK",E809/INDEX(E$5:E$1258,'Stock Price'!$I$9)-1,"")</f>
        <v>-0.23897216274089939</v>
      </c>
      <c r="S809" s="19">
        <f ca="1">IF('Stock Price'!$I$11="OK",F809/INDEX(F$5:F$1258,'Stock Price'!$I$9)-1,"")</f>
        <v>-5.0289735099337762E-2</v>
      </c>
      <c r="T809" s="19">
        <f ca="1">IF('Stock Price'!$I$11="OK",G809/INDEX(G$5:G$1258,'Stock Price'!$I$9)-1,"")</f>
        <v>-0.57764540236109596</v>
      </c>
      <c r="U809" s="19">
        <f ca="1">IF('Stock Price'!$I$11="OK",H809/INDEX(H$5:H$1258,'Stock Price'!$I$9)-1,"")</f>
        <v>0.22622549019607852</v>
      </c>
      <c r="V809" s="19">
        <f ca="1">IF('Stock Price'!$I$11="OK",I809/INDEX(I$5:I$1258,'Stock Price'!$I$9)-1,"")</f>
        <v>-0.40335538752362954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133.4</v>
      </c>
      <c r="C810" s="18">
        <v>99.1</v>
      </c>
      <c r="D810" s="18">
        <v>34.229999999999997</v>
      </c>
      <c r="E810" s="18">
        <v>35.840000000000003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0.10247933884297522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-0.28351648351648351</v>
      </c>
      <c r="R810" s="19">
        <f ca="1">IF('Stock Price'!$I$11="OK",E810/INDEX(E$5:E$1258,'Stock Price'!$I$9)-1,"")</f>
        <v>-0.23254817987152032</v>
      </c>
      <c r="S810" s="19">
        <f ca="1">IF('Stock Price'!$I$11="OK",F810/INDEX(F$5:F$1258,'Stock Price'!$I$9)-1,"")</f>
        <v>1.2831125827814427E-2</v>
      </c>
      <c r="T810" s="19">
        <f ca="1">IF('Stock Price'!$I$11="OK",G810/INDEX(G$5:G$1258,'Stock Price'!$I$9)-1,"")</f>
        <v>-0.5812845229069642</v>
      </c>
      <c r="U810" s="19">
        <f ca="1">IF('Stock Price'!$I$11="OK",H810/INDEX(H$5:H$1258,'Stock Price'!$I$9)-1,"")</f>
        <v>0.22622549019607852</v>
      </c>
      <c r="V810" s="19">
        <f ca="1">IF('Stock Price'!$I$11="OK",I810/INDEX(I$5:I$1258,'Stock Price'!$I$9)-1,"")</f>
        <v>-0.37547258979206055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129.5752</v>
      </c>
      <c r="C811" s="18">
        <v>96.83</v>
      </c>
      <c r="D811" s="18">
        <v>33.69</v>
      </c>
      <c r="E811" s="18">
        <v>34.909999999999997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7.0869421487603335E-2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-0.29481946624803768</v>
      </c>
      <c r="R811" s="19">
        <f ca="1">IF('Stock Price'!$I$11="OK",E811/INDEX(E$5:E$1258,'Stock Price'!$I$9)-1,"")</f>
        <v>-0.25246252676659542</v>
      </c>
      <c r="S811" s="19">
        <f ca="1">IF('Stock Price'!$I$11="OK",F811/INDEX(F$5:F$1258,'Stock Price'!$I$9)-1,"")</f>
        <v>-2.7110927152317887E-2</v>
      </c>
      <c r="T811" s="19">
        <f ca="1">IF('Stock Price'!$I$11="OK",G811/INDEX(G$5:G$1258,'Stock Price'!$I$9)-1,"")</f>
        <v>-0.58362395754359353</v>
      </c>
      <c r="U811" s="19">
        <f ca="1">IF('Stock Price'!$I$11="OK",H811/INDEX(H$5:H$1258,'Stock Price'!$I$9)-1,"")</f>
        <v>0.20514705882352957</v>
      </c>
      <c r="V811" s="19">
        <f ca="1">IF('Stock Price'!$I$11="OK",I811/INDEX(I$5:I$1258,'Stock Price'!$I$9)-1,"")</f>
        <v>-0.38823251417769378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127.96</v>
      </c>
      <c r="C812" s="18">
        <v>96.77</v>
      </c>
      <c r="D812" s="18">
        <v>33.43</v>
      </c>
      <c r="E812" s="18">
        <v>34.24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5.75206611570247E-2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-0.300261643118786</v>
      </c>
      <c r="R812" s="19">
        <f ca="1">IF('Stock Price'!$I$11="OK",E812/INDEX(E$5:E$1258,'Stock Price'!$I$9)-1,"")</f>
        <v>-0.26680942184154177</v>
      </c>
      <c r="S812" s="19">
        <f ca="1">IF('Stock Price'!$I$11="OK",F812/INDEX(F$5:F$1258,'Stock Price'!$I$9)-1,"")</f>
        <v>-1.6970198675496651E-2</v>
      </c>
      <c r="T812" s="19">
        <f ca="1">IF('Stock Price'!$I$11="OK",G812/INDEX(G$5:G$1258,'Stock Price'!$I$9)-1,"")</f>
        <v>-0.59124878154446003</v>
      </c>
      <c r="U812" s="19">
        <f ca="1">IF('Stock Price'!$I$11="OK",H812/INDEX(H$5:H$1258,'Stock Price'!$I$9)-1,"")</f>
        <v>0.21960784313725501</v>
      </c>
      <c r="V812" s="19">
        <f ca="1">IF('Stock Price'!$I$11="OK",I812/INDEX(I$5:I$1258,'Stock Price'!$I$9)-1,"")</f>
        <v>-0.39106805293005675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132.65</v>
      </c>
      <c r="C813" s="18">
        <v>97.11</v>
      </c>
      <c r="D813" s="18">
        <v>33.6</v>
      </c>
      <c r="E813" s="18">
        <v>34.5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9.6280991735537169E-2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-0.29670329670329665</v>
      </c>
      <c r="R813" s="19">
        <f ca="1">IF('Stock Price'!$I$11="OK",E813/INDEX(E$5:E$1258,'Stock Price'!$I$9)-1,"")</f>
        <v>-0.26124197002141336</v>
      </c>
      <c r="S813" s="19">
        <f ca="1">IF('Stock Price'!$I$11="OK",F813/INDEX(F$5:F$1258,'Stock Price'!$I$9)-1,"")</f>
        <v>-1.2624172185430438E-2</v>
      </c>
      <c r="T813" s="19">
        <f ca="1">IF('Stock Price'!$I$11="OK",G813/INDEX(G$5:G$1258,'Stock Price'!$I$9)-1,"")</f>
        <v>-0.58981912704429762</v>
      </c>
      <c r="U813" s="19">
        <f ca="1">IF('Stock Price'!$I$11="OK",H813/INDEX(H$5:H$1258,'Stock Price'!$I$9)-1,"")</f>
        <v>0.20159313725490202</v>
      </c>
      <c r="V813" s="19">
        <f ca="1">IF('Stock Price'!$I$11="OK",I813/INDEX(I$5:I$1258,'Stock Price'!$I$9)-1,"")</f>
        <v>-0.37712665406427226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130.91999999999999</v>
      </c>
      <c r="C814" s="18">
        <v>98.45</v>
      </c>
      <c r="D814" s="18">
        <v>34.06</v>
      </c>
      <c r="E814" s="18">
        <v>34.89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8.1983471074380088E-2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-0.28707482993197275</v>
      </c>
      <c r="R814" s="19">
        <f ca="1">IF('Stock Price'!$I$11="OK",E814/INDEX(E$5:E$1258,'Stock Price'!$I$9)-1,"")</f>
        <v>-0.25289079229122058</v>
      </c>
      <c r="S814" s="19">
        <f ca="1">IF('Stock Price'!$I$11="OK",F814/INDEX(F$5:F$1258,'Stock Price'!$I$9)-1,"")</f>
        <v>1.4486754966887005E-3</v>
      </c>
      <c r="T814" s="19">
        <f ca="1">IF('Stock Price'!$I$11="OK",G814/INDEX(G$5:G$1258,'Stock Price'!$I$9)-1,"")</f>
        <v>-0.59081555290804721</v>
      </c>
      <c r="U814" s="19">
        <f ca="1">IF('Stock Price'!$I$11="OK",H814/INDEX(H$5:H$1258,'Stock Price'!$I$9)-1,"")</f>
        <v>0.21776960784313748</v>
      </c>
      <c r="V814" s="19">
        <f ca="1">IF('Stock Price'!$I$11="OK",I814/INDEX(I$5:I$1258,'Stock Price'!$I$9)-1,"")</f>
        <v>-0.36885633270321361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131.12</v>
      </c>
      <c r="C815" s="18">
        <v>98.35</v>
      </c>
      <c r="D815" s="18">
        <v>34.03</v>
      </c>
      <c r="E815" s="18">
        <v>34.96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8.3636363636363731E-2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-0.28770277341705908</v>
      </c>
      <c r="R815" s="19">
        <f ca="1">IF('Stock Price'!$I$11="OK",E815/INDEX(E$5:E$1258,'Stock Price'!$I$9)-1,"")</f>
        <v>-0.25139186295503213</v>
      </c>
      <c r="S815" s="19">
        <f ca="1">IF('Stock Price'!$I$11="OK",F815/INDEX(F$5:F$1258,'Stock Price'!$I$9)-1,"")</f>
        <v>-6.2086092715230023E-4</v>
      </c>
      <c r="T815" s="19">
        <f ca="1">IF('Stock Price'!$I$11="OK",G815/INDEX(G$5:G$1258,'Stock Price'!$I$9)-1,"")</f>
        <v>-0.59081555290804721</v>
      </c>
      <c r="U815" s="19">
        <f ca="1">IF('Stock Price'!$I$11="OK",H815/INDEX(H$5:H$1258,'Stock Price'!$I$9)-1,"")</f>
        <v>0.21875000000000022</v>
      </c>
      <c r="V815" s="19">
        <f ca="1">IF('Stock Price'!$I$11="OK",I815/INDEX(I$5:I$1258,'Stock Price'!$I$9)-1,"")</f>
        <v>-0.36814744801512289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134.66</v>
      </c>
      <c r="C816" s="18">
        <v>98.4</v>
      </c>
      <c r="D816" s="18">
        <v>34.119999999999997</v>
      </c>
      <c r="E816" s="18">
        <v>35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0.11289256198347108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-0.2858189429618001</v>
      </c>
      <c r="R816" s="19">
        <f ca="1">IF('Stock Price'!$I$11="OK",E816/INDEX(E$5:E$1258,'Stock Price'!$I$9)-1,"")</f>
        <v>-0.25053533190578159</v>
      </c>
      <c r="S816" s="19">
        <f ca="1">IF('Stock Price'!$I$11="OK",F816/INDEX(F$5:F$1258,'Stock Price'!$I$9)-1,"")</f>
        <v>2.2764900662251009E-3</v>
      </c>
      <c r="T816" s="19">
        <f ca="1">IF('Stock Price'!$I$11="OK",G816/INDEX(G$5:G$1258,'Stock Price'!$I$9)-1,"")</f>
        <v>-0.59081555290804721</v>
      </c>
      <c r="U816" s="19">
        <f ca="1">IF('Stock Price'!$I$11="OK",H816/INDEX(H$5:H$1258,'Stock Price'!$I$9)-1,"")</f>
        <v>0.22389705882352962</v>
      </c>
      <c r="V816" s="19">
        <f ca="1">IF('Stock Price'!$I$11="OK",I816/INDEX(I$5:I$1258,'Stock Price'!$I$9)-1,"")</f>
        <v>-0.3724007561436673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132</v>
      </c>
      <c r="C817" s="18">
        <v>98.39</v>
      </c>
      <c r="D817" s="18">
        <v>34.08</v>
      </c>
      <c r="E817" s="18">
        <v>35.07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9.0909090909090828E-2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-0.28665620094191524</v>
      </c>
      <c r="R817" s="19">
        <f ca="1">IF('Stock Price'!$I$11="OK",E817/INDEX(E$5:E$1258,'Stock Price'!$I$9)-1,"")</f>
        <v>-0.24903640256959314</v>
      </c>
      <c r="S817" s="19">
        <f ca="1">IF('Stock Price'!$I$11="OK",F817/INDEX(F$5:F$1258,'Stock Price'!$I$9)-1,"")</f>
        <v>8.4850993377483253E-3</v>
      </c>
      <c r="T817" s="19">
        <f ca="1">IF('Stock Price'!$I$11="OK",G817/INDEX(G$5:G$1258,'Stock Price'!$I$9)-1,"")</f>
        <v>-0.58232427163435507</v>
      </c>
      <c r="U817" s="19">
        <f ca="1">IF('Stock Price'!$I$11="OK",H817/INDEX(H$5:H$1258,'Stock Price'!$I$9)-1,"")</f>
        <v>0.22181372549019618</v>
      </c>
      <c r="V817" s="19">
        <f ca="1">IF('Stock Price'!$I$11="OK",I817/INDEX(I$5:I$1258,'Stock Price'!$I$9)-1,"")</f>
        <v>-0.37098298676748576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130.19</v>
      </c>
      <c r="C818" s="18">
        <v>97.33</v>
      </c>
      <c r="D818" s="18">
        <v>33.65</v>
      </c>
      <c r="E818" s="18">
        <v>35.159999999999997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7.5950413223140556E-2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-0.29565672422815281</v>
      </c>
      <c r="R818" s="19">
        <f ca="1">IF('Stock Price'!$I$11="OK",E818/INDEX(E$5:E$1258,'Stock Price'!$I$9)-1,"")</f>
        <v>-0.24710920770877953</v>
      </c>
      <c r="S818" s="19">
        <f ca="1">IF('Stock Price'!$I$11="OK",F818/INDEX(F$5:F$1258,'Stock Price'!$I$9)-1,"")</f>
        <v>-1.8625827814570117E-3</v>
      </c>
      <c r="T818" s="19">
        <f ca="1">IF('Stock Price'!$I$11="OK",G818/INDEX(G$5:G$1258,'Stock Price'!$I$9)-1,"")</f>
        <v>-0.58163110581609445</v>
      </c>
      <c r="U818" s="19">
        <f ca="1">IF('Stock Price'!$I$11="OK",H818/INDEX(H$5:H$1258,'Stock Price'!$I$9)-1,"")</f>
        <v>0.20551470588235299</v>
      </c>
      <c r="V818" s="19">
        <f ca="1">IF('Stock Price'!$I$11="OK",I818/INDEX(I$5:I$1258,'Stock Price'!$I$9)-1,"")</f>
        <v>-0.37570888468809072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130</v>
      </c>
      <c r="C819" s="18">
        <v>97.31</v>
      </c>
      <c r="D819" s="18">
        <v>33.82</v>
      </c>
      <c r="E819" s="18">
        <v>34.880000000000003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7.4380165289256173E-2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-0.29209837781266346</v>
      </c>
      <c r="R819" s="19">
        <f ca="1">IF('Stock Price'!$I$11="OK",E819/INDEX(E$5:E$1258,'Stock Price'!$I$9)-1,"")</f>
        <v>-0.25310492505353321</v>
      </c>
      <c r="S819" s="19">
        <f ca="1">IF('Stock Price'!$I$11="OK",F819/INDEX(F$5:F$1258,'Stock Price'!$I$9)-1,"")</f>
        <v>-1.8625827814570117E-3</v>
      </c>
      <c r="T819" s="19">
        <f ca="1">IF('Stock Price'!$I$11="OK",G819/INDEX(G$5:G$1258,'Stock Price'!$I$9)-1,"")</f>
        <v>-0.58163110581609445</v>
      </c>
      <c r="U819" s="19">
        <f ca="1">IF('Stock Price'!$I$11="OK",H819/INDEX(H$5:H$1258,'Stock Price'!$I$9)-1,"")</f>
        <v>0.21911764705882364</v>
      </c>
      <c r="V819" s="19">
        <f ca="1">IF('Stock Price'!$I$11="OK",I819/INDEX(I$5:I$1258,'Stock Price'!$I$9)-1,"")</f>
        <v>-0.37310964083175802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133.91999999999999</v>
      </c>
      <c r="C820" s="18">
        <v>97.14</v>
      </c>
      <c r="D820" s="18">
        <v>33.950000000000003</v>
      </c>
      <c r="E820" s="18">
        <v>34.94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0.10677685950413207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-0.28937728937728935</v>
      </c>
      <c r="R820" s="19">
        <f ca="1">IF('Stock Price'!$I$11="OK",E820/INDEX(E$5:E$1258,'Stock Price'!$I$9)-1,"")</f>
        <v>-0.25182012847965751</v>
      </c>
      <c r="S820" s="19">
        <f ca="1">IF('Stock Price'!$I$11="OK",F820/INDEX(F$5:F$1258,'Stock Price'!$I$9)-1,"")</f>
        <v>-2.690397350993412E-3</v>
      </c>
      <c r="T820" s="19">
        <f ca="1">IF('Stock Price'!$I$11="OK",G820/INDEX(G$5:G$1258,'Stock Price'!$I$9)-1,"")</f>
        <v>-0.5800281598613668</v>
      </c>
      <c r="U820" s="19">
        <f ca="1">IF('Stock Price'!$I$11="OK",H820/INDEX(H$5:H$1258,'Stock Price'!$I$9)-1,"")</f>
        <v>0.2153186274509804</v>
      </c>
      <c r="V820" s="19">
        <f ca="1">IF('Stock Price'!$I$11="OK",I820/INDEX(I$5:I$1258,'Stock Price'!$I$9)-1,"")</f>
        <v>-0.37121928166351603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131.25</v>
      </c>
      <c r="C821" s="18">
        <v>97.64</v>
      </c>
      <c r="D821" s="18">
        <v>33.47</v>
      </c>
      <c r="E821" s="18">
        <v>35.18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8.4710743801652999E-2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-0.29942438513867087</v>
      </c>
      <c r="R821" s="19">
        <f ca="1">IF('Stock Price'!$I$11="OK",E821/INDEX(E$5:E$1258,'Stock Price'!$I$9)-1,"")</f>
        <v>-0.24668094218415426</v>
      </c>
      <c r="S821" s="19">
        <f ca="1">IF('Stock Price'!$I$11="OK",F821/INDEX(F$5:F$1258,'Stock Price'!$I$9)-1,"")</f>
        <v>-3.5182119205298124E-3</v>
      </c>
      <c r="T821" s="19">
        <f ca="1">IF('Stock Price'!$I$11="OK",G821/INDEX(G$5:G$1258,'Stock Price'!$I$9)-1,"")</f>
        <v>-0.5886494097259829</v>
      </c>
      <c r="U821" s="19">
        <f ca="1">IF('Stock Price'!$I$11="OK",H821/INDEX(H$5:H$1258,'Stock Price'!$I$9)-1,"")</f>
        <v>0.21495098039215699</v>
      </c>
      <c r="V821" s="19">
        <f ca="1">IF('Stock Price'!$I$11="OK",I821/INDEX(I$5:I$1258,'Stock Price'!$I$9)-1,"")</f>
        <v>-0.37169187145557658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130.38</v>
      </c>
      <c r="C822" s="18">
        <v>97.7</v>
      </c>
      <c r="D822" s="18">
        <v>33.96</v>
      </c>
      <c r="E822" s="18">
        <v>35.520000000000003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7.7520661157024717E-2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-0.28916797488226054</v>
      </c>
      <c r="R822" s="19">
        <f ca="1">IF('Stock Price'!$I$11="OK",E822/INDEX(E$5:E$1258,'Stock Price'!$I$9)-1,"")</f>
        <v>-0.23940042826552466</v>
      </c>
      <c r="S822" s="19">
        <f ca="1">IF('Stock Price'!$I$11="OK",F822/INDEX(F$5:F$1258,'Stock Price'!$I$9)-1,"")</f>
        <v>1.8004966887417151E-2</v>
      </c>
      <c r="T822" s="19">
        <f ca="1">IF('Stock Price'!$I$11="OK",G822/INDEX(G$5:G$1258,'Stock Price'!$I$9)-1,"")</f>
        <v>-0.57283656449691334</v>
      </c>
      <c r="U822" s="19">
        <f ca="1">IF('Stock Price'!$I$11="OK",H822/INDEX(H$5:H$1258,'Stock Price'!$I$9)-1,"")</f>
        <v>0.22205882352941186</v>
      </c>
      <c r="V822" s="19">
        <f ca="1">IF('Stock Price'!$I$11="OK",I822/INDEX(I$5:I$1258,'Stock Price'!$I$9)-1,"")</f>
        <v>-0.3646030245746692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131.88</v>
      </c>
      <c r="C823" s="18">
        <v>98.98</v>
      </c>
      <c r="D823" s="18">
        <v>34.090000000000003</v>
      </c>
      <c r="E823" s="18">
        <v>36.450000000000003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8.991735537190082E-2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-0.28644688644688632</v>
      </c>
      <c r="R823" s="19">
        <f ca="1">IF('Stock Price'!$I$11="OK",E823/INDEX(E$5:E$1258,'Stock Price'!$I$9)-1,"")</f>
        <v>-0.21948608137044967</v>
      </c>
      <c r="S823" s="19">
        <f ca="1">IF('Stock Price'!$I$11="OK",F823/INDEX(F$5:F$1258,'Stock Price'!$I$9)-1,"")</f>
        <v>3.20778145695364E-2</v>
      </c>
      <c r="T823" s="19">
        <f ca="1">IF('Stock Price'!$I$11="OK",G823/INDEX(G$5:G$1258,'Stock Price'!$I$9)-1,"")</f>
        <v>-0.5714069099967507</v>
      </c>
      <c r="U823" s="19">
        <f ca="1">IF('Stock Price'!$I$11="OK",H823/INDEX(H$5:H$1258,'Stock Price'!$I$9)-1,"")</f>
        <v>0.23799019607843142</v>
      </c>
      <c r="V823" s="19">
        <f ca="1">IF('Stock Price'!$I$11="OK",I823/INDEX(I$5:I$1258,'Stock Price'!$I$9)-1,"")</f>
        <v>-0.35893194706994336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132.66</v>
      </c>
      <c r="C824" s="18">
        <v>100.22</v>
      </c>
      <c r="D824" s="18">
        <v>33.75</v>
      </c>
      <c r="E824" s="18">
        <v>36.700000000000003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9.6363636363636429E-2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-0.29356357927786492</v>
      </c>
      <c r="R824" s="19">
        <f ca="1">IF('Stock Price'!$I$11="OK",E824/INDEX(E$5:E$1258,'Stock Price'!$I$9)-1,"")</f>
        <v>-0.21413276231263378</v>
      </c>
      <c r="S824" s="19">
        <f ca="1">IF('Stock Price'!$I$11="OK",F824/INDEX(F$5:F$1258,'Stock Price'!$I$9)-1,"")</f>
        <v>1.8832781456953551E-2</v>
      </c>
      <c r="T824" s="19">
        <f ca="1">IF('Stock Price'!$I$11="OK",G824/INDEX(G$5:G$1258,'Stock Price'!$I$9)-1,"")</f>
        <v>-0.57400628181522795</v>
      </c>
      <c r="U824" s="19">
        <f ca="1">IF('Stock Price'!$I$11="OK",H824/INDEX(H$5:H$1258,'Stock Price'!$I$9)-1,"")</f>
        <v>0.22365196078431371</v>
      </c>
      <c r="V824" s="19">
        <f ca="1">IF('Stock Price'!$I$11="OK",I824/INDEX(I$5:I$1258,'Stock Price'!$I$9)-1,"")</f>
        <v>-0.36531190926275992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135.5</v>
      </c>
      <c r="C825" s="18">
        <v>99.08</v>
      </c>
      <c r="D825" s="18">
        <v>33.090000000000003</v>
      </c>
      <c r="E825" s="18">
        <v>36.46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0.11983471074380159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-0.30737833594976438</v>
      </c>
      <c r="R825" s="19">
        <f ca="1">IF('Stock Price'!$I$11="OK",E825/INDEX(E$5:E$1258,'Stock Price'!$I$9)-1,"")</f>
        <v>-0.21927194860813704</v>
      </c>
      <c r="S825" s="19">
        <f ca="1">IF('Stock Price'!$I$11="OK",F825/INDEX(F$5:F$1258,'Stock Price'!$I$9)-1,"")</f>
        <v>8.4850993377483253E-3</v>
      </c>
      <c r="T825" s="19">
        <f ca="1">IF('Stock Price'!$I$11="OK",G825/INDEX(G$5:G$1258,'Stock Price'!$I$9)-1,"")</f>
        <v>-0.56716126935990463</v>
      </c>
      <c r="U825" s="19">
        <f ca="1">IF('Stock Price'!$I$11="OK",H825/INDEX(H$5:H$1258,'Stock Price'!$I$9)-1,"")</f>
        <v>0.21629901960784315</v>
      </c>
      <c r="V825" s="19">
        <f ca="1">IF('Stock Price'!$I$11="OK",I825/INDEX(I$5:I$1258,'Stock Price'!$I$9)-1,"")</f>
        <v>-0.36862003780718344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131.27430000000001</v>
      </c>
      <c r="C826" s="18">
        <v>99.27</v>
      </c>
      <c r="D826" s="18">
        <v>32.700000000000003</v>
      </c>
      <c r="E826" s="18">
        <v>36.19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8.4911570247933943E-2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-0.31554160125588693</v>
      </c>
      <c r="R826" s="19">
        <f ca="1">IF('Stock Price'!$I$11="OK",E826/INDEX(E$5:E$1258,'Stock Price'!$I$9)-1,"")</f>
        <v>-0.2250535331905783</v>
      </c>
      <c r="S826" s="19">
        <f ca="1">IF('Stock Price'!$I$11="OK",F826/INDEX(F$5:F$1258,'Stock Price'!$I$9)-1,"")</f>
        <v>6.0016556291391243E-3</v>
      </c>
      <c r="T826" s="19">
        <f ca="1">IF('Stock Price'!$I$11="OK",G826/INDEX(G$5:G$1258,'Stock Price'!$I$9)-1,"")</f>
        <v>-0.5660132134734106</v>
      </c>
      <c r="U826" s="19">
        <f ca="1">IF('Stock Price'!$I$11="OK",H826/INDEX(H$5:H$1258,'Stock Price'!$I$9)-1,"")</f>
        <v>0.23750000000000004</v>
      </c>
      <c r="V826" s="19">
        <f ca="1">IF('Stock Price'!$I$11="OK",I826/INDEX(I$5:I$1258,'Stock Price'!$I$9)-1,"")</f>
        <v>-0.36672967863894135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132.52000000000001</v>
      </c>
      <c r="C827" s="18">
        <v>99.37</v>
      </c>
      <c r="D827" s="18">
        <v>32.08</v>
      </c>
      <c r="E827" s="18">
        <v>36.14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9.5206611570248123E-2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-0.32851909994767137</v>
      </c>
      <c r="R827" s="19">
        <f ca="1">IF('Stock Price'!$I$11="OK",E827/INDEX(E$5:E$1258,'Stock Price'!$I$9)-1,"")</f>
        <v>-0.22612419700214137</v>
      </c>
      <c r="S827" s="19">
        <f ca="1">IF('Stock Price'!$I$11="OK",F827/INDEX(F$5:F$1258,'Stock Price'!$I$9)-1,"")</f>
        <v>2.6903973509935231E-3</v>
      </c>
      <c r="T827" s="19">
        <f ca="1">IF('Stock Price'!$I$11="OK",G827/INDEX(G$5:G$1258,'Stock Price'!$I$9)-1,"")</f>
        <v>-0.57539261345174908</v>
      </c>
      <c r="U827" s="19">
        <f ca="1">IF('Stock Price'!$I$11="OK",H827/INDEX(H$5:H$1258,'Stock Price'!$I$9)-1,"")</f>
        <v>0.22120098039215708</v>
      </c>
      <c r="V827" s="19">
        <f ca="1">IF('Stock Price'!$I$11="OK",I827/INDEX(I$5:I$1258,'Stock Price'!$I$9)-1,"")</f>
        <v>-0.37594517958412099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129.75989999999999</v>
      </c>
      <c r="C828" s="18">
        <v>99.07</v>
      </c>
      <c r="D828" s="18">
        <v>32.799999999999997</v>
      </c>
      <c r="E828" s="18">
        <v>36.5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7.2395867768594968E-2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-0.31344845630559925</v>
      </c>
      <c r="R828" s="19">
        <f ca="1">IF('Stock Price'!$I$11="OK",E828/INDEX(E$5:E$1258,'Stock Price'!$I$9)-1,"")</f>
        <v>-0.2184154175588866</v>
      </c>
      <c r="S828" s="19">
        <f ca="1">IF('Stock Price'!$I$11="OK",F828/INDEX(F$5:F$1258,'Stock Price'!$I$9)-1,"")</f>
        <v>2.1730132450331174E-2</v>
      </c>
      <c r="T828" s="19">
        <f ca="1">IF('Stock Price'!$I$11="OK",G828/INDEX(G$5:G$1258,'Stock Price'!$I$9)-1,"")</f>
        <v>-0.55095851835806342</v>
      </c>
      <c r="U828" s="19">
        <f ca="1">IF('Stock Price'!$I$11="OK",H828/INDEX(H$5:H$1258,'Stock Price'!$I$9)-1,"")</f>
        <v>0.22659313725490215</v>
      </c>
      <c r="V828" s="19">
        <f ca="1">IF('Stock Price'!$I$11="OK",I828/INDEX(I$5:I$1258,'Stock Price'!$I$9)-1,"")</f>
        <v>-0.38043478260869568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132.13</v>
      </c>
      <c r="C829" s="18">
        <v>97.86</v>
      </c>
      <c r="D829" s="18">
        <v>33.44</v>
      </c>
      <c r="E829" s="18">
        <v>36.67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9.1983471074380097E-2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-0.30005232862375719</v>
      </c>
      <c r="R829" s="19">
        <f ca="1">IF('Stock Price'!$I$11="OK",E829/INDEX(E$5:E$1258,'Stock Price'!$I$9)-1,"")</f>
        <v>-0.21477516059957169</v>
      </c>
      <c r="S829" s="19">
        <f ca="1">IF('Stock Price'!$I$11="OK",F829/INDEX(F$5:F$1258,'Stock Price'!$I$9)-1,"")</f>
        <v>5.0082781456953773E-2</v>
      </c>
      <c r="T829" s="19">
        <f ca="1">IF('Stock Price'!$I$11="OK",G829/INDEX(G$5:G$1258,'Stock Price'!$I$9)-1,"")</f>
        <v>-0.55074190403985712</v>
      </c>
      <c r="U829" s="19">
        <f ca="1">IF('Stock Price'!$I$11="OK",H829/INDEX(H$5:H$1258,'Stock Price'!$I$9)-1,"")</f>
        <v>0.23406862745098045</v>
      </c>
      <c r="V829" s="19">
        <f ca="1">IF('Stock Price'!$I$11="OK",I829/INDEX(I$5:I$1258,'Stock Price'!$I$9)-1,"")</f>
        <v>-0.37405482041587901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134.97999999999999</v>
      </c>
      <c r="C830" s="18">
        <v>97.53</v>
      </c>
      <c r="D830" s="18">
        <v>33.43</v>
      </c>
      <c r="E830" s="18">
        <v>36.35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0.11553719008264451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-0.300261643118786</v>
      </c>
      <c r="R830" s="19">
        <f ca="1">IF('Stock Price'!$I$11="OK",E830/INDEX(E$5:E$1258,'Stock Price'!$I$9)-1,"")</f>
        <v>-0.22162740899357602</v>
      </c>
      <c r="S830" s="19">
        <f ca="1">IF('Stock Price'!$I$11="OK",F830/INDEX(F$5:F$1258,'Stock Price'!$I$9)-1,"")</f>
        <v>5.0082781456953773E-2</v>
      </c>
      <c r="T830" s="19">
        <f ca="1">IF('Stock Price'!$I$11="OK",G830/INDEX(G$5:G$1258,'Stock Price'!$I$9)-1,"")</f>
        <v>-0.54196902415249648</v>
      </c>
      <c r="U830" s="19">
        <f ca="1">IF('Stock Price'!$I$11="OK",H830/INDEX(H$5:H$1258,'Stock Price'!$I$9)-1,"")</f>
        <v>0.20000000000000018</v>
      </c>
      <c r="V830" s="19">
        <f ca="1">IF('Stock Price'!$I$11="OK",I830/INDEX(I$5:I$1258,'Stock Price'!$I$9)-1,"")</f>
        <v>-0.37854442344045369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135.79</v>
      </c>
      <c r="C831" s="18">
        <v>99.73</v>
      </c>
      <c r="D831" s="18">
        <v>33.78</v>
      </c>
      <c r="E831" s="18">
        <v>37.46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0.12223140495867768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-0.29293563579277859</v>
      </c>
      <c r="R831" s="19">
        <f ca="1">IF('Stock Price'!$I$11="OK",E831/INDEX(E$5:E$1258,'Stock Price'!$I$9)-1,"")</f>
        <v>-0.19785867237687371</v>
      </c>
      <c r="S831" s="19">
        <f ca="1">IF('Stock Price'!$I$11="OK",F831/INDEX(F$5:F$1258,'Stock Price'!$I$9)-1,"")</f>
        <v>6.9743377483443725E-2</v>
      </c>
      <c r="T831" s="19">
        <f ca="1">IF('Stock Price'!$I$11="OK",G831/INDEX(G$5:G$1258,'Stock Price'!$I$9)-1,"")</f>
        <v>-0.53557890176540668</v>
      </c>
      <c r="U831" s="19">
        <f ca="1">IF('Stock Price'!$I$11="OK",H831/INDEX(H$5:H$1258,'Stock Price'!$I$9)-1,"")</f>
        <v>0.17941176470588238</v>
      </c>
      <c r="V831" s="19">
        <f ca="1">IF('Stock Price'!$I$11="OK",I831/INDEX(I$5:I$1258,'Stock Price'!$I$9)-1,"")</f>
        <v>-0.37051039697542532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138.06</v>
      </c>
      <c r="C832" s="18">
        <v>98.17</v>
      </c>
      <c r="D832" s="18">
        <v>33.43</v>
      </c>
      <c r="E832" s="18">
        <v>37.85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0.14099173553719013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-0.300261643118786</v>
      </c>
      <c r="R832" s="19">
        <f ca="1">IF('Stock Price'!$I$11="OK",E832/INDEX(E$5:E$1258,'Stock Price'!$I$9)-1,"")</f>
        <v>-0.18950749464668093</v>
      </c>
      <c r="S832" s="19">
        <f ca="1">IF('Stock Price'!$I$11="OK",F832/INDEX(F$5:F$1258,'Stock Price'!$I$9)-1,"")</f>
        <v>6.6018211920529701E-2</v>
      </c>
      <c r="T832" s="19">
        <f ca="1">IF('Stock Price'!$I$11="OK",G832/INDEX(G$5:G$1258,'Stock Price'!$I$9)-1,"")</f>
        <v>-0.54543485324379937</v>
      </c>
      <c r="U832" s="19">
        <f ca="1">IF('Stock Price'!$I$11="OK",H832/INDEX(H$5:H$1258,'Stock Price'!$I$9)-1,"")</f>
        <v>0.17254901960784341</v>
      </c>
      <c r="V832" s="19">
        <f ca="1">IF('Stock Price'!$I$11="OK",I832/INDEX(I$5:I$1258,'Stock Price'!$I$9)-1,"")</f>
        <v>-0.3853969754253308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135.53989999999999</v>
      </c>
      <c r="C833" s="18">
        <v>100.03</v>
      </c>
      <c r="D833" s="18">
        <v>34.049999999999997</v>
      </c>
      <c r="E833" s="18">
        <v>38.07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0.12016446280991722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-0.28728414442700156</v>
      </c>
      <c r="R833" s="19">
        <f ca="1">IF('Stock Price'!$I$11="OK",E833/INDEX(E$5:E$1258,'Stock Price'!$I$9)-1,"")</f>
        <v>-0.18479657387580306</v>
      </c>
      <c r="S833" s="19">
        <f ca="1">IF('Stock Price'!$I$11="OK",F833/INDEX(F$5:F$1258,'Stock Price'!$I$9)-1,"")</f>
        <v>7.5745033112582627E-2</v>
      </c>
      <c r="T833" s="19">
        <f ca="1">IF('Stock Price'!$I$11="OK",G833/INDEX(G$5:G$1258,'Stock Price'!$I$9)-1,"")</f>
        <v>-0.54348532437994157</v>
      </c>
      <c r="U833" s="19">
        <f ca="1">IF('Stock Price'!$I$11="OK",H833/INDEX(H$5:H$1258,'Stock Price'!$I$9)-1,"")</f>
        <v>0.18419117647058836</v>
      </c>
      <c r="V833" s="19">
        <f ca="1">IF('Stock Price'!$I$11="OK",I833/INDEX(I$5:I$1258,'Stock Price'!$I$9)-1,"")</f>
        <v>-0.37523629489603016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137.946</v>
      </c>
      <c r="C834" s="18">
        <v>99.97</v>
      </c>
      <c r="D834" s="18">
        <v>34.270000000000003</v>
      </c>
      <c r="E834" s="18">
        <v>38.049999999999997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0.14004958677685941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-0.28267922553636826</v>
      </c>
      <c r="R834" s="19">
        <f ca="1">IF('Stock Price'!$I$11="OK",E834/INDEX(E$5:E$1258,'Stock Price'!$I$9)-1,"")</f>
        <v>-0.18522483940042833</v>
      </c>
      <c r="S834" s="19">
        <f ca="1">IF('Stock Price'!$I$11="OK",F834/INDEX(F$5:F$1258,'Stock Price'!$I$9)-1,"")</f>
        <v>8.6092715231788075E-2</v>
      </c>
      <c r="T834" s="19">
        <f ca="1">IF('Stock Price'!$I$11="OK",G834/INDEX(G$5:G$1258,'Stock Price'!$I$9)-1,"")</f>
        <v>-0.54738438210765739</v>
      </c>
      <c r="U834" s="19">
        <f ca="1">IF('Stock Price'!$I$11="OK",H834/INDEX(H$5:H$1258,'Stock Price'!$I$9)-1,"")</f>
        <v>0.17095588235294112</v>
      </c>
      <c r="V834" s="19">
        <f ca="1">IF('Stock Price'!$I$11="OK",I834/INDEX(I$5:I$1258,'Stock Price'!$I$9)-1,"")</f>
        <v>-0.38350661625708882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138.91999999999999</v>
      </c>
      <c r="C835" s="18">
        <v>103.41</v>
      </c>
      <c r="D835" s="18">
        <v>35.5</v>
      </c>
      <c r="E835" s="18">
        <v>39.1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0.14809917355371893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-0.25693354264782831</v>
      </c>
      <c r="R835" s="19">
        <f ca="1">IF('Stock Price'!$I$11="OK",E835/INDEX(E$5:E$1258,'Stock Price'!$I$9)-1,"")</f>
        <v>-0.16274089935760172</v>
      </c>
      <c r="S835" s="19">
        <f ca="1">IF('Stock Price'!$I$11="OK",F835/INDEX(F$5:F$1258,'Stock Price'!$I$9)-1,"")</f>
        <v>0.10389072847682135</v>
      </c>
      <c r="T835" s="19">
        <f ca="1">IF('Stock Price'!$I$11="OK",G835/INDEX(G$5:G$1258,'Stock Price'!$I$9)-1,"")</f>
        <v>-0.53547059460630342</v>
      </c>
      <c r="U835" s="19">
        <f ca="1">IF('Stock Price'!$I$11="OK",H835/INDEX(H$5:H$1258,'Stock Price'!$I$9)-1,"")</f>
        <v>0.20024509803921564</v>
      </c>
      <c r="V835" s="19">
        <f ca="1">IF('Stock Price'!$I$11="OK",I835/INDEX(I$5:I$1258,'Stock Price'!$I$9)-1,"")</f>
        <v>-0.36531190926275992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137.21</v>
      </c>
      <c r="C836" s="18">
        <v>101.84</v>
      </c>
      <c r="D836" s="18">
        <v>35.1</v>
      </c>
      <c r="E836" s="18">
        <v>38.94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0.13396694214876037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-0.26530612244897955</v>
      </c>
      <c r="R836" s="19">
        <f ca="1">IF('Stock Price'!$I$11="OK",E836/INDEX(E$5:E$1258,'Stock Price'!$I$9)-1,"")</f>
        <v>-0.166167023554604</v>
      </c>
      <c r="S836" s="19">
        <f ca="1">IF('Stock Price'!$I$11="OK",F836/INDEX(F$5:F$1258,'Stock Price'!$I$9)-1,"")</f>
        <v>9.6233443708609201E-2</v>
      </c>
      <c r="T836" s="19">
        <f ca="1">IF('Stock Price'!$I$11="OK",G836/INDEX(G$5:G$1258,'Stock Price'!$I$9)-1,"")</f>
        <v>-0.53438752301527126</v>
      </c>
      <c r="U836" s="19">
        <f ca="1">IF('Stock Price'!$I$11="OK",H836/INDEX(H$5:H$1258,'Stock Price'!$I$9)-1,"")</f>
        <v>0.19424019607843146</v>
      </c>
      <c r="V836" s="19">
        <f ca="1">IF('Stock Price'!$I$11="OK",I836/INDEX(I$5:I$1258,'Stock Price'!$I$9)-1,"")</f>
        <v>-0.36791115311909262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139.31989999999999</v>
      </c>
      <c r="C837" s="18">
        <v>102.93</v>
      </c>
      <c r="D837" s="18">
        <v>35.06</v>
      </c>
      <c r="E837" s="18">
        <v>38.86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0.15140413223140481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-0.26614338042909469</v>
      </c>
      <c r="R837" s="19">
        <f ca="1">IF('Stock Price'!$I$11="OK",E837/INDEX(E$5:E$1258,'Stock Price'!$I$9)-1,"")</f>
        <v>-0.16788008565310497</v>
      </c>
      <c r="S837" s="19">
        <f ca="1">IF('Stock Price'!$I$11="OK",F837/INDEX(F$5:F$1258,'Stock Price'!$I$9)-1,"")</f>
        <v>7.926324503311255E-2</v>
      </c>
      <c r="T837" s="19">
        <f ca="1">IF('Stock Price'!$I$11="OK",G837/INDEX(G$5:G$1258,'Stock Price'!$I$9)-1,"")</f>
        <v>-0.53341275858334236</v>
      </c>
      <c r="U837" s="19">
        <f ca="1">IF('Stock Price'!$I$11="OK",H837/INDEX(H$5:H$1258,'Stock Price'!$I$9)-1,"")</f>
        <v>0.20441176470588251</v>
      </c>
      <c r="V837" s="19">
        <f ca="1">IF('Stock Price'!$I$11="OK",I837/INDEX(I$5:I$1258,'Stock Price'!$I$9)-1,"")</f>
        <v>-0.37098298676748576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141.03989999999999</v>
      </c>
      <c r="C838" s="18">
        <v>104.75</v>
      </c>
      <c r="D838" s="18">
        <v>35.36</v>
      </c>
      <c r="E838" s="18">
        <v>39.840000000000003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0.16561900826446263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-0.25986394557823134</v>
      </c>
      <c r="R838" s="19">
        <f ca="1">IF('Stock Price'!$I$11="OK",E838/INDEX(E$5:E$1258,'Stock Price'!$I$9)-1,"")</f>
        <v>-0.14689507494646681</v>
      </c>
      <c r="S838" s="19">
        <f ca="1">IF('Stock Price'!$I$11="OK",F838/INDEX(F$5:F$1258,'Stock Price'!$I$9)-1,"")</f>
        <v>0.12065397350993368</v>
      </c>
      <c r="T838" s="19">
        <f ca="1">IF('Stock Price'!$I$11="OK",G838/INDEX(G$5:G$1258,'Stock Price'!$I$9)-1,"")</f>
        <v>-0.52648110040073648</v>
      </c>
      <c r="U838" s="19">
        <f ca="1">IF('Stock Price'!$I$11="OK",H838/INDEX(H$5:H$1258,'Stock Price'!$I$9)-1,"")</f>
        <v>0.21262254901960786</v>
      </c>
      <c r="V838" s="19">
        <f ca="1">IF('Stock Price'!$I$11="OK",I838/INDEX(I$5:I$1258,'Stock Price'!$I$9)-1,"")</f>
        <v>-0.36413043478260865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140.72</v>
      </c>
      <c r="C839" s="18">
        <v>104.72</v>
      </c>
      <c r="D839" s="18">
        <v>35.270000000000003</v>
      </c>
      <c r="E839" s="18">
        <v>39.25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0.16297520661157017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-0.2617477760334902</v>
      </c>
      <c r="R839" s="19">
        <f ca="1">IF('Stock Price'!$I$11="OK",E839/INDEX(E$5:E$1258,'Stock Price'!$I$9)-1,"")</f>
        <v>-0.1595289079229123</v>
      </c>
      <c r="S839" s="19">
        <f ca="1">IF('Stock Price'!$I$11="OK",F839/INDEX(F$5:F$1258,'Stock Price'!$I$9)-1,"")</f>
        <v>0.1245860927152318</v>
      </c>
      <c r="T839" s="19">
        <f ca="1">IF('Stock Price'!$I$11="OK",G839/INDEX(G$5:G$1258,'Stock Price'!$I$9)-1,"")</f>
        <v>-0.53124661540127804</v>
      </c>
      <c r="U839" s="19">
        <f ca="1">IF('Stock Price'!$I$11="OK",H839/INDEX(H$5:H$1258,'Stock Price'!$I$9)-1,"")</f>
        <v>0.2110294117647058</v>
      </c>
      <c r="V839" s="19">
        <f ca="1">IF('Stock Price'!$I$11="OK",I839/INDEX(I$5:I$1258,'Stock Price'!$I$9)-1,"")</f>
        <v>-0.37334593572778829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141.9</v>
      </c>
      <c r="C840" s="18">
        <v>105.48</v>
      </c>
      <c r="D840" s="18">
        <v>34.9</v>
      </c>
      <c r="E840" s="18">
        <v>39.32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0.17272727272727284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-0.26949241234955523</v>
      </c>
      <c r="R840" s="19">
        <f ca="1">IF('Stock Price'!$I$11="OK",E840/INDEX(E$5:E$1258,'Stock Price'!$I$9)-1,"")</f>
        <v>-0.15802997858672385</v>
      </c>
      <c r="S840" s="19">
        <f ca="1">IF('Stock Price'!$I$11="OK",F840/INDEX(F$5:F$1258,'Stock Price'!$I$9)-1,"")</f>
        <v>0.10409768211920523</v>
      </c>
      <c r="T840" s="19">
        <f ca="1">IF('Stock Price'!$I$11="OK",G840/INDEX(G$5:G$1258,'Stock Price'!$I$9)-1,"")</f>
        <v>-0.54489331744828329</v>
      </c>
      <c r="U840" s="19">
        <f ca="1">IF('Stock Price'!$I$11="OK",H840/INDEX(H$5:H$1258,'Stock Price'!$I$9)-1,"")</f>
        <v>0.22291666666666687</v>
      </c>
      <c r="V840" s="19">
        <f ca="1">IF('Stock Price'!$I$11="OK",I840/INDEX(I$5:I$1258,'Stock Price'!$I$9)-1,"")</f>
        <v>-0.38090737240075612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139.54</v>
      </c>
      <c r="C841" s="18">
        <v>105.47</v>
      </c>
      <c r="D841" s="18">
        <v>34.840000000000003</v>
      </c>
      <c r="E841" s="18">
        <v>39.619999999999997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0.15322314049586772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-0.27074829931972777</v>
      </c>
      <c r="R841" s="19">
        <f ca="1">IF('Stock Price'!$I$11="OK",E841/INDEX(E$5:E$1258,'Stock Price'!$I$9)-1,"")</f>
        <v>-0.1516059957173449</v>
      </c>
      <c r="S841" s="19">
        <f ca="1">IF('Stock Price'!$I$11="OK",F841/INDEX(F$5:F$1258,'Stock Price'!$I$9)-1,"")</f>
        <v>0.10720198675496695</v>
      </c>
      <c r="T841" s="19">
        <f ca="1">IF('Stock Price'!$I$11="OK",G841/INDEX(G$5:G$1258,'Stock Price'!$I$9)-1,"")</f>
        <v>-0.54034441676594824</v>
      </c>
      <c r="U841" s="19">
        <f ca="1">IF('Stock Price'!$I$11="OK",H841/INDEX(H$5:H$1258,'Stock Price'!$I$9)-1,"")</f>
        <v>0.11200980392156867</v>
      </c>
      <c r="V841" s="19">
        <f ca="1">IF('Stock Price'!$I$11="OK",I841/INDEX(I$5:I$1258,'Stock Price'!$I$9)-1,"")</f>
        <v>-0.38870510396975422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134.66999999999999</v>
      </c>
      <c r="C842" s="18">
        <v>109.81</v>
      </c>
      <c r="D842" s="18">
        <v>37.700000000000003</v>
      </c>
      <c r="E842" s="18">
        <v>40.53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0.11297520661157012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-0.2108843537414965</v>
      </c>
      <c r="R842" s="19">
        <f ca="1">IF('Stock Price'!$I$11="OK",E842/INDEX(E$5:E$1258,'Stock Price'!$I$9)-1,"")</f>
        <v>-0.13211991434689507</v>
      </c>
      <c r="S842" s="19">
        <f ca="1">IF('Stock Price'!$I$11="OK",F842/INDEX(F$5:F$1258,'Stock Price'!$I$9)-1,"")</f>
        <v>0.10720198675496695</v>
      </c>
      <c r="T842" s="19">
        <f ca="1">IF('Stock Price'!$I$11="OK",G842/INDEX(G$5:G$1258,'Stock Price'!$I$9)-1,"")</f>
        <v>-0.54424347449366406</v>
      </c>
      <c r="U842" s="19">
        <f ca="1">IF('Stock Price'!$I$11="OK",H842/INDEX(H$5:H$1258,'Stock Price'!$I$9)-1,"")</f>
        <v>9.8897058823529616E-2</v>
      </c>
      <c r="V842" s="19">
        <f ca="1">IF('Stock Price'!$I$11="OK",I842/INDEX(I$5:I$1258,'Stock Price'!$I$9)-1,"")</f>
        <v>-0.37523629489603016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151.5</v>
      </c>
      <c r="C843" s="18">
        <v>106.98</v>
      </c>
      <c r="D843" s="18">
        <v>36.380000000000003</v>
      </c>
      <c r="E843" s="18">
        <v>39.61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0.25206611570247928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-0.23851386708529554</v>
      </c>
      <c r="R843" s="19">
        <f ca="1">IF('Stock Price'!$I$11="OK",E843/INDEX(E$5:E$1258,'Stock Price'!$I$9)-1,"")</f>
        <v>-0.15182012847965742</v>
      </c>
      <c r="S843" s="19">
        <f ca="1">IF('Stock Price'!$I$11="OK",F843/INDEX(F$5:F$1258,'Stock Price'!$I$9)-1,"")</f>
        <v>9.41639072847682E-2</v>
      </c>
      <c r="T843" s="19">
        <f ca="1">IF('Stock Price'!$I$11="OK",G843/INDEX(G$5:G$1258,'Stock Price'!$I$9)-1,"")</f>
        <v>-0.54034441676594824</v>
      </c>
      <c r="U843" s="19">
        <f ca="1">IF('Stock Price'!$I$11="OK",H843/INDEX(H$5:H$1258,'Stock Price'!$I$9)-1,"")</f>
        <v>7.9044117647058876E-2</v>
      </c>
      <c r="V843" s="19">
        <f ca="1">IF('Stock Price'!$I$11="OK",I843/INDEX(I$5:I$1258,'Stock Price'!$I$9)-1,"")</f>
        <v>-0.38965028355387532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142.84989999999999</v>
      </c>
      <c r="C844" s="18">
        <v>106.26</v>
      </c>
      <c r="D844" s="18">
        <v>36.04</v>
      </c>
      <c r="E844" s="18">
        <v>39.770000000000003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0.18057768595041312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-0.24563055991627425</v>
      </c>
      <c r="R844" s="19">
        <f ca="1">IF('Stock Price'!$I$11="OK",E844/INDEX(E$5:E$1258,'Stock Price'!$I$9)-1,"")</f>
        <v>-0.14839400428265526</v>
      </c>
      <c r="S844" s="19">
        <f ca="1">IF('Stock Price'!$I$11="OK",F844/INDEX(F$5:F$1258,'Stock Price'!$I$9)-1,"")</f>
        <v>0.10409768211920523</v>
      </c>
      <c r="T844" s="19">
        <f ca="1">IF('Stock Price'!$I$11="OK",G844/INDEX(G$5:G$1258,'Stock Price'!$I$9)-1,"")</f>
        <v>-0.54630131051662512</v>
      </c>
      <c r="U844" s="19">
        <f ca="1">IF('Stock Price'!$I$11="OK",H844/INDEX(H$5:H$1258,'Stock Price'!$I$9)-1,"")</f>
        <v>6.9607843137255099E-2</v>
      </c>
      <c r="V844" s="19">
        <f ca="1">IF('Stock Price'!$I$11="OK",I844/INDEX(I$5:I$1258,'Stock Price'!$I$9)-1,"")</f>
        <v>-0.39177693761814747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149.16</v>
      </c>
      <c r="C845" s="18">
        <v>106.85</v>
      </c>
      <c r="D845" s="18">
        <v>36.47</v>
      </c>
      <c r="E845" s="18">
        <v>39.880000000000003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0.23272727272727267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-0.23663003663003668</v>
      </c>
      <c r="R845" s="19">
        <f ca="1">IF('Stock Price'!$I$11="OK",E845/INDEX(E$5:E$1258,'Stock Price'!$I$9)-1,"")</f>
        <v>-0.14603854389721627</v>
      </c>
      <c r="S845" s="19">
        <f ca="1">IF('Stock Price'!$I$11="OK",F845/INDEX(F$5:F$1258,'Stock Price'!$I$9)-1,"")</f>
        <v>0.10264900662251653</v>
      </c>
      <c r="T845" s="19">
        <f ca="1">IF('Stock Price'!$I$11="OK",G845/INDEX(G$5:G$1258,'Stock Price'!$I$9)-1,"")</f>
        <v>-0.54467670313007688</v>
      </c>
      <c r="U845" s="19">
        <f ca="1">IF('Stock Price'!$I$11="OK",H845/INDEX(H$5:H$1258,'Stock Price'!$I$9)-1,"")</f>
        <v>5.8823529411764941E-2</v>
      </c>
      <c r="V845" s="19">
        <f ca="1">IF('Stock Price'!$I$11="OK",I845/INDEX(I$5:I$1258,'Stock Price'!$I$9)-1,"")</f>
        <v>-0.38870510396975422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142.077</v>
      </c>
      <c r="C846" s="18">
        <v>107.75</v>
      </c>
      <c r="D846" s="18">
        <v>36.07</v>
      </c>
      <c r="E846" s="18">
        <v>39.43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0.1741900826446281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-0.24500261643118781</v>
      </c>
      <c r="R846" s="19">
        <f ca="1">IF('Stock Price'!$I$11="OK",E846/INDEX(E$5:E$1258,'Stock Price'!$I$9)-1,"")</f>
        <v>-0.15567451820128486</v>
      </c>
      <c r="S846" s="19">
        <f ca="1">IF('Stock Price'!$I$11="OK",F846/INDEX(F$5:F$1258,'Stock Price'!$I$9)-1,"")</f>
        <v>0.11548013245033117</v>
      </c>
      <c r="T846" s="19">
        <f ca="1">IF('Stock Price'!$I$11="OK",G846/INDEX(G$5:G$1258,'Stock Price'!$I$9)-1,"")</f>
        <v>-0.55095851835806342</v>
      </c>
      <c r="U846" s="19">
        <f ca="1">IF('Stock Price'!$I$11="OK",H846/INDEX(H$5:H$1258,'Stock Price'!$I$9)-1,"")</f>
        <v>6.0539215686274739E-2</v>
      </c>
      <c r="V846" s="19">
        <f ca="1">IF('Stock Price'!$I$11="OK",I846/INDEX(I$5:I$1258,'Stock Price'!$I$9)-1,"")</f>
        <v>-0.39673913043478259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146.43</v>
      </c>
      <c r="C847" s="18">
        <v>107</v>
      </c>
      <c r="D847" s="18">
        <v>36.130000000000003</v>
      </c>
      <c r="E847" s="18">
        <v>40.229999999999997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0.21016528925619848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-0.24374672946101505</v>
      </c>
      <c r="R847" s="19">
        <f ca="1">IF('Stock Price'!$I$11="OK",E847/INDEX(E$5:E$1258,'Stock Price'!$I$9)-1,"")</f>
        <v>-0.13854389721627425</v>
      </c>
      <c r="S847" s="19">
        <f ca="1">IF('Stock Price'!$I$11="OK",F847/INDEX(F$5:F$1258,'Stock Price'!$I$9)-1,"")</f>
        <v>0.12913907284768222</v>
      </c>
      <c r="T847" s="19">
        <f ca="1">IF('Stock Price'!$I$11="OK",G847/INDEX(G$5:G$1258,'Stock Price'!$I$9)-1,"")</f>
        <v>-0.54554316040290263</v>
      </c>
      <c r="U847" s="19">
        <f ca="1">IF('Stock Price'!$I$11="OK",H847/INDEX(H$5:H$1258,'Stock Price'!$I$9)-1,"")</f>
        <v>4.9877450980392313E-2</v>
      </c>
      <c r="V847" s="19">
        <f ca="1">IF('Stock Price'!$I$11="OK",I847/INDEX(I$5:I$1258,'Stock Price'!$I$9)-1,"")</f>
        <v>-0.39815689981096414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148.935</v>
      </c>
      <c r="C848" s="18">
        <v>107.71</v>
      </c>
      <c r="D848" s="18">
        <v>36.549999999999997</v>
      </c>
      <c r="E848" s="18">
        <v>41.29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0.23086776859504132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-0.23495552066980641</v>
      </c>
      <c r="R848" s="19">
        <f ca="1">IF('Stock Price'!$I$11="OK",E848/INDEX(E$5:E$1258,'Stock Price'!$I$9)-1,"")</f>
        <v>-0.115845824411135</v>
      </c>
      <c r="S848" s="19">
        <f ca="1">IF('Stock Price'!$I$11="OK",F848/INDEX(F$5:F$1258,'Stock Price'!$I$9)-1,"")</f>
        <v>0.11734271523178808</v>
      </c>
      <c r="T848" s="19">
        <f ca="1">IF('Stock Price'!$I$11="OK",G848/INDEX(G$5:G$1258,'Stock Price'!$I$9)-1,"")</f>
        <v>-0.53167984403769086</v>
      </c>
      <c r="U848" s="19">
        <f ca="1">IF('Stock Price'!$I$11="OK",H848/INDEX(H$5:H$1258,'Stock Price'!$I$9)-1,"")</f>
        <v>3.4558823529411864E-2</v>
      </c>
      <c r="V848" s="19">
        <f ca="1">IF('Stock Price'!$I$11="OK",I848/INDEX(I$5:I$1258,'Stock Price'!$I$9)-1,"")</f>
        <v>-0.39413988657844989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148.71</v>
      </c>
      <c r="C849" s="18">
        <v>105.43</v>
      </c>
      <c r="D849" s="18">
        <v>36.17</v>
      </c>
      <c r="E849" s="18">
        <v>41.05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0.22900826446280997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-0.24290947148090003</v>
      </c>
      <c r="R849" s="19">
        <f ca="1">IF('Stock Price'!$I$11="OK",E849/INDEX(E$5:E$1258,'Stock Price'!$I$9)-1,"")</f>
        <v>-0.12098501070663825</v>
      </c>
      <c r="S849" s="19">
        <f ca="1">IF('Stock Price'!$I$11="OK",F849/INDEX(F$5:F$1258,'Stock Price'!$I$9)-1,"")</f>
        <v>0.1278973509933774</v>
      </c>
      <c r="T849" s="19">
        <f ca="1">IF('Stock Price'!$I$11="OK",G849/INDEX(G$5:G$1258,'Stock Price'!$I$9)-1,"")</f>
        <v>-0.53698689483374851</v>
      </c>
      <c r="U849" s="19">
        <f ca="1">IF('Stock Price'!$I$11="OK",H849/INDEX(H$5:H$1258,'Stock Price'!$I$9)-1,"")</f>
        <v>1.7279411764705932E-2</v>
      </c>
      <c r="V849" s="19">
        <f ca="1">IF('Stock Price'!$I$11="OK",I849/INDEX(I$5:I$1258,'Stock Price'!$I$9)-1,"")</f>
        <v>-0.39673913043478259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147.94489999999999</v>
      </c>
      <c r="C850" s="18">
        <v>106.61</v>
      </c>
      <c r="D850" s="18">
        <v>36.61</v>
      </c>
      <c r="E850" s="18">
        <v>40.85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0.22268512396694207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-0.23369963369963365</v>
      </c>
      <c r="R850" s="19">
        <f ca="1">IF('Stock Price'!$I$11="OK",E850/INDEX(E$5:E$1258,'Stock Price'!$I$9)-1,"")</f>
        <v>-0.12526766595289085</v>
      </c>
      <c r="S850" s="19">
        <f ca="1">IF('Stock Price'!$I$11="OK",F850/INDEX(F$5:F$1258,'Stock Price'!$I$9)-1,"")</f>
        <v>0.11651490066225167</v>
      </c>
      <c r="T850" s="19">
        <f ca="1">IF('Stock Price'!$I$11="OK",G850/INDEX(G$5:G$1258,'Stock Price'!$I$9)-1,"")</f>
        <v>-0.53124661540127804</v>
      </c>
      <c r="U850" s="19">
        <f ca="1">IF('Stock Price'!$I$11="OK",H850/INDEX(H$5:H$1258,'Stock Price'!$I$9)-1,"")</f>
        <v>2.0710784313725528E-2</v>
      </c>
      <c r="V850" s="19">
        <f ca="1">IF('Stock Price'!$I$11="OK",I850/INDEX(I$5:I$1258,'Stock Price'!$I$9)-1,"")</f>
        <v>-0.39603024574669188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144.82990000000001</v>
      </c>
      <c r="C851" s="18">
        <v>106.91</v>
      </c>
      <c r="D851" s="18">
        <v>36.54</v>
      </c>
      <c r="E851" s="18">
        <v>40.68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0.1969413223140497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-0.23516483516483511</v>
      </c>
      <c r="R851" s="19">
        <f ca="1">IF('Stock Price'!$I$11="OK",E851/INDEX(E$5:E$1258,'Stock Price'!$I$9)-1,"")</f>
        <v>-0.12890792291220565</v>
      </c>
      <c r="S851" s="19">
        <f ca="1">IF('Stock Price'!$I$11="OK",F851/INDEX(F$5:F$1258,'Stock Price'!$I$9)-1,"")</f>
        <v>0.10927152317880795</v>
      </c>
      <c r="T851" s="19">
        <f ca="1">IF('Stock Price'!$I$11="OK",G851/INDEX(G$5:G$1258,'Stock Price'!$I$9)-1,"")</f>
        <v>-0.53861150222029675</v>
      </c>
      <c r="U851" s="19">
        <f ca="1">IF('Stock Price'!$I$11="OK",H851/INDEX(H$5:H$1258,'Stock Price'!$I$9)-1,"")</f>
        <v>4.9019607843137303E-2</v>
      </c>
      <c r="V851" s="19">
        <f ca="1">IF('Stock Price'!$I$11="OK",I851/INDEX(I$5:I$1258,'Stock Price'!$I$9)-1,"")</f>
        <v>-0.38823251417769378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145.47499999999999</v>
      </c>
      <c r="C852" s="18">
        <v>107.31</v>
      </c>
      <c r="D852" s="18">
        <v>36.96</v>
      </c>
      <c r="E852" s="18">
        <v>41.15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0.20227272727272716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-0.22637362637362635</v>
      </c>
      <c r="R852" s="19">
        <f ca="1">IF('Stock Price'!$I$11="OK",E852/INDEX(E$5:E$1258,'Stock Price'!$I$9)-1,"")</f>
        <v>-0.1188436830835119</v>
      </c>
      <c r="S852" s="19">
        <f ca="1">IF('Stock Price'!$I$11="OK",F852/INDEX(F$5:F$1258,'Stock Price'!$I$9)-1,"")</f>
        <v>0.1202400662251657</v>
      </c>
      <c r="T852" s="19">
        <f ca="1">IF('Stock Price'!$I$11="OK",G852/INDEX(G$5:G$1258,'Stock Price'!$I$9)-1,"")</f>
        <v>-0.53048846528755544</v>
      </c>
      <c r="U852" s="19">
        <f ca="1">IF('Stock Price'!$I$11="OK",H852/INDEX(H$5:H$1258,'Stock Price'!$I$9)-1,"")</f>
        <v>7.4509803921568807E-2</v>
      </c>
      <c r="V852" s="19">
        <f ca="1">IF('Stock Price'!$I$11="OK",I852/INDEX(I$5:I$1258,'Stock Price'!$I$9)-1,"")</f>
        <v>-0.3879962192816635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142.4</v>
      </c>
      <c r="C853" s="18">
        <v>109.35</v>
      </c>
      <c r="D853" s="18">
        <v>36.64</v>
      </c>
      <c r="E853" s="18">
        <v>41.42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0.17685950413223139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-0.23307169021454732</v>
      </c>
      <c r="R853" s="19">
        <f ca="1">IF('Stock Price'!$I$11="OK",E853/INDEX(E$5:E$1258,'Stock Price'!$I$9)-1,"")</f>
        <v>-0.11306209850107063</v>
      </c>
      <c r="S853" s="19">
        <f ca="1">IF('Stock Price'!$I$11="OK",F853/INDEX(F$5:F$1258,'Stock Price'!$I$9)-1,"")</f>
        <v>0.127069536423841</v>
      </c>
      <c r="T853" s="19">
        <f ca="1">IF('Stock Price'!$I$11="OK",G853/INDEX(G$5:G$1258,'Stock Price'!$I$9)-1,"")</f>
        <v>-0.52236542835481425</v>
      </c>
      <c r="U853" s="19">
        <f ca="1">IF('Stock Price'!$I$11="OK",H853/INDEX(H$5:H$1258,'Stock Price'!$I$9)-1,"")</f>
        <v>9.6813725490196179E-2</v>
      </c>
      <c r="V853" s="19">
        <f ca="1">IF('Stock Price'!$I$11="OK",I853/INDEX(I$5:I$1258,'Stock Price'!$I$9)-1,"")</f>
        <v>-0.37854442344045369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148.01</v>
      </c>
      <c r="C854" s="18">
        <v>109.22</v>
      </c>
      <c r="D854" s="18">
        <v>37.08</v>
      </c>
      <c r="E854" s="18">
        <v>41.51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0.22322314049586778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-0.22386185243328105</v>
      </c>
      <c r="R854" s="19">
        <f ca="1">IF('Stock Price'!$I$11="OK",E854/INDEX(E$5:E$1258,'Stock Price'!$I$9)-1,"")</f>
        <v>-0.11113490364025702</v>
      </c>
      <c r="S854" s="19">
        <f ca="1">IF('Stock Price'!$I$11="OK",F854/INDEX(F$5:F$1258,'Stock Price'!$I$9)-1,"")</f>
        <v>0.11237582781456945</v>
      </c>
      <c r="T854" s="19">
        <f ca="1">IF('Stock Price'!$I$11="OK",G854/INDEX(G$5:G$1258,'Stock Price'!$I$9)-1,"")</f>
        <v>-0.51749160619516954</v>
      </c>
      <c r="U854" s="19">
        <f ca="1">IF('Stock Price'!$I$11="OK",H854/INDEX(H$5:H$1258,'Stock Price'!$I$9)-1,"")</f>
        <v>0.11850490196078445</v>
      </c>
      <c r="V854" s="19">
        <f ca="1">IF('Stock Price'!$I$11="OK",I854/INDEX(I$5:I$1258,'Stock Price'!$I$9)-1,"")</f>
        <v>-0.37027410207939515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151.21</v>
      </c>
      <c r="C855" s="18">
        <v>109.62</v>
      </c>
      <c r="D855" s="18">
        <v>38.36</v>
      </c>
      <c r="E855" s="18">
        <v>41.79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0.2496694214876034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-0.19706959706959704</v>
      </c>
      <c r="R855" s="19">
        <f ca="1">IF('Stock Price'!$I$11="OK",E855/INDEX(E$5:E$1258,'Stock Price'!$I$9)-1,"")</f>
        <v>-0.10513918629550334</v>
      </c>
      <c r="S855" s="19">
        <f ca="1">IF('Stock Price'!$I$11="OK",F855/INDEX(F$5:F$1258,'Stock Price'!$I$9)-1,"")</f>
        <v>0.13596854304635753</v>
      </c>
      <c r="T855" s="19">
        <f ca="1">IF('Stock Price'!$I$11="OK",G855/INDEX(G$5:G$1258,'Stock Price'!$I$9)-1,"")</f>
        <v>-0.50958518358063465</v>
      </c>
      <c r="U855" s="19">
        <f ca="1">IF('Stock Price'!$I$11="OK",H855/INDEX(H$5:H$1258,'Stock Price'!$I$9)-1,"")</f>
        <v>0.12046568627450993</v>
      </c>
      <c r="V855" s="19">
        <f ca="1">IF('Stock Price'!$I$11="OK",I855/INDEX(I$5:I$1258,'Stock Price'!$I$9)-1,"")</f>
        <v>-0.36814744801512289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155.65</v>
      </c>
      <c r="C856" s="18">
        <v>108.02</v>
      </c>
      <c r="D856" s="18">
        <v>37.4</v>
      </c>
      <c r="E856" s="18">
        <v>42.04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0.28636363636363638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-0.21716378859236007</v>
      </c>
      <c r="R856" s="19">
        <f ca="1">IF('Stock Price'!$I$11="OK",E856/INDEX(E$5:E$1258,'Stock Price'!$I$9)-1,"")</f>
        <v>-9.9785867237687453E-2</v>
      </c>
      <c r="S856" s="19">
        <f ca="1">IF('Stock Price'!$I$11="OK",F856/INDEX(F$5:F$1258,'Stock Price'!$I$9)-1,"")</f>
        <v>0.13721026490066235</v>
      </c>
      <c r="T856" s="19">
        <f ca="1">IF('Stock Price'!$I$11="OK",G856/INDEX(G$5:G$1258,'Stock Price'!$I$9)-1,"")</f>
        <v>-0.50102891801148053</v>
      </c>
      <c r="U856" s="19">
        <f ca="1">IF('Stock Price'!$I$11="OK",H856/INDEX(H$5:H$1258,'Stock Price'!$I$9)-1,"")</f>
        <v>9.5343137254902066E-2</v>
      </c>
      <c r="V856" s="19">
        <f ca="1">IF('Stock Price'!$I$11="OK",I856/INDEX(I$5:I$1258,'Stock Price'!$I$9)-1,"")</f>
        <v>-0.37570888468809072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150.46</v>
      </c>
      <c r="C857" s="18">
        <v>108.92</v>
      </c>
      <c r="D857" s="18">
        <v>37.299999999999997</v>
      </c>
      <c r="E857" s="18">
        <v>41.44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0.24347107438016535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-0.21925693354264786</v>
      </c>
      <c r="R857" s="19">
        <f ca="1">IF('Stock Price'!$I$11="OK",E857/INDEX(E$5:E$1258,'Stock Price'!$I$9)-1,"")</f>
        <v>-0.11263383297644547</v>
      </c>
      <c r="S857" s="19">
        <f ca="1">IF('Stock Price'!$I$11="OK",F857/INDEX(F$5:F$1258,'Stock Price'!$I$9)-1,"")</f>
        <v>0.12044701986754958</v>
      </c>
      <c r="T857" s="19">
        <f ca="1">IF('Stock Price'!$I$11="OK",G857/INDEX(G$5:G$1258,'Stock Price'!$I$9)-1,"")</f>
        <v>-0.50731073323946707</v>
      </c>
      <c r="U857" s="19">
        <f ca="1">IF('Stock Price'!$I$11="OK",H857/INDEX(H$5:H$1258,'Stock Price'!$I$9)-1,"")</f>
        <v>0.11004901960784319</v>
      </c>
      <c r="V857" s="19">
        <f ca="1">IF('Stock Price'!$I$11="OK",I857/INDEX(I$5:I$1258,'Stock Price'!$I$9)-1,"")</f>
        <v>-0.38327032136105854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150.46</v>
      </c>
      <c r="C858" s="18">
        <v>109.05</v>
      </c>
      <c r="D858" s="18">
        <v>37.590000000000003</v>
      </c>
      <c r="E858" s="18">
        <v>41.74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0.24347107438016535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-0.2131868131868131</v>
      </c>
      <c r="R858" s="19">
        <f ca="1">IF('Stock Price'!$I$11="OK",E858/INDEX(E$5:E$1258,'Stock Price'!$I$9)-1,"")</f>
        <v>-0.10620985010706641</v>
      </c>
      <c r="S858" s="19">
        <f ca="1">IF('Stock Price'!$I$11="OK",F858/INDEX(F$5:F$1258,'Stock Price'!$I$9)-1,"")</f>
        <v>0.1272764900662251</v>
      </c>
      <c r="T858" s="19">
        <f ca="1">IF('Stock Price'!$I$11="OK",G858/INDEX(G$5:G$1258,'Stock Price'!$I$9)-1,"")</f>
        <v>-0.50806888335318967</v>
      </c>
      <c r="U858" s="19">
        <f ca="1">IF('Stock Price'!$I$11="OK",H858/INDEX(H$5:H$1258,'Stock Price'!$I$9)-1,"")</f>
        <v>0.13051470588235303</v>
      </c>
      <c r="V858" s="19">
        <f ca="1">IF('Stock Price'!$I$11="OK",I858/INDEX(I$5:I$1258,'Stock Price'!$I$9)-1,"")</f>
        <v>-0.37547258979206055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151.16</v>
      </c>
      <c r="C859" s="18">
        <v>110.62</v>
      </c>
      <c r="D859" s="18">
        <v>37.950000000000003</v>
      </c>
      <c r="E859" s="18">
        <v>41.83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0.24925619834710733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-0.20565149136577698</v>
      </c>
      <c r="R859" s="19">
        <f ca="1">IF('Stock Price'!$I$11="OK",E859/INDEX(E$5:E$1258,'Stock Price'!$I$9)-1,"")</f>
        <v>-0.1042826552462528</v>
      </c>
      <c r="S859" s="19">
        <f ca="1">IF('Stock Price'!$I$11="OK",F859/INDEX(F$5:F$1258,'Stock Price'!$I$9)-1,"")</f>
        <v>0.16970198675496695</v>
      </c>
      <c r="T859" s="19">
        <f ca="1">IF('Stock Price'!$I$11="OK",G859/INDEX(G$5:G$1258,'Stock Price'!$I$9)-1,"")</f>
        <v>-0.48012563630455973</v>
      </c>
      <c r="U859" s="19">
        <f ca="1">IF('Stock Price'!$I$11="OK",H859/INDEX(H$5:H$1258,'Stock Price'!$I$9)-1,"")</f>
        <v>0.14154411764705888</v>
      </c>
      <c r="V859" s="19">
        <f ca="1">IF('Stock Price'!$I$11="OK",I859/INDEX(I$5:I$1258,'Stock Price'!$I$9)-1,"")</f>
        <v>-0.37972589792060496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153.16</v>
      </c>
      <c r="C860" s="18">
        <v>111.42</v>
      </c>
      <c r="D860" s="18">
        <v>38.43</v>
      </c>
      <c r="E860" s="18">
        <v>42.51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0.2657851239669422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-0.19560439560439558</v>
      </c>
      <c r="R860" s="19">
        <f ca="1">IF('Stock Price'!$I$11="OK",E860/INDEX(E$5:E$1258,'Stock Price'!$I$9)-1,"")</f>
        <v>-8.9721627408993698E-2</v>
      </c>
      <c r="S860" s="19">
        <f ca="1">IF('Stock Price'!$I$11="OK",F860/INDEX(F$5:F$1258,'Stock Price'!$I$9)-1,"")</f>
        <v>0.19412251655629142</v>
      </c>
      <c r="T860" s="19">
        <f ca="1">IF('Stock Price'!$I$11="OK",G860/INDEX(G$5:G$1258,'Stock Price'!$I$9)-1,"")</f>
        <v>-0.4905231235784685</v>
      </c>
      <c r="U860" s="19">
        <f ca="1">IF('Stock Price'!$I$11="OK",H860/INDEX(H$5:H$1258,'Stock Price'!$I$9)-1,"")</f>
        <v>0.13431372549019627</v>
      </c>
      <c r="V860" s="19">
        <f ca="1">IF('Stock Price'!$I$11="OK",I860/INDEX(I$5:I$1258,'Stock Price'!$I$9)-1,"")</f>
        <v>-0.39154064272211719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157.58000000000001</v>
      </c>
      <c r="C861" s="18">
        <v>111.88</v>
      </c>
      <c r="D861" s="18">
        <v>38.81</v>
      </c>
      <c r="E861" s="18">
        <v>42.48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0.30231404958677688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-0.18765044479330184</v>
      </c>
      <c r="R861" s="19">
        <f ca="1">IF('Stock Price'!$I$11="OK",E861/INDEX(E$5:E$1258,'Stock Price'!$I$9)-1,"")</f>
        <v>-9.0364025695931605E-2</v>
      </c>
      <c r="S861" s="19">
        <f ca="1">IF('Stock Price'!$I$11="OK",F861/INDEX(F$5:F$1258,'Stock Price'!$I$9)-1,"")</f>
        <v>0.22413079470198682</v>
      </c>
      <c r="T861" s="19">
        <f ca="1">IF('Stock Price'!$I$11="OK",G861/INDEX(G$5:G$1258,'Stock Price'!$I$9)-1,"")</f>
        <v>-0.46951153471244456</v>
      </c>
      <c r="U861" s="19">
        <f ca="1">IF('Stock Price'!$I$11="OK",H861/INDEX(H$5:H$1258,'Stock Price'!$I$9)-1,"")</f>
        <v>0.14203431372549025</v>
      </c>
      <c r="V861" s="19">
        <f ca="1">IF('Stock Price'!$I$11="OK",I861/INDEX(I$5:I$1258,'Stock Price'!$I$9)-1,"")</f>
        <v>-0.38705103969754251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149.25</v>
      </c>
      <c r="C862" s="18">
        <v>112.87</v>
      </c>
      <c r="D862" s="18">
        <v>39.299999999999997</v>
      </c>
      <c r="E862" s="18">
        <v>43.05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0.23347107438016534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-0.17739403453689173</v>
      </c>
      <c r="R862" s="19">
        <f ca="1">IF('Stock Price'!$I$11="OK",E862/INDEX(E$5:E$1258,'Stock Price'!$I$9)-1,"")</f>
        <v>-7.8158458244111495E-2</v>
      </c>
      <c r="S862" s="19">
        <f ca="1">IF('Stock Price'!$I$11="OK",F862/INDEX(F$5:F$1258,'Stock Price'!$I$9)-1,"")</f>
        <v>0.22971854304635775</v>
      </c>
      <c r="T862" s="19">
        <f ca="1">IF('Stock Price'!$I$11="OK",G862/INDEX(G$5:G$1258,'Stock Price'!$I$9)-1,"")</f>
        <v>-0.46160511209790966</v>
      </c>
      <c r="U862" s="19">
        <f ca="1">IF('Stock Price'!$I$11="OK",H862/INDEX(H$5:H$1258,'Stock Price'!$I$9)-1,"")</f>
        <v>0.15196078431372562</v>
      </c>
      <c r="V862" s="19">
        <f ca="1">IF('Stock Price'!$I$11="OK",I862/INDEX(I$5:I$1258,'Stock Price'!$I$9)-1,"")</f>
        <v>-0.37996219281663524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149.25</v>
      </c>
      <c r="C863" s="18">
        <v>115.57</v>
      </c>
      <c r="D863" s="18">
        <v>40.049999999999997</v>
      </c>
      <c r="E863" s="18">
        <v>43.89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0.23347107438016534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-0.16169544740973318</v>
      </c>
      <c r="R863" s="19">
        <f ca="1">IF('Stock Price'!$I$11="OK",E863/INDEX(E$5:E$1258,'Stock Price'!$I$9)-1,"")</f>
        <v>-6.0171306209850117E-2</v>
      </c>
      <c r="S863" s="19">
        <f ca="1">IF('Stock Price'!$I$11="OK",F863/INDEX(F$5:F$1258,'Stock Price'!$I$9)-1,"")</f>
        <v>0.22620033112582782</v>
      </c>
      <c r="T863" s="19">
        <f ca="1">IF('Stock Price'!$I$11="OK",G863/INDEX(G$5:G$1258,'Stock Price'!$I$9)-1,"")</f>
        <v>-0.49637171017004222</v>
      </c>
      <c r="U863" s="19">
        <f ca="1">IF('Stock Price'!$I$11="OK",H863/INDEX(H$5:H$1258,'Stock Price'!$I$9)-1,"")</f>
        <v>0.1599264705882355</v>
      </c>
      <c r="V863" s="19">
        <f ca="1">IF('Stock Price'!$I$11="OK",I863/INDEX(I$5:I$1258,'Stock Price'!$I$9)-1,"")</f>
        <v>-0.36838374291115317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154.22</v>
      </c>
      <c r="C864" s="18">
        <v>115.47</v>
      </c>
      <c r="D864" s="18">
        <v>40.32</v>
      </c>
      <c r="E864" s="18">
        <v>43.06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0.27454545454545443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-0.15604395604395604</v>
      </c>
      <c r="R864" s="19">
        <f ca="1">IF('Stock Price'!$I$11="OK",E864/INDEX(E$5:E$1258,'Stock Price'!$I$9)-1,"")</f>
        <v>-7.7944325481798749E-2</v>
      </c>
      <c r="S864" s="19">
        <f ca="1">IF('Stock Price'!$I$11="OK",F864/INDEX(F$5:F$1258,'Stock Price'!$I$9)-1,"")</f>
        <v>0.22826986754966883</v>
      </c>
      <c r="T864" s="19">
        <f ca="1">IF('Stock Price'!$I$11="OK",G864/INDEX(G$5:G$1258,'Stock Price'!$I$9)-1,"")</f>
        <v>-0.48976497346474601</v>
      </c>
      <c r="U864" s="19">
        <f ca="1">IF('Stock Price'!$I$11="OK",H864/INDEX(H$5:H$1258,'Stock Price'!$I$9)-1,"")</f>
        <v>0.16703431372549038</v>
      </c>
      <c r="V864" s="19">
        <f ca="1">IF('Stock Price'!$I$11="OK",I864/INDEX(I$5:I$1258,'Stock Price'!$I$9)-1,"")</f>
        <v>-0.37051039697542532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154.22</v>
      </c>
      <c r="C865" s="18">
        <v>111.35</v>
      </c>
      <c r="D865" s="18">
        <v>39.5</v>
      </c>
      <c r="E865" s="18">
        <v>42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0.27454545454545443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-0.17320774463631605</v>
      </c>
      <c r="R865" s="19">
        <f ca="1">IF('Stock Price'!$I$11="OK",E865/INDEX(E$5:E$1258,'Stock Price'!$I$9)-1,"")</f>
        <v>-0.100642398286938</v>
      </c>
      <c r="S865" s="19">
        <f ca="1">IF('Stock Price'!$I$11="OK",F865/INDEX(F$5:F$1258,'Stock Price'!$I$9)-1,"")</f>
        <v>0.2156456953642385</v>
      </c>
      <c r="T865" s="19">
        <f ca="1">IF('Stock Price'!$I$11="OK",G865/INDEX(G$5:G$1258,'Stock Price'!$I$9)-1,"")</f>
        <v>-0.48792375175999136</v>
      </c>
      <c r="U865" s="19">
        <f ca="1">IF('Stock Price'!$I$11="OK",H865/INDEX(H$5:H$1258,'Stock Price'!$I$9)-1,"")</f>
        <v>0.16090686274509824</v>
      </c>
      <c r="V865" s="19">
        <f ca="1">IF('Stock Price'!$I$11="OK",I865/INDEX(I$5:I$1258,'Stock Price'!$I$9)-1,"")</f>
        <v>-0.38586956521739135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149.4</v>
      </c>
      <c r="C866" s="18">
        <v>108.64</v>
      </c>
      <c r="D866" s="18">
        <v>38.880000000000003</v>
      </c>
      <c r="E866" s="18">
        <v>43.56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0.23471074380165291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-0.18618524332810038</v>
      </c>
      <c r="R866" s="19">
        <f ca="1">IF('Stock Price'!$I$11="OK",E866/INDEX(E$5:E$1258,'Stock Price'!$I$9)-1,"")</f>
        <v>-6.7237687366167087E-2</v>
      </c>
      <c r="S866" s="19">
        <f ca="1">IF('Stock Price'!$I$11="OK",F866/INDEX(F$5:F$1258,'Stock Price'!$I$9)-1,"")</f>
        <v>0.19391556291390732</v>
      </c>
      <c r="T866" s="19">
        <f ca="1">IF('Stock Price'!$I$11="OK",G866/INDEX(G$5:G$1258,'Stock Price'!$I$9)-1,"")</f>
        <v>-0.50178706812520302</v>
      </c>
      <c r="U866" s="19">
        <f ca="1">IF('Stock Price'!$I$11="OK",H866/INDEX(H$5:H$1258,'Stock Price'!$I$9)-1,"")</f>
        <v>0.14399509803921573</v>
      </c>
      <c r="V866" s="19">
        <f ca="1">IF('Stock Price'!$I$11="OK",I866/INDEX(I$5:I$1258,'Stock Price'!$I$9)-1,"")</f>
        <v>-0.39248582230623819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154.46</v>
      </c>
      <c r="C867" s="18">
        <v>109.11</v>
      </c>
      <c r="D867" s="18">
        <v>39.229999999999997</v>
      </c>
      <c r="E867" s="18">
        <v>42.86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0.27652892561983489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-0.17885923600209319</v>
      </c>
      <c r="R867" s="19">
        <f ca="1">IF('Stock Price'!$I$11="OK",E867/INDEX(E$5:E$1258,'Stock Price'!$I$9)-1,"")</f>
        <v>-8.2226980728051458E-2</v>
      </c>
      <c r="S867" s="19">
        <f ca="1">IF('Stock Price'!$I$11="OK",F867/INDEX(F$5:F$1258,'Stock Price'!$I$9)-1,"")</f>
        <v>0.19515728476821192</v>
      </c>
      <c r="T867" s="19">
        <f ca="1">IF('Stock Price'!$I$11="OK",G867/INDEX(G$5:G$1258,'Stock Price'!$I$9)-1,"")</f>
        <v>-0.50395321130726745</v>
      </c>
      <c r="U867" s="19">
        <f ca="1">IF('Stock Price'!$I$11="OK",H867/INDEX(H$5:H$1258,'Stock Price'!$I$9)-1,"")</f>
        <v>0.16066176470588234</v>
      </c>
      <c r="V867" s="19">
        <f ca="1">IF('Stock Price'!$I$11="OK",I867/INDEX(I$5:I$1258,'Stock Price'!$I$9)-1,"")</f>
        <v>-0.39508506616257089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153.56</v>
      </c>
      <c r="C868" s="18">
        <v>109.06</v>
      </c>
      <c r="D868" s="18">
        <v>39.49</v>
      </c>
      <c r="E868" s="18">
        <v>43.26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0.26909090909090905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-0.17341705913134475</v>
      </c>
      <c r="R868" s="19">
        <f ca="1">IF('Stock Price'!$I$11="OK",E868/INDEX(E$5:E$1258,'Stock Price'!$I$9)-1,"")</f>
        <v>-7.3661670235546151E-2</v>
      </c>
      <c r="S868" s="19">
        <f ca="1">IF('Stock Price'!$I$11="OK",F868/INDEX(F$5:F$1258,'Stock Price'!$I$9)-1,"")</f>
        <v>0.19515728476821192</v>
      </c>
      <c r="T868" s="19">
        <f ca="1">IF('Stock Price'!$I$11="OK",G868/INDEX(G$5:G$1258,'Stock Price'!$I$9)-1,"")</f>
        <v>-0.49561356005631974</v>
      </c>
      <c r="U868" s="19">
        <f ca="1">IF('Stock Price'!$I$11="OK",H868/INDEX(H$5:H$1258,'Stock Price'!$I$9)-1,"")</f>
        <v>0.15894607843137254</v>
      </c>
      <c r="V868" s="19">
        <f ca="1">IF('Stock Price'!$I$11="OK",I868/INDEX(I$5:I$1258,'Stock Price'!$I$9)-1,"")</f>
        <v>-0.39224952741020802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154.97999999999999</v>
      </c>
      <c r="C869" s="18">
        <v>112.22</v>
      </c>
      <c r="D869" s="18">
        <v>40.25</v>
      </c>
      <c r="E869" s="18">
        <v>44.24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0.28082644628099174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-0.1575091575091575</v>
      </c>
      <c r="R869" s="19">
        <f ca="1">IF('Stock Price'!$I$11="OK",E869/INDEX(E$5:E$1258,'Stock Price'!$I$9)-1,"")</f>
        <v>-5.2676659528907988E-2</v>
      </c>
      <c r="S869" s="19">
        <f ca="1">IF('Stock Price'!$I$11="OK",F869/INDEX(F$5:F$1258,'Stock Price'!$I$9)-1,"")</f>
        <v>0.2193708609271523</v>
      </c>
      <c r="T869" s="19">
        <f ca="1">IF('Stock Price'!$I$11="OK",G869/INDEX(G$5:G$1258,'Stock Price'!$I$9)-1,"")</f>
        <v>-0.48467453698689489</v>
      </c>
      <c r="U869" s="19">
        <f ca="1">IF('Stock Price'!$I$11="OK",H869/INDEX(H$5:H$1258,'Stock Price'!$I$9)-1,"")</f>
        <v>0.1616421568627453</v>
      </c>
      <c r="V869" s="19">
        <f ca="1">IF('Stock Price'!$I$11="OK",I869/INDEX(I$5:I$1258,'Stock Price'!$I$9)-1,"")</f>
        <v>-0.38445179584120981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153.21</v>
      </c>
      <c r="C870" s="18">
        <v>112.22</v>
      </c>
      <c r="D870" s="18">
        <v>40.39</v>
      </c>
      <c r="E870" s="18">
        <v>44.06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0.26619834710743806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-0.15457875457875458</v>
      </c>
      <c r="R870" s="19">
        <f ca="1">IF('Stock Price'!$I$11="OK",E870/INDEX(E$5:E$1258,'Stock Price'!$I$9)-1,"")</f>
        <v>-5.6531049250535315E-2</v>
      </c>
      <c r="S870" s="19">
        <f ca="1">IF('Stock Price'!$I$11="OK",F870/INDEX(F$5:F$1258,'Stock Price'!$I$9)-1,"")</f>
        <v>0.2233029801324502</v>
      </c>
      <c r="T870" s="19">
        <f ca="1">IF('Stock Price'!$I$11="OK",G870/INDEX(G$5:G$1258,'Stock Price'!$I$9)-1,"")</f>
        <v>-0.46366294812087072</v>
      </c>
      <c r="U870" s="19">
        <f ca="1">IF('Stock Price'!$I$11="OK",H870/INDEX(H$5:H$1258,'Stock Price'!$I$9)-1,"")</f>
        <v>0.16078431372549029</v>
      </c>
      <c r="V870" s="19">
        <f ca="1">IF('Stock Price'!$I$11="OK",I870/INDEX(I$5:I$1258,'Stock Price'!$I$9)-1,"")</f>
        <v>-0.37830812854442353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154.19999999999999</v>
      </c>
      <c r="C871" s="18">
        <v>111.56</v>
      </c>
      <c r="D871" s="18">
        <v>39.549999999999997</v>
      </c>
      <c r="E871" s="18">
        <v>43.36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0.27438016528925613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-0.17216117216117222</v>
      </c>
      <c r="R871" s="19">
        <f ca="1">IF('Stock Price'!$I$11="OK",E871/INDEX(E$5:E$1258,'Stock Price'!$I$9)-1,"")</f>
        <v>-7.1520342612419796E-2</v>
      </c>
      <c r="S871" s="19">
        <f ca="1">IF('Stock Price'!$I$11="OK",F871/INDEX(F$5:F$1258,'Stock Price'!$I$9)-1,"")</f>
        <v>0.21274834437086088</v>
      </c>
      <c r="T871" s="19">
        <f ca="1">IF('Stock Price'!$I$11="OK",G871/INDEX(G$5:G$1258,'Stock Price'!$I$9)-1,"")</f>
        <v>-0.47178598505361202</v>
      </c>
      <c r="U871" s="19">
        <f ca="1">IF('Stock Price'!$I$11="OK",H871/INDEX(H$5:H$1258,'Stock Price'!$I$9)-1,"")</f>
        <v>0.1522058823529413</v>
      </c>
      <c r="V871" s="19">
        <f ca="1">IF('Stock Price'!$I$11="OK",I871/INDEX(I$5:I$1258,'Stock Price'!$I$9)-1,"")</f>
        <v>-0.38067107750472584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154.63999999999999</v>
      </c>
      <c r="C872" s="18">
        <v>113.21</v>
      </c>
      <c r="D872" s="18">
        <v>39.409999999999997</v>
      </c>
      <c r="E872" s="18">
        <v>43.42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0.27801652892561979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-0.17509157509157514</v>
      </c>
      <c r="R872" s="19">
        <f ca="1">IF('Stock Price'!$I$11="OK",E872/INDEX(E$5:E$1258,'Stock Price'!$I$9)-1,"")</f>
        <v>-7.0235546038543872E-2</v>
      </c>
      <c r="S872" s="19">
        <f ca="1">IF('Stock Price'!$I$11="OK",F872/INDEX(F$5:F$1258,'Stock Price'!$I$9)-1,"")</f>
        <v>0.19598509933774833</v>
      </c>
      <c r="T872" s="19">
        <f ca="1">IF('Stock Price'!$I$11="OK",G872/INDEX(G$5:G$1258,'Stock Price'!$I$9)-1,"")</f>
        <v>-0.48023394346366288</v>
      </c>
      <c r="U872" s="19">
        <f ca="1">IF('Stock Price'!$I$11="OK",H872/INDEX(H$5:H$1258,'Stock Price'!$I$9)-1,"")</f>
        <v>0.16090686274509824</v>
      </c>
      <c r="V872" s="19">
        <f ca="1">IF('Stock Price'!$I$11="OK",I872/INDEX(I$5:I$1258,'Stock Price'!$I$9)-1,"")</f>
        <v>-0.38114366729678639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153.41999999999999</v>
      </c>
      <c r="C873" s="18">
        <v>112.13</v>
      </c>
      <c r="D873" s="18">
        <v>39.24</v>
      </c>
      <c r="E873" s="18">
        <v>43.7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0.26793388429752052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-0.17864992150706427</v>
      </c>
      <c r="R873" s="19">
        <f ca="1">IF('Stock Price'!$I$11="OK",E873/INDEX(E$5:E$1258,'Stock Price'!$I$9)-1,"")</f>
        <v>-6.4239828693790191E-2</v>
      </c>
      <c r="S873" s="19">
        <f ca="1">IF('Stock Price'!$I$11="OK",F873/INDEX(F$5:F$1258,'Stock Price'!$I$9)-1,"")</f>
        <v>0.17756622516556297</v>
      </c>
      <c r="T873" s="19">
        <f ca="1">IF('Stock Price'!$I$11="OK",G873/INDEX(G$5:G$1258,'Stock Price'!$I$9)-1,"")</f>
        <v>-0.47839272175890835</v>
      </c>
      <c r="U873" s="19">
        <f ca="1">IF('Stock Price'!$I$11="OK",H873/INDEX(H$5:H$1258,'Stock Price'!$I$9)-1,"")</f>
        <v>0.1410539215686275</v>
      </c>
      <c r="V873" s="19">
        <f ca="1">IF('Stock Price'!$I$11="OK",I873/INDEX(I$5:I$1258,'Stock Price'!$I$9)-1,"")</f>
        <v>-0.37901701323251413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143.4135</v>
      </c>
      <c r="C874" s="18">
        <v>111.09</v>
      </c>
      <c r="D874" s="18">
        <v>38.57</v>
      </c>
      <c r="E874" s="18">
        <v>42.91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0.18523553719008268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-0.19267399267399266</v>
      </c>
      <c r="R874" s="19">
        <f ca="1">IF('Stock Price'!$I$11="OK",E874/INDEX(E$5:E$1258,'Stock Price'!$I$9)-1,"")</f>
        <v>-8.1156316916488391E-2</v>
      </c>
      <c r="S874" s="19">
        <f ca="1">IF('Stock Price'!$I$11="OK",F874/INDEX(F$5:F$1258,'Stock Price'!$I$9)-1,"")</f>
        <v>0.1574917218543046</v>
      </c>
      <c r="T874" s="19">
        <f ca="1">IF('Stock Price'!$I$11="OK",G874/INDEX(G$5:G$1258,'Stock Price'!$I$9)-1,"")</f>
        <v>-0.51456731289938262</v>
      </c>
      <c r="U874" s="19">
        <f ca="1">IF('Stock Price'!$I$11="OK",H874/INDEX(H$5:H$1258,'Stock Price'!$I$9)-1,"")</f>
        <v>0.13125000000000009</v>
      </c>
      <c r="V874" s="19">
        <f ca="1">IF('Stock Price'!$I$11="OK",I874/INDEX(I$5:I$1258,'Stock Price'!$I$9)-1,"")</f>
        <v>-0.38232514177693766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147.55000000000001</v>
      </c>
      <c r="C875" s="18">
        <v>110.38</v>
      </c>
      <c r="D875" s="18">
        <v>38.58</v>
      </c>
      <c r="E875" s="18">
        <v>43.38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0.21942148760330582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-0.19246467817896395</v>
      </c>
      <c r="R875" s="19">
        <f ca="1">IF('Stock Price'!$I$11="OK",E875/INDEX(E$5:E$1258,'Stock Price'!$I$9)-1,"")</f>
        <v>-7.1092077087794414E-2</v>
      </c>
      <c r="S875" s="19">
        <f ca="1">IF('Stock Price'!$I$11="OK",F875/INDEX(F$5:F$1258,'Stock Price'!$I$9)-1,"")</f>
        <v>0.14755794701986757</v>
      </c>
      <c r="T875" s="19">
        <f ca="1">IF('Stock Price'!$I$11="OK",G875/INDEX(G$5:G$1258,'Stock Price'!$I$9)-1,"")</f>
        <v>-0.48944005198743634</v>
      </c>
      <c r="U875" s="19">
        <f ca="1">IF('Stock Price'!$I$11="OK",H875/INDEX(H$5:H$1258,'Stock Price'!$I$9)-1,"")</f>
        <v>7.6838235294117707E-2</v>
      </c>
      <c r="V875" s="19">
        <f ca="1">IF('Stock Price'!$I$11="OK",I875/INDEX(I$5:I$1258,'Stock Price'!$I$9)-1,"")</f>
        <v>-0.39626654064272215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143.4</v>
      </c>
      <c r="C876" s="18">
        <v>110.14</v>
      </c>
      <c r="D876" s="18">
        <v>38.31</v>
      </c>
      <c r="E876" s="18">
        <v>42.63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0.18512396694214872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-0.19811616954474087</v>
      </c>
      <c r="R876" s="19">
        <f ca="1">IF('Stock Price'!$I$11="OK",E876/INDEX(E$5:E$1258,'Stock Price'!$I$9)-1,"")</f>
        <v>-8.7152034261241962E-2</v>
      </c>
      <c r="S876" s="19">
        <f ca="1">IF('Stock Price'!$I$11="OK",F876/INDEX(F$5:F$1258,'Stock Price'!$I$9)-1,"")</f>
        <v>0.1278973509933774</v>
      </c>
      <c r="T876" s="19">
        <f ca="1">IF('Stock Price'!$I$11="OK",G876/INDEX(G$5:G$1258,'Stock Price'!$I$9)-1,"")</f>
        <v>-0.50644427596664143</v>
      </c>
      <c r="U876" s="19">
        <f ca="1">IF('Stock Price'!$I$11="OK",H876/INDEX(H$5:H$1258,'Stock Price'!$I$9)-1,"")</f>
        <v>7.9779411764705932E-2</v>
      </c>
      <c r="V876" s="19">
        <f ca="1">IF('Stock Price'!$I$11="OK",I876/INDEX(I$5:I$1258,'Stock Price'!$I$9)-1,"")</f>
        <v>-0.40430056710775042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140.1</v>
      </c>
      <c r="C877" s="18">
        <v>111.4</v>
      </c>
      <c r="D877" s="18">
        <v>38.520000000000003</v>
      </c>
      <c r="E877" s="18">
        <v>42.35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0.15785123966942138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-0.19372056514913649</v>
      </c>
      <c r="R877" s="19">
        <f ca="1">IF('Stock Price'!$I$11="OK",E877/INDEX(E$5:E$1258,'Stock Price'!$I$9)-1,"")</f>
        <v>-9.3147751605995754E-2</v>
      </c>
      <c r="S877" s="19">
        <f ca="1">IF('Stock Price'!$I$11="OK",F877/INDEX(F$5:F$1258,'Stock Price'!$I$9)-1,"")</f>
        <v>0.13638245033112573</v>
      </c>
      <c r="T877" s="19">
        <f ca="1">IF('Stock Price'!$I$11="OK",G877/INDEX(G$5:G$1258,'Stock Price'!$I$9)-1,"")</f>
        <v>-0.50893534062601531</v>
      </c>
      <c r="U877" s="19">
        <f ca="1">IF('Stock Price'!$I$11="OK",H877/INDEX(H$5:H$1258,'Stock Price'!$I$9)-1,"")</f>
        <v>7.3529411764705843E-2</v>
      </c>
      <c r="V877" s="19">
        <f ca="1">IF('Stock Price'!$I$11="OK",I877/INDEX(I$5:I$1258,'Stock Price'!$I$9)-1,"")</f>
        <v>-0.40902646502835538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147.47</v>
      </c>
      <c r="C878" s="18">
        <v>112.57</v>
      </c>
      <c r="D878" s="18">
        <v>38.74</v>
      </c>
      <c r="E878" s="18">
        <v>41.92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0.21876033057851241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-0.1891156462585033</v>
      </c>
      <c r="R878" s="19">
        <f ca="1">IF('Stock Price'!$I$11="OK",E878/INDEX(E$5:E$1258,'Stock Price'!$I$9)-1,"")</f>
        <v>-0.10235546038543897</v>
      </c>
      <c r="S878" s="19">
        <f ca="1">IF('Stock Price'!$I$11="OK",F878/INDEX(F$5:F$1258,'Stock Price'!$I$9)-1,"")</f>
        <v>0.1552152317880795</v>
      </c>
      <c r="T878" s="19">
        <f ca="1">IF('Stock Price'!$I$11="OK",G878/INDEX(G$5:G$1258,'Stock Price'!$I$9)-1,"")</f>
        <v>-0.51110148380807963</v>
      </c>
      <c r="U878" s="19">
        <f ca="1">IF('Stock Price'!$I$11="OK",H878/INDEX(H$5:H$1258,'Stock Price'!$I$9)-1,"")</f>
        <v>9.3504901960784537E-2</v>
      </c>
      <c r="V878" s="19">
        <f ca="1">IF('Stock Price'!$I$11="OK",I878/INDEX(I$5:I$1258,'Stock Price'!$I$9)-1,"")</f>
        <v>-0.40430056710775042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147.36000000000001</v>
      </c>
      <c r="C879" s="18">
        <v>111.48</v>
      </c>
      <c r="D879" s="18">
        <v>38.74</v>
      </c>
      <c r="E879" s="18">
        <v>41.15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0.21785123966942166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-0.1891156462585033</v>
      </c>
      <c r="R879" s="19">
        <f ca="1">IF('Stock Price'!$I$11="OK",E879/INDEX(E$5:E$1258,'Stock Price'!$I$9)-1,"")</f>
        <v>-0.1188436830835119</v>
      </c>
      <c r="S879" s="19">
        <f ca="1">IF('Stock Price'!$I$11="OK",F879/INDEX(F$5:F$1258,'Stock Price'!$I$9)-1,"")</f>
        <v>0.14776490066225167</v>
      </c>
      <c r="T879" s="19">
        <f ca="1">IF('Stock Price'!$I$11="OK",G879/INDEX(G$5:G$1258,'Stock Price'!$I$9)-1,"")</f>
        <v>-0.52193219971840144</v>
      </c>
      <c r="U879" s="19">
        <f ca="1">IF('Stock Price'!$I$11="OK",H879/INDEX(H$5:H$1258,'Stock Price'!$I$9)-1,"")</f>
        <v>0.10000000000000009</v>
      </c>
      <c r="V879" s="19">
        <f ca="1">IF('Stock Price'!$I$11="OK",I879/INDEX(I$5:I$1258,'Stock Price'!$I$9)-1,"")</f>
        <v>-0.40122873345935728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148.12</v>
      </c>
      <c r="C880" s="18">
        <v>109.61</v>
      </c>
      <c r="D880" s="18">
        <v>37.869999999999997</v>
      </c>
      <c r="E880" s="18">
        <v>41.08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0.22413223140495875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-0.20732600732600737</v>
      </c>
      <c r="R880" s="19">
        <f ca="1">IF('Stock Price'!$I$11="OK",E880/INDEX(E$5:E$1258,'Stock Price'!$I$9)-1,"")</f>
        <v>-0.12034261241970035</v>
      </c>
      <c r="S880" s="19">
        <f ca="1">IF('Stock Price'!$I$11="OK",F880/INDEX(F$5:F$1258,'Stock Price'!$I$9)-1,"")</f>
        <v>0.1245860927152318</v>
      </c>
      <c r="T880" s="19">
        <f ca="1">IF('Stock Price'!$I$11="OK",G880/INDEX(G$5:G$1258,'Stock Price'!$I$9)-1,"")</f>
        <v>-0.51662514892234368</v>
      </c>
      <c r="U880" s="19">
        <f ca="1">IF('Stock Price'!$I$11="OK",H880/INDEX(H$5:H$1258,'Stock Price'!$I$9)-1,"")</f>
        <v>6.7647058823529616E-2</v>
      </c>
      <c r="V880" s="19">
        <f ca="1">IF('Stock Price'!$I$11="OK",I880/INDEX(I$5:I$1258,'Stock Price'!$I$9)-1,"")</f>
        <v>-0.42013232514177701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147.375</v>
      </c>
      <c r="C881" s="18">
        <v>110.77</v>
      </c>
      <c r="D881" s="18">
        <v>37.64</v>
      </c>
      <c r="E881" s="18">
        <v>39.369999999999997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0.21797520661157033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-0.21214024071166926</v>
      </c>
      <c r="R881" s="19">
        <f ca="1">IF('Stock Price'!$I$11="OK",E881/INDEX(E$5:E$1258,'Stock Price'!$I$9)-1,"")</f>
        <v>-0.15695931477516067</v>
      </c>
      <c r="S881" s="19">
        <f ca="1">IF('Stock Price'!$I$11="OK",F881/INDEX(F$5:F$1258,'Stock Price'!$I$9)-1,"")</f>
        <v>0.11651490066225167</v>
      </c>
      <c r="T881" s="19">
        <f ca="1">IF('Stock Price'!$I$11="OK",G881/INDEX(G$5:G$1258,'Stock Price'!$I$9)-1,"")</f>
        <v>-0.53590382324271624</v>
      </c>
      <c r="U881" s="19">
        <f ca="1">IF('Stock Price'!$I$11="OK",H881/INDEX(H$5:H$1258,'Stock Price'!$I$9)-1,"")</f>
        <v>6.1274509803921573E-2</v>
      </c>
      <c r="V881" s="19">
        <f ca="1">IF('Stock Price'!$I$11="OK",I881/INDEX(I$5:I$1258,'Stock Price'!$I$9)-1,"")</f>
        <v>-0.41635160680529304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150.84</v>
      </c>
      <c r="C882" s="18">
        <v>112.26</v>
      </c>
      <c r="D882" s="18">
        <v>39.01</v>
      </c>
      <c r="E882" s="18">
        <v>40.020000000000003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0.2466115702479339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-0.18346415489272638</v>
      </c>
      <c r="R882" s="19">
        <f ca="1">IF('Stock Price'!$I$11="OK",E882/INDEX(E$5:E$1258,'Stock Price'!$I$9)-1,"")</f>
        <v>-0.14304068522483937</v>
      </c>
      <c r="S882" s="19">
        <f ca="1">IF('Stock Price'!$I$11="OK",F882/INDEX(F$5:F$1258,'Stock Price'!$I$9)-1,"")</f>
        <v>0.1303807947019866</v>
      </c>
      <c r="T882" s="19">
        <f ca="1">IF('Stock Price'!$I$11="OK",G882/INDEX(G$5:G$1258,'Stock Price'!$I$9)-1,"")</f>
        <v>-0.53936965233401923</v>
      </c>
      <c r="U882" s="19">
        <f ca="1">IF('Stock Price'!$I$11="OK",H882/INDEX(H$5:H$1258,'Stock Price'!$I$9)-1,"")</f>
        <v>5.8700980392156987E-2</v>
      </c>
      <c r="V882" s="19">
        <f ca="1">IF('Stock Price'!$I$11="OK",I882/INDEX(I$5:I$1258,'Stock Price'!$I$9)-1,"")</f>
        <v>-0.42603969754253312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136.63990000000001</v>
      </c>
      <c r="C883" s="18">
        <v>105.85</v>
      </c>
      <c r="D883" s="18">
        <v>36.53</v>
      </c>
      <c r="E883" s="18">
        <v>37.65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0.12925537190082648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-0.23537414965986392</v>
      </c>
      <c r="R883" s="19">
        <f ca="1">IF('Stock Price'!$I$11="OK",E883/INDEX(E$5:E$1258,'Stock Price'!$I$9)-1,"")</f>
        <v>-0.19379014989293375</v>
      </c>
      <c r="S883" s="19">
        <f ca="1">IF('Stock Price'!$I$11="OK",F883/INDEX(F$5:F$1258,'Stock Price'!$I$9)-1,"")</f>
        <v>7.5745033112582627E-2</v>
      </c>
      <c r="T883" s="19">
        <f ca="1">IF('Stock Price'!$I$11="OK",G883/INDEX(G$5:G$1258,'Stock Price'!$I$9)-1,"")</f>
        <v>-0.56471352756417204</v>
      </c>
      <c r="U883" s="19">
        <f ca="1">IF('Stock Price'!$I$11="OK",H883/INDEX(H$5:H$1258,'Stock Price'!$I$9)-1,"")</f>
        <v>-1.5931372549019551E-3</v>
      </c>
      <c r="V883" s="19">
        <f ca="1">IF('Stock Price'!$I$11="OK",I883/INDEX(I$5:I$1258,'Stock Price'!$I$9)-1,"")</f>
        <v>-0.45723062381852553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129.91489999999999</v>
      </c>
      <c r="C884" s="18">
        <v>102.87</v>
      </c>
      <c r="D884" s="18">
        <v>34.840000000000003</v>
      </c>
      <c r="E884" s="18">
        <v>36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7.3676859504132164E-2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-0.27074829931972777</v>
      </c>
      <c r="R884" s="19">
        <f ca="1">IF('Stock Price'!$I$11="OK",E884/INDEX(E$5:E$1258,'Stock Price'!$I$9)-1,"")</f>
        <v>-0.22912205567451827</v>
      </c>
      <c r="S884" s="19">
        <f ca="1">IF('Stock Price'!$I$11="OK",F884/INDEX(F$5:F$1258,'Stock Price'!$I$9)-1,"")</f>
        <v>5.0496688741721751E-2</v>
      </c>
      <c r="T884" s="19">
        <f ca="1">IF('Stock Price'!$I$11="OK",G884/INDEX(G$5:G$1258,'Stock Price'!$I$9)-1,"")</f>
        <v>-0.57041048413300111</v>
      </c>
      <c r="U884" s="19">
        <f ca="1">IF('Stock Price'!$I$11="OK",H884/INDEX(H$5:H$1258,'Stock Price'!$I$9)-1,"")</f>
        <v>-5.1470588235292825E-3</v>
      </c>
      <c r="V884" s="19">
        <f ca="1">IF('Stock Price'!$I$11="OK",I884/INDEX(I$5:I$1258,'Stock Price'!$I$9)-1,"")</f>
        <v>-0.4652646502835539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132.4</v>
      </c>
      <c r="C885" s="18">
        <v>101.96</v>
      </c>
      <c r="D885" s="18">
        <v>34.130000000000003</v>
      </c>
      <c r="E885" s="18">
        <v>35.9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9.4214876033057893E-2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-0.28560962846677129</v>
      </c>
      <c r="R885" s="19">
        <f ca="1">IF('Stock Price'!$I$11="OK",E885/INDEX(E$5:E$1258,'Stock Price'!$I$9)-1,"")</f>
        <v>-0.23126338329764462</v>
      </c>
      <c r="S885" s="19">
        <f ca="1">IF('Stock Price'!$I$11="OK",F885/INDEX(F$5:F$1258,'Stock Price'!$I$9)-1,"")</f>
        <v>3.18708609271523E-2</v>
      </c>
      <c r="T885" s="19">
        <f ca="1">IF('Stock Price'!$I$11="OK",G885/INDEX(G$5:G$1258,'Stock Price'!$I$9)-1,"")</f>
        <v>-0.55799848369977245</v>
      </c>
      <c r="U885" s="19">
        <f ca="1">IF('Stock Price'!$I$11="OK",H885/INDEX(H$5:H$1258,'Stock Price'!$I$9)-1,"")</f>
        <v>-3.2475490196078316E-2</v>
      </c>
      <c r="V885" s="19">
        <f ca="1">IF('Stock Price'!$I$11="OK",I885/INDEX(I$5:I$1258,'Stock Price'!$I$9)-1,"")</f>
        <v>-0.48393194706994325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129.16</v>
      </c>
      <c r="C886" s="18">
        <v>103.85</v>
      </c>
      <c r="D886" s="18">
        <v>34.479999999999997</v>
      </c>
      <c r="E886" s="18">
        <v>37.1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6.7438016528925671E-2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-0.27828362114076399</v>
      </c>
      <c r="R886" s="19">
        <f ca="1">IF('Stock Price'!$I$11="OK",E886/INDEX(E$5:E$1258,'Stock Price'!$I$9)-1,"")</f>
        <v>-0.20556745182012848</v>
      </c>
      <c r="S886" s="19">
        <f ca="1">IF('Stock Price'!$I$11="OK",F886/INDEX(F$5:F$1258,'Stock Price'!$I$9)-1,"")</f>
        <v>5.9809602649006699E-2</v>
      </c>
      <c r="T886" s="19">
        <f ca="1">IF('Stock Price'!$I$11="OK",G886/INDEX(G$5:G$1258,'Stock Price'!$I$9)-1,"")</f>
        <v>-0.5782952453157153</v>
      </c>
      <c r="U886" s="19">
        <f ca="1">IF('Stock Price'!$I$11="OK",H886/INDEX(H$5:H$1258,'Stock Price'!$I$9)-1,"")</f>
        <v>3.7990196078432348E-3</v>
      </c>
      <c r="V886" s="19">
        <f ca="1">IF('Stock Price'!$I$11="OK",I886/INDEX(I$5:I$1258,'Stock Price'!$I$9)-1,"")</f>
        <v>-0.46857277882797732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128.91</v>
      </c>
      <c r="C887" s="18">
        <v>103.4</v>
      </c>
      <c r="D887" s="18">
        <v>33.6</v>
      </c>
      <c r="E887" s="18">
        <v>36.86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6.5371900826446172E-2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-0.29670329670329665</v>
      </c>
      <c r="R887" s="19">
        <f ca="1">IF('Stock Price'!$I$11="OK",E887/INDEX(E$5:E$1258,'Stock Price'!$I$9)-1,"")</f>
        <v>-0.21070663811563173</v>
      </c>
      <c r="S887" s="19">
        <f ca="1">IF('Stock Price'!$I$11="OK",F887/INDEX(F$5:F$1258,'Stock Price'!$I$9)-1,"")</f>
        <v>2.7731788079470077E-2</v>
      </c>
      <c r="T887" s="19">
        <f ca="1">IF('Stock Price'!$I$11="OK",G887/INDEX(G$5:G$1258,'Stock Price'!$I$9)-1,"")</f>
        <v>-0.56911079822376265</v>
      </c>
      <c r="U887" s="19">
        <f ca="1">IF('Stock Price'!$I$11="OK",H887/INDEX(H$5:H$1258,'Stock Price'!$I$9)-1,"")</f>
        <v>-4.9632352941176405E-2</v>
      </c>
      <c r="V887" s="19">
        <f ca="1">IF('Stock Price'!$I$11="OK",I887/INDEX(I$5:I$1258,'Stock Price'!$I$9)-1,"")</f>
        <v>-0.48983931947069947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132.68</v>
      </c>
      <c r="C888" s="18">
        <v>107.52</v>
      </c>
      <c r="D888" s="18">
        <v>34.64</v>
      </c>
      <c r="E888" s="18">
        <v>38.1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9.6528925619834727E-2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-0.27493458922030345</v>
      </c>
      <c r="R888" s="19">
        <f ca="1">IF('Stock Price'!$I$11="OK",E888/INDEX(E$5:E$1258,'Stock Price'!$I$9)-1,"")</f>
        <v>-0.18415417558886515</v>
      </c>
      <c r="S888" s="19">
        <f ca="1">IF('Stock Price'!$I$11="OK",F888/INDEX(F$5:F$1258,'Stock Price'!$I$9)-1,"")</f>
        <v>6.5811258278145601E-2</v>
      </c>
      <c r="T888" s="19">
        <f ca="1">IF('Stock Price'!$I$11="OK",G888/INDEX(G$5:G$1258,'Stock Price'!$I$9)-1,"")</f>
        <v>-0.56330553449583021</v>
      </c>
      <c r="U888" s="19">
        <f ca="1">IF('Stock Price'!$I$11="OK",H888/INDEX(H$5:H$1258,'Stock Price'!$I$9)-1,"")</f>
        <v>-2.9656862745097934E-2</v>
      </c>
      <c r="V888" s="19">
        <f ca="1">IF('Stock Price'!$I$11="OK",I888/INDEX(I$5:I$1258,'Stock Price'!$I$9)-1,"")</f>
        <v>-0.48227788279773154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131.31</v>
      </c>
      <c r="C889" s="18">
        <v>109.46</v>
      </c>
      <c r="D889" s="18">
        <v>35.28</v>
      </c>
      <c r="E889" s="18">
        <v>38.270000000000003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8.5206611570247892E-2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-0.2615384615384615</v>
      </c>
      <c r="R889" s="19">
        <f ca="1">IF('Stock Price'!$I$11="OK",E889/INDEX(E$5:E$1258,'Stock Price'!$I$9)-1,"")</f>
        <v>-0.18051391862955035</v>
      </c>
      <c r="S889" s="19">
        <f ca="1">IF('Stock Price'!$I$11="OK",F889/INDEX(F$5:F$1258,'Stock Price'!$I$9)-1,"")</f>
        <v>7.2847682119205448E-2</v>
      </c>
      <c r="T889" s="19">
        <f ca="1">IF('Stock Price'!$I$11="OK",G889/INDEX(G$5:G$1258,'Stock Price'!$I$9)-1,"")</f>
        <v>-0.54749268926676053</v>
      </c>
      <c r="U889" s="19">
        <f ca="1">IF('Stock Price'!$I$11="OK",H889/INDEX(H$5:H$1258,'Stock Price'!$I$9)-1,"")</f>
        <v>-2.9779411764705777E-2</v>
      </c>
      <c r="V889" s="19">
        <f ca="1">IF('Stock Price'!$I$11="OK",I889/INDEX(I$5:I$1258,'Stock Price'!$I$9)-1,"")</f>
        <v>-0.47731568998109641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134.22</v>
      </c>
      <c r="C890" s="18">
        <v>109.93</v>
      </c>
      <c r="D890" s="18">
        <v>35.68</v>
      </c>
      <c r="E890" s="18">
        <v>38.5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0.10925619834710742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-0.25316588173731025</v>
      </c>
      <c r="R890" s="19">
        <f ca="1">IF('Stock Price'!$I$11="OK",E890/INDEX(E$5:E$1258,'Stock Price'!$I$9)-1,"")</f>
        <v>-0.17558886509635985</v>
      </c>
      <c r="S890" s="19">
        <f ca="1">IF('Stock Price'!$I$11="OK",F890/INDEX(F$5:F$1258,'Stock Price'!$I$9)-1,"")</f>
        <v>4.718543046357615E-2</v>
      </c>
      <c r="T890" s="19">
        <f ca="1">IF('Stock Price'!$I$11="OK",G890/INDEX(G$5:G$1258,'Stock Price'!$I$9)-1,"")</f>
        <v>-0.54890068233510236</v>
      </c>
      <c r="U890" s="19">
        <f ca="1">IF('Stock Price'!$I$11="OK",H890/INDEX(H$5:H$1258,'Stock Price'!$I$9)-1,"")</f>
        <v>-3.9338235294117618E-2</v>
      </c>
      <c r="V890" s="19">
        <f ca="1">IF('Stock Price'!$I$11="OK",I890/INDEX(I$5:I$1258,'Stock Price'!$I$9)-1,"")</f>
        <v>-0.46975425330812848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134.08000000000001</v>
      </c>
      <c r="C891" s="18">
        <v>109.58</v>
      </c>
      <c r="D891" s="18">
        <v>35.369999999999997</v>
      </c>
      <c r="E891" s="18">
        <v>38.58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0.10809917355371912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-0.25965463108320253</v>
      </c>
      <c r="R891" s="19">
        <f ca="1">IF('Stock Price'!$I$11="OK",E891/INDEX(E$5:E$1258,'Stock Price'!$I$9)-1,"")</f>
        <v>-0.17387580299785876</v>
      </c>
      <c r="S891" s="19">
        <f ca="1">IF('Stock Price'!$I$11="OK",F891/INDEX(F$5:F$1258,'Stock Price'!$I$9)-1,"")</f>
        <v>4.635761589403975E-2</v>
      </c>
      <c r="T891" s="19">
        <f ca="1">IF('Stock Price'!$I$11="OK",G891/INDEX(G$5:G$1258,'Stock Price'!$I$9)-1,"")</f>
        <v>-0.54608469619841871</v>
      </c>
      <c r="U891" s="19">
        <f ca="1">IF('Stock Price'!$I$11="OK",H891/INDEX(H$5:H$1258,'Stock Price'!$I$9)-1,"")</f>
        <v>-6.2990196078431371E-2</v>
      </c>
      <c r="V891" s="19">
        <f ca="1">IF('Stock Price'!$I$11="OK",I891/INDEX(I$5:I$1258,'Stock Price'!$I$9)-1,"")</f>
        <v>-0.4792060491493384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139.80000000000001</v>
      </c>
      <c r="C892" s="18">
        <v>110.86</v>
      </c>
      <c r="D892" s="18">
        <v>35.93</v>
      </c>
      <c r="E892" s="18">
        <v>38.9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0.15537190082644647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-0.24793301936159073</v>
      </c>
      <c r="R892" s="19">
        <f ca="1">IF('Stock Price'!$I$11="OK",E892/INDEX(E$5:E$1258,'Stock Price'!$I$9)-1,"")</f>
        <v>-0.16702355460385443</v>
      </c>
      <c r="S892" s="19">
        <f ca="1">IF('Stock Price'!$I$11="OK",F892/INDEX(F$5:F$1258,'Stock Price'!$I$9)-1,"")</f>
        <v>5.3394039735099375E-2</v>
      </c>
      <c r="T892" s="19">
        <f ca="1">IF('Stock Price'!$I$11="OK",G892/INDEX(G$5:G$1258,'Stock Price'!$I$9)-1,"")</f>
        <v>-0.54446008881187047</v>
      </c>
      <c r="U892" s="19">
        <f ca="1">IF('Stock Price'!$I$11="OK",H892/INDEX(H$5:H$1258,'Stock Price'!$I$9)-1,"")</f>
        <v>-4.4117647058823484E-2</v>
      </c>
      <c r="V892" s="19">
        <f ca="1">IF('Stock Price'!$I$11="OK",I892/INDEX(I$5:I$1258,'Stock Price'!$I$9)-1,"")</f>
        <v>-0.47684310018903586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132.38</v>
      </c>
      <c r="C893" s="18">
        <v>110.54</v>
      </c>
      <c r="D893" s="18">
        <v>36.450000000000003</v>
      </c>
      <c r="E893" s="18">
        <v>38.799999999999997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9.4049586776859373E-2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-0.23704866562009408</v>
      </c>
      <c r="R893" s="19">
        <f ca="1">IF('Stock Price'!$I$11="OK",E893/INDEX(E$5:E$1258,'Stock Price'!$I$9)-1,"")</f>
        <v>-0.16916488222698089</v>
      </c>
      <c r="S893" s="19">
        <f ca="1">IF('Stock Price'!$I$11="OK",F893/INDEX(F$5:F$1258,'Stock Price'!$I$9)-1,"")</f>
        <v>5.4014900662251675E-2</v>
      </c>
      <c r="T893" s="19">
        <f ca="1">IF('Stock Price'!$I$11="OK",G893/INDEX(G$5:G$1258,'Stock Price'!$I$9)-1,"")</f>
        <v>-0.54446008881187047</v>
      </c>
      <c r="U893" s="19">
        <f ca="1">IF('Stock Price'!$I$11="OK",H893/INDEX(H$5:H$1258,'Stock Price'!$I$9)-1,"")</f>
        <v>-4.5955882352941124E-2</v>
      </c>
      <c r="V893" s="19">
        <f ca="1">IF('Stock Price'!$I$11="OK",I893/INDEX(I$5:I$1258,'Stock Price'!$I$9)-1,"")</f>
        <v>-0.4792060491493384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129.15</v>
      </c>
      <c r="C894" s="18">
        <v>111.41</v>
      </c>
      <c r="D894" s="18">
        <v>36.630000000000003</v>
      </c>
      <c r="E894" s="18">
        <v>38.979999999999997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6.7355371900826411E-2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-0.23328100470957602</v>
      </c>
      <c r="R894" s="19">
        <f ca="1">IF('Stock Price'!$I$11="OK",E894/INDEX(E$5:E$1258,'Stock Price'!$I$9)-1,"")</f>
        <v>-0.16531049250535346</v>
      </c>
      <c r="S894" s="19">
        <f ca="1">IF('Stock Price'!$I$11="OK",F894/INDEX(F$5:F$1258,'Stock Price'!$I$9)-1,"")</f>
        <v>7.3054635761589326E-2</v>
      </c>
      <c r="T894" s="19">
        <f ca="1">IF('Stock Price'!$I$11="OK",G894/INDEX(G$5:G$1258,'Stock Price'!$I$9)-1,"")</f>
        <v>-0.53460413733347778</v>
      </c>
      <c r="U894" s="19">
        <f ca="1">IF('Stock Price'!$I$11="OK",H894/INDEX(H$5:H$1258,'Stock Price'!$I$9)-1,"")</f>
        <v>-3.2230392156862742E-2</v>
      </c>
      <c r="V894" s="19">
        <f ca="1">IF('Stock Price'!$I$11="OK",I894/INDEX(I$5:I$1258,'Stock Price'!$I$9)-1,"")</f>
        <v>-0.46762759924385633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135.75</v>
      </c>
      <c r="C895" s="18">
        <v>110.13</v>
      </c>
      <c r="D895" s="18">
        <v>37.03</v>
      </c>
      <c r="E895" s="18">
        <v>39.14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0.12190082644628109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-0.22490842490842489</v>
      </c>
      <c r="R895" s="19">
        <f ca="1">IF('Stock Price'!$I$11="OK",E895/INDEX(E$5:E$1258,'Stock Price'!$I$9)-1,"")</f>
        <v>-0.16188436830835118</v>
      </c>
      <c r="S895" s="19">
        <f ca="1">IF('Stock Price'!$I$11="OK",F895/INDEX(F$5:F$1258,'Stock Price'!$I$9)-1,"")</f>
        <v>9.7268211920529923E-2</v>
      </c>
      <c r="T895" s="19">
        <f ca="1">IF('Stock Price'!$I$11="OK",G895/INDEX(G$5:G$1258,'Stock Price'!$I$9)-1,"")</f>
        <v>-0.52117404960467884</v>
      </c>
      <c r="U895" s="19">
        <f ca="1">IF('Stock Price'!$I$11="OK",H895/INDEX(H$5:H$1258,'Stock Price'!$I$9)-1,"")</f>
        <v>-3.5049019607843124E-2</v>
      </c>
      <c r="V895" s="19">
        <f ca="1">IF('Stock Price'!$I$11="OK",I895/INDEX(I$5:I$1258,'Stock Price'!$I$9)-1,"")</f>
        <v>-0.47093572778827975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137.24</v>
      </c>
      <c r="C896" s="18">
        <v>111.17</v>
      </c>
      <c r="D896" s="18">
        <v>37.5</v>
      </c>
      <c r="E896" s="18">
        <v>39.75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0.13421487603305793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-0.21507064364207218</v>
      </c>
      <c r="R896" s="19">
        <f ca="1">IF('Stock Price'!$I$11="OK",E896/INDEX(E$5:E$1258,'Stock Price'!$I$9)-1,"")</f>
        <v>-0.14882226980728053</v>
      </c>
      <c r="S896" s="19">
        <f ca="1">IF('Stock Price'!$I$11="OK",F896/INDEX(F$5:F$1258,'Stock Price'!$I$9)-1,"")</f>
        <v>0.10802980132450335</v>
      </c>
      <c r="T896" s="19">
        <f ca="1">IF('Stock Price'!$I$11="OK",G896/INDEX(G$5:G$1258,'Stock Price'!$I$9)-1,"")</f>
        <v>-0.51305101267193765</v>
      </c>
      <c r="U896" s="19">
        <f ca="1">IF('Stock Price'!$I$11="OK",H896/INDEX(H$5:H$1258,'Stock Price'!$I$9)-1,"")</f>
        <v>-2.1568627450980316E-2</v>
      </c>
      <c r="V896" s="19">
        <f ca="1">IF('Stock Price'!$I$11="OK",I896/INDEX(I$5:I$1258,'Stock Price'!$I$9)-1,"")</f>
        <v>-0.46172022684310021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134.75</v>
      </c>
      <c r="C897" s="18">
        <v>112.14</v>
      </c>
      <c r="D897" s="18">
        <v>37.43</v>
      </c>
      <c r="E897" s="18">
        <v>39.520000000000003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0.11363636363636354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-0.21653584510727364</v>
      </c>
      <c r="R897" s="19">
        <f ca="1">IF('Stock Price'!$I$11="OK",E897/INDEX(E$5:E$1258,'Stock Price'!$I$9)-1,"")</f>
        <v>-0.15374732334047103</v>
      </c>
      <c r="S897" s="19">
        <f ca="1">IF('Stock Price'!$I$11="OK",F897/INDEX(F$5:F$1258,'Stock Price'!$I$9)-1,"")</f>
        <v>8.2781456953642474E-2</v>
      </c>
      <c r="T897" s="19">
        <f ca="1">IF('Stock Price'!$I$11="OK",G897/INDEX(G$5:G$1258,'Stock Price'!$I$9)-1,"")</f>
        <v>-0.50200368244340954</v>
      </c>
      <c r="U897" s="19">
        <f ca="1">IF('Stock Price'!$I$11="OK",H897/INDEX(H$5:H$1258,'Stock Price'!$I$9)-1,"")</f>
        <v>1.3970588235294068E-2</v>
      </c>
      <c r="V897" s="19">
        <f ca="1">IF('Stock Price'!$I$11="OK",I897/INDEX(I$5:I$1258,'Stock Price'!$I$9)-1,"")</f>
        <v>-0.45841209829867668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138.75989999999999</v>
      </c>
      <c r="C898" s="18">
        <v>112.63</v>
      </c>
      <c r="D898" s="18">
        <v>38.06</v>
      </c>
      <c r="E898" s="18">
        <v>40.51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0.14677603305785114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-0.20334903192046039</v>
      </c>
      <c r="R898" s="19">
        <f ca="1">IF('Stock Price'!$I$11="OK",E898/INDEX(E$5:E$1258,'Stock Price'!$I$9)-1,"")</f>
        <v>-0.13254817987152046</v>
      </c>
      <c r="S898" s="19">
        <f ca="1">IF('Stock Price'!$I$11="OK",F898/INDEX(F$5:F$1258,'Stock Price'!$I$9)-1,"")</f>
        <v>9.1887417218543099E-2</v>
      </c>
      <c r="T898" s="19">
        <f ca="1">IF('Stock Price'!$I$11="OK",G898/INDEX(G$5:G$1258,'Stock Price'!$I$9)-1,"")</f>
        <v>-0.50222029676161595</v>
      </c>
      <c r="U898" s="19">
        <f ca="1">IF('Stock Price'!$I$11="OK",H898/INDEX(H$5:H$1258,'Stock Price'!$I$9)-1,"")</f>
        <v>1.9485294117647101E-2</v>
      </c>
      <c r="V898" s="19">
        <f ca="1">IF('Stock Price'!$I$11="OK",I898/INDEX(I$5:I$1258,'Stock Price'!$I$9)-1,"")</f>
        <v>-0.45534026465028354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144.94</v>
      </c>
      <c r="C899" s="18">
        <v>113.45</v>
      </c>
      <c r="D899" s="18">
        <v>38.97</v>
      </c>
      <c r="E899" s="18">
        <v>40.659999999999997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0.19785123966942142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-0.18430141287284141</v>
      </c>
      <c r="R899" s="19">
        <f ca="1">IF('Stock Price'!$I$11="OK",E899/INDEX(E$5:E$1258,'Stock Price'!$I$9)-1,"")</f>
        <v>-0.12933618843683092</v>
      </c>
      <c r="S899" s="19">
        <f ca="1">IF('Stock Price'!$I$11="OK",F899/INDEX(F$5:F$1258,'Stock Price'!$I$9)-1,"")</f>
        <v>0.11175496688741715</v>
      </c>
      <c r="T899" s="19">
        <f ca="1">IF('Stock Price'!$I$11="OK",G899/INDEX(G$5:G$1258,'Stock Price'!$I$9)-1,"")</f>
        <v>-0.49810462471569361</v>
      </c>
      <c r="U899" s="19">
        <f ca="1">IF('Stock Price'!$I$11="OK",H899/INDEX(H$5:H$1258,'Stock Price'!$I$9)-1,"")</f>
        <v>3.8112745098039191E-2</v>
      </c>
      <c r="V899" s="19">
        <f ca="1">IF('Stock Price'!$I$11="OK",I899/INDEX(I$5:I$1258,'Stock Price'!$I$9)-1,"")</f>
        <v>-0.43785444234404536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145.63999999999999</v>
      </c>
      <c r="C900" s="18">
        <v>113.49</v>
      </c>
      <c r="D900" s="18">
        <v>39.85</v>
      </c>
      <c r="E900" s="18">
        <v>40.770000000000003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0.20363636363636362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-0.16588173731030864</v>
      </c>
      <c r="R900" s="19">
        <f ca="1">IF('Stock Price'!$I$11="OK",E900/INDEX(E$5:E$1258,'Stock Price'!$I$9)-1,"")</f>
        <v>-0.12698072805139182</v>
      </c>
      <c r="S900" s="19">
        <f ca="1">IF('Stock Price'!$I$11="OK",F900/INDEX(F$5:F$1258,'Stock Price'!$I$9)-1,"")</f>
        <v>0.13721026490066235</v>
      </c>
      <c r="T900" s="19">
        <f ca="1">IF('Stock Price'!$I$11="OK",G900/INDEX(G$5:G$1258,'Stock Price'!$I$9)-1,"")</f>
        <v>-0.50113722517058368</v>
      </c>
      <c r="U900" s="19">
        <f ca="1">IF('Stock Price'!$I$11="OK",H900/INDEX(H$5:H$1258,'Stock Price'!$I$9)-1,"")</f>
        <v>4.4117647058823595E-2</v>
      </c>
      <c r="V900" s="19">
        <f ca="1">IF('Stock Price'!$I$11="OK",I900/INDEX(I$5:I$1258,'Stock Price'!$I$9)-1,"")</f>
        <v>-0.42320415879017015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140.63</v>
      </c>
      <c r="C901" s="18">
        <v>111.33</v>
      </c>
      <c r="D901" s="18">
        <v>38.75</v>
      </c>
      <c r="E901" s="18">
        <v>39.58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0.16223140495867772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-0.1889063317634746</v>
      </c>
      <c r="R901" s="19">
        <f ca="1">IF('Stock Price'!$I$11="OK",E901/INDEX(E$5:E$1258,'Stock Price'!$I$9)-1,"")</f>
        <v>-0.15246252676659533</v>
      </c>
      <c r="S901" s="19">
        <f ca="1">IF('Stock Price'!$I$11="OK",F901/INDEX(F$5:F$1258,'Stock Price'!$I$9)-1,"")</f>
        <v>0.11961920529801318</v>
      </c>
      <c r="T901" s="19">
        <f ca="1">IF('Stock Price'!$I$11="OK",G901/INDEX(G$5:G$1258,'Stock Price'!$I$9)-1,"")</f>
        <v>-0.50113722517058368</v>
      </c>
      <c r="U901" s="19">
        <f ca="1">IF('Stock Price'!$I$11="OK",H901/INDEX(H$5:H$1258,'Stock Price'!$I$9)-1,"")</f>
        <v>2.0343137254902111E-2</v>
      </c>
      <c r="V901" s="19">
        <f ca="1">IF('Stock Price'!$I$11="OK",I901/INDEX(I$5:I$1258,'Stock Price'!$I$9)-1,"")</f>
        <v>-0.43454631379962194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146.74</v>
      </c>
      <c r="C902" s="18">
        <v>114.29</v>
      </c>
      <c r="D902" s="18">
        <v>39.07</v>
      </c>
      <c r="E902" s="18">
        <v>41.08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0.21272727272727288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-0.18220826792255362</v>
      </c>
      <c r="R902" s="19">
        <f ca="1">IF('Stock Price'!$I$11="OK",E902/INDEX(E$5:E$1258,'Stock Price'!$I$9)-1,"")</f>
        <v>-0.12034261241970035</v>
      </c>
      <c r="S902" s="19">
        <f ca="1">IF('Stock Price'!$I$11="OK",F902/INDEX(F$5:F$1258,'Stock Price'!$I$9)-1,"")</f>
        <v>0.14735099337748347</v>
      </c>
      <c r="T902" s="19">
        <f ca="1">IF('Stock Price'!$I$11="OK",G902/INDEX(G$5:G$1258,'Stock Price'!$I$9)-1,"")</f>
        <v>-0.48272500812303698</v>
      </c>
      <c r="U902" s="19">
        <f ca="1">IF('Stock Price'!$I$11="OK",H902/INDEX(H$5:H$1258,'Stock Price'!$I$9)-1,"")</f>
        <v>1.9362745098039369E-2</v>
      </c>
      <c r="V902" s="19">
        <f ca="1">IF('Stock Price'!$I$11="OK",I902/INDEX(I$5:I$1258,'Stock Price'!$I$9)-1,"")</f>
        <v>-0.42816635160680527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145.96</v>
      </c>
      <c r="C903" s="18">
        <v>113.08</v>
      </c>
      <c r="D903" s="18">
        <v>38.85</v>
      </c>
      <c r="E903" s="18">
        <v>41.33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0.20628099173553727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-0.1868131868131867</v>
      </c>
      <c r="R903" s="19">
        <f ca="1">IF('Stock Price'!$I$11="OK",E903/INDEX(E$5:E$1258,'Stock Price'!$I$9)-1,"")</f>
        <v>-0.11498929336188446</v>
      </c>
      <c r="S903" s="19">
        <f ca="1">IF('Stock Price'!$I$11="OK",F903/INDEX(F$5:F$1258,'Stock Price'!$I$9)-1,"")</f>
        <v>0.12975993377483452</v>
      </c>
      <c r="T903" s="19">
        <f ca="1">IF('Stock Price'!$I$11="OK",G903/INDEX(G$5:G$1258,'Stock Price'!$I$9)-1,"")</f>
        <v>-0.4757933499404311</v>
      </c>
      <c r="U903" s="19">
        <f ca="1">IF('Stock Price'!$I$11="OK",H903/INDEX(H$5:H$1258,'Stock Price'!$I$9)-1,"")</f>
        <v>1.5196078431372717E-2</v>
      </c>
      <c r="V903" s="19">
        <f ca="1">IF('Stock Price'!$I$11="OK",I903/INDEX(I$5:I$1258,'Stock Price'!$I$9)-1,"")</f>
        <v>-0.43596408317580337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138.94</v>
      </c>
      <c r="C904" s="18">
        <v>110.55</v>
      </c>
      <c r="D904" s="18">
        <v>37.5</v>
      </c>
      <c r="E904" s="18">
        <v>40.700000000000003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0.14826446280991723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-0.21507064364207218</v>
      </c>
      <c r="R904" s="19">
        <f ca="1">IF('Stock Price'!$I$11="OK",E904/INDEX(E$5:E$1258,'Stock Price'!$I$9)-1,"")</f>
        <v>-0.12847965738758027</v>
      </c>
      <c r="S904" s="19">
        <f ca="1">IF('Stock Price'!$I$11="OK",F904/INDEX(F$5:F$1258,'Stock Price'!$I$9)-1,"")</f>
        <v>9.9958609271523224E-2</v>
      </c>
      <c r="T904" s="19">
        <f ca="1">IF('Stock Price'!$I$11="OK",G904/INDEX(G$5:G$1258,'Stock Price'!$I$9)-1,"")</f>
        <v>-0.47904256471352757</v>
      </c>
      <c r="U904" s="19">
        <f ca="1">IF('Stock Price'!$I$11="OK",H904/INDEX(H$5:H$1258,'Stock Price'!$I$9)-1,"")</f>
        <v>-3.1372549019607732E-2</v>
      </c>
      <c r="V904" s="19">
        <f ca="1">IF('Stock Price'!$I$11="OK",I904/INDEX(I$5:I$1258,'Stock Price'!$I$9)-1,"")</f>
        <v>-0.45935727788279779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138.66</v>
      </c>
      <c r="C905" s="18">
        <v>111.7</v>
      </c>
      <c r="D905" s="18">
        <v>37.17</v>
      </c>
      <c r="E905" s="18">
        <v>40.33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0.1459504132231404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-0.22197802197802197</v>
      </c>
      <c r="R905" s="19">
        <f ca="1">IF('Stock Price'!$I$11="OK",E905/INDEX(E$5:E$1258,'Stock Price'!$I$9)-1,"")</f>
        <v>-0.13640256959314789</v>
      </c>
      <c r="S905" s="19">
        <f ca="1">IF('Stock Price'!$I$11="OK",F905/INDEX(F$5:F$1258,'Stock Price'!$I$9)-1,"")</f>
        <v>8.1746688741721973E-2</v>
      </c>
      <c r="T905" s="19">
        <f ca="1">IF('Stock Price'!$I$11="OK",G905/INDEX(G$5:G$1258,'Stock Price'!$I$9)-1,"")</f>
        <v>-0.49225603812412</v>
      </c>
      <c r="U905" s="19">
        <f ca="1">IF('Stock Price'!$I$11="OK",H905/INDEX(H$5:H$1258,'Stock Price'!$I$9)-1,"")</f>
        <v>-3.039215686274499E-2</v>
      </c>
      <c r="V905" s="19">
        <f ca="1">IF('Stock Price'!$I$11="OK",I905/INDEX(I$5:I$1258,'Stock Price'!$I$9)-1,"")</f>
        <v>-0.46148393194706994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134.09989999999999</v>
      </c>
      <c r="C906" s="18">
        <v>110.13</v>
      </c>
      <c r="D906" s="18">
        <v>36.869999999999997</v>
      </c>
      <c r="E906" s="18">
        <v>39.11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0.10826363636363623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-0.22825745682888543</v>
      </c>
      <c r="R906" s="19">
        <f ca="1">IF('Stock Price'!$I$11="OK",E906/INDEX(E$5:E$1258,'Stock Price'!$I$9)-1,"")</f>
        <v>-0.1625267665952892</v>
      </c>
      <c r="S906" s="19">
        <f ca="1">IF('Stock Price'!$I$11="OK",F906/INDEX(F$5:F$1258,'Stock Price'!$I$9)-1,"")</f>
        <v>7.884933774834435E-2</v>
      </c>
      <c r="T906" s="19">
        <f ca="1">IF('Stock Price'!$I$11="OK",G906/INDEX(G$5:G$1258,'Stock Price'!$I$9)-1,"")</f>
        <v>-0.49268926676053282</v>
      </c>
      <c r="U906" s="19">
        <f ca="1">IF('Stock Price'!$I$11="OK",H906/INDEX(H$5:H$1258,'Stock Price'!$I$9)-1,"")</f>
        <v>-4.8406862745097867E-2</v>
      </c>
      <c r="V906" s="19">
        <f ca="1">IF('Stock Price'!$I$11="OK",I906/INDEX(I$5:I$1258,'Stock Price'!$I$9)-1,"")</f>
        <v>-0.45723062381852553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135.22</v>
      </c>
      <c r="C907" s="18">
        <v>108.7</v>
      </c>
      <c r="D907" s="18">
        <v>36.619999999999997</v>
      </c>
      <c r="E907" s="18">
        <v>38.369999999999997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0.11752066115702475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-0.23349031920460495</v>
      </c>
      <c r="R907" s="19">
        <f ca="1">IF('Stock Price'!$I$11="OK",E907/INDEX(E$5:E$1258,'Stock Price'!$I$9)-1,"")</f>
        <v>-0.17837259100642411</v>
      </c>
      <c r="S907" s="19">
        <f ca="1">IF('Stock Price'!$I$11="OK",F907/INDEX(F$5:F$1258,'Stock Price'!$I$9)-1,"")</f>
        <v>3.2698675496688701E-2</v>
      </c>
      <c r="T907" s="19">
        <f ca="1">IF('Stock Price'!$I$11="OK",G907/INDEX(G$5:G$1258,'Stock Price'!$I$9)-1,"")</f>
        <v>-0.47915087187263072</v>
      </c>
      <c r="U907" s="19">
        <f ca="1">IF('Stock Price'!$I$11="OK",H907/INDEX(H$5:H$1258,'Stock Price'!$I$9)-1,"")</f>
        <v>-6.8995098039215663E-2</v>
      </c>
      <c r="V907" s="19">
        <f ca="1">IF('Stock Price'!$I$11="OK",I907/INDEX(I$5:I$1258,'Stock Price'!$I$9)-1,"")</f>
        <v>-0.47353497164461245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135.36000000000001</v>
      </c>
      <c r="C908" s="18">
        <v>108.95</v>
      </c>
      <c r="D908" s="18">
        <v>37.369999999999997</v>
      </c>
      <c r="E908" s="18">
        <v>39.35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0.11867768595041328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-0.2177917320774464</v>
      </c>
      <c r="R908" s="19">
        <f ca="1">IF('Stock Price'!$I$11="OK",E908/INDEX(E$5:E$1258,'Stock Price'!$I$9)-1,"")</f>
        <v>-0.15738758029978583</v>
      </c>
      <c r="S908" s="19">
        <f ca="1">IF('Stock Price'!$I$11="OK",F908/INDEX(F$5:F$1258,'Stock Price'!$I$9)-1,"")</f>
        <v>5.6705298013244976E-2</v>
      </c>
      <c r="T908" s="19">
        <f ca="1">IF('Stock Price'!$I$11="OK",G908/INDEX(G$5:G$1258,'Stock Price'!$I$9)-1,"")</f>
        <v>-0.47882595039532116</v>
      </c>
      <c r="U908" s="19">
        <f ca="1">IF('Stock Price'!$I$11="OK",H908/INDEX(H$5:H$1258,'Stock Price'!$I$9)-1,"")</f>
        <v>-1.4338235294117485E-2</v>
      </c>
      <c r="V908" s="19">
        <f ca="1">IF('Stock Price'!$I$11="OK",I908/INDEX(I$5:I$1258,'Stock Price'!$I$9)-1,"")</f>
        <v>-0.45439508506616255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135.36000000000001</v>
      </c>
      <c r="C909" s="18">
        <v>106.83</v>
      </c>
      <c r="D909" s="18">
        <v>36.35</v>
      </c>
      <c r="E909" s="18">
        <v>38.340000000000003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0.11867768595041328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-0.23914181057038197</v>
      </c>
      <c r="R909" s="19">
        <f ca="1">IF('Stock Price'!$I$11="OK",E909/INDEX(E$5:E$1258,'Stock Price'!$I$9)-1,"")</f>
        <v>-0.1790149892933619</v>
      </c>
      <c r="S909" s="19">
        <f ca="1">IF('Stock Price'!$I$11="OK",F909/INDEX(F$5:F$1258,'Stock Price'!$I$9)-1,"")</f>
        <v>3.3940397350993301E-2</v>
      </c>
      <c r="T909" s="19">
        <f ca="1">IF('Stock Price'!$I$11="OK",G909/INDEX(G$5:G$1258,'Stock Price'!$I$9)-1,"")</f>
        <v>-0.46409617675728365</v>
      </c>
      <c r="U909" s="19">
        <f ca="1">IF('Stock Price'!$I$11="OK",H909/INDEX(H$5:H$1258,'Stock Price'!$I$9)-1,"")</f>
        <v>-6.0906862745098045E-2</v>
      </c>
      <c r="V909" s="19">
        <f ca="1">IF('Stock Price'!$I$11="OK",I909/INDEX(I$5:I$1258,'Stock Price'!$I$9)-1,"")</f>
        <v>-0.45959357277882795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135.36000000000001</v>
      </c>
      <c r="C910" s="18">
        <v>104.99</v>
      </c>
      <c r="D910" s="18">
        <v>36.22</v>
      </c>
      <c r="E910" s="18">
        <v>37.340000000000003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0.11867768595041328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-0.24186289900575619</v>
      </c>
      <c r="R910" s="19">
        <f ca="1">IF('Stock Price'!$I$11="OK",E910/INDEX(E$5:E$1258,'Stock Price'!$I$9)-1,"")</f>
        <v>-0.20042826552462523</v>
      </c>
      <c r="S910" s="19">
        <f ca="1">IF('Stock Price'!$I$11="OK",F910/INDEX(F$5:F$1258,'Stock Price'!$I$9)-1,"")</f>
        <v>1.8418874172185351E-2</v>
      </c>
      <c r="T910" s="19">
        <f ca="1">IF('Stock Price'!$I$11="OK",G910/INDEX(G$5:G$1258,'Stock Price'!$I$9)-1,"")</f>
        <v>-0.51976605653633701</v>
      </c>
      <c r="U910" s="19">
        <f ca="1">IF('Stock Price'!$I$11="OK",H910/INDEX(H$5:H$1258,'Stock Price'!$I$9)-1,"")</f>
        <v>-9.963235294117645E-2</v>
      </c>
      <c r="V910" s="19">
        <f ca="1">IF('Stock Price'!$I$11="OK",I910/INDEX(I$5:I$1258,'Stock Price'!$I$9)-1,"")</f>
        <v>-0.47967863894139884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135.88</v>
      </c>
      <c r="C911" s="18">
        <v>108.46</v>
      </c>
      <c r="D911" s="18">
        <v>37.57</v>
      </c>
      <c r="E911" s="18">
        <v>38.4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0.12297520661157013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-0.21360544217687072</v>
      </c>
      <c r="R911" s="19">
        <f ca="1">IF('Stock Price'!$I$11="OK",E911/INDEX(E$5:E$1258,'Stock Price'!$I$9)-1,"")</f>
        <v>-0.1777301927194862</v>
      </c>
      <c r="S911" s="19">
        <f ca="1">IF('Stock Price'!$I$11="OK",F911/INDEX(F$5:F$1258,'Stock Price'!$I$9)-1,"")</f>
        <v>5.2566225165562974E-2</v>
      </c>
      <c r="T911" s="19">
        <f ca="1">IF('Stock Price'!$I$11="OK",G911/INDEX(G$5:G$1258,'Stock Price'!$I$9)-1,"")</f>
        <v>-0.50471136142098993</v>
      </c>
      <c r="U911" s="19">
        <f ca="1">IF('Stock Price'!$I$11="OK",H911/INDEX(H$5:H$1258,'Stock Price'!$I$9)-1,"")</f>
        <v>-8.3333333333333259E-2</v>
      </c>
      <c r="V911" s="19">
        <f ca="1">IF('Stock Price'!$I$11="OK",I911/INDEX(I$5:I$1258,'Stock Price'!$I$9)-1,"")</f>
        <v>-0.46597353497164462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134.46</v>
      </c>
      <c r="C912" s="18">
        <v>109.59</v>
      </c>
      <c r="D912" s="18">
        <v>37.64</v>
      </c>
      <c r="E912" s="18">
        <v>39.03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0.11123966942148766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-0.21214024071166926</v>
      </c>
      <c r="R912" s="19">
        <f ca="1">IF('Stock Price'!$I$11="OK",E912/INDEX(E$5:E$1258,'Stock Price'!$I$9)-1,"")</f>
        <v>-0.16423982869379017</v>
      </c>
      <c r="S912" s="19">
        <f ca="1">IF('Stock Price'!$I$11="OK",F912/INDEX(F$5:F$1258,'Stock Price'!$I$9)-1,"")</f>
        <v>6.9536423841059625E-2</v>
      </c>
      <c r="T912" s="19">
        <f ca="1">IF('Stock Price'!$I$11="OK",G912/INDEX(G$5:G$1258,'Stock Price'!$I$9)-1,"")</f>
        <v>-0.50460305426188667</v>
      </c>
      <c r="U912" s="19">
        <f ca="1">IF('Stock Price'!$I$11="OK",H912/INDEX(H$5:H$1258,'Stock Price'!$I$9)-1,"")</f>
        <v>-6.7892156862744968E-2</v>
      </c>
      <c r="V912" s="19">
        <f ca="1">IF('Stock Price'!$I$11="OK",I912/INDEX(I$5:I$1258,'Stock Price'!$I$9)-1,"")</f>
        <v>-0.46053875236294906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141</v>
      </c>
      <c r="C913" s="18">
        <v>110.71</v>
      </c>
      <c r="D913" s="18">
        <v>37.96</v>
      </c>
      <c r="E913" s="18">
        <v>39.270000000000003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0.165289256198347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-0.20544217687074828</v>
      </c>
      <c r="R913" s="19">
        <f ca="1">IF('Stock Price'!$I$11="OK",E913/INDEX(E$5:E$1258,'Stock Price'!$I$9)-1,"")</f>
        <v>-0.15910064239828692</v>
      </c>
      <c r="S913" s="19">
        <f ca="1">IF('Stock Price'!$I$11="OK",F913/INDEX(F$5:F$1258,'Stock Price'!$I$9)-1,"")</f>
        <v>8.1953642384106073E-2</v>
      </c>
      <c r="T913" s="19">
        <f ca="1">IF('Stock Price'!$I$11="OK",G913/INDEX(G$5:G$1258,'Stock Price'!$I$9)-1,"")</f>
        <v>-0.50362828982995778</v>
      </c>
      <c r="U913" s="19">
        <f ca="1">IF('Stock Price'!$I$11="OK",H913/INDEX(H$5:H$1258,'Stock Price'!$I$9)-1,"")</f>
        <v>-5.3553921568627372E-2</v>
      </c>
      <c r="V913" s="19">
        <f ca="1">IF('Stock Price'!$I$11="OK",I913/INDEX(I$5:I$1258,'Stock Price'!$I$9)-1,"")</f>
        <v>-0.45652173913043481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138.68</v>
      </c>
      <c r="C914" s="18">
        <v>112.28</v>
      </c>
      <c r="D914" s="18">
        <v>38.4</v>
      </c>
      <c r="E914" s="18">
        <v>39.71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0.14611570247933892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-0.1962323390894819</v>
      </c>
      <c r="R914" s="19">
        <f ca="1">IF('Stock Price'!$I$11="OK",E914/INDEX(E$5:E$1258,'Stock Price'!$I$9)-1,"")</f>
        <v>-0.14967880085653107</v>
      </c>
      <c r="S914" s="19">
        <f ca="1">IF('Stock Price'!$I$11="OK",F914/INDEX(F$5:F$1258,'Stock Price'!$I$9)-1,"")</f>
        <v>9.45778145695364E-2</v>
      </c>
      <c r="T914" s="19">
        <f ca="1">IF('Stock Price'!$I$11="OK",G914/INDEX(G$5:G$1258,'Stock Price'!$I$9)-1,"")</f>
        <v>-0.49247265244232641</v>
      </c>
      <c r="U914" s="19">
        <f ca="1">IF('Stock Price'!$I$11="OK",H914/INDEX(H$5:H$1258,'Stock Price'!$I$9)-1,"")</f>
        <v>-4.4485294117647012E-2</v>
      </c>
      <c r="V914" s="19">
        <f ca="1">IF('Stock Price'!$I$11="OK",I914/INDEX(I$5:I$1258,'Stock Price'!$I$9)-1,"")</f>
        <v>-0.44423440453686203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138.24</v>
      </c>
      <c r="C915" s="18">
        <v>112.78</v>
      </c>
      <c r="D915" s="18">
        <v>38.54</v>
      </c>
      <c r="E915" s="18">
        <v>39.39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0.14247933884297526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-0.19330193615907898</v>
      </c>
      <c r="R915" s="19">
        <f ca="1">IF('Stock Price'!$I$11="OK",E915/INDEX(E$5:E$1258,'Stock Price'!$I$9)-1,"")</f>
        <v>-0.1565310492505354</v>
      </c>
      <c r="S915" s="19">
        <f ca="1">IF('Stock Price'!$I$11="OK",F915/INDEX(F$5:F$1258,'Stock Price'!$I$9)-1,"")</f>
        <v>9.47847682119205E-2</v>
      </c>
      <c r="T915" s="19">
        <f ca="1">IF('Stock Price'!$I$11="OK",G915/INDEX(G$5:G$1258,'Stock Price'!$I$9)-1,"")</f>
        <v>-0.48629914437344313</v>
      </c>
      <c r="U915" s="19">
        <f ca="1">IF('Stock Price'!$I$11="OK",H915/INDEX(H$5:H$1258,'Stock Price'!$I$9)-1,"")</f>
        <v>-5.6617647058823439E-2</v>
      </c>
      <c r="V915" s="19">
        <f ca="1">IF('Stock Price'!$I$11="OK",I915/INDEX(I$5:I$1258,'Stock Price'!$I$9)-1,"")</f>
        <v>-0.45557655954631382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141.12</v>
      </c>
      <c r="C916" s="18">
        <v>112.5</v>
      </c>
      <c r="D916" s="18">
        <v>38.92</v>
      </c>
      <c r="E916" s="18">
        <v>39.08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0.16628099173553723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-0.18534798534798524</v>
      </c>
      <c r="R916" s="19">
        <f ca="1">IF('Stock Price'!$I$11="OK",E916/INDEX(E$5:E$1258,'Stock Price'!$I$9)-1,"")</f>
        <v>-0.1631691648822271</v>
      </c>
      <c r="S916" s="19">
        <f ca="1">IF('Stock Price'!$I$11="OK",F916/INDEX(F$5:F$1258,'Stock Price'!$I$9)-1,"")</f>
        <v>8.6713576158940375E-2</v>
      </c>
      <c r="T916" s="19">
        <f ca="1">IF('Stock Price'!$I$11="OK",G916/INDEX(G$5:G$1258,'Stock Price'!$I$9)-1,"")</f>
        <v>-0.4723275208491281</v>
      </c>
      <c r="U916" s="19">
        <f ca="1">IF('Stock Price'!$I$11="OK",H916/INDEX(H$5:H$1258,'Stock Price'!$I$9)-1,"")</f>
        <v>-4.6078431372548856E-2</v>
      </c>
      <c r="V916" s="19">
        <f ca="1">IF('Stock Price'!$I$11="OK",I916/INDEX(I$5:I$1258,'Stock Price'!$I$9)-1,"")</f>
        <v>-0.45557655954631382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143.25</v>
      </c>
      <c r="C917" s="18">
        <v>112.75</v>
      </c>
      <c r="D917" s="18">
        <v>38.659999999999997</v>
      </c>
      <c r="E917" s="18">
        <v>39.67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0.18388429752066116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-0.19079016221873368</v>
      </c>
      <c r="R917" s="19">
        <f ca="1">IF('Stock Price'!$I$11="OK",E917/INDEX(E$5:E$1258,'Stock Price'!$I$9)-1,"")</f>
        <v>-0.15053533190578161</v>
      </c>
      <c r="S917" s="19">
        <f ca="1">IF('Stock Price'!$I$11="OK",F917/INDEX(F$5:F$1258,'Stock Price'!$I$9)-1,"")</f>
        <v>7.5745033112582627E-2</v>
      </c>
      <c r="T917" s="19">
        <f ca="1">IF('Stock Price'!$I$11="OK",G917/INDEX(G$5:G$1258,'Stock Price'!$I$9)-1,"")</f>
        <v>-0.46983645618975411</v>
      </c>
      <c r="U917" s="19">
        <f ca="1">IF('Stock Price'!$I$11="OK",H917/INDEX(H$5:H$1258,'Stock Price'!$I$9)-1,"")</f>
        <v>-4.9264705882352877E-2</v>
      </c>
      <c r="V917" s="19">
        <f ca="1">IF('Stock Price'!$I$11="OK",I917/INDEX(I$5:I$1258,'Stock Price'!$I$9)-1,"")</f>
        <v>-0.44896030245746688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143.97499999999999</v>
      </c>
      <c r="C918" s="18">
        <v>113.21</v>
      </c>
      <c r="D918" s="18">
        <v>39.44</v>
      </c>
      <c r="E918" s="18">
        <v>39.51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0.18987603305785128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-0.17446363160648881</v>
      </c>
      <c r="R918" s="19">
        <f ca="1">IF('Stock Price'!$I$11="OK",E918/INDEX(E$5:E$1258,'Stock Price'!$I$9)-1,"")</f>
        <v>-0.15396145610278378</v>
      </c>
      <c r="S918" s="19">
        <f ca="1">IF('Stock Price'!$I$11="OK",F918/INDEX(F$5:F$1258,'Stock Price'!$I$9)-1,"")</f>
        <v>8.4230132450331174E-2</v>
      </c>
      <c r="T918" s="19">
        <f ca="1">IF('Stock Price'!$I$11="OK",G918/INDEX(G$5:G$1258,'Stock Price'!$I$9)-1,"")</f>
        <v>-0.45998050471136143</v>
      </c>
      <c r="U918" s="19">
        <f ca="1">IF('Stock Price'!$I$11="OK",H918/INDEX(H$5:H$1258,'Stock Price'!$I$9)-1,"")</f>
        <v>-4.9142156862745034E-2</v>
      </c>
      <c r="V918" s="19">
        <f ca="1">IF('Stock Price'!$I$11="OK",I918/INDEX(I$5:I$1258,'Stock Price'!$I$9)-1,"")</f>
        <v>-0.44210775047258977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143.97499999999999</v>
      </c>
      <c r="C919" s="18">
        <v>111.87</v>
      </c>
      <c r="D919" s="18">
        <v>39.18</v>
      </c>
      <c r="E919" s="18">
        <v>39.270000000000003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0.18987603305785128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-0.17990580847723703</v>
      </c>
      <c r="R919" s="19">
        <f ca="1">IF('Stock Price'!$I$11="OK",E919/INDEX(E$5:E$1258,'Stock Price'!$I$9)-1,"")</f>
        <v>-0.15910064239828692</v>
      </c>
      <c r="S919" s="19">
        <f ca="1">IF('Stock Price'!$I$11="OK",F919/INDEX(F$5:F$1258,'Stock Price'!$I$9)-1,"")</f>
        <v>7.5951986754966949E-2</v>
      </c>
      <c r="T919" s="19">
        <f ca="1">IF('Stock Price'!$I$11="OK",G919/INDEX(G$5:G$1258,'Stock Price'!$I$9)-1,"")</f>
        <v>-0.46561247698472863</v>
      </c>
      <c r="U919" s="19">
        <f ca="1">IF('Stock Price'!$I$11="OK",H919/INDEX(H$5:H$1258,'Stock Price'!$I$9)-1,"")</f>
        <v>-6.6544117647058698E-2</v>
      </c>
      <c r="V919" s="19">
        <f ca="1">IF('Stock Price'!$I$11="OK",I919/INDEX(I$5:I$1258,'Stock Price'!$I$9)-1,"")</f>
        <v>-0.4522684310018904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143.1</v>
      </c>
      <c r="C920" s="18">
        <v>112.58</v>
      </c>
      <c r="D920" s="18">
        <v>40</v>
      </c>
      <c r="E920" s="18">
        <v>39.53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0.18264462809917359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-0.16274201988487702</v>
      </c>
      <c r="R920" s="19">
        <f ca="1">IF('Stock Price'!$I$11="OK",E920/INDEX(E$5:E$1258,'Stock Price'!$I$9)-1,"")</f>
        <v>-0.15353319057815851</v>
      </c>
      <c r="S920" s="19">
        <f ca="1">IF('Stock Price'!$I$11="OK",F920/INDEX(F$5:F$1258,'Stock Price'!$I$9)-1,"")</f>
        <v>8.3402317880794774E-2</v>
      </c>
      <c r="T920" s="19">
        <f ca="1">IF('Stock Price'!$I$11="OK",G920/INDEX(G$5:G$1258,'Stock Price'!$I$9)-1,"")</f>
        <v>-0.46442109823459332</v>
      </c>
      <c r="U920" s="19">
        <f ca="1">IF('Stock Price'!$I$11="OK",H920/INDEX(H$5:H$1258,'Stock Price'!$I$9)-1,"")</f>
        <v>-6.3725490196078316E-2</v>
      </c>
      <c r="V920" s="19">
        <f ca="1">IF('Stock Price'!$I$11="OK",I920/INDEX(I$5:I$1258,'Stock Price'!$I$9)-1,"")</f>
        <v>-0.44588846880907373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141.5</v>
      </c>
      <c r="C921" s="18">
        <v>115.76</v>
      </c>
      <c r="D921" s="18">
        <v>41.03</v>
      </c>
      <c r="E921" s="18">
        <v>40.299999999999997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0.16942148760330578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-0.14118262689691252</v>
      </c>
      <c r="R921" s="19">
        <f ca="1">IF('Stock Price'!$I$11="OK",E921/INDEX(E$5:E$1258,'Stock Price'!$I$9)-1,"")</f>
        <v>-0.1370449678800858</v>
      </c>
      <c r="S921" s="19">
        <f ca="1">IF('Stock Price'!$I$11="OK",F921/INDEX(F$5:F$1258,'Stock Price'!$I$9)-1,"")</f>
        <v>2.1730132450331174E-2</v>
      </c>
      <c r="T921" s="19">
        <f ca="1">IF('Stock Price'!$I$11="OK",G921/INDEX(G$5:G$1258,'Stock Price'!$I$9)-1,"")</f>
        <v>-0.46420448391638691</v>
      </c>
      <c r="U921" s="19">
        <f ca="1">IF('Stock Price'!$I$11="OK",H921/INDEX(H$5:H$1258,'Stock Price'!$I$9)-1,"")</f>
        <v>-5.8333333333333237E-2</v>
      </c>
      <c r="V921" s="19">
        <f ca="1">IF('Stock Price'!$I$11="OK",I921/INDEX(I$5:I$1258,'Stock Price'!$I$9)-1,"")</f>
        <v>-0.44494328922495274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142.5</v>
      </c>
      <c r="C922" s="18">
        <v>116.7</v>
      </c>
      <c r="D922" s="18">
        <v>41.66</v>
      </c>
      <c r="E922" s="18">
        <v>40.68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0.1776859504132231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-0.12799581371009949</v>
      </c>
      <c r="R922" s="19">
        <f ca="1">IF('Stock Price'!$I$11="OK",E922/INDEX(E$5:E$1258,'Stock Price'!$I$9)-1,"")</f>
        <v>-0.12890792291220565</v>
      </c>
      <c r="S922" s="19">
        <f ca="1">IF('Stock Price'!$I$11="OK",F922/INDEX(F$5:F$1258,'Stock Price'!$I$9)-1,"")</f>
        <v>1.8004966887417151E-2</v>
      </c>
      <c r="T922" s="19">
        <f ca="1">IF('Stock Price'!$I$11="OK",G922/INDEX(G$5:G$1258,'Stock Price'!$I$9)-1,"")</f>
        <v>-0.45543160402902627</v>
      </c>
      <c r="U922" s="19">
        <f ca="1">IF('Stock Price'!$I$11="OK",H922/INDEX(H$5:H$1258,'Stock Price'!$I$9)-1,"")</f>
        <v>-6.5563725490196068E-2</v>
      </c>
      <c r="V922" s="19">
        <f ca="1">IF('Stock Price'!$I$11="OK",I922/INDEX(I$5:I$1258,'Stock Price'!$I$9)-1,"")</f>
        <v>-0.44565217391304346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142.47999999999999</v>
      </c>
      <c r="C923" s="18">
        <v>115.94</v>
      </c>
      <c r="D923" s="18">
        <v>40.46</v>
      </c>
      <c r="E923" s="18">
        <v>39.979999999999997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0.17752066115702481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-0.15311355311355312</v>
      </c>
      <c r="R923" s="19">
        <f ca="1">IF('Stock Price'!$I$11="OK",E923/INDEX(E$5:E$1258,'Stock Price'!$I$9)-1,"")</f>
        <v>-0.14389721627409002</v>
      </c>
      <c r="S923" s="19">
        <f ca="1">IF('Stock Price'!$I$11="OK",F923/INDEX(F$5:F$1258,'Stock Price'!$I$9)-1,"")</f>
        <v>1.8004966887417151E-2</v>
      </c>
      <c r="T923" s="19">
        <f ca="1">IF('Stock Price'!$I$11="OK",G923/INDEX(G$5:G$1258,'Stock Price'!$I$9)-1,"")</f>
        <v>-0.45933066175674209</v>
      </c>
      <c r="U923" s="19">
        <f ca="1">IF('Stock Price'!$I$11="OK",H923/INDEX(H$5:H$1258,'Stock Price'!$I$9)-1,"")</f>
        <v>-5.4656862745097956E-2</v>
      </c>
      <c r="V923" s="19">
        <f ca="1">IF('Stock Price'!$I$11="OK",I923/INDEX(I$5:I$1258,'Stock Price'!$I$9)-1,"")</f>
        <v>-0.44825141776937616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145.625</v>
      </c>
      <c r="C924" s="18">
        <v>116.94</v>
      </c>
      <c r="D924" s="18">
        <v>40.799999999999997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0.20351239669421495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-0.14599686028257464</v>
      </c>
      <c r="R924" s="19">
        <f ca="1">IF('Stock Price'!$I$11="OK",E924/INDEX(E$5:E$1258,'Stock Price'!$I$9)-1,"")</f>
        <v>-0.12633832976445403</v>
      </c>
      <c r="S924" s="19">
        <f ca="1">IF('Stock Price'!$I$11="OK",F924/INDEX(F$5:F$1258,'Stock Price'!$I$9)-1,"")</f>
        <v>2.4420529801324475E-2</v>
      </c>
      <c r="T924" s="19">
        <f ca="1">IF('Stock Price'!$I$11="OK",G924/INDEX(G$5:G$1258,'Stock Price'!$I$9)-1,"")</f>
        <v>-0.45153254630131046</v>
      </c>
      <c r="U924" s="19">
        <f ca="1">IF('Stock Price'!$I$11="OK",H924/INDEX(H$5:H$1258,'Stock Price'!$I$9)-1,"")</f>
        <v>-4.0808823529411731E-2</v>
      </c>
      <c r="V924" s="19">
        <f ca="1">IF('Stock Price'!$I$11="OK",I924/INDEX(I$5:I$1258,'Stock Price'!$I$9)-1,"")</f>
        <v>-0.44730623818525517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142.75</v>
      </c>
      <c r="C925" s="18">
        <v>117.79</v>
      </c>
      <c r="D925" s="18">
        <v>41.15</v>
      </c>
      <c r="E925" s="18">
        <v>40.76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0.17975206611570238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-0.13867085295656723</v>
      </c>
      <c r="R925" s="19">
        <f ca="1">IF('Stock Price'!$I$11="OK",E925/INDEX(E$5:E$1258,'Stock Price'!$I$9)-1,"")</f>
        <v>-0.12719486081370457</v>
      </c>
      <c r="S925" s="19">
        <f ca="1">IF('Stock Price'!$I$11="OK",F925/INDEX(F$5:F$1258,'Stock Price'!$I$9)-1,"")</f>
        <v>2.9801324503311299E-2</v>
      </c>
      <c r="T925" s="19">
        <f ca="1">IF('Stock Price'!$I$11="OK",G925/INDEX(G$5:G$1258,'Stock Price'!$I$9)-1,"")</f>
        <v>-0.42748835698039644</v>
      </c>
      <c r="U925" s="19">
        <f ca="1">IF('Stock Price'!$I$11="OK",H925/INDEX(H$5:H$1258,'Stock Price'!$I$9)-1,"")</f>
        <v>-4.8774509803921395E-2</v>
      </c>
      <c r="V925" s="19">
        <f ca="1">IF('Stock Price'!$I$11="OK",I925/INDEX(I$5:I$1258,'Stock Price'!$I$9)-1,"")</f>
        <v>-0.45368620037807184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144.31989999999999</v>
      </c>
      <c r="C926" s="18">
        <v>118.02</v>
      </c>
      <c r="D926" s="18">
        <v>41.2</v>
      </c>
      <c r="E926" s="18">
        <v>40.86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0.19272644628099167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-0.13762428048142328</v>
      </c>
      <c r="R926" s="19">
        <f ca="1">IF('Stock Price'!$I$11="OK",E926/INDEX(E$5:E$1258,'Stock Price'!$I$9)-1,"")</f>
        <v>-0.12505353319057821</v>
      </c>
      <c r="S926" s="19">
        <f ca="1">IF('Stock Price'!$I$11="OK",F926/INDEX(F$5:F$1258,'Stock Price'!$I$9)-1,"")</f>
        <v>4.4495033112582849E-2</v>
      </c>
      <c r="T926" s="19">
        <f ca="1">IF('Stock Price'!$I$11="OK",G926/INDEX(G$5:G$1258,'Stock Price'!$I$9)-1,"")</f>
        <v>-0.42738004982129318</v>
      </c>
      <c r="U926" s="19">
        <f ca="1">IF('Stock Price'!$I$11="OK",H926/INDEX(H$5:H$1258,'Stock Price'!$I$9)-1,"")</f>
        <v>-3.2230392156862742E-2</v>
      </c>
      <c r="V926" s="19">
        <f ca="1">IF('Stock Price'!$I$11="OK",I926/INDEX(I$5:I$1258,'Stock Price'!$I$9)-1,"")</f>
        <v>-0.44825141776937616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146.52000000000001</v>
      </c>
      <c r="C927" s="18">
        <v>118.02</v>
      </c>
      <c r="D927" s="18">
        <v>40.86</v>
      </c>
      <c r="E927" s="18">
        <v>40.85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0.21090909090909093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-0.14474097331240188</v>
      </c>
      <c r="R927" s="19">
        <f ca="1">IF('Stock Price'!$I$11="OK",E927/INDEX(E$5:E$1258,'Stock Price'!$I$9)-1,"")</f>
        <v>-0.12526766595289085</v>
      </c>
      <c r="S927" s="19">
        <f ca="1">IF('Stock Price'!$I$11="OK",F927/INDEX(F$5:F$1258,'Stock Price'!$I$9)-1,"")</f>
        <v>2.9594370860927199E-2</v>
      </c>
      <c r="T927" s="19">
        <f ca="1">IF('Stock Price'!$I$11="OK",G927/INDEX(G$5:G$1258,'Stock Price'!$I$9)-1,"")</f>
        <v>-0.42629697823026103</v>
      </c>
      <c r="U927" s="19">
        <f ca="1">IF('Stock Price'!$I$11="OK",H927/INDEX(H$5:H$1258,'Stock Price'!$I$9)-1,"")</f>
        <v>-2.7818627450980293E-2</v>
      </c>
      <c r="V927" s="19">
        <f ca="1">IF('Stock Price'!$I$11="OK",I927/INDEX(I$5:I$1258,'Stock Price'!$I$9)-1,"")</f>
        <v>-0.43360113421550095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146.625</v>
      </c>
      <c r="C928" s="18">
        <v>118.58</v>
      </c>
      <c r="D928" s="18">
        <v>41.3</v>
      </c>
      <c r="E928" s="18">
        <v>41.07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0.21177685950413228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-0.1355311355311356</v>
      </c>
      <c r="R928" s="19">
        <f ca="1">IF('Stock Price'!$I$11="OK",E928/INDEX(E$5:E$1258,'Stock Price'!$I$9)-1,"")</f>
        <v>-0.12055674518201287</v>
      </c>
      <c r="S928" s="19">
        <f ca="1">IF('Stock Price'!$I$11="OK",F928/INDEX(F$5:F$1258,'Stock Price'!$I$9)-1,"")</f>
        <v>3.22847682119205E-2</v>
      </c>
      <c r="T928" s="19">
        <f ca="1">IF('Stock Price'!$I$11="OK",G928/INDEX(G$5:G$1258,'Stock Price'!$I$9)-1,"")</f>
        <v>-0.42066500595689371</v>
      </c>
      <c r="U928" s="19">
        <f ca="1">IF('Stock Price'!$I$11="OK",H928/INDEX(H$5:H$1258,'Stock Price'!$I$9)-1,"")</f>
        <v>-3.0637254901960675E-3</v>
      </c>
      <c r="V928" s="19">
        <f ca="1">IF('Stock Price'!$I$11="OK",I928/INDEX(I$5:I$1258,'Stock Price'!$I$9)-1,"")</f>
        <v>-0.42580340264650285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148.215</v>
      </c>
      <c r="C929" s="18">
        <v>118.07</v>
      </c>
      <c r="D929" s="18">
        <v>41.62</v>
      </c>
      <c r="E929" s="18">
        <v>41.09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0.22491735537190083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-0.12883307169021463</v>
      </c>
      <c r="R929" s="19">
        <f ca="1">IF('Stock Price'!$I$11="OK",E929/INDEX(E$5:E$1258,'Stock Price'!$I$9)-1,"")</f>
        <v>-0.1201284796573876</v>
      </c>
      <c r="S929" s="19">
        <f ca="1">IF('Stock Price'!$I$11="OK",F929/INDEX(F$5:F$1258,'Stock Price'!$I$9)-1,"")</f>
        <v>2.8559602649006699E-2</v>
      </c>
      <c r="T929" s="19">
        <f ca="1">IF('Stock Price'!$I$11="OK",G929/INDEX(G$5:G$1258,'Stock Price'!$I$9)-1,"")</f>
        <v>-0.39878695981804402</v>
      </c>
      <c r="U929" s="19">
        <f ca="1">IF('Stock Price'!$I$11="OK",H929/INDEX(H$5:H$1258,'Stock Price'!$I$9)-1,"")</f>
        <v>-1.5686274509803977E-2</v>
      </c>
      <c r="V929" s="19">
        <f ca="1">IF('Stock Price'!$I$11="OK",I929/INDEX(I$5:I$1258,'Stock Price'!$I$9)-1,"")</f>
        <v>-0.42155009451795844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150.10489999999999</v>
      </c>
      <c r="C930" s="18">
        <v>120.77</v>
      </c>
      <c r="D930" s="18">
        <v>42.49</v>
      </c>
      <c r="E930" s="18">
        <v>41.95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0.24053636363636355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-0.11062271062271056</v>
      </c>
      <c r="R930" s="19">
        <f ca="1">IF('Stock Price'!$I$11="OK",E930/INDEX(E$5:E$1258,'Stock Price'!$I$9)-1,"")</f>
        <v>-0.10171306209850106</v>
      </c>
      <c r="S930" s="19">
        <f ca="1">IF('Stock Price'!$I$11="OK",F930/INDEX(F$5:F$1258,'Stock Price'!$I$9)-1,"")</f>
        <v>5.1945364238410452E-2</v>
      </c>
      <c r="T930" s="19">
        <f ca="1">IF('Stock Price'!$I$11="OK",G930/INDEX(G$5:G$1258,'Stock Price'!$I$9)-1,"")</f>
        <v>-0.39737896674970219</v>
      </c>
      <c r="U930" s="19">
        <f ca="1">IF('Stock Price'!$I$11="OK",H930/INDEX(H$5:H$1258,'Stock Price'!$I$9)-1,"")</f>
        <v>2.6960784313725394E-3</v>
      </c>
      <c r="V930" s="19">
        <f ca="1">IF('Stock Price'!$I$11="OK",I930/INDEX(I$5:I$1258,'Stock Price'!$I$9)-1,"")</f>
        <v>-0.41304347826086962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148.03989999999999</v>
      </c>
      <c r="C931" s="18">
        <v>119.45</v>
      </c>
      <c r="D931" s="18">
        <v>40.86</v>
      </c>
      <c r="E931" s="18">
        <v>41.32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0.22347024793388415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-0.14474097331240188</v>
      </c>
      <c r="R931" s="19">
        <f ca="1">IF('Stock Price'!$I$11="OK",E931/INDEX(E$5:E$1258,'Stock Price'!$I$9)-1,"")</f>
        <v>-0.11520342612419709</v>
      </c>
      <c r="S931" s="19">
        <f ca="1">IF('Stock Price'!$I$11="OK",F931/INDEX(F$5:F$1258,'Stock Price'!$I$9)-1,"")</f>
        <v>2.7938741721854399E-2</v>
      </c>
      <c r="T931" s="19">
        <f ca="1">IF('Stock Price'!$I$11="OK",G931/INDEX(G$5:G$1258,'Stock Price'!$I$9)-1,"")</f>
        <v>-0.40474385356872089</v>
      </c>
      <c r="U931" s="19">
        <f ca="1">IF('Stock Price'!$I$11="OK",H931/INDEX(H$5:H$1258,'Stock Price'!$I$9)-1,"")</f>
        <v>1.3480392156861587E-3</v>
      </c>
      <c r="V931" s="19">
        <f ca="1">IF('Stock Price'!$I$11="OK",I931/INDEX(I$5:I$1258,'Stock Price'!$I$9)-1,"")</f>
        <v>-0.42013232514177701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148.35</v>
      </c>
      <c r="C932" s="18">
        <v>118.09</v>
      </c>
      <c r="D932" s="18">
        <v>40.49</v>
      </c>
      <c r="E932" s="18">
        <v>40.159999999999997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0.22603305785123973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-0.15248560962846669</v>
      </c>
      <c r="R932" s="19">
        <f ca="1">IF('Stock Price'!$I$11="OK",E932/INDEX(E$5:E$1258,'Stock Price'!$I$9)-1,"")</f>
        <v>-0.1400428265524627</v>
      </c>
      <c r="S932" s="19">
        <f ca="1">IF('Stock Price'!$I$11="OK",F932/INDEX(F$5:F$1258,'Stock Price'!$I$9)-1,"")</f>
        <v>2.2557947019867575E-2</v>
      </c>
      <c r="T932" s="19">
        <f ca="1">IF('Stock Price'!$I$11="OK",G932/INDEX(G$5:G$1258,'Stock Price'!$I$9)-1,"")</f>
        <v>-0.40268601754575983</v>
      </c>
      <c r="U932" s="19">
        <f ca="1">IF('Stock Price'!$I$11="OK",H932/INDEX(H$5:H$1258,'Stock Price'!$I$9)-1,"")</f>
        <v>-7.8431372549019329E-3</v>
      </c>
      <c r="V932" s="19">
        <f ca="1">IF('Stock Price'!$I$11="OK",I932/INDEX(I$5:I$1258,'Stock Price'!$I$9)-1,"")</f>
        <v>-0.42344045368620042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140.97</v>
      </c>
      <c r="C933" s="18">
        <v>116.41</v>
      </c>
      <c r="D933" s="18">
        <v>39.72</v>
      </c>
      <c r="E933" s="18">
        <v>40.020000000000003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0.16504132231404967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-0.16860282574568286</v>
      </c>
      <c r="R933" s="19">
        <f ca="1">IF('Stock Price'!$I$11="OK",E933/INDEX(E$5:E$1258,'Stock Price'!$I$9)-1,"")</f>
        <v>-0.14304068522483937</v>
      </c>
      <c r="S933" s="19">
        <f ca="1">IF('Stock Price'!$I$11="OK",F933/INDEX(F$5:F$1258,'Stock Price'!$I$9)-1,"")</f>
        <v>-2.0695364238411118E-3</v>
      </c>
      <c r="T933" s="19">
        <f ca="1">IF('Stock Price'!$I$11="OK",G933/INDEX(G$5:G$1258,'Stock Price'!$I$9)-1,"")</f>
        <v>-0.41167551175132677</v>
      </c>
      <c r="U933" s="19">
        <f ca="1">IF('Stock Price'!$I$11="OK",H933/INDEX(H$5:H$1258,'Stock Price'!$I$9)-1,"")</f>
        <v>-4.0686274509803888E-2</v>
      </c>
      <c r="V933" s="19">
        <f ca="1">IF('Stock Price'!$I$11="OK",I933/INDEX(I$5:I$1258,'Stock Price'!$I$9)-1,"")</f>
        <v>-0.43289224952741023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143.6</v>
      </c>
      <c r="C934" s="18">
        <v>115.96</v>
      </c>
      <c r="D934" s="18">
        <v>38.64</v>
      </c>
      <c r="E934" s="18">
        <v>39.619999999999997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0.18677685950413214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-0.1912087912087912</v>
      </c>
      <c r="R934" s="19">
        <f ca="1">IF('Stock Price'!$I$11="OK",E934/INDEX(E$5:E$1258,'Stock Price'!$I$9)-1,"")</f>
        <v>-0.1516059957173449</v>
      </c>
      <c r="S934" s="19">
        <f ca="1">IF('Stock Price'!$I$11="OK",F934/INDEX(F$5:F$1258,'Stock Price'!$I$9)-1,"")</f>
        <v>-1.448675496688745E-2</v>
      </c>
      <c r="T934" s="19">
        <f ca="1">IF('Stock Price'!$I$11="OK",G934/INDEX(G$5:G$1258,'Stock Price'!$I$9)-1,"")</f>
        <v>-0.41070074731939787</v>
      </c>
      <c r="U934" s="19">
        <f ca="1">IF('Stock Price'!$I$11="OK",H934/INDEX(H$5:H$1258,'Stock Price'!$I$9)-1,"")</f>
        <v>-2.8308823529411664E-2</v>
      </c>
      <c r="V934" s="19">
        <f ca="1">IF('Stock Price'!$I$11="OK",I934/INDEX(I$5:I$1258,'Stock Price'!$I$9)-1,"")</f>
        <v>-0.43572778827977321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139.6901</v>
      </c>
      <c r="C935" s="18">
        <v>115.77</v>
      </c>
      <c r="D935" s="18">
        <v>38.07</v>
      </c>
      <c r="E935" s="18">
        <v>39.200000000000003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0.15446363636363647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-0.20313971742543169</v>
      </c>
      <c r="R935" s="19">
        <f ca="1">IF('Stock Price'!$I$11="OK",E935/INDEX(E$5:E$1258,'Stock Price'!$I$9)-1,"")</f>
        <v>-0.16059957173447537</v>
      </c>
      <c r="S935" s="19">
        <f ca="1">IF('Stock Price'!$I$11="OK",F935/INDEX(F$5:F$1258,'Stock Price'!$I$9)-1,"")</f>
        <v>-9.5198675496689367E-3</v>
      </c>
      <c r="T935" s="19">
        <f ca="1">IF('Stock Price'!$I$11="OK",G935/INDEX(G$5:G$1258,'Stock Price'!$I$9)-1,"")</f>
        <v>-0.42196469186613239</v>
      </c>
      <c r="U935" s="19">
        <f ca="1">IF('Stock Price'!$I$11="OK",H935/INDEX(H$5:H$1258,'Stock Price'!$I$9)-1,"")</f>
        <v>-3.1127450980392046E-2</v>
      </c>
      <c r="V935" s="19">
        <f ca="1">IF('Stock Price'!$I$11="OK",I935/INDEX(I$5:I$1258,'Stock Price'!$I$9)-1,"")</f>
        <v>-0.43360113421550095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142.01</v>
      </c>
      <c r="C936" s="18">
        <v>117.52</v>
      </c>
      <c r="D936" s="18">
        <v>38.26</v>
      </c>
      <c r="E936" s="18">
        <v>40.04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0.17363636363636359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-0.19916274201988493</v>
      </c>
      <c r="R936" s="19">
        <f ca="1">IF('Stock Price'!$I$11="OK",E936/INDEX(E$5:E$1258,'Stock Price'!$I$9)-1,"")</f>
        <v>-0.14261241970021421</v>
      </c>
      <c r="S936" s="19">
        <f ca="1">IF('Stock Price'!$I$11="OK",F936/INDEX(F$5:F$1258,'Stock Price'!$I$9)-1,"")</f>
        <v>-2.8973509933775121E-3</v>
      </c>
      <c r="T936" s="19">
        <f ca="1">IF('Stock Price'!$I$11="OK",G936/INDEX(G$5:G$1258,'Stock Price'!$I$9)-1,"")</f>
        <v>-0.43171233618542182</v>
      </c>
      <c r="U936" s="19">
        <f ca="1">IF('Stock Price'!$I$11="OK",H936/INDEX(H$5:H$1258,'Stock Price'!$I$9)-1,"")</f>
        <v>-1.7647058823529349E-2</v>
      </c>
      <c r="V936" s="19">
        <f ca="1">IF('Stock Price'!$I$11="OK",I936/INDEX(I$5:I$1258,'Stock Price'!$I$9)-1,"")</f>
        <v>-0.43218336483931941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142.01</v>
      </c>
      <c r="C937" s="18">
        <v>118.83</v>
      </c>
      <c r="D937" s="18">
        <v>38.68</v>
      </c>
      <c r="E937" s="18">
        <v>40.79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0.17363636363636359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-0.19037153322867606</v>
      </c>
      <c r="R937" s="19">
        <f ca="1">IF('Stock Price'!$I$11="OK",E937/INDEX(E$5:E$1258,'Stock Price'!$I$9)-1,"")</f>
        <v>-0.12655246252676666</v>
      </c>
      <c r="S937" s="19">
        <f ca="1">IF('Stock Price'!$I$11="OK",F937/INDEX(F$5:F$1258,'Stock Price'!$I$9)-1,"")</f>
        <v>2.0695364238410008E-3</v>
      </c>
      <c r="T937" s="19">
        <f ca="1">IF('Stock Price'!$I$11="OK",G937/INDEX(G$5:G$1258,'Stock Price'!$I$9)-1,"")</f>
        <v>-0.42629697823026103</v>
      </c>
      <c r="U937" s="19">
        <f ca="1">IF('Stock Price'!$I$11="OK",H937/INDEX(H$5:H$1258,'Stock Price'!$I$9)-1,"")</f>
        <v>-1.5686274509803977E-2</v>
      </c>
      <c r="V937" s="19">
        <f ca="1">IF('Stock Price'!$I$11="OK",I937/INDEX(I$5:I$1258,'Stock Price'!$I$9)-1,"")</f>
        <v>-0.42556710775047257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146.19999999999999</v>
      </c>
      <c r="C938" s="18">
        <v>118</v>
      </c>
      <c r="D938" s="18">
        <v>38.28</v>
      </c>
      <c r="E938" s="18">
        <v>40.29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0.20826446280991728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-0.19874411302982731</v>
      </c>
      <c r="R938" s="19">
        <f ca="1">IF('Stock Price'!$I$11="OK",E938/INDEX(E$5:E$1258,'Stock Price'!$I$9)-1,"")</f>
        <v>-0.13725910064239832</v>
      </c>
      <c r="S938" s="19">
        <f ca="1">IF('Stock Price'!$I$11="OK",F938/INDEX(F$5:F$1258,'Stock Price'!$I$9)-1,"")</f>
        <v>-1.0761589403973537E-2</v>
      </c>
      <c r="T938" s="19">
        <f ca="1">IF('Stock Price'!$I$11="OK",G938/INDEX(G$5:G$1258,'Stock Price'!$I$9)-1,"")</f>
        <v>-0.42792158561680926</v>
      </c>
      <c r="U938" s="19">
        <f ca="1">IF('Stock Price'!$I$11="OK",H938/INDEX(H$5:H$1258,'Stock Price'!$I$9)-1,"")</f>
        <v>-2.3651960784313641E-2</v>
      </c>
      <c r="V938" s="19">
        <f ca="1">IF('Stock Price'!$I$11="OK",I938/INDEX(I$5:I$1258,'Stock Price'!$I$9)-1,"")</f>
        <v>-0.42674858223062384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139.92500000000001</v>
      </c>
      <c r="C939" s="18">
        <v>120.32</v>
      </c>
      <c r="D939" s="18">
        <v>38.549999999999997</v>
      </c>
      <c r="E939" s="18">
        <v>41.18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0.15640495867768611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-0.19309262166405028</v>
      </c>
      <c r="R939" s="19">
        <f ca="1">IF('Stock Price'!$I$11="OK",E939/INDEX(E$5:E$1258,'Stock Price'!$I$9)-1,"")</f>
        <v>-0.11820128479657399</v>
      </c>
      <c r="S939" s="19">
        <f ca="1">IF('Stock Price'!$I$11="OK",F939/INDEX(F$5:F$1258,'Stock Price'!$I$9)-1,"")</f>
        <v>1.0347682119205004E-3</v>
      </c>
      <c r="T939" s="19">
        <f ca="1">IF('Stock Price'!$I$11="OK",G939/INDEX(G$5:G$1258,'Stock Price'!$I$9)-1,"")</f>
        <v>-0.43073757175349292</v>
      </c>
      <c r="U939" s="19">
        <f ca="1">IF('Stock Price'!$I$11="OK",H939/INDEX(H$5:H$1258,'Stock Price'!$I$9)-1,"")</f>
        <v>-3.3946078431372539E-2</v>
      </c>
      <c r="V939" s="19">
        <f ca="1">IF('Stock Price'!$I$11="OK",I939/INDEX(I$5:I$1258,'Stock Price'!$I$9)-1,"")</f>
        <v>-0.42722117202268439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138.18</v>
      </c>
      <c r="C940" s="18">
        <v>120.01</v>
      </c>
      <c r="D940" s="18">
        <v>38.58</v>
      </c>
      <c r="E940" s="18">
        <v>40.909999999999997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0.14198347107438014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-0.19246467817896395</v>
      </c>
      <c r="R940" s="19">
        <f ca="1">IF('Stock Price'!$I$11="OK",E940/INDEX(E$5:E$1258,'Stock Price'!$I$9)-1,"")</f>
        <v>-0.12398286937901515</v>
      </c>
      <c r="S940" s="19">
        <f ca="1">IF('Stock Price'!$I$11="OK",F940/INDEX(F$5:F$1258,'Stock Price'!$I$9)-1,"")</f>
        <v>-9.7268211920529257E-3</v>
      </c>
      <c r="T940" s="19">
        <f ca="1">IF('Stock Price'!$I$11="OK",G940/INDEX(G$5:G$1258,'Stock Price'!$I$9)-1,"")</f>
        <v>-0.41568287663814574</v>
      </c>
      <c r="U940" s="19">
        <f ca="1">IF('Stock Price'!$I$11="OK",H940/INDEX(H$5:H$1258,'Stock Price'!$I$9)-1,"")</f>
        <v>-3.0637254901960786E-2</v>
      </c>
      <c r="V940" s="19">
        <f ca="1">IF('Stock Price'!$I$11="OK",I940/INDEX(I$5:I$1258,'Stock Price'!$I$9)-1,"")</f>
        <v>-0.42840264650283555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138.18</v>
      </c>
      <c r="C941" s="18">
        <v>121.01</v>
      </c>
      <c r="D941" s="18">
        <v>38.4</v>
      </c>
      <c r="E941" s="18">
        <v>40.76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0.14198347107438014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-0.1962323390894819</v>
      </c>
      <c r="R941" s="19">
        <f ca="1">IF('Stock Price'!$I$11="OK",E941/INDEX(E$5:E$1258,'Stock Price'!$I$9)-1,"")</f>
        <v>-0.12719486081370457</v>
      </c>
      <c r="S941" s="19">
        <f ca="1">IF('Stock Price'!$I$11="OK",F941/INDEX(F$5:F$1258,'Stock Price'!$I$9)-1,"")</f>
        <v>-2.0695364238410008E-4</v>
      </c>
      <c r="T941" s="19">
        <f ca="1">IF('Stock Price'!$I$11="OK",G941/INDEX(G$5:G$1258,'Stock Price'!$I$9)-1,"")</f>
        <v>-0.44687533845987215</v>
      </c>
      <c r="U941" s="19">
        <f ca="1">IF('Stock Price'!$I$11="OK",H941/INDEX(H$5:H$1258,'Stock Price'!$I$9)-1,"")</f>
        <v>-2.990196078431373E-2</v>
      </c>
      <c r="V941" s="19">
        <f ca="1">IF('Stock Price'!$I$11="OK",I941/INDEX(I$5:I$1258,'Stock Price'!$I$9)-1,"")</f>
        <v>-0.42722117202268439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139.71</v>
      </c>
      <c r="C942" s="18">
        <v>123.1</v>
      </c>
      <c r="D942" s="18">
        <v>38.950000000000003</v>
      </c>
      <c r="E942" s="18">
        <v>41.15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0.1546280991735538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-0.18472004186289892</v>
      </c>
      <c r="R942" s="19">
        <f ca="1">IF('Stock Price'!$I$11="OK",E942/INDEX(E$5:E$1258,'Stock Price'!$I$9)-1,"")</f>
        <v>-0.1188436830835119</v>
      </c>
      <c r="S942" s="19">
        <f ca="1">IF('Stock Price'!$I$11="OK",F942/INDEX(F$5:F$1258,'Stock Price'!$I$9)-1,"")</f>
        <v>1.510761589403975E-2</v>
      </c>
      <c r="T942" s="19">
        <f ca="1">IF('Stock Price'!$I$11="OK",G942/INDEX(G$5:G$1258,'Stock Price'!$I$9)-1,"")</f>
        <v>-0.4268385140257771</v>
      </c>
      <c r="U942" s="19">
        <f ca="1">IF('Stock Price'!$I$11="OK",H942/INDEX(H$5:H$1258,'Stock Price'!$I$9)-1,"")</f>
        <v>2.5735294117648078E-3</v>
      </c>
      <c r="V942" s="19">
        <f ca="1">IF('Stock Price'!$I$11="OK",I942/INDEX(I$5:I$1258,'Stock Price'!$I$9)-1,"")</f>
        <v>-0.40831758034026466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143.88</v>
      </c>
      <c r="C943" s="18">
        <v>123.81</v>
      </c>
      <c r="D943" s="18">
        <v>38.51</v>
      </c>
      <c r="E943" s="18">
        <v>41.15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0.18909090909090898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-0.19392987964416541</v>
      </c>
      <c r="R943" s="19">
        <f ca="1">IF('Stock Price'!$I$11="OK",E943/INDEX(E$5:E$1258,'Stock Price'!$I$9)-1,"")</f>
        <v>-0.1188436830835119</v>
      </c>
      <c r="S943" s="19">
        <f ca="1">IF('Stock Price'!$I$11="OK",F943/INDEX(F$5:F$1258,'Stock Price'!$I$9)-1,"")</f>
        <v>2.0488410596026574E-2</v>
      </c>
      <c r="T943" s="19">
        <f ca="1">IF('Stock Price'!$I$11="OK",G943/INDEX(G$5:G$1258,'Stock Price'!$I$9)-1,"")</f>
        <v>-0.42911296436694468</v>
      </c>
      <c r="U943" s="19">
        <f ca="1">IF('Stock Price'!$I$11="OK",H943/INDEX(H$5:H$1258,'Stock Price'!$I$9)-1,"")</f>
        <v>9.6813725490196845E-3</v>
      </c>
      <c r="V943" s="19">
        <f ca="1">IF('Stock Price'!$I$11="OK",I943/INDEX(I$5:I$1258,'Stock Price'!$I$9)-1,"")</f>
        <v>-0.40170132325141772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140.685</v>
      </c>
      <c r="C944" s="18">
        <v>121.9</v>
      </c>
      <c r="D944" s="18">
        <v>38.18</v>
      </c>
      <c r="E944" s="18">
        <v>40.44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0.1626859504132232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-0.20083725798011509</v>
      </c>
      <c r="R944" s="19">
        <f ca="1">IF('Stock Price'!$I$11="OK",E944/INDEX(E$5:E$1258,'Stock Price'!$I$9)-1,"")</f>
        <v>-0.1340471092077089</v>
      </c>
      <c r="S944" s="19">
        <f ca="1">IF('Stock Price'!$I$11="OK",F944/INDEX(F$5:F$1258,'Stock Price'!$I$9)-1,"")</f>
        <v>-4.1390728476831118E-4</v>
      </c>
      <c r="T944" s="19">
        <f ca="1">IF('Stock Price'!$I$11="OK",G944/INDEX(G$5:G$1258,'Stock Price'!$I$9)-1,"")</f>
        <v>-0.43571970107224089</v>
      </c>
      <c r="U944" s="19">
        <f ca="1">IF('Stock Price'!$I$11="OK",H944/INDEX(H$5:H$1258,'Stock Price'!$I$9)-1,"")</f>
        <v>-8.21078431372535E-3</v>
      </c>
      <c r="V944" s="19">
        <f ca="1">IF('Stock Price'!$I$11="OK",I944/INDEX(I$5:I$1258,'Stock Price'!$I$9)-1,"")</f>
        <v>-0.40028355387523629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142.63</v>
      </c>
      <c r="C945" s="18">
        <v>122.12</v>
      </c>
      <c r="D945" s="18">
        <v>38.19</v>
      </c>
      <c r="E945" s="18">
        <v>40.32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0.17876033057851237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-0.20062794348508639</v>
      </c>
      <c r="R945" s="19">
        <f ca="1">IF('Stock Price'!$I$11="OK",E945/INDEX(E$5:E$1258,'Stock Price'!$I$9)-1,"")</f>
        <v>-0.13661670235546042</v>
      </c>
      <c r="S945" s="19">
        <f ca="1">IF('Stock Price'!$I$11="OK",F945/INDEX(F$5:F$1258,'Stock Price'!$I$9)-1,"")</f>
        <v>0</v>
      </c>
      <c r="T945" s="19">
        <f ca="1">IF('Stock Price'!$I$11="OK",G945/INDEX(G$5:G$1258,'Stock Price'!$I$9)-1,"")</f>
        <v>-0.43355355789017658</v>
      </c>
      <c r="U945" s="19">
        <f ca="1">IF('Stock Price'!$I$11="OK",H945/INDEX(H$5:H$1258,'Stock Price'!$I$9)-1,"")</f>
        <v>-8.5784313725488781E-3</v>
      </c>
      <c r="V945" s="19">
        <f ca="1">IF('Stock Price'!$I$11="OK",I945/INDEX(I$5:I$1258,'Stock Price'!$I$9)-1,"")</f>
        <v>-0.40359168241965981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140.15</v>
      </c>
      <c r="C946" s="18">
        <v>121.68</v>
      </c>
      <c r="D946" s="18">
        <v>38.479999999999997</v>
      </c>
      <c r="E946" s="18">
        <v>40.090000000000003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0.15826446280991746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-0.19455782312925174</v>
      </c>
      <c r="R946" s="19">
        <f ca="1">IF('Stock Price'!$I$11="OK",E946/INDEX(E$5:E$1258,'Stock Price'!$I$9)-1,"")</f>
        <v>-0.14154175588865092</v>
      </c>
      <c r="S946" s="19">
        <f ca="1">IF('Stock Price'!$I$11="OK",F946/INDEX(F$5:F$1258,'Stock Price'!$I$9)-1,"")</f>
        <v>-2.8973509933775121E-3</v>
      </c>
      <c r="T946" s="19">
        <f ca="1">IF('Stock Price'!$I$11="OK",G946/INDEX(G$5:G$1258,'Stock Price'!$I$9)-1,"")</f>
        <v>-0.41124228311491384</v>
      </c>
      <c r="U946" s="19">
        <f ca="1">IF('Stock Price'!$I$11="OK",H946/INDEX(H$5:H$1258,'Stock Price'!$I$9)-1,"")</f>
        <v>-2.8186274509802711E-3</v>
      </c>
      <c r="V946" s="19">
        <f ca="1">IF('Stock Price'!$I$11="OK",I946/INDEX(I$5:I$1258,'Stock Price'!$I$9)-1,"")</f>
        <v>-0.39461247637051033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141.4</v>
      </c>
      <c r="C947" s="18">
        <v>122.94</v>
      </c>
      <c r="D947" s="18">
        <v>39.04</v>
      </c>
      <c r="E947" s="18">
        <v>40.869999999999997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0.16859504132231407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-0.18283621140763995</v>
      </c>
      <c r="R947" s="19">
        <f ca="1">IF('Stock Price'!$I$11="OK",E947/INDEX(E$5:E$1258,'Stock Price'!$I$9)-1,"")</f>
        <v>-0.12483940042826558</v>
      </c>
      <c r="S947" s="19">
        <f ca="1">IF('Stock Price'!$I$11="OK",F947/INDEX(F$5:F$1258,'Stock Price'!$I$9)-1,"")</f>
        <v>1.0554635761589326E-2</v>
      </c>
      <c r="T947" s="19">
        <f ca="1">IF('Stock Price'!$I$11="OK",G947/INDEX(G$5:G$1258,'Stock Price'!$I$9)-1,"")</f>
        <v>-0.40799306834181737</v>
      </c>
      <c r="U947" s="19">
        <f ca="1">IF('Stock Price'!$I$11="OK",H947/INDEX(H$5:H$1258,'Stock Price'!$I$9)-1,"")</f>
        <v>2.5857843137254921E-2</v>
      </c>
      <c r="V947" s="19">
        <f ca="1">IF('Stock Price'!$I$11="OK",I947/INDEX(I$5:I$1258,'Stock Price'!$I$9)-1,"")</f>
        <v>-0.39603024574669188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141.4</v>
      </c>
      <c r="C948" s="18">
        <v>123.73</v>
      </c>
      <c r="D948" s="18">
        <v>39.58</v>
      </c>
      <c r="E948" s="18">
        <v>41.22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0.16859504132231407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-0.17153322867608578</v>
      </c>
      <c r="R948" s="19">
        <f ca="1">IF('Stock Price'!$I$11="OK",E948/INDEX(E$5:E$1258,'Stock Price'!$I$9)-1,"")</f>
        <v>-0.11734475374732345</v>
      </c>
      <c r="S948" s="19">
        <f ca="1">IF('Stock Price'!$I$11="OK",F948/INDEX(F$5:F$1258,'Stock Price'!$I$9)-1,"")</f>
        <v>2.1109271523178874E-2</v>
      </c>
      <c r="T948" s="19">
        <f ca="1">IF('Stock Price'!$I$11="OK",G948/INDEX(G$5:G$1258,'Stock Price'!$I$9)-1,"")</f>
        <v>-0.39824542402252783</v>
      </c>
      <c r="U948" s="19">
        <f ca="1">IF('Stock Price'!$I$11="OK",H948/INDEX(H$5:H$1258,'Stock Price'!$I$9)-1,"")</f>
        <v>2.9656862745098156E-2</v>
      </c>
      <c r="V948" s="19">
        <f ca="1">IF('Stock Price'!$I$11="OK",I948/INDEX(I$5:I$1258,'Stock Price'!$I$9)-1,"")</f>
        <v>-0.39083175803402648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140.25989999999999</v>
      </c>
      <c r="C949" s="18">
        <v>121.02</v>
      </c>
      <c r="D949" s="18">
        <v>38.28</v>
      </c>
      <c r="E949" s="18">
        <v>40.49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0.15917272727272724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-0.19874411302982731</v>
      </c>
      <c r="R949" s="19">
        <f ca="1">IF('Stock Price'!$I$11="OK",E949/INDEX(E$5:E$1258,'Stock Price'!$I$9)-1,"")</f>
        <v>-0.13297644539614561</v>
      </c>
      <c r="S949" s="19">
        <f ca="1">IF('Stock Price'!$I$11="OK",F949/INDEX(F$5:F$1258,'Stock Price'!$I$9)-1,"")</f>
        <v>6.0016556291391243E-3</v>
      </c>
      <c r="T949" s="19">
        <f ca="1">IF('Stock Price'!$I$11="OK",G949/INDEX(G$5:G$1258,'Stock Price'!$I$9)-1,"")</f>
        <v>-0.40777645402361096</v>
      </c>
      <c r="U949" s="19">
        <f ca="1">IF('Stock Price'!$I$11="OK",H949/INDEX(H$5:H$1258,'Stock Price'!$I$9)-1,"")</f>
        <v>2.1568627450980538E-2</v>
      </c>
      <c r="V949" s="19">
        <f ca="1">IF('Stock Price'!$I$11="OK",I949/INDEX(I$5:I$1258,'Stock Price'!$I$9)-1,"")</f>
        <v>-0.39390359168241973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143.15</v>
      </c>
      <c r="C950" s="18">
        <v>121.04</v>
      </c>
      <c r="D950" s="18">
        <v>38.29</v>
      </c>
      <c r="E950" s="18">
        <v>40.28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0.18305785123966944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-0.1985347985347985</v>
      </c>
      <c r="R950" s="19">
        <f ca="1">IF('Stock Price'!$I$11="OK",E950/INDEX(E$5:E$1258,'Stock Price'!$I$9)-1,"")</f>
        <v>-0.13747323340471096</v>
      </c>
      <c r="S950" s="19">
        <f ca="1">IF('Stock Price'!$I$11="OK",F950/INDEX(F$5:F$1258,'Stock Price'!$I$9)-1,"")</f>
        <v>4.7599337748343018E-3</v>
      </c>
      <c r="T950" s="19">
        <f ca="1">IF('Stock Price'!$I$11="OK",G950/INDEX(G$5:G$1258,'Stock Price'!$I$9)-1,"")</f>
        <v>-0.40409401061410155</v>
      </c>
      <c r="U950" s="19">
        <f ca="1">IF('Stock Price'!$I$11="OK",H950/INDEX(H$5:H$1258,'Stock Price'!$I$9)-1,"")</f>
        <v>2.536764705882355E-2</v>
      </c>
      <c r="V950" s="19">
        <f ca="1">IF('Stock Price'!$I$11="OK",I950/INDEX(I$5:I$1258,'Stock Price'!$I$9)-1,"")</f>
        <v>-0.400992438563327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140.4</v>
      </c>
      <c r="C951" s="18">
        <v>119.67</v>
      </c>
      <c r="D951" s="18">
        <v>37.82</v>
      </c>
      <c r="E951" s="18">
        <v>39.630000000000003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0.16033057851239674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-0.2083725798011512</v>
      </c>
      <c r="R951" s="19">
        <f ca="1">IF('Stock Price'!$I$11="OK",E951/INDEX(E$5:E$1258,'Stock Price'!$I$9)-1,"")</f>
        <v>-0.15139186295503215</v>
      </c>
      <c r="S951" s="19">
        <f ca="1">IF('Stock Price'!$I$11="OK",F951/INDEX(F$5:F$1258,'Stock Price'!$I$9)-1,"")</f>
        <v>-4.1390728476822236E-3</v>
      </c>
      <c r="T951" s="19">
        <f ca="1">IF('Stock Price'!$I$11="OK",G951/INDEX(G$5:G$1258,'Stock Price'!$I$9)-1,"")</f>
        <v>-0.40831798981912704</v>
      </c>
      <c r="U951" s="19">
        <f ca="1">IF('Stock Price'!$I$11="OK",H951/INDEX(H$5:H$1258,'Stock Price'!$I$9)-1,"")</f>
        <v>-9.8039215686274161E-4</v>
      </c>
      <c r="V951" s="19">
        <f ca="1">IF('Stock Price'!$I$11="OK",I951/INDEX(I$5:I$1258,'Stock Price'!$I$9)-1,"")</f>
        <v>-0.41847826086956519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142.02000000000001</v>
      </c>
      <c r="C952" s="18">
        <v>118.37</v>
      </c>
      <c r="D952" s="18">
        <v>38.28</v>
      </c>
      <c r="E952" s="18">
        <v>40.200000000000003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0.17371900826446285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-0.19874411302982731</v>
      </c>
      <c r="R952" s="19">
        <f ca="1">IF('Stock Price'!$I$11="OK",E952/INDEX(E$5:E$1258,'Stock Price'!$I$9)-1,"")</f>
        <v>-0.13918629550321193</v>
      </c>
      <c r="S952" s="19">
        <f ca="1">IF('Stock Price'!$I$11="OK",F952/INDEX(F$5:F$1258,'Stock Price'!$I$9)-1,"")</f>
        <v>4.1390728476822236E-3</v>
      </c>
      <c r="T952" s="19">
        <f ca="1">IF('Stock Price'!$I$11="OK",G952/INDEX(G$5:G$1258,'Stock Price'!$I$9)-1,"")</f>
        <v>-0.40290263186396613</v>
      </c>
      <c r="U952" s="19">
        <f ca="1">IF('Stock Price'!$I$11="OK",H952/INDEX(H$5:H$1258,'Stock Price'!$I$9)-1,"")</f>
        <v>1.0171568627451055E-2</v>
      </c>
      <c r="V952" s="19">
        <f ca="1">IF('Stock Price'!$I$11="OK",I952/INDEX(I$5:I$1258,'Stock Price'!$I$9)-1,"")</f>
        <v>-0.41847826086956519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142.02000000000001</v>
      </c>
      <c r="C953" s="18">
        <v>114.52</v>
      </c>
      <c r="D953" s="18">
        <v>36.47</v>
      </c>
      <c r="E953" s="18">
        <v>39.880000000000003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0.17371900826446285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-0.23663003663003668</v>
      </c>
      <c r="R953" s="19">
        <f ca="1">IF('Stock Price'!$I$11="OK",E953/INDEX(E$5:E$1258,'Stock Price'!$I$9)-1,"")</f>
        <v>-0.14603854389721627</v>
      </c>
      <c r="S953" s="19">
        <f ca="1">IF('Stock Price'!$I$11="OK",F953/INDEX(F$5:F$1258,'Stock Price'!$I$9)-1,"")</f>
        <v>6.8294701986755246E-3</v>
      </c>
      <c r="T953" s="19">
        <f ca="1">IF('Stock Price'!$I$11="OK",G953/INDEX(G$5:G$1258,'Stock Price'!$I$9)-1,"")</f>
        <v>-0.39412975197660571</v>
      </c>
      <c r="U953" s="19">
        <f ca="1">IF('Stock Price'!$I$11="OK",H953/INDEX(H$5:H$1258,'Stock Price'!$I$9)-1,"")</f>
        <v>-9.8039215686274161E-4</v>
      </c>
      <c r="V953" s="19">
        <f ca="1">IF('Stock Price'!$I$11="OK",I953/INDEX(I$5:I$1258,'Stock Price'!$I$9)-1,"")</f>
        <v>-0.41918714555765602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142.02000000000001</v>
      </c>
      <c r="C954" s="18">
        <v>114.25</v>
      </c>
      <c r="D954" s="18">
        <v>36.31</v>
      </c>
      <c r="E954" s="18">
        <v>40.08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0.17371900826446285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-0.239979068550497</v>
      </c>
      <c r="R954" s="19">
        <f ca="1">IF('Stock Price'!$I$11="OK",E954/INDEX(E$5:E$1258,'Stock Price'!$I$9)-1,"")</f>
        <v>-0.14175588865096367</v>
      </c>
      <c r="S954" s="19">
        <f ca="1">IF('Stock Price'!$I$11="OK",F954/INDEX(F$5:F$1258,'Stock Price'!$I$9)-1,"")</f>
        <v>0</v>
      </c>
      <c r="T954" s="19">
        <f ca="1">IF('Stock Price'!$I$11="OK",G954/INDEX(G$5:G$1258,'Stock Price'!$I$9)-1,"")</f>
        <v>-0.40062818152279855</v>
      </c>
      <c r="U954" s="19">
        <f ca="1">IF('Stock Price'!$I$11="OK",H954/INDEX(H$5:H$1258,'Stock Price'!$I$9)-1,"")</f>
        <v>-2.0098039215686314E-2</v>
      </c>
      <c r="V954" s="19">
        <f ca="1">IF('Stock Price'!$I$11="OK",I954/INDEX(I$5:I$1258,'Stock Price'!$I$9)-1,"")</f>
        <v>-0.42178638941398872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139.69999999999999</v>
      </c>
      <c r="C955" s="18">
        <v>114.14</v>
      </c>
      <c r="D955" s="18">
        <v>36.200000000000003</v>
      </c>
      <c r="E955" s="18">
        <v>39.79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0.15454545454545454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-0.24228152799581359</v>
      </c>
      <c r="R955" s="19">
        <f ca="1">IF('Stock Price'!$I$11="OK",E955/INDEX(E$5:E$1258,'Stock Price'!$I$9)-1,"")</f>
        <v>-0.1479657387580301</v>
      </c>
      <c r="S955" s="19">
        <f ca="1">IF('Stock Price'!$I$11="OK",F955/INDEX(F$5:F$1258,'Stock Price'!$I$9)-1,"")</f>
        <v>-8.0711920529801251E-3</v>
      </c>
      <c r="T955" s="19">
        <f ca="1">IF('Stock Price'!$I$11="OK",G955/INDEX(G$5:G$1258,'Stock Price'!$I$9)-1,"")</f>
        <v>-0.40311924618217265</v>
      </c>
      <c r="U955" s="19">
        <f ca="1">IF('Stock Price'!$I$11="OK",H955/INDEX(H$5:H$1258,'Stock Price'!$I$9)-1,"")</f>
        <v>-2.8063725490195979E-2</v>
      </c>
      <c r="V955" s="19">
        <f ca="1">IF('Stock Price'!$I$11="OK",I955/INDEX(I$5:I$1258,'Stock Price'!$I$9)-1,"")</f>
        <v>-0.42674858223062384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141.9</v>
      </c>
      <c r="C956" s="18">
        <v>116.83</v>
      </c>
      <c r="D956" s="18">
        <v>37.020000000000003</v>
      </c>
      <c r="E956" s="18">
        <v>40.229999999999997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0.17272727272727284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-0.22511773940345359</v>
      </c>
      <c r="R956" s="19">
        <f ca="1">IF('Stock Price'!$I$11="OK",E956/INDEX(E$5:E$1258,'Stock Price'!$I$9)-1,"")</f>
        <v>-0.13854389721627425</v>
      </c>
      <c r="S956" s="19">
        <f ca="1">IF('Stock Price'!$I$11="OK",F956/INDEX(F$5:F$1258,'Stock Price'!$I$9)-1,"")</f>
        <v>8.8990066225165254E-3</v>
      </c>
      <c r="T956" s="19">
        <f ca="1">IF('Stock Price'!$I$11="OK",G956/INDEX(G$5:G$1258,'Stock Price'!$I$9)-1,"")</f>
        <v>-0.39770388822701175</v>
      </c>
      <c r="U956" s="19">
        <f ca="1">IF('Stock Price'!$I$11="OK",H956/INDEX(H$5:H$1258,'Stock Price'!$I$9)-1,"")</f>
        <v>1.2254901960795372E-4</v>
      </c>
      <c r="V956" s="19">
        <f ca="1">IF('Stock Price'!$I$11="OK",I956/INDEX(I$5:I$1258,'Stock Price'!$I$9)-1,"")</f>
        <v>-0.40595463137996224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147.30000000000001</v>
      </c>
      <c r="C957" s="18">
        <v>117.97</v>
      </c>
      <c r="D957" s="18">
        <v>38.03</v>
      </c>
      <c r="E957" s="18">
        <v>41.14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0.21735537190082654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-0.20397697540554682</v>
      </c>
      <c r="R957" s="19">
        <f ca="1">IF('Stock Price'!$I$11="OK",E957/INDEX(E$5:E$1258,'Stock Price'!$I$9)-1,"")</f>
        <v>-0.11905781584582442</v>
      </c>
      <c r="S957" s="19">
        <f ca="1">IF('Stock Price'!$I$11="OK",F957/INDEX(F$5:F$1258,'Stock Price'!$I$9)-1,"")</f>
        <v>3.8079470198675525E-2</v>
      </c>
      <c r="T957" s="19">
        <f ca="1">IF('Stock Price'!$I$11="OK",G957/INDEX(G$5:G$1258,'Stock Price'!$I$9)-1,"")</f>
        <v>-0.38319072890718076</v>
      </c>
      <c r="U957" s="19">
        <f ca="1">IF('Stock Price'!$I$11="OK",H957/INDEX(H$5:H$1258,'Stock Price'!$I$9)-1,"")</f>
        <v>2.9166666666666785E-2</v>
      </c>
      <c r="V957" s="19">
        <f ca="1">IF('Stock Price'!$I$11="OK",I957/INDEX(I$5:I$1258,'Stock Price'!$I$9)-1,"")</f>
        <v>-0.40075614366729684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146.91999999999999</v>
      </c>
      <c r="C958" s="18">
        <v>117.46</v>
      </c>
      <c r="D958" s="18">
        <v>38.229999999999997</v>
      </c>
      <c r="E958" s="18">
        <v>41.44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0.21421487603305778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-0.19979068550497125</v>
      </c>
      <c r="R958" s="19">
        <f ca="1">IF('Stock Price'!$I$11="OK",E958/INDEX(E$5:E$1258,'Stock Price'!$I$9)-1,"")</f>
        <v>-0.11263383297644547</v>
      </c>
      <c r="S958" s="19">
        <f ca="1">IF('Stock Price'!$I$11="OK",F958/INDEX(F$5:F$1258,'Stock Price'!$I$9)-1,"")</f>
        <v>3.7458609271523224E-2</v>
      </c>
      <c r="T958" s="19">
        <f ca="1">IF('Stock Price'!$I$11="OK",G958/INDEX(G$5:G$1258,'Stock Price'!$I$9)-1,"")</f>
        <v>-0.36911079822376258</v>
      </c>
      <c r="U958" s="19">
        <f ca="1">IF('Stock Price'!$I$11="OK",H958/INDEX(H$5:H$1258,'Stock Price'!$I$9)-1,"")</f>
        <v>3.0759803921568629E-2</v>
      </c>
      <c r="V958" s="19">
        <f ca="1">IF('Stock Price'!$I$11="OK",I958/INDEX(I$5:I$1258,'Stock Price'!$I$9)-1,"")</f>
        <v>-0.400992438563327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146.91999999999999</v>
      </c>
      <c r="C959" s="18">
        <v>117.7</v>
      </c>
      <c r="D959" s="18">
        <v>37.97</v>
      </c>
      <c r="E959" s="18">
        <v>40.99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0.21421487603305778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-0.20523286237571947</v>
      </c>
      <c r="R959" s="19">
        <f ca="1">IF('Stock Price'!$I$11="OK",E959/INDEX(E$5:E$1258,'Stock Price'!$I$9)-1,"")</f>
        <v>-0.12226980728051395</v>
      </c>
      <c r="S959" s="19">
        <f ca="1">IF('Stock Price'!$I$11="OK",F959/INDEX(F$5:F$1258,'Stock Price'!$I$9)-1,"")</f>
        <v>4.2425496688741626E-2</v>
      </c>
      <c r="T959" s="19">
        <f ca="1">IF('Stock Price'!$I$11="OK",G959/INDEX(G$5:G$1258,'Stock Price'!$I$9)-1,"")</f>
        <v>-0.36726957651900782</v>
      </c>
      <c r="U959" s="19">
        <f ca="1">IF('Stock Price'!$I$11="OK",H959/INDEX(H$5:H$1258,'Stock Price'!$I$9)-1,"")</f>
        <v>3.8112745098039191E-2</v>
      </c>
      <c r="V959" s="19">
        <f ca="1">IF('Stock Price'!$I$11="OK",I959/INDEX(I$5:I$1258,'Stock Price'!$I$9)-1,"")</f>
        <v>-0.41422495274102078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144.1</v>
      </c>
      <c r="C960" s="18">
        <v>116.18</v>
      </c>
      <c r="D960" s="18">
        <v>37.450000000000003</v>
      </c>
      <c r="E960" s="18">
        <v>40.6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0.19090909090909092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-0.21611721611721602</v>
      </c>
      <c r="R960" s="19">
        <f ca="1">IF('Stock Price'!$I$11="OK",E960/INDEX(E$5:E$1258,'Stock Price'!$I$9)-1,"")</f>
        <v>-0.13062098501070663</v>
      </c>
      <c r="S960" s="19">
        <f ca="1">IF('Stock Price'!$I$11="OK",F960/INDEX(F$5:F$1258,'Stock Price'!$I$9)-1,"")</f>
        <v>2.4006622516556275E-2</v>
      </c>
      <c r="T960" s="19">
        <f ca="1">IF('Stock Price'!$I$11="OK",G960/INDEX(G$5:G$1258,'Stock Price'!$I$9)-1,"")</f>
        <v>-0.37279324163327199</v>
      </c>
      <c r="U960" s="19">
        <f ca="1">IF('Stock Price'!$I$11="OK",H960/INDEX(H$5:H$1258,'Stock Price'!$I$9)-1,"")</f>
        <v>3.0147058823529527E-2</v>
      </c>
      <c r="V960" s="19">
        <f ca="1">IF('Stock Price'!$I$11="OK",I960/INDEX(I$5:I$1258,'Stock Price'!$I$9)-1,"")</f>
        <v>-0.42556710775047257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150.47999999999999</v>
      </c>
      <c r="C961" s="18">
        <v>117.22</v>
      </c>
      <c r="D961" s="18">
        <v>37.67</v>
      </c>
      <c r="E961" s="18">
        <v>40.31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0.24363636363636365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-0.21151229722658293</v>
      </c>
      <c r="R961" s="19">
        <f ca="1">IF('Stock Price'!$I$11="OK",E961/INDEX(E$5:E$1258,'Stock Price'!$I$9)-1,"")</f>
        <v>-0.13683083511777305</v>
      </c>
      <c r="S961" s="19">
        <f ca="1">IF('Stock Price'!$I$11="OK",F961/INDEX(F$5:F$1258,'Stock Price'!$I$9)-1,"")</f>
        <v>2.1316225165562974E-2</v>
      </c>
      <c r="T961" s="19">
        <f ca="1">IF('Stock Price'!$I$11="OK",G961/INDEX(G$5:G$1258,'Stock Price'!$I$9)-1,"")</f>
        <v>-0.38102458572511644</v>
      </c>
      <c r="U961" s="19">
        <f ca="1">IF('Stock Price'!$I$11="OK",H961/INDEX(H$5:H$1258,'Stock Price'!$I$9)-1,"")</f>
        <v>1.2622549019607909E-2</v>
      </c>
      <c r="V961" s="19">
        <f ca="1">IF('Stock Price'!$I$11="OK",I961/INDEX(I$5:I$1258,'Stock Price'!$I$9)-1,"")</f>
        <v>-0.42580340264650285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155.66999999999999</v>
      </c>
      <c r="C962" s="18">
        <v>116.63</v>
      </c>
      <c r="D962" s="18">
        <v>38.97</v>
      </c>
      <c r="E962" s="18">
        <v>40.06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0.28652892561983467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-0.18430141287284141</v>
      </c>
      <c r="R962" s="19">
        <f ca="1">IF('Stock Price'!$I$11="OK",E962/INDEX(E$5:E$1258,'Stock Price'!$I$9)-1,"")</f>
        <v>-0.14218415417558883</v>
      </c>
      <c r="S962" s="19">
        <f ca="1">IF('Stock Price'!$I$11="OK",F962/INDEX(F$5:F$1258,'Stock Price'!$I$9)-1,"")</f>
        <v>1.9246688741721751E-2</v>
      </c>
      <c r="T962" s="19">
        <f ca="1">IF('Stock Price'!$I$11="OK",G962/INDEX(G$5:G$1258,'Stock Price'!$I$9)-1,"")</f>
        <v>-0.38903931549875448</v>
      </c>
      <c r="U962" s="19">
        <f ca="1">IF('Stock Price'!$I$11="OK",H962/INDEX(H$5:H$1258,'Stock Price'!$I$9)-1,"")</f>
        <v>1.8382352941177516E-3</v>
      </c>
      <c r="V962" s="19">
        <f ca="1">IF('Stock Price'!$I$11="OK",I962/INDEX(I$5:I$1258,'Stock Price'!$I$9)-1,"")</f>
        <v>-0.43738185255198492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147.38999999999999</v>
      </c>
      <c r="C963" s="18">
        <v>113.74</v>
      </c>
      <c r="D963" s="18">
        <v>37.15</v>
      </c>
      <c r="E963" s="18">
        <v>38.909999999999997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0.21809917355371899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-0.22239665096807959</v>
      </c>
      <c r="R963" s="19">
        <f ca="1">IF('Stock Price'!$I$11="OK",E963/INDEX(E$5:E$1258,'Stock Price'!$I$9)-1,"")</f>
        <v>-0.1668094218415419</v>
      </c>
      <c r="S963" s="19">
        <f ca="1">IF('Stock Price'!$I$11="OK",F963/INDEX(F$5:F$1258,'Stock Price'!$I$9)-1,"")</f>
        <v>-5.5463576158940375E-2</v>
      </c>
      <c r="T963" s="19">
        <f ca="1">IF('Stock Price'!$I$11="OK",G963/INDEX(G$5:G$1258,'Stock Price'!$I$9)-1,"")</f>
        <v>-0.40755983970540444</v>
      </c>
      <c r="U963" s="19">
        <f ca="1">IF('Stock Price'!$I$11="OK",H963/INDEX(H$5:H$1258,'Stock Price'!$I$9)-1,"")</f>
        <v>-4.264705882352926E-2</v>
      </c>
      <c r="V963" s="19">
        <f ca="1">IF('Stock Price'!$I$11="OK",I963/INDEX(I$5:I$1258,'Stock Price'!$I$9)-1,"")</f>
        <v>-0.4496691871455577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147.5</v>
      </c>
      <c r="C964" s="18">
        <v>115.3</v>
      </c>
      <c r="D964" s="18">
        <v>37.56</v>
      </c>
      <c r="E964" s="18">
        <v>38.840000000000003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0.21900826446280997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-0.21381475667189942</v>
      </c>
      <c r="R964" s="19">
        <f ca="1">IF('Stock Price'!$I$11="OK",E964/INDEX(E$5:E$1258,'Stock Price'!$I$9)-1,"")</f>
        <v>-0.16830835117773013</v>
      </c>
      <c r="S964" s="19">
        <f ca="1">IF('Stock Price'!$I$11="OK",F964/INDEX(F$5:F$1258,'Stock Price'!$I$9)-1,"")</f>
        <v>-3.24917218543046E-2</v>
      </c>
      <c r="T964" s="19">
        <f ca="1">IF('Stock Price'!$I$11="OK",G964/INDEX(G$5:G$1258,'Stock Price'!$I$9)-1,"")</f>
        <v>-0.39088053720350913</v>
      </c>
      <c r="U964" s="19">
        <f ca="1">IF('Stock Price'!$I$11="OK",H964/INDEX(H$5:H$1258,'Stock Price'!$I$9)-1,"")</f>
        <v>-2.8308823529411664E-2</v>
      </c>
      <c r="V964" s="19">
        <f ca="1">IF('Stock Price'!$I$11="OK",I964/INDEX(I$5:I$1258,'Stock Price'!$I$9)-1,"")</f>
        <v>-0.44494328922495274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150.32</v>
      </c>
      <c r="C965" s="18">
        <v>117.83</v>
      </c>
      <c r="D965" s="18">
        <v>37.68</v>
      </c>
      <c r="E965" s="18">
        <v>39.43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0.24231404958677683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-0.21130298273155412</v>
      </c>
      <c r="R965" s="19">
        <f ca="1">IF('Stock Price'!$I$11="OK",E965/INDEX(E$5:E$1258,'Stock Price'!$I$9)-1,"")</f>
        <v>-0.15567451820128486</v>
      </c>
      <c r="S965" s="19">
        <f ca="1">IF('Stock Price'!$I$11="OK",F965/INDEX(F$5:F$1258,'Stock Price'!$I$9)-1,"")</f>
        <v>-5.5877483443709242E-3</v>
      </c>
      <c r="T965" s="19">
        <f ca="1">IF('Stock Price'!$I$11="OK",G965/INDEX(G$5:G$1258,'Stock Price'!$I$9)-1,"")</f>
        <v>-0.40441893209141122</v>
      </c>
      <c r="U965" s="19">
        <f ca="1">IF('Stock Price'!$I$11="OK",H965/INDEX(H$5:H$1258,'Stock Price'!$I$9)-1,"")</f>
        <v>-2.132352941176463E-2</v>
      </c>
      <c r="V965" s="19">
        <f ca="1">IF('Stock Price'!$I$11="OK",I965/INDEX(I$5:I$1258,'Stock Price'!$I$9)-1,"")</f>
        <v>-0.44399810964083175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150.29</v>
      </c>
      <c r="C966" s="18">
        <v>117.73</v>
      </c>
      <c r="D966" s="18">
        <v>37.32</v>
      </c>
      <c r="E966" s="18">
        <v>39.42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0.24206611570247927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-0.21883830455259023</v>
      </c>
      <c r="R966" s="19">
        <f ca="1">IF('Stock Price'!$I$11="OK",E966/INDEX(E$5:E$1258,'Stock Price'!$I$9)-1,"")</f>
        <v>-0.1558886509635975</v>
      </c>
      <c r="S966" s="19">
        <f ca="1">IF('Stock Price'!$I$11="OK",F966/INDEX(F$5:F$1258,'Stock Price'!$I$9)-1,"")</f>
        <v>-9.9337748344370258E-3</v>
      </c>
      <c r="T966" s="19">
        <f ca="1">IF('Stock Price'!$I$11="OK",G966/INDEX(G$5:G$1258,'Stock Price'!$I$9)-1,"")</f>
        <v>-0.39943680277266325</v>
      </c>
      <c r="U966" s="19">
        <f ca="1">IF('Stock Price'!$I$11="OK",H966/INDEX(H$5:H$1258,'Stock Price'!$I$9)-1,"")</f>
        <v>-9.9264705882351478E-3</v>
      </c>
      <c r="V966" s="19">
        <f ca="1">IF('Stock Price'!$I$11="OK",I966/INDEX(I$5:I$1258,'Stock Price'!$I$9)-1,"")</f>
        <v>-0.41517013232514177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148.68</v>
      </c>
      <c r="C967" s="18">
        <v>113.5</v>
      </c>
      <c r="D967" s="18">
        <v>36.75</v>
      </c>
      <c r="E967" s="18">
        <v>38.36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0.22876033057851242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-0.23076923076923073</v>
      </c>
      <c r="R967" s="19">
        <f ca="1">IF('Stock Price'!$I$11="OK",E967/INDEX(E$5:E$1258,'Stock Price'!$I$9)-1,"")</f>
        <v>-0.17858672376873663</v>
      </c>
      <c r="S967" s="19">
        <f ca="1">IF('Stock Price'!$I$11="OK",F967/INDEX(F$5:F$1258,'Stock Price'!$I$9)-1,"")</f>
        <v>-4.4288079470198638E-2</v>
      </c>
      <c r="T967" s="19">
        <f ca="1">IF('Stock Price'!$I$11="OK",G967/INDEX(G$5:G$1258,'Stock Price'!$I$9)-1,"")</f>
        <v>-0.45900574027943242</v>
      </c>
      <c r="U967" s="19">
        <f ca="1">IF('Stock Price'!$I$11="OK",H967/INDEX(H$5:H$1258,'Stock Price'!$I$9)-1,"")</f>
        <v>-2.6470588235294024E-2</v>
      </c>
      <c r="V967" s="19">
        <f ca="1">IF('Stock Price'!$I$11="OK",I967/INDEX(I$5:I$1258,'Stock Price'!$I$9)-1,"")</f>
        <v>-0.43454631379962194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147.23500000000001</v>
      </c>
      <c r="C968" s="18">
        <v>115.92</v>
      </c>
      <c r="D968" s="18">
        <v>37.58</v>
      </c>
      <c r="E968" s="18">
        <v>38.619999999999997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0.21681818181818202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-0.21339612768184202</v>
      </c>
      <c r="R968" s="19">
        <f ca="1">IF('Stock Price'!$I$11="OK",E968/INDEX(E$5:E$1258,'Stock Price'!$I$9)-1,"")</f>
        <v>-0.17301927194860822</v>
      </c>
      <c r="S968" s="19">
        <f ca="1">IF('Stock Price'!$I$11="OK",F968/INDEX(F$5:F$1258,'Stock Price'!$I$9)-1,"")</f>
        <v>-1.8418874172185462E-2</v>
      </c>
      <c r="T968" s="19">
        <f ca="1">IF('Stock Price'!$I$11="OK",G968/INDEX(G$5:G$1258,'Stock Price'!$I$9)-1,"")</f>
        <v>-0.4504494747102783</v>
      </c>
      <c r="U968" s="19">
        <f ca="1">IF('Stock Price'!$I$11="OK",H968/INDEX(H$5:H$1258,'Stock Price'!$I$9)-1,"")</f>
        <v>-1.5073529411764541E-2</v>
      </c>
      <c r="V968" s="19">
        <f ca="1">IF('Stock Price'!$I$11="OK",I968/INDEX(I$5:I$1258,'Stock Price'!$I$9)-1,"")</f>
        <v>-0.42745746691871456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141.77199999999999</v>
      </c>
      <c r="C969" s="18">
        <v>116.84</v>
      </c>
      <c r="D969" s="18">
        <v>37.799999999999997</v>
      </c>
      <c r="E969" s="18">
        <v>38.229999999999997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0.17166942148760334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-0.20879120879120883</v>
      </c>
      <c r="R969" s="19">
        <f ca="1">IF('Stock Price'!$I$11="OK",E969/INDEX(E$5:E$1258,'Stock Price'!$I$9)-1,"")</f>
        <v>-0.181370449678801</v>
      </c>
      <c r="S969" s="19">
        <f ca="1">IF('Stock Price'!$I$11="OK",F969/INDEX(F$5:F$1258,'Stock Price'!$I$9)-1,"")</f>
        <v>-2.4627483443708575E-2</v>
      </c>
      <c r="T969" s="19">
        <f ca="1">IF('Stock Price'!$I$11="OK",G969/INDEX(G$5:G$1258,'Stock Price'!$I$9)-1,"")</f>
        <v>-0.44297628073215634</v>
      </c>
      <c r="U969" s="19">
        <f ca="1">IF('Stock Price'!$I$11="OK",H969/INDEX(H$5:H$1258,'Stock Price'!$I$9)-1,"")</f>
        <v>-1.1151960784313686E-2</v>
      </c>
      <c r="V969" s="19">
        <f ca="1">IF('Stock Price'!$I$11="OK",I969/INDEX(I$5:I$1258,'Stock Price'!$I$9)-1,"")</f>
        <v>-0.41918714555765602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146.12</v>
      </c>
      <c r="C970" s="18">
        <v>118.55</v>
      </c>
      <c r="D970" s="18">
        <v>37.71</v>
      </c>
      <c r="E970" s="18">
        <v>37.57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0.20760330578512409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-0.2106750392464678</v>
      </c>
      <c r="R970" s="19">
        <f ca="1">IF('Stock Price'!$I$11="OK",E970/INDEX(E$5:E$1258,'Stock Price'!$I$9)-1,"")</f>
        <v>-0.19550321199143472</v>
      </c>
      <c r="S970" s="19">
        <f ca="1">IF('Stock Price'!$I$11="OK",F970/INDEX(F$5:F$1258,'Stock Price'!$I$9)-1,"")</f>
        <v>-2.2971854304635775E-2</v>
      </c>
      <c r="T970" s="19">
        <f ca="1">IF('Stock Price'!$I$11="OK",G970/INDEX(G$5:G$1258,'Stock Price'!$I$9)-1,"")</f>
        <v>-0.4430845878912596</v>
      </c>
      <c r="U970" s="19">
        <f ca="1">IF('Stock Price'!$I$11="OK",H970/INDEX(H$5:H$1258,'Stock Price'!$I$9)-1,"")</f>
        <v>-1.9240196078431304E-2</v>
      </c>
      <c r="V970" s="19">
        <f ca="1">IF('Stock Price'!$I$11="OK",I970/INDEX(I$5:I$1258,'Stock Price'!$I$9)-1,"")</f>
        <v>-0.41918714555765602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148.28</v>
      </c>
      <c r="C971" s="18">
        <v>119.31</v>
      </c>
      <c r="D971" s="18">
        <v>38.22</v>
      </c>
      <c r="E971" s="18">
        <v>38.119999999999997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0.22545454545454557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-0.19999999999999996</v>
      </c>
      <c r="R971" s="19">
        <f ca="1">IF('Stock Price'!$I$11="OK",E971/INDEX(E$5:E$1258,'Stock Price'!$I$9)-1,"")</f>
        <v>-0.18372591006423988</v>
      </c>
      <c r="S971" s="19">
        <f ca="1">IF('Stock Price'!$I$11="OK",F971/INDEX(F$5:F$1258,'Stock Price'!$I$9)-1,"")</f>
        <v>-5.5877483443709242E-3</v>
      </c>
      <c r="T971" s="19">
        <f ca="1">IF('Stock Price'!$I$11="OK",G971/INDEX(G$5:G$1258,'Stock Price'!$I$9)-1,"")</f>
        <v>-0.4376692299360988</v>
      </c>
      <c r="U971" s="19">
        <f ca="1">IF('Stock Price'!$I$11="OK",H971/INDEX(H$5:H$1258,'Stock Price'!$I$9)-1,"")</f>
        <v>-1.5931372549019551E-2</v>
      </c>
      <c r="V971" s="19">
        <f ca="1">IF('Stock Price'!$I$11="OK",I971/INDEX(I$5:I$1258,'Stock Price'!$I$9)-1,"")</f>
        <v>-0.41753308128544431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154.30000000000001</v>
      </c>
      <c r="C972" s="18">
        <v>121.2</v>
      </c>
      <c r="D972" s="18">
        <v>39.130000000000003</v>
      </c>
      <c r="E972" s="18">
        <v>38.590000000000003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0.27520661157024806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-0.18095238095238086</v>
      </c>
      <c r="R972" s="19">
        <f ca="1">IF('Stock Price'!$I$11="OK",E972/INDEX(E$5:E$1258,'Stock Price'!$I$9)-1,"")</f>
        <v>-0.17366167023554602</v>
      </c>
      <c r="S972" s="19">
        <f ca="1">IF('Stock Price'!$I$11="OK",F972/INDEX(F$5:F$1258,'Stock Price'!$I$9)-1,"")</f>
        <v>8.6920529801324253E-3</v>
      </c>
      <c r="T972" s="19">
        <f ca="1">IF('Stock Price'!$I$11="OK",G972/INDEX(G$5:G$1258,'Stock Price'!$I$9)-1,"")</f>
        <v>-0.41947362720675829</v>
      </c>
      <c r="U972" s="19">
        <f ca="1">IF('Stock Price'!$I$11="OK",H972/INDEX(H$5:H$1258,'Stock Price'!$I$9)-1,"")</f>
        <v>1.3602941176470651E-2</v>
      </c>
      <c r="V972" s="19">
        <f ca="1">IF('Stock Price'!$I$11="OK",I972/INDEX(I$5:I$1258,'Stock Price'!$I$9)-1,"")</f>
        <v>-0.40548204158790169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155.75</v>
      </c>
      <c r="C973" s="18">
        <v>122.09</v>
      </c>
      <c r="D973" s="18">
        <v>39.229999999999997</v>
      </c>
      <c r="E973" s="18">
        <v>38.659999999999997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0.28719008264462809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-0.17885923600209319</v>
      </c>
      <c r="R973" s="19">
        <f ca="1">IF('Stock Price'!$I$11="OK",E973/INDEX(E$5:E$1258,'Stock Price'!$I$9)-1,"")</f>
        <v>-0.17216274089935768</v>
      </c>
      <c r="S973" s="19">
        <f ca="1">IF('Stock Price'!$I$11="OK",F973/INDEX(F$5:F$1258,'Stock Price'!$I$9)-1,"")</f>
        <v>1.490066225165565E-2</v>
      </c>
      <c r="T973" s="19">
        <f ca="1">IF('Stock Price'!$I$11="OK",G973/INDEX(G$5:G$1258,'Stock Price'!$I$9)-1,"")</f>
        <v>-0.4231560706162677</v>
      </c>
      <c r="U973" s="19">
        <f ca="1">IF('Stock Price'!$I$11="OK",H973/INDEX(H$5:H$1258,'Stock Price'!$I$9)-1,"")</f>
        <v>1.4215686274509975E-2</v>
      </c>
      <c r="V973" s="19">
        <f ca="1">IF('Stock Price'!$I$11="OK",I973/INDEX(I$5:I$1258,'Stock Price'!$I$9)-1,"")</f>
        <v>-0.40666351606805295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155.5</v>
      </c>
      <c r="C974" s="18">
        <v>124.21</v>
      </c>
      <c r="D974" s="18">
        <v>39.36</v>
      </c>
      <c r="E974" s="18">
        <v>39.58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0.28512396694214881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-0.17613814756671897</v>
      </c>
      <c r="R974" s="19">
        <f ca="1">IF('Stock Price'!$I$11="OK",E974/INDEX(E$5:E$1258,'Stock Price'!$I$9)-1,"")</f>
        <v>-0.15246252676659533</v>
      </c>
      <c r="S974" s="19">
        <f ca="1">IF('Stock Price'!$I$11="OK",F974/INDEX(F$5:F$1258,'Stock Price'!$I$9)-1,"")</f>
        <v>3.00082781456954E-2</v>
      </c>
      <c r="T974" s="19">
        <f ca="1">IF('Stock Price'!$I$11="OK",G974/INDEX(G$5:G$1258,'Stock Price'!$I$9)-1,"")</f>
        <v>-0.41416657641070065</v>
      </c>
      <c r="U974" s="19">
        <f ca="1">IF('Stock Price'!$I$11="OK",H974/INDEX(H$5:H$1258,'Stock Price'!$I$9)-1,"")</f>
        <v>3.1985294117647056E-2</v>
      </c>
      <c r="V974" s="19">
        <f ca="1">IF('Stock Price'!$I$11="OK",I974/INDEX(I$5:I$1258,'Stock Price'!$I$9)-1,"")</f>
        <v>-0.40595463137996224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160.46</v>
      </c>
      <c r="C975" s="18">
        <v>124.01</v>
      </c>
      <c r="D975" s="18">
        <v>39.07</v>
      </c>
      <c r="E975" s="18">
        <v>39.61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0.32611570247933885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-0.18220826792255362</v>
      </c>
      <c r="R975" s="19">
        <f ca="1">IF('Stock Price'!$I$11="OK",E975/INDEX(E$5:E$1258,'Stock Price'!$I$9)-1,"")</f>
        <v>-0.15182012847965742</v>
      </c>
      <c r="S975" s="19">
        <f ca="1">IF('Stock Price'!$I$11="OK",F975/INDEX(F$5:F$1258,'Stock Price'!$I$9)-1,"")</f>
        <v>3.14569536423841E-2</v>
      </c>
      <c r="T975" s="19">
        <f ca="1">IF('Stock Price'!$I$11="OK",G975/INDEX(G$5:G$1258,'Stock Price'!$I$9)-1,"")</f>
        <v>-0.40062818152279855</v>
      </c>
      <c r="U975" s="19">
        <f ca="1">IF('Stock Price'!$I$11="OK",H975/INDEX(H$5:H$1258,'Stock Price'!$I$9)-1,"")</f>
        <v>3.210784313725501E-2</v>
      </c>
      <c r="V975" s="19">
        <f ca="1">IF('Stock Price'!$I$11="OK",I975/INDEX(I$5:I$1258,'Stock Price'!$I$9)-1,"")</f>
        <v>-0.40760869565217395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160.46</v>
      </c>
      <c r="C976" s="18">
        <v>124.95</v>
      </c>
      <c r="D976" s="18">
        <v>39.619999999999997</v>
      </c>
      <c r="E976" s="18">
        <v>40.299999999999997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0.32611570247933885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-0.17069597069597076</v>
      </c>
      <c r="R976" s="19">
        <f ca="1">IF('Stock Price'!$I$11="OK",E976/INDEX(E$5:E$1258,'Stock Price'!$I$9)-1,"")</f>
        <v>-0.1370449678800858</v>
      </c>
      <c r="S976" s="19">
        <f ca="1">IF('Stock Price'!$I$11="OK",F976/INDEX(F$5:F$1258,'Stock Price'!$I$9)-1,"")</f>
        <v>3.8700331125827825E-2</v>
      </c>
      <c r="T976" s="19">
        <f ca="1">IF('Stock Price'!$I$11="OK",G976/INDEX(G$5:G$1258,'Stock Price'!$I$9)-1,"")</f>
        <v>-0.39153038015812847</v>
      </c>
      <c r="U976" s="19">
        <f ca="1">IF('Stock Price'!$I$11="OK",H976/INDEX(H$5:H$1258,'Stock Price'!$I$9)-1,"")</f>
        <v>4.0808823529411953E-2</v>
      </c>
      <c r="V976" s="19">
        <f ca="1">IF('Stock Price'!$I$11="OK",I976/INDEX(I$5:I$1258,'Stock Price'!$I$9)-1,"")</f>
        <v>-0.40170132325141772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157.80000000000001</v>
      </c>
      <c r="C977" s="18">
        <v>127.25</v>
      </c>
      <c r="D977" s="18">
        <v>40.07</v>
      </c>
      <c r="E977" s="18">
        <v>40.75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0.30413223140495882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-0.16127681841967556</v>
      </c>
      <c r="R977" s="19">
        <f ca="1">IF('Stock Price'!$I$11="OK",E977/INDEX(E$5:E$1258,'Stock Price'!$I$9)-1,"")</f>
        <v>-0.1274089935760172</v>
      </c>
      <c r="S977" s="19">
        <f ca="1">IF('Stock Price'!$I$11="OK",F977/INDEX(F$5:F$1258,'Stock Price'!$I$9)-1,"")</f>
        <v>4.573675496688745E-2</v>
      </c>
      <c r="T977" s="19">
        <f ca="1">IF('Stock Price'!$I$11="OK",G977/INDEX(G$5:G$1258,'Stock Price'!$I$9)-1,"")</f>
        <v>-0.39445467345391538</v>
      </c>
      <c r="U977" s="19">
        <f ca="1">IF('Stock Price'!$I$11="OK",H977/INDEX(H$5:H$1258,'Stock Price'!$I$9)-1,"")</f>
        <v>3.7500000000000089E-2</v>
      </c>
      <c r="V977" s="19">
        <f ca="1">IF('Stock Price'!$I$11="OK",I977/INDEX(I$5:I$1258,'Stock Price'!$I$9)-1,"")</f>
        <v>-0.40028355387523629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157.80000000000001</v>
      </c>
      <c r="C978" s="18">
        <v>126.82</v>
      </c>
      <c r="D978" s="18">
        <v>40.08</v>
      </c>
      <c r="E978" s="18">
        <v>40.450000000000003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0.30413223140495882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-0.16106750392464675</v>
      </c>
      <c r="R978" s="19">
        <f ca="1">IF('Stock Price'!$I$11="OK",E978/INDEX(E$5:E$1258,'Stock Price'!$I$9)-1,"")</f>
        <v>-0.13383297644539616</v>
      </c>
      <c r="S978" s="19">
        <f ca="1">IF('Stock Price'!$I$11="OK",F978/INDEX(F$5:F$1258,'Stock Price'!$I$9)-1,"")</f>
        <v>4.739238410596025E-2</v>
      </c>
      <c r="T978" s="19">
        <f ca="1">IF('Stock Price'!$I$11="OK",G978/INDEX(G$5:G$1258,'Stock Price'!$I$9)-1,"")</f>
        <v>-0.39066392288530272</v>
      </c>
      <c r="U978" s="19">
        <f ca="1">IF('Stock Price'!$I$11="OK",H978/INDEX(H$5:H$1258,'Stock Price'!$I$9)-1,"")</f>
        <v>5.4901960784313752E-2</v>
      </c>
      <c r="V978" s="19">
        <f ca="1">IF('Stock Price'!$I$11="OK",I978/INDEX(I$5:I$1258,'Stock Price'!$I$9)-1,"")</f>
        <v>-0.39177693761814747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157.09</v>
      </c>
      <c r="C979" s="18">
        <v>126.98</v>
      </c>
      <c r="D979" s="18">
        <v>40.19</v>
      </c>
      <c r="E979" s="18">
        <v>40.869999999999997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0.29826446280991736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-0.15876504447933026</v>
      </c>
      <c r="R979" s="19">
        <f ca="1">IF('Stock Price'!$I$11="OK",E979/INDEX(E$5:E$1258,'Stock Price'!$I$9)-1,"")</f>
        <v>-0.12483940042826558</v>
      </c>
      <c r="S979" s="19">
        <f ca="1">IF('Stock Price'!$I$11="OK",F979/INDEX(F$5:F$1258,'Stock Price'!$I$9)-1,"")</f>
        <v>6.27069536423841E-2</v>
      </c>
      <c r="T979" s="19">
        <f ca="1">IF('Stock Price'!$I$11="OK",G979/INDEX(G$5:G$1258,'Stock Price'!$I$9)-1,"")</f>
        <v>-0.38145781436152926</v>
      </c>
      <c r="U979" s="19">
        <f ca="1">IF('Stock Price'!$I$11="OK",H979/INDEX(H$5:H$1258,'Stock Price'!$I$9)-1,"")</f>
        <v>7.0710784313725572E-2</v>
      </c>
      <c r="V979" s="19">
        <f ca="1">IF('Stock Price'!$I$11="OK",I979/INDEX(I$5:I$1258,'Stock Price'!$I$9)-1,"")</f>
        <v>-0.38846880907372405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162.97999999999999</v>
      </c>
      <c r="C980" s="18">
        <v>125.04</v>
      </c>
      <c r="D980" s="18">
        <v>39.64</v>
      </c>
      <c r="E980" s="18">
        <v>40.119999999999997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0.34694214876033058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-0.17027734170591313</v>
      </c>
      <c r="R980" s="19">
        <f ca="1">IF('Stock Price'!$I$11="OK",E980/INDEX(E$5:E$1258,'Stock Price'!$I$9)-1,"")</f>
        <v>-0.14089935760171313</v>
      </c>
      <c r="S980" s="19">
        <f ca="1">IF('Stock Price'!$I$11="OK",F980/INDEX(F$5:F$1258,'Stock Price'!$I$9)-1,"")</f>
        <v>3.7458609271523224E-2</v>
      </c>
      <c r="T980" s="19">
        <f ca="1">IF('Stock Price'!$I$11="OK",G980/INDEX(G$5:G$1258,'Stock Price'!$I$9)-1,"")</f>
        <v>-0.3912054586808188</v>
      </c>
      <c r="U980" s="19">
        <f ca="1">IF('Stock Price'!$I$11="OK",H980/INDEX(H$5:H$1258,'Stock Price'!$I$9)-1,"")</f>
        <v>4.5465686274509975E-2</v>
      </c>
      <c r="V980" s="19">
        <f ca="1">IF('Stock Price'!$I$11="OK",I980/INDEX(I$5:I$1258,'Stock Price'!$I$9)-1,"")</f>
        <v>-0.40595463137996224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160.30000000000001</v>
      </c>
      <c r="C981" s="18">
        <v>126.64</v>
      </c>
      <c r="D981" s="18">
        <v>39.83</v>
      </c>
      <c r="E981" s="18">
        <v>40.36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0.32479338842975225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-0.16630036630036626</v>
      </c>
      <c r="R981" s="19">
        <f ca="1">IF('Stock Price'!$I$11="OK",E981/INDEX(E$5:E$1258,'Stock Price'!$I$9)-1,"")</f>
        <v>-0.13576017130620988</v>
      </c>
      <c r="S981" s="19">
        <f ca="1">IF('Stock Price'!$I$11="OK",F981/INDEX(F$5:F$1258,'Stock Price'!$I$9)-1,"")</f>
        <v>4.0976821192052926E-2</v>
      </c>
      <c r="T981" s="19">
        <f ca="1">IF('Stock Price'!$I$11="OK",G981/INDEX(G$5:G$1258,'Stock Price'!$I$9)-1,"")</f>
        <v>-0.38069966424780677</v>
      </c>
      <c r="U981" s="19">
        <f ca="1">IF('Stock Price'!$I$11="OK",H981/INDEX(H$5:H$1258,'Stock Price'!$I$9)-1,"")</f>
        <v>4.1544117647058787E-2</v>
      </c>
      <c r="V981" s="19">
        <f ca="1">IF('Stock Price'!$I$11="OK",I981/INDEX(I$5:I$1258,'Stock Price'!$I$9)-1,"")</f>
        <v>-0.41115311909262753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160.65</v>
      </c>
      <c r="C982" s="18">
        <v>126.89</v>
      </c>
      <c r="D982" s="18">
        <v>39.909999999999997</v>
      </c>
      <c r="E982" s="18">
        <v>40.909999999999997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0.32768595041322324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-0.1646258503401361</v>
      </c>
      <c r="R982" s="19">
        <f ca="1">IF('Stock Price'!$I$11="OK",E982/INDEX(E$5:E$1258,'Stock Price'!$I$9)-1,"")</f>
        <v>-0.12398286937901515</v>
      </c>
      <c r="S982" s="19">
        <f ca="1">IF('Stock Price'!$I$11="OK",F982/INDEX(F$5:F$1258,'Stock Price'!$I$9)-1,"")</f>
        <v>3.7044701986755024E-2</v>
      </c>
      <c r="T982" s="19">
        <f ca="1">IF('Stock Price'!$I$11="OK",G982/INDEX(G$5:G$1258,'Stock Price'!$I$9)-1,"")</f>
        <v>-0.38449041481641932</v>
      </c>
      <c r="U982" s="19">
        <f ca="1">IF('Stock Price'!$I$11="OK",H982/INDEX(H$5:H$1258,'Stock Price'!$I$9)-1,"")</f>
        <v>3.0269607843137258E-2</v>
      </c>
      <c r="V982" s="19">
        <f ca="1">IF('Stock Price'!$I$11="OK",I982/INDEX(I$5:I$1258,'Stock Price'!$I$9)-1,"")</f>
        <v>-0.40760869565217395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158.19990000000001</v>
      </c>
      <c r="C983" s="18">
        <v>126.47</v>
      </c>
      <c r="D983" s="18">
        <v>39.44</v>
      </c>
      <c r="E983" s="18">
        <v>40.880000000000003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0.3074371900826447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-0.17446363160648881</v>
      </c>
      <c r="R983" s="19">
        <f ca="1">IF('Stock Price'!$I$11="OK",E983/INDEX(E$5:E$1258,'Stock Price'!$I$9)-1,"")</f>
        <v>-0.12462526766595294</v>
      </c>
      <c r="S983" s="19">
        <f ca="1">IF('Stock Price'!$I$11="OK",F983/INDEX(F$5:F$1258,'Stock Price'!$I$9)-1,"")</f>
        <v>3.3526490066225101E-2</v>
      </c>
      <c r="T983" s="19">
        <f ca="1">IF('Stock Price'!$I$11="OK",G983/INDEX(G$5:G$1258,'Stock Price'!$I$9)-1,"")</f>
        <v>-0.39510451640853461</v>
      </c>
      <c r="U983" s="19">
        <f ca="1">IF('Stock Price'!$I$11="OK",H983/INDEX(H$5:H$1258,'Stock Price'!$I$9)-1,"")</f>
        <v>1.9730392156862786E-2</v>
      </c>
      <c r="V983" s="19">
        <f ca="1">IF('Stock Price'!$I$11="OK",I983/INDEX(I$5:I$1258,'Stock Price'!$I$9)-1,"")</f>
        <v>-0.41871455576559546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161.13</v>
      </c>
      <c r="C984" s="18">
        <v>126.55</v>
      </c>
      <c r="D984" s="18">
        <v>39.67</v>
      </c>
      <c r="E984" s="18">
        <v>40.770000000000003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0.33165289256198349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-0.1696493982208267</v>
      </c>
      <c r="R984" s="19">
        <f ca="1">IF('Stock Price'!$I$11="OK",E984/INDEX(E$5:E$1258,'Stock Price'!$I$9)-1,"")</f>
        <v>-0.12698072805139182</v>
      </c>
      <c r="S984" s="19">
        <f ca="1">IF('Stock Price'!$I$11="OK",F984/INDEX(F$5:F$1258,'Stock Price'!$I$9)-1,"")</f>
        <v>2.4006622516556275E-2</v>
      </c>
      <c r="T984" s="19">
        <f ca="1">IF('Stock Price'!$I$11="OK",G984/INDEX(G$5:G$1258,'Stock Price'!$I$9)-1,"")</f>
        <v>-0.39218022311274781</v>
      </c>
      <c r="U984" s="19">
        <f ca="1">IF('Stock Price'!$I$11="OK",H984/INDEX(H$5:H$1258,'Stock Price'!$I$9)-1,"")</f>
        <v>3.0882352941176583E-2</v>
      </c>
      <c r="V984" s="19">
        <f ca="1">IF('Stock Price'!$I$11="OK",I984/INDEX(I$5:I$1258,'Stock Price'!$I$9)-1,"")</f>
        <v>-0.4149338374291115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160.66</v>
      </c>
      <c r="C985" s="18">
        <v>126.64</v>
      </c>
      <c r="D985" s="18">
        <v>38.96</v>
      </c>
      <c r="E985" s="18">
        <v>41.02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0.32776859504132227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-0.18451072736787022</v>
      </c>
      <c r="R985" s="19">
        <f ca="1">IF('Stock Price'!$I$11="OK",E985/INDEX(E$5:E$1258,'Stock Price'!$I$9)-1,"")</f>
        <v>-0.12162740899357605</v>
      </c>
      <c r="S985" s="19">
        <f ca="1">IF('Stock Price'!$I$11="OK",F985/INDEX(F$5:F$1258,'Stock Price'!$I$9)-1,"")</f>
        <v>2.6076158940397276E-2</v>
      </c>
      <c r="T985" s="19">
        <f ca="1">IF('Stock Price'!$I$11="OK",G985/INDEX(G$5:G$1258,'Stock Price'!$I$9)-1,"")</f>
        <v>-0.4057186180006499</v>
      </c>
      <c r="U985" s="19">
        <f ca="1">IF('Stock Price'!$I$11="OK",H985/INDEX(H$5:H$1258,'Stock Price'!$I$9)-1,"")</f>
        <v>4.754901960784319E-2</v>
      </c>
      <c r="V985" s="19">
        <f ca="1">IF('Stock Price'!$I$11="OK",I985/INDEX(I$5:I$1258,'Stock Price'!$I$9)-1,"")</f>
        <v>-0.4097353497164461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162.25989999999999</v>
      </c>
      <c r="C986" s="18">
        <v>128.22999999999999</v>
      </c>
      <c r="D986" s="18">
        <v>39.36</v>
      </c>
      <c r="E986" s="18">
        <v>42.04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0.3409909090909089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-0.17613814756671897</v>
      </c>
      <c r="R986" s="19">
        <f ca="1">IF('Stock Price'!$I$11="OK",E986/INDEX(E$5:E$1258,'Stock Price'!$I$9)-1,"")</f>
        <v>-9.9785867237687453E-2</v>
      </c>
      <c r="S986" s="19">
        <f ca="1">IF('Stock Price'!$I$11="OK",F986/INDEX(F$5:F$1258,'Stock Price'!$I$9)-1,"")</f>
        <v>3.24917218543046E-2</v>
      </c>
      <c r="T986" s="19">
        <f ca="1">IF('Stock Price'!$I$11="OK",G986/INDEX(G$5:G$1258,'Stock Price'!$I$9)-1,"")</f>
        <v>-0.39272175890826377</v>
      </c>
      <c r="U986" s="19">
        <f ca="1">IF('Stock Price'!$I$11="OK",H986/INDEX(H$5:H$1258,'Stock Price'!$I$9)-1,"")</f>
        <v>3.1617647058823639E-2</v>
      </c>
      <c r="V986" s="19">
        <f ca="1">IF('Stock Price'!$I$11="OK",I986/INDEX(I$5:I$1258,'Stock Price'!$I$9)-1,"")</f>
        <v>-0.41422495274102078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162</v>
      </c>
      <c r="C987" s="18">
        <v>128.41999999999999</v>
      </c>
      <c r="D987" s="18">
        <v>39.61</v>
      </c>
      <c r="E987" s="18">
        <v>42.74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0.33884297520661155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-0.17090528519099946</v>
      </c>
      <c r="R987" s="19">
        <f ca="1">IF('Stock Price'!$I$11="OK",E987/INDEX(E$5:E$1258,'Stock Price'!$I$9)-1,"")</f>
        <v>-8.4796573875802972E-2</v>
      </c>
      <c r="S987" s="19">
        <f ca="1">IF('Stock Price'!$I$11="OK",F987/INDEX(F$5:F$1258,'Stock Price'!$I$9)-1,"")</f>
        <v>-6.18791390728477E-2</v>
      </c>
      <c r="T987" s="19">
        <f ca="1">IF('Stock Price'!$I$11="OK",G987/INDEX(G$5:G$1258,'Stock Price'!$I$9)-1,"")</f>
        <v>-0.38102458572511644</v>
      </c>
      <c r="U987" s="19">
        <f ca="1">IF('Stock Price'!$I$11="OK",H987/INDEX(H$5:H$1258,'Stock Price'!$I$9)-1,"")</f>
        <v>3.0024509803921573E-2</v>
      </c>
      <c r="V987" s="19">
        <f ca="1">IF('Stock Price'!$I$11="OK",I987/INDEX(I$5:I$1258,'Stock Price'!$I$9)-1,"")</f>
        <v>-0.42013232514177701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164.5</v>
      </c>
      <c r="C988" s="18">
        <v>129.72999999999999</v>
      </c>
      <c r="D988" s="18">
        <v>40.5</v>
      </c>
      <c r="E988" s="18">
        <v>43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0.35950413223140498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-0.15227629513343799</v>
      </c>
      <c r="R988" s="19">
        <f ca="1">IF('Stock Price'!$I$11="OK",E988/INDEX(E$5:E$1258,'Stock Price'!$I$9)-1,"")</f>
        <v>-7.9229122055674561E-2</v>
      </c>
      <c r="S988" s="19">
        <f ca="1">IF('Stock Price'!$I$11="OK",F988/INDEX(F$5:F$1258,'Stock Price'!$I$9)-1,"")</f>
        <v>-3.7665562913907324E-2</v>
      </c>
      <c r="T988" s="19">
        <f ca="1">IF('Stock Price'!$I$11="OK",G988/INDEX(G$5:G$1258,'Stock Price'!$I$9)-1,"")</f>
        <v>-0.39012238708978664</v>
      </c>
      <c r="U988" s="19">
        <f ca="1">IF('Stock Price'!$I$11="OK",H988/INDEX(H$5:H$1258,'Stock Price'!$I$9)-1,"")</f>
        <v>3.8112745098039191E-2</v>
      </c>
      <c r="V988" s="19">
        <f ca="1">IF('Stock Price'!$I$11="OK",I988/INDEX(I$5:I$1258,'Stock Price'!$I$9)-1,"")</f>
        <v>-0.41209829867674863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164.5</v>
      </c>
      <c r="C989" s="18">
        <v>128.71</v>
      </c>
      <c r="D989" s="18">
        <v>40.049999999999997</v>
      </c>
      <c r="E989" s="18">
        <v>42.47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0.35950413223140498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-0.16169544740973318</v>
      </c>
      <c r="R989" s="19">
        <f ca="1">IF('Stock Price'!$I$11="OK",E989/INDEX(E$5:E$1258,'Stock Price'!$I$9)-1,"")</f>
        <v>-9.057815845824424E-2</v>
      </c>
      <c r="S989" s="19">
        <f ca="1">IF('Stock Price'!$I$11="OK",F989/INDEX(F$5:F$1258,'Stock Price'!$I$9)-1,"")</f>
        <v>-3.1456953642384211E-2</v>
      </c>
      <c r="T989" s="19">
        <f ca="1">IF('Stock Price'!$I$11="OK",G989/INDEX(G$5:G$1258,'Stock Price'!$I$9)-1,"")</f>
        <v>-0.38806455106682547</v>
      </c>
      <c r="U989" s="19">
        <f ca="1">IF('Stock Price'!$I$11="OK",H989/INDEX(H$5:H$1258,'Stock Price'!$I$9)-1,"")</f>
        <v>3.0514705882353166E-2</v>
      </c>
      <c r="V989" s="19">
        <f ca="1">IF('Stock Price'!$I$11="OK",I989/INDEX(I$5:I$1258,'Stock Price'!$I$9)-1,"")</f>
        <v>-0.41989603024574673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160.53989999999999</v>
      </c>
      <c r="C990" s="18">
        <v>128.05000000000001</v>
      </c>
      <c r="D990" s="18">
        <v>40.78</v>
      </c>
      <c r="E990" s="18">
        <v>42.48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0.32677603305785108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-0.14641548927263204</v>
      </c>
      <c r="R990" s="19">
        <f ca="1">IF('Stock Price'!$I$11="OK",E990/INDEX(E$5:E$1258,'Stock Price'!$I$9)-1,"")</f>
        <v>-9.0364025695931605E-2</v>
      </c>
      <c r="S990" s="19">
        <f ca="1">IF('Stock Price'!$I$11="OK",F990/INDEX(F$5:F$1258,'Stock Price'!$I$9)-1,"")</f>
        <v>-1.8004966887417151E-2</v>
      </c>
      <c r="T990" s="19">
        <f ca="1">IF('Stock Price'!$I$11="OK",G990/INDEX(G$5:G$1258,'Stock Price'!$I$9)-1,"")</f>
        <v>-0.38838947254413514</v>
      </c>
      <c r="U990" s="19">
        <f ca="1">IF('Stock Price'!$I$11="OK",H990/INDEX(H$5:H$1258,'Stock Price'!$I$9)-1,"")</f>
        <v>3.6887254901960764E-2</v>
      </c>
      <c r="V990" s="19">
        <f ca="1">IF('Stock Price'!$I$11="OK",I990/INDEX(I$5:I$1258,'Stock Price'!$I$9)-1,"")</f>
        <v>-0.41611531190926276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160.13990000000001</v>
      </c>
      <c r="C991" s="18">
        <v>126.55</v>
      </c>
      <c r="D991" s="18">
        <v>40.5</v>
      </c>
      <c r="E991" s="18">
        <v>41.85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0.32347024793388446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-0.15227629513343799</v>
      </c>
      <c r="R991" s="19">
        <f ca="1">IF('Stock Price'!$I$11="OK",E991/INDEX(E$5:E$1258,'Stock Price'!$I$9)-1,"")</f>
        <v>-0.10385438972162742</v>
      </c>
      <c r="S991" s="19">
        <f ca="1">IF('Stock Price'!$I$11="OK",F991/INDEX(F$5:F$1258,'Stock Price'!$I$9)-1,"")</f>
        <v>-2.4006622516556386E-2</v>
      </c>
      <c r="T991" s="19">
        <f ca="1">IF('Stock Price'!$I$11="OK",G991/INDEX(G$5:G$1258,'Stock Price'!$I$9)-1,"")</f>
        <v>-0.39283006606736703</v>
      </c>
      <c r="U991" s="19">
        <f ca="1">IF('Stock Price'!$I$11="OK",H991/INDEX(H$5:H$1258,'Stock Price'!$I$9)-1,"")</f>
        <v>2.9779411764705888E-2</v>
      </c>
      <c r="V991" s="19">
        <f ca="1">IF('Stock Price'!$I$11="OK",I991/INDEX(I$5:I$1258,'Stock Price'!$I$9)-1,"")</f>
        <v>-0.41942344045368618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162</v>
      </c>
      <c r="C992" s="18">
        <v>127.7</v>
      </c>
      <c r="D992" s="18">
        <v>41.48</v>
      </c>
      <c r="E992" s="18">
        <v>42.07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0.33884297520661155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-0.13176347462061755</v>
      </c>
      <c r="R992" s="19">
        <f ca="1">IF('Stock Price'!$I$11="OK",E992/INDEX(E$5:E$1258,'Stock Price'!$I$9)-1,"")</f>
        <v>-9.9143468950749547E-2</v>
      </c>
      <c r="S992" s="19">
        <f ca="1">IF('Stock Price'!$I$11="OK",F992/INDEX(F$5:F$1258,'Stock Price'!$I$9)-1,"")</f>
        <v>-1.3865894039735149E-2</v>
      </c>
      <c r="T992" s="19">
        <f ca="1">IF('Stock Price'!$I$11="OK",G992/INDEX(G$5:G$1258,'Stock Price'!$I$9)-1,"")</f>
        <v>-0.37550092061085238</v>
      </c>
      <c r="U992" s="19">
        <f ca="1">IF('Stock Price'!$I$11="OK",H992/INDEX(H$5:H$1258,'Stock Price'!$I$9)-1,"")</f>
        <v>4.3504901960784492E-2</v>
      </c>
      <c r="V992" s="19">
        <f ca="1">IF('Stock Price'!$I$11="OK",I992/INDEX(I$5:I$1258,'Stock Price'!$I$9)-1,"")</f>
        <v>-0.41257088846880907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159.56</v>
      </c>
      <c r="C993" s="18">
        <v>124.12</v>
      </c>
      <c r="D993" s="18">
        <v>40.83</v>
      </c>
      <c r="E993" s="18">
        <v>41.35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0.31867768595041324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-0.1453689167974882</v>
      </c>
      <c r="R993" s="19">
        <f ca="1">IF('Stock Price'!$I$11="OK",E993/INDEX(E$5:E$1258,'Stock Price'!$I$9)-1,"")</f>
        <v>-0.11456102783725908</v>
      </c>
      <c r="S993" s="19">
        <f ca="1">IF('Stock Price'!$I$11="OK",F993/INDEX(F$5:F$1258,'Stock Price'!$I$9)-1,"")</f>
        <v>-2.6697019867549687E-2</v>
      </c>
      <c r="T993" s="19">
        <f ca="1">IF('Stock Price'!$I$11="OK",G993/INDEX(G$5:G$1258,'Stock Price'!$I$9)-1,"")</f>
        <v>-0.39196360879454129</v>
      </c>
      <c r="U993" s="19">
        <f ca="1">IF('Stock Price'!$I$11="OK",H993/INDEX(H$5:H$1258,'Stock Price'!$I$9)-1,"")</f>
        <v>1.4828431372549078E-2</v>
      </c>
      <c r="V993" s="19">
        <f ca="1">IF('Stock Price'!$I$11="OK",I993/INDEX(I$5:I$1258,'Stock Price'!$I$9)-1,"")</f>
        <v>-0.43596408317580337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154.58000000000001</v>
      </c>
      <c r="C994" s="18">
        <v>123.31</v>
      </c>
      <c r="D994" s="18">
        <v>40.299999999999997</v>
      </c>
      <c r="E994" s="18">
        <v>40.98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0.27752066115702489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-0.15646258503401367</v>
      </c>
      <c r="R994" s="19">
        <f ca="1">IF('Stock Price'!$I$11="OK",E994/INDEX(E$5:E$1258,'Stock Price'!$I$9)-1,"")</f>
        <v>-0.1224839400428267</v>
      </c>
      <c r="S994" s="19">
        <f ca="1">IF('Stock Price'!$I$11="OK",F994/INDEX(F$5:F$1258,'Stock Price'!$I$9)-1,"")</f>
        <v>-3.5182119205298124E-2</v>
      </c>
      <c r="T994" s="19">
        <f ca="1">IF('Stock Price'!$I$11="OK",G994/INDEX(G$5:G$1258,'Stock Price'!$I$9)-1,"")</f>
        <v>-0.40431062493230796</v>
      </c>
      <c r="U994" s="19">
        <f ca="1">IF('Stock Price'!$I$11="OK",H994/INDEX(H$5:H$1258,'Stock Price'!$I$9)-1,"")</f>
        <v>-7.1078431372548767E-3</v>
      </c>
      <c r="V994" s="19">
        <f ca="1">IF('Stock Price'!$I$11="OK",I994/INDEX(I$5:I$1258,'Stock Price'!$I$9)-1,"")</f>
        <v>-0.43360113421550095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153.00280000000001</v>
      </c>
      <c r="C995" s="18">
        <v>122.78</v>
      </c>
      <c r="D995" s="18">
        <v>40.049999999999997</v>
      </c>
      <c r="E995" s="18">
        <v>41.15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0.26448595041322331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-0.16169544740973318</v>
      </c>
      <c r="R995" s="19">
        <f ca="1">IF('Stock Price'!$I$11="OK",E995/INDEX(E$5:E$1258,'Stock Price'!$I$9)-1,"")</f>
        <v>-0.1188436830835119</v>
      </c>
      <c r="S995" s="19">
        <f ca="1">IF('Stock Price'!$I$11="OK",F995/INDEX(F$5:F$1258,'Stock Price'!$I$9)-1,"")</f>
        <v>-3.02152317880795E-2</v>
      </c>
      <c r="T995" s="19">
        <f ca="1">IF('Stock Price'!$I$11="OK",G995/INDEX(G$5:G$1258,'Stock Price'!$I$9)-1,"")</f>
        <v>-0.41644102675186823</v>
      </c>
      <c r="U995" s="19">
        <f ca="1">IF('Stock Price'!$I$11="OK",H995/INDEX(H$5:H$1258,'Stock Price'!$I$9)-1,"")</f>
        <v>-6.2499999999998668E-3</v>
      </c>
      <c r="V995" s="19">
        <f ca="1">IF('Stock Price'!$I$11="OK",I995/INDEX(I$5:I$1258,'Stock Price'!$I$9)-1,"")</f>
        <v>-0.43525519848771266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156.02500000000001</v>
      </c>
      <c r="C996" s="18">
        <v>122.47</v>
      </c>
      <c r="D996" s="18">
        <v>40.36</v>
      </c>
      <c r="E996" s="18">
        <v>41.17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0.28946280991735551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-0.15520669806384091</v>
      </c>
      <c r="R996" s="19">
        <f ca="1">IF('Stock Price'!$I$11="OK",E996/INDEX(E$5:E$1258,'Stock Price'!$I$9)-1,"")</f>
        <v>-0.11841541755888652</v>
      </c>
      <c r="S996" s="19">
        <f ca="1">IF('Stock Price'!$I$11="OK",F996/INDEX(F$5:F$1258,'Stock Price'!$I$9)-1,"")</f>
        <v>-2.7938741721854288E-2</v>
      </c>
      <c r="T996" s="19">
        <f ca="1">IF('Stock Price'!$I$11="OK",G996/INDEX(G$5:G$1258,'Stock Price'!$I$9)-1,"")</f>
        <v>-0.40690999675078521</v>
      </c>
      <c r="U996" s="19">
        <f ca="1">IF('Stock Price'!$I$11="OK",H996/INDEX(H$5:H$1258,'Stock Price'!$I$9)-1,"")</f>
        <v>-5.6372549019606533E-3</v>
      </c>
      <c r="V996" s="19">
        <f ca="1">IF('Stock Price'!$I$11="OK",I996/INDEX(I$5:I$1258,'Stock Price'!$I$9)-1,"")</f>
        <v>-0.43171077504725897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153.38499999999999</v>
      </c>
      <c r="C997" s="18">
        <v>122.29</v>
      </c>
      <c r="D997" s="18">
        <v>40.299999999999997</v>
      </c>
      <c r="E997" s="18">
        <v>41.19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0.26764462809917355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-0.15646258503401367</v>
      </c>
      <c r="R997" s="19">
        <f ca="1">IF('Stock Price'!$I$11="OK",E997/INDEX(E$5:E$1258,'Stock Price'!$I$9)-1,"")</f>
        <v>-0.11798715203426136</v>
      </c>
      <c r="S997" s="19">
        <f ca="1">IF('Stock Price'!$I$11="OK",F997/INDEX(F$5:F$1258,'Stock Price'!$I$9)-1,"")</f>
        <v>-1.3245033112582738E-2</v>
      </c>
      <c r="T997" s="19">
        <f ca="1">IF('Stock Price'!$I$11="OK",G997/INDEX(G$5:G$1258,'Stock Price'!$I$9)-1,"")</f>
        <v>-0.4032275533412758</v>
      </c>
      <c r="U997" s="19">
        <f ca="1">IF('Stock Price'!$I$11="OK",H997/INDEX(H$5:H$1258,'Stock Price'!$I$9)-1,"")</f>
        <v>-8.5784313725478789E-4</v>
      </c>
      <c r="V997" s="19">
        <f ca="1">IF('Stock Price'!$I$11="OK",I997/INDEX(I$5:I$1258,'Stock Price'!$I$9)-1,"")</f>
        <v>-0.42934782608695654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154.38</v>
      </c>
      <c r="C998" s="18">
        <v>122.93</v>
      </c>
      <c r="D998" s="18">
        <v>40.67</v>
      </c>
      <c r="E998" s="18">
        <v>41.79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0.27586776859504125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-0.14871794871794863</v>
      </c>
      <c r="R998" s="19">
        <f ca="1">IF('Stock Price'!$I$11="OK",E998/INDEX(E$5:E$1258,'Stock Price'!$I$9)-1,"")</f>
        <v>-0.10513918629550334</v>
      </c>
      <c r="S998" s="19">
        <f ca="1">IF('Stock Price'!$I$11="OK",F998/INDEX(F$5:F$1258,'Stock Price'!$I$9)-1,"")</f>
        <v>-1.4072847682119249E-2</v>
      </c>
      <c r="T998" s="19">
        <f ca="1">IF('Stock Price'!$I$11="OK",G998/INDEX(G$5:G$1258,'Stock Price'!$I$9)-1,"")</f>
        <v>-0.40431062493230796</v>
      </c>
      <c r="U998" s="19">
        <f ca="1">IF('Stock Price'!$I$11="OK",H998/INDEX(H$5:H$1258,'Stock Price'!$I$9)-1,"")</f>
        <v>-1.1029411764704733E-3</v>
      </c>
      <c r="V998" s="19">
        <f ca="1">IF('Stock Price'!$I$11="OK",I998/INDEX(I$5:I$1258,'Stock Price'!$I$9)-1,"")</f>
        <v>-0.43218336483931941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156.82</v>
      </c>
      <c r="C999" s="18">
        <v>123.36</v>
      </c>
      <c r="D999" s="18">
        <v>40.909999999999997</v>
      </c>
      <c r="E999" s="18">
        <v>42.66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0.29603305785123957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-0.14369440083725804</v>
      </c>
      <c r="R999" s="19">
        <f ca="1">IF('Stock Price'!$I$11="OK",E999/INDEX(E$5:E$1258,'Stock Price'!$I$9)-1,"")</f>
        <v>-8.6509635974304167E-2</v>
      </c>
      <c r="S999" s="19">
        <f ca="1">IF('Stock Price'!$I$11="OK",F999/INDEX(F$5:F$1258,'Stock Price'!$I$9)-1,"")</f>
        <v>-2.7110927152317887E-2</v>
      </c>
      <c r="T999" s="19">
        <f ca="1">IF('Stock Price'!$I$11="OK",G999/INDEX(G$5:G$1258,'Stock Price'!$I$9)-1,"")</f>
        <v>-0.40517708220513371</v>
      </c>
      <c r="U999" s="19">
        <f ca="1">IF('Stock Price'!$I$11="OK",H999/INDEX(H$5:H$1258,'Stock Price'!$I$9)-1,"")</f>
        <v>-1.4705882352941013E-2</v>
      </c>
      <c r="V999" s="19">
        <f ca="1">IF('Stock Price'!$I$11="OK",I999/INDEX(I$5:I$1258,'Stock Price'!$I$9)-1,"")</f>
        <v>-0.43194706994328924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150.74</v>
      </c>
      <c r="C1000" s="18">
        <v>122.82</v>
      </c>
      <c r="D1000" s="18">
        <v>40.520000000000003</v>
      </c>
      <c r="E1000" s="18">
        <v>41.75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0.24578512396694219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-0.15185766614338037</v>
      </c>
      <c r="R1000" s="19">
        <f ca="1">IF('Stock Price'!$I$11="OK",E1000/INDEX(E$5:E$1258,'Stock Price'!$I$9)-1,"")</f>
        <v>-0.10599571734475377</v>
      </c>
      <c r="S1000" s="19">
        <f ca="1">IF('Stock Price'!$I$11="OK",F1000/INDEX(F$5:F$1258,'Stock Price'!$I$9)-1,"")</f>
        <v>-2.9801324503311188E-2</v>
      </c>
      <c r="T1000" s="19">
        <f ca="1">IF('Stock Price'!$I$11="OK",G1000/INDEX(G$5:G$1258,'Stock Price'!$I$9)-1,"")</f>
        <v>-0.40409401061410155</v>
      </c>
      <c r="U1000" s="19">
        <f ca="1">IF('Stock Price'!$I$11="OK",H1000/INDEX(H$5:H$1258,'Stock Price'!$I$9)-1,"")</f>
        <v>-2.0098039215686314E-2</v>
      </c>
      <c r="V1000" s="19">
        <f ca="1">IF('Stock Price'!$I$11="OK",I1000/INDEX(I$5:I$1258,'Stock Price'!$I$9)-1,"")</f>
        <v>-0.42982041587901709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149.03989999999999</v>
      </c>
      <c r="C1001" s="18">
        <v>123</v>
      </c>
      <c r="D1001" s="18">
        <v>40.18</v>
      </c>
      <c r="E1001" s="18">
        <v>41.06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0.23173471074380148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-0.15897435897435896</v>
      </c>
      <c r="R1001" s="19">
        <f ca="1">IF('Stock Price'!$I$11="OK",E1001/INDEX(E$5:E$1258,'Stock Price'!$I$9)-1,"")</f>
        <v>-0.12077087794432551</v>
      </c>
      <c r="S1001" s="19">
        <f ca="1">IF('Stock Price'!$I$11="OK",F1001/INDEX(F$5:F$1258,'Stock Price'!$I$9)-1,"")</f>
        <v>-3.9735099337748325E-2</v>
      </c>
      <c r="T1001" s="19">
        <f ca="1">IF('Stock Price'!$I$11="OK",G1001/INDEX(G$5:G$1258,'Stock Price'!$I$9)-1,"")</f>
        <v>-0.40192786743203723</v>
      </c>
      <c r="U1001" s="19">
        <f ca="1">IF('Stock Price'!$I$11="OK",H1001/INDEX(H$5:H$1258,'Stock Price'!$I$9)-1,"")</f>
        <v>-2.3651960784313641E-2</v>
      </c>
      <c r="V1001" s="19">
        <f ca="1">IF('Stock Price'!$I$11="OK",I1001/INDEX(I$5:I$1258,'Stock Price'!$I$9)-1,"")</f>
        <v>-0.43076559546313797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149.75</v>
      </c>
      <c r="C1002" s="18">
        <v>122.23</v>
      </c>
      <c r="D1002" s="18">
        <v>39.520000000000003</v>
      </c>
      <c r="E1002" s="18">
        <v>39.96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0.2376033057851239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-0.17278911564625843</v>
      </c>
      <c r="R1002" s="19">
        <f ca="1">IF('Stock Price'!$I$11="OK",E1002/INDEX(E$5:E$1258,'Stock Price'!$I$9)-1,"")</f>
        <v>-0.14432548179871518</v>
      </c>
      <c r="S1002" s="19">
        <f ca="1">IF('Stock Price'!$I$11="OK",F1002/INDEX(F$5:F$1258,'Stock Price'!$I$9)-1,"")</f>
        <v>-6.7259933774834413E-2</v>
      </c>
      <c r="T1002" s="19">
        <f ca="1">IF('Stock Price'!$I$11="OK",G1002/INDEX(G$5:G$1258,'Stock Price'!$I$9)-1,"")</f>
        <v>-0.40983429004657201</v>
      </c>
      <c r="U1002" s="19">
        <f ca="1">IF('Stock Price'!$I$11="OK",H1002/INDEX(H$5:H$1258,'Stock Price'!$I$9)-1,"")</f>
        <v>-4.9019607843137303E-2</v>
      </c>
      <c r="V1002" s="19">
        <f ca="1">IF('Stock Price'!$I$11="OK",I1002/INDEX(I$5:I$1258,'Stock Price'!$I$9)-1,"")</f>
        <v>-0.44234404536862004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146.16</v>
      </c>
      <c r="C1003" s="18">
        <v>123.65</v>
      </c>
      <c r="D1003" s="18">
        <v>39.85</v>
      </c>
      <c r="E1003" s="18">
        <v>39.590000000000003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0.20793388429752069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-0.16588173731030864</v>
      </c>
      <c r="R1003" s="19">
        <f ca="1">IF('Stock Price'!$I$11="OK",E1003/INDEX(E$5:E$1258,'Stock Price'!$I$9)-1,"")</f>
        <v>-0.15224839400428258</v>
      </c>
      <c r="S1003" s="19">
        <f ca="1">IF('Stock Price'!$I$11="OK",F1003/INDEX(F$5:F$1258,'Stock Price'!$I$9)-1,"")</f>
        <v>-5.7533112582781487E-2</v>
      </c>
      <c r="T1003" s="19">
        <f ca="1">IF('Stock Price'!$I$11="OK",G1003/INDEX(G$5:G$1258,'Stock Price'!$I$9)-1,"")</f>
        <v>-0.40972598288746886</v>
      </c>
      <c r="U1003" s="19">
        <f ca="1">IF('Stock Price'!$I$11="OK",H1003/INDEX(H$5:H$1258,'Stock Price'!$I$9)-1,"")</f>
        <v>-3.7254901960784181E-2</v>
      </c>
      <c r="V1003" s="19">
        <f ca="1">IF('Stock Price'!$I$11="OK",I1003/INDEX(I$5:I$1258,'Stock Price'!$I$9)-1,"")</f>
        <v>-0.43856332703213607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146.09989999999999</v>
      </c>
      <c r="C1004" s="18">
        <v>124.1</v>
      </c>
      <c r="D1004" s="18">
        <v>41.1</v>
      </c>
      <c r="E1004" s="18">
        <v>40.049999999999997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0.20743719008264461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-0.13971742543171106</v>
      </c>
      <c r="R1004" s="19">
        <f ca="1">IF('Stock Price'!$I$11="OK",E1004/INDEX(E$5:E$1258,'Stock Price'!$I$9)-1,"")</f>
        <v>-0.14239828693790157</v>
      </c>
      <c r="S1004" s="19">
        <f ca="1">IF('Stock Price'!$I$11="OK",F1004/INDEX(F$5:F$1258,'Stock Price'!$I$9)-1,"")</f>
        <v>-5.5256622516556275E-2</v>
      </c>
      <c r="T1004" s="19">
        <f ca="1">IF('Stock Price'!$I$11="OK",G1004/INDEX(G$5:G$1258,'Stock Price'!$I$9)-1,"")</f>
        <v>-0.39965341709086966</v>
      </c>
      <c r="U1004" s="19">
        <f ca="1">IF('Stock Price'!$I$11="OK",H1004/INDEX(H$5:H$1258,'Stock Price'!$I$9)-1,"")</f>
        <v>-3.7009803921568607E-2</v>
      </c>
      <c r="V1004" s="19">
        <f ca="1">IF('Stock Price'!$I$11="OK",I1004/INDEX(I$5:I$1258,'Stock Price'!$I$9)-1,"")</f>
        <v>-0.43643667296786381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149.5</v>
      </c>
      <c r="C1005" s="18">
        <v>128.24</v>
      </c>
      <c r="D1005" s="18">
        <v>43.16</v>
      </c>
      <c r="E1005" s="18">
        <v>41.81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0.23553719008264462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-9.6598639455782398E-2</v>
      </c>
      <c r="R1005" s="19">
        <f ca="1">IF('Stock Price'!$I$11="OK",E1005/INDEX(E$5:E$1258,'Stock Price'!$I$9)-1,"")</f>
        <v>-0.10471092077087796</v>
      </c>
      <c r="S1005" s="19">
        <f ca="1">IF('Stock Price'!$I$11="OK",F1005/INDEX(F$5:F$1258,'Stock Price'!$I$9)-1,"")</f>
        <v>-2.3178807947019764E-2</v>
      </c>
      <c r="T1005" s="19">
        <f ca="1">IF('Stock Price'!$I$11="OK",G1005/INDEX(G$5:G$1258,'Stock Price'!$I$9)-1,"")</f>
        <v>-0.3884977797032384</v>
      </c>
      <c r="U1005" s="19">
        <f ca="1">IF('Stock Price'!$I$11="OK",H1005/INDEX(H$5:H$1258,'Stock Price'!$I$9)-1,"")</f>
        <v>2.8553921568627683E-2</v>
      </c>
      <c r="V1005" s="19">
        <f ca="1">IF('Stock Price'!$I$11="OK",I1005/INDEX(I$5:I$1258,'Stock Price'!$I$9)-1,"")</f>
        <v>-0.39792060491493386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162.55500000000001</v>
      </c>
      <c r="C1006" s="18">
        <v>131.72</v>
      </c>
      <c r="D1006" s="18">
        <v>45.51</v>
      </c>
      <c r="E1006" s="18">
        <v>44.83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0.34342975206611581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-4.740973312401886E-2</v>
      </c>
      <c r="R1006" s="19">
        <f ca="1">IF('Stock Price'!$I$11="OK",E1006/INDEX(E$5:E$1258,'Stock Price'!$I$9)-1,"")</f>
        <v>-4.0042826552462607E-2</v>
      </c>
      <c r="S1006" s="19">
        <f ca="1">IF('Stock Price'!$I$11="OK",F1006/INDEX(F$5:F$1258,'Stock Price'!$I$9)-1,"")</f>
        <v>2.9801324503311299E-2</v>
      </c>
      <c r="T1006" s="19">
        <f ca="1">IF('Stock Price'!$I$11="OK",G1006/INDEX(G$5:G$1258,'Stock Price'!$I$9)-1,"")</f>
        <v>-0.35795516083613121</v>
      </c>
      <c r="U1006" s="19">
        <f ca="1">IF('Stock Price'!$I$11="OK",H1006/INDEX(H$5:H$1258,'Stock Price'!$I$9)-1,"")</f>
        <v>0.10453431372549016</v>
      </c>
      <c r="V1006" s="19">
        <f ca="1">IF('Stock Price'!$I$11="OK",I1006/INDEX(I$5:I$1258,'Stock Price'!$I$9)-1,"")</f>
        <v>-0.35704158790170126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164.67500000000001</v>
      </c>
      <c r="C1007" s="18">
        <v>130.97</v>
      </c>
      <c r="D1007" s="18">
        <v>43.69</v>
      </c>
      <c r="E1007" s="18">
        <v>44.7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0.3609504132231407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-8.5504971219256931E-2</v>
      </c>
      <c r="R1007" s="19">
        <f ca="1">IF('Stock Price'!$I$11="OK",E1007/INDEX(E$5:E$1258,'Stock Price'!$I$9)-1,"")</f>
        <v>-4.2826552462526757E-2</v>
      </c>
      <c r="S1007" s="19">
        <f ca="1">IF('Stock Price'!$I$11="OK",F1007/INDEX(F$5:F$1258,'Stock Price'!$I$9)-1,"")</f>
        <v>3.7665562913907324E-2</v>
      </c>
      <c r="T1007" s="19">
        <f ca="1">IF('Stock Price'!$I$11="OK",G1007/INDEX(G$5:G$1258,'Stock Price'!$I$9)-1,"")</f>
        <v>-0.36921910538286573</v>
      </c>
      <c r="U1007" s="19">
        <f ca="1">IF('Stock Price'!$I$11="OK",H1007/INDEX(H$5:H$1258,'Stock Price'!$I$9)-1,"")</f>
        <v>9.6936274509804132E-2</v>
      </c>
      <c r="V1007" s="19">
        <f ca="1">IF('Stock Price'!$I$11="OK",I1007/INDEX(I$5:I$1258,'Stock Price'!$I$9)-1,"")</f>
        <v>-0.36011342155009451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170.51</v>
      </c>
      <c r="C1008" s="18">
        <v>132.38999999999999</v>
      </c>
      <c r="D1008" s="18">
        <v>43.35</v>
      </c>
      <c r="E1008" s="18">
        <v>45.3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0.40917355371900821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-9.2621664050235419E-2</v>
      </c>
      <c r="R1008" s="19">
        <f ca="1">IF('Stock Price'!$I$11="OK",E1008/INDEX(E$5:E$1258,'Stock Price'!$I$9)-1,"")</f>
        <v>-2.9978586723768852E-2</v>
      </c>
      <c r="S1008" s="19">
        <f ca="1">IF('Stock Price'!$I$11="OK",F1008/INDEX(F$5:F$1258,'Stock Price'!$I$9)-1,"")</f>
        <v>5.3394039735099375E-2</v>
      </c>
      <c r="T1008" s="19">
        <f ca="1">IF('Stock Price'!$I$11="OK",G1008/INDEX(G$5:G$1258,'Stock Price'!$I$9)-1,"")</f>
        <v>-0.37506769197443945</v>
      </c>
      <c r="U1008" s="19">
        <f ca="1">IF('Stock Price'!$I$11="OK",H1008/INDEX(H$5:H$1258,'Stock Price'!$I$9)-1,"")</f>
        <v>9.3014705882352944E-2</v>
      </c>
      <c r="V1008" s="19">
        <f ca="1">IF('Stock Price'!$I$11="OK",I1008/INDEX(I$5:I$1258,'Stock Price'!$I$9)-1,"")</f>
        <v>-0.35326086956521741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172.3</v>
      </c>
      <c r="C1009" s="18">
        <v>132.25</v>
      </c>
      <c r="D1009" s="18">
        <v>43.45</v>
      </c>
      <c r="E1009" s="18">
        <v>45.36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0.42396694214876041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-9.0528519099947635E-2</v>
      </c>
      <c r="R1009" s="19">
        <f ca="1">IF('Stock Price'!$I$11="OK",E1009/INDEX(E$5:E$1258,'Stock Price'!$I$9)-1,"")</f>
        <v>-2.8693790149893039E-2</v>
      </c>
      <c r="S1009" s="19">
        <f ca="1">IF('Stock Price'!$I$11="OK",F1009/INDEX(F$5:F$1258,'Stock Price'!$I$9)-1,"")</f>
        <v>2.8766556291390799E-2</v>
      </c>
      <c r="T1009" s="19">
        <f ca="1">IF('Stock Price'!$I$11="OK",G1009/INDEX(G$5:G$1258,'Stock Price'!$I$9)-1,"")</f>
        <v>-0.38589840788476115</v>
      </c>
      <c r="U1009" s="19">
        <f ca="1">IF('Stock Price'!$I$11="OK",H1009/INDEX(H$5:H$1258,'Stock Price'!$I$9)-1,"")</f>
        <v>8.8235294117647189E-2</v>
      </c>
      <c r="V1009" s="19">
        <f ca="1">IF('Stock Price'!$I$11="OK",I1009/INDEX(I$5:I$1258,'Stock Price'!$I$9)-1,"")</f>
        <v>-0.37547258979206055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170</v>
      </c>
      <c r="C1010" s="18">
        <v>131.55000000000001</v>
      </c>
      <c r="D1010" s="18">
        <v>43.5</v>
      </c>
      <c r="E1010" s="18">
        <v>45.15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0.4049586776859504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-8.9481946624803688E-2</v>
      </c>
      <c r="R1010" s="19">
        <f ca="1">IF('Stock Price'!$I$11="OK",E1010/INDEX(E$5:E$1258,'Stock Price'!$I$9)-1,"")</f>
        <v>-3.3190578158458384E-2</v>
      </c>
      <c r="S1010" s="19">
        <f ca="1">IF('Stock Price'!$I$11="OK",F1010/INDEX(F$5:F$1258,'Stock Price'!$I$9)-1,"")</f>
        <v>1.8108443708609201E-2</v>
      </c>
      <c r="T1010" s="19">
        <f ca="1">IF('Stock Price'!$I$11="OK",G1010/INDEX(G$5:G$1258,'Stock Price'!$I$9)-1,"")</f>
        <v>-0.39824542402252783</v>
      </c>
      <c r="U1010" s="19">
        <f ca="1">IF('Stock Price'!$I$11="OK",H1010/INDEX(H$5:H$1258,'Stock Price'!$I$9)-1,"")</f>
        <v>7.3651960784313797E-2</v>
      </c>
      <c r="V1010" s="19">
        <f ca="1">IF('Stock Price'!$I$11="OK",I1010/INDEX(I$5:I$1258,'Stock Price'!$I$9)-1,"")</f>
        <v>-0.37925330812854441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172.1</v>
      </c>
      <c r="C1011" s="18">
        <v>132.31</v>
      </c>
      <c r="D1011" s="18">
        <v>43.35</v>
      </c>
      <c r="E1011" s="18">
        <v>45.32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0.42231404958677676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-9.2621664050235419E-2</v>
      </c>
      <c r="R1011" s="19">
        <f ca="1">IF('Stock Price'!$I$11="OK",E1011/INDEX(E$5:E$1258,'Stock Price'!$I$9)-1,"")</f>
        <v>-2.955032119914347E-2</v>
      </c>
      <c r="S1011" s="19">
        <f ca="1">IF('Stock Price'!$I$11="OK",F1011/INDEX(F$5:F$1258,'Stock Price'!$I$9)-1,"")</f>
        <v>9.9337748344370258E-3</v>
      </c>
      <c r="T1011" s="19">
        <f ca="1">IF('Stock Price'!$I$11="OK",G1011/INDEX(G$5:G$1258,'Stock Price'!$I$9)-1,"")</f>
        <v>-0.40604353947795946</v>
      </c>
      <c r="U1011" s="19">
        <f ca="1">IF('Stock Price'!$I$11="OK",H1011/INDEX(H$5:H$1258,'Stock Price'!$I$9)-1,"")</f>
        <v>5.8823529411764941E-2</v>
      </c>
      <c r="V1011" s="19">
        <f ca="1">IF('Stock Price'!$I$11="OK",I1011/INDEX(I$5:I$1258,'Stock Price'!$I$9)-1,"")</f>
        <v>-0.3931947069943289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169.85</v>
      </c>
      <c r="C1012" s="18">
        <v>131.06</v>
      </c>
      <c r="D1012" s="18">
        <v>43.44</v>
      </c>
      <c r="E1012" s="18">
        <v>45.54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0.40371900826446283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-9.0737833594976447E-2</v>
      </c>
      <c r="R1012" s="19">
        <f ca="1">IF('Stock Price'!$I$11="OK",E1012/INDEX(E$5:E$1258,'Stock Price'!$I$9)-1,"")</f>
        <v>-2.4839400428265601E-2</v>
      </c>
      <c r="S1012" s="19">
        <f ca="1">IF('Stock Price'!$I$11="OK",F1012/INDEX(F$5:F$1258,'Stock Price'!$I$9)-1,"")</f>
        <v>1.0347682119205226E-2</v>
      </c>
      <c r="T1012" s="19">
        <f ca="1">IF('Stock Price'!$I$11="OK",G1012/INDEX(G$5:G$1258,'Stock Price'!$I$9)-1,"")</f>
        <v>-0.38914762265785774</v>
      </c>
      <c r="U1012" s="19">
        <f ca="1">IF('Stock Price'!$I$11="OK",H1012/INDEX(H$5:H$1258,'Stock Price'!$I$9)-1,"")</f>
        <v>7.2303921568627416E-2</v>
      </c>
      <c r="V1012" s="19">
        <f ca="1">IF('Stock Price'!$I$11="OK",I1012/INDEX(I$5:I$1258,'Stock Price'!$I$9)-1,"")</f>
        <v>-0.40359168241965981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169.33529999999999</v>
      </c>
      <c r="C1013" s="18">
        <v>130.03</v>
      </c>
      <c r="D1013" s="18">
        <v>43.54</v>
      </c>
      <c r="E1013" s="18">
        <v>45.66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0.39946528925619829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-8.8644688644688663E-2</v>
      </c>
      <c r="R1013" s="19">
        <f ca="1">IF('Stock Price'!$I$11="OK",E1013/INDEX(E$5:E$1258,'Stock Price'!$I$9)-1,"")</f>
        <v>-2.2269807280514087E-2</v>
      </c>
      <c r="S1013" s="19">
        <f ca="1">IF('Stock Price'!$I$11="OK",F1013/INDEX(F$5:F$1258,'Stock Price'!$I$9)-1,"")</f>
        <v>-4.7599337748344128E-3</v>
      </c>
      <c r="T1013" s="19">
        <f ca="1">IF('Stock Price'!$I$11="OK",G1013/INDEX(G$5:G$1258,'Stock Price'!$I$9)-1,"")</f>
        <v>-0.39391313765839919</v>
      </c>
      <c r="U1013" s="19">
        <f ca="1">IF('Stock Price'!$I$11="OK",H1013/INDEX(H$5:H$1258,'Stock Price'!$I$9)-1,"")</f>
        <v>5.3799019607843057E-2</v>
      </c>
      <c r="V1013" s="19">
        <f ca="1">IF('Stock Price'!$I$11="OK",I1013/INDEX(I$5:I$1258,'Stock Price'!$I$9)-1,"")</f>
        <v>-0.41446124763705106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169.33529999999999</v>
      </c>
      <c r="C1014" s="18">
        <v>129.12</v>
      </c>
      <c r="D1014" s="18">
        <v>43.69</v>
      </c>
      <c r="E1014" s="18">
        <v>45.28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0.39946528925619829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-8.5504971219256931E-2</v>
      </c>
      <c r="R1014" s="19">
        <f ca="1">IF('Stock Price'!$I$11="OK",E1014/INDEX(E$5:E$1258,'Stock Price'!$I$9)-1,"")</f>
        <v>-3.0406852248394012E-2</v>
      </c>
      <c r="S1014" s="19">
        <f ca="1">IF('Stock Price'!$I$11="OK",F1014/INDEX(F$5:F$1258,'Stock Price'!$I$9)-1,"")</f>
        <v>9.9337748344370258E-3</v>
      </c>
      <c r="T1014" s="19">
        <f ca="1">IF('Stock Price'!$I$11="OK",G1014/INDEX(G$5:G$1258,'Stock Price'!$I$9)-1,"")</f>
        <v>-0.39878695981804402</v>
      </c>
      <c r="U1014" s="19">
        <f ca="1">IF('Stock Price'!$I$11="OK",H1014/INDEX(H$5:H$1258,'Stock Price'!$I$9)-1,"")</f>
        <v>5.024509803921573E-2</v>
      </c>
      <c r="V1014" s="19">
        <f ca="1">IF('Stock Price'!$I$11="OK",I1014/INDEX(I$5:I$1258,'Stock Price'!$I$9)-1,"")</f>
        <v>-0.41564272211720221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169.1</v>
      </c>
      <c r="C1015" s="18">
        <v>130.26</v>
      </c>
      <c r="D1015" s="18">
        <v>44.15</v>
      </c>
      <c r="E1015" s="18">
        <v>44.76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0.39752066115702478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-7.5876504447933035E-2</v>
      </c>
      <c r="R1015" s="19">
        <f ca="1">IF('Stock Price'!$I$11="OK",E1015/INDEX(E$5:E$1258,'Stock Price'!$I$9)-1,"")</f>
        <v>-4.1541755888651055E-2</v>
      </c>
      <c r="S1015" s="19">
        <f ca="1">IF('Stock Price'!$I$11="OK",F1015/INDEX(F$5:F$1258,'Stock Price'!$I$9)-1,"")</f>
        <v>1.8625827814569451E-2</v>
      </c>
      <c r="T1015" s="19">
        <f ca="1">IF('Stock Price'!$I$11="OK",G1015/INDEX(G$5:G$1258,'Stock Price'!$I$9)-1,"")</f>
        <v>-0.40799306834181737</v>
      </c>
      <c r="U1015" s="19">
        <f ca="1">IF('Stock Price'!$I$11="OK",H1015/INDEX(H$5:H$1258,'Stock Price'!$I$9)-1,"")</f>
        <v>3.799019607843146E-2</v>
      </c>
      <c r="V1015" s="19">
        <f ca="1">IF('Stock Price'!$I$11="OK",I1015/INDEX(I$5:I$1258,'Stock Price'!$I$9)-1,"")</f>
        <v>-0.42060491493383745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168.065</v>
      </c>
      <c r="C1016" s="18">
        <v>129.97</v>
      </c>
      <c r="D1016" s="18">
        <v>43.78</v>
      </c>
      <c r="E1016" s="18">
        <v>44.48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0.38896694214876026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-8.3621140763997848E-2</v>
      </c>
      <c r="R1016" s="19">
        <f ca="1">IF('Stock Price'!$I$11="OK",E1016/INDEX(E$5:E$1258,'Stock Price'!$I$9)-1,"")</f>
        <v>-4.7537473233404848E-2</v>
      </c>
      <c r="S1016" s="19">
        <f ca="1">IF('Stock Price'!$I$11="OK",F1016/INDEX(F$5:F$1258,'Stock Price'!$I$9)-1,"")</f>
        <v>1.3245033112582849E-2</v>
      </c>
      <c r="T1016" s="19">
        <f ca="1">IF('Stock Price'!$I$11="OK",G1016/INDEX(G$5:G$1258,'Stock Price'!$I$9)-1,"")</f>
        <v>-0.4096176757283656</v>
      </c>
      <c r="U1016" s="19">
        <f ca="1">IF('Stock Price'!$I$11="OK",H1016/INDEX(H$5:H$1258,'Stock Price'!$I$9)-1,"")</f>
        <v>3.0759803921568629E-2</v>
      </c>
      <c r="V1016" s="19">
        <f ca="1">IF('Stock Price'!$I$11="OK",I1016/INDEX(I$5:I$1258,'Stock Price'!$I$9)-1,"")</f>
        <v>-0.42367674858223059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169.12</v>
      </c>
      <c r="C1017" s="18">
        <v>130.77000000000001</v>
      </c>
      <c r="D1017" s="18">
        <v>43.77</v>
      </c>
      <c r="E1017" s="18">
        <v>44.67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0.39768595041322308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-8.3830455259026548E-2</v>
      </c>
      <c r="R1017" s="19">
        <f ca="1">IF('Stock Price'!$I$11="OK",E1017/INDEX(E$5:E$1258,'Stock Price'!$I$9)-1,"")</f>
        <v>-4.3468950749464663E-2</v>
      </c>
      <c r="S1017" s="19">
        <f ca="1">IF('Stock Price'!$I$11="OK",F1017/INDEX(F$5:F$1258,'Stock Price'!$I$9)-1,"")</f>
        <v>3.5182119205298124E-2</v>
      </c>
      <c r="T1017" s="19">
        <f ca="1">IF('Stock Price'!$I$11="OK",G1017/INDEX(G$5:G$1258,'Stock Price'!$I$9)-1,"")</f>
        <v>-0.41319181197877175</v>
      </c>
      <c r="U1017" s="19">
        <f ca="1">IF('Stock Price'!$I$11="OK",H1017/INDEX(H$5:H$1258,'Stock Price'!$I$9)-1,"")</f>
        <v>2.8431372549019729E-2</v>
      </c>
      <c r="V1017" s="19">
        <f ca="1">IF('Stock Price'!$I$11="OK",I1017/INDEX(I$5:I$1258,'Stock Price'!$I$9)-1,"")</f>
        <v>-0.42745746691871456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170.88</v>
      </c>
      <c r="C1018" s="18">
        <v>131.43</v>
      </c>
      <c r="D1018" s="18">
        <v>43.91</v>
      </c>
      <c r="E1018" s="18">
        <v>44.91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0.41223140495867772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-8.090005232862385E-2</v>
      </c>
      <c r="R1018" s="19">
        <f ca="1">IF('Stock Price'!$I$11="OK",E1018/INDEX(E$5:E$1258,'Stock Price'!$I$9)-1,"")</f>
        <v>-3.8329764453961634E-2</v>
      </c>
      <c r="S1018" s="19">
        <f ca="1">IF('Stock Price'!$I$11="OK",F1018/INDEX(F$5:F$1258,'Stock Price'!$I$9)-1,"")</f>
        <v>4.759933774834435E-2</v>
      </c>
      <c r="T1018" s="19">
        <f ca="1">IF('Stock Price'!$I$11="OK",G1018/INDEX(G$5:G$1258,'Stock Price'!$I$9)-1,"")</f>
        <v>-0.41914870572944862</v>
      </c>
      <c r="U1018" s="19">
        <f ca="1">IF('Stock Price'!$I$11="OK",H1018/INDEX(H$5:H$1258,'Stock Price'!$I$9)-1,"")</f>
        <v>3.9093137254902155E-2</v>
      </c>
      <c r="V1018" s="19">
        <f ca="1">IF('Stock Price'!$I$11="OK",I1018/INDEX(I$5:I$1258,'Stock Price'!$I$9)-1,"")</f>
        <v>-0.42084120982986761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166.97989999999999</v>
      </c>
      <c r="C1019" s="18">
        <v>131.79</v>
      </c>
      <c r="D1019" s="18">
        <v>44.12</v>
      </c>
      <c r="E1019" s="18">
        <v>44.06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0.37999917355371893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-7.6504447933019359E-2</v>
      </c>
      <c r="R1019" s="19">
        <f ca="1">IF('Stock Price'!$I$11="OK",E1019/INDEX(E$5:E$1258,'Stock Price'!$I$9)-1,"")</f>
        <v>-5.6531049250535315E-2</v>
      </c>
      <c r="S1019" s="19">
        <f ca="1">IF('Stock Price'!$I$11="OK",F1019/INDEX(F$5:F$1258,'Stock Price'!$I$9)-1,"")</f>
        <v>2.9180463576158777E-2</v>
      </c>
      <c r="T1019" s="19">
        <f ca="1">IF('Stock Price'!$I$11="OK",G1019/INDEX(G$5:G$1258,'Stock Price'!$I$9)-1,"")</f>
        <v>-0.40582692515975305</v>
      </c>
      <c r="U1019" s="19">
        <f ca="1">IF('Stock Price'!$I$11="OK",H1019/INDEX(H$5:H$1258,'Stock Price'!$I$9)-1,"")</f>
        <v>5.7843137254901977E-2</v>
      </c>
      <c r="V1019" s="19">
        <f ca="1">IF('Stock Price'!$I$11="OK",I1019/INDEX(I$5:I$1258,'Stock Price'!$I$9)-1,"")</f>
        <v>-0.4165879017013232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168.28</v>
      </c>
      <c r="C1020" s="18">
        <v>131.34</v>
      </c>
      <c r="D1020" s="18">
        <v>43.94</v>
      </c>
      <c r="E1020" s="18">
        <v>44.02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0.39074380165289258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-8.0272108843537415E-2</v>
      </c>
      <c r="R1020" s="19">
        <f ca="1">IF('Stock Price'!$I$11="OK",E1020/INDEX(E$5:E$1258,'Stock Price'!$I$9)-1,"")</f>
        <v>-5.7387580299785856E-2</v>
      </c>
      <c r="S1020" s="19">
        <f ca="1">IF('Stock Price'!$I$11="OK",F1020/INDEX(F$5:F$1258,'Stock Price'!$I$9)-1,"")</f>
        <v>2.7731788079470077E-2</v>
      </c>
      <c r="T1020" s="19">
        <f ca="1">IF('Stock Price'!$I$11="OK",G1020/INDEX(G$5:G$1258,'Stock Price'!$I$9)-1,"")</f>
        <v>-0.40745153254630129</v>
      </c>
      <c r="U1020" s="19">
        <f ca="1">IF('Stock Price'!$I$11="OK",H1020/INDEX(H$5:H$1258,'Stock Price'!$I$9)-1,"")</f>
        <v>7.3774509803921751E-2</v>
      </c>
      <c r="V1020" s="19">
        <f ca="1">IF('Stock Price'!$I$11="OK",I1020/INDEX(I$5:I$1258,'Stock Price'!$I$9)-1,"")</f>
        <v>-0.41280718336483924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168.28</v>
      </c>
      <c r="C1021" s="18">
        <v>131.43</v>
      </c>
      <c r="D1021" s="18">
        <v>44.26</v>
      </c>
      <c r="E1021" s="18">
        <v>43.94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0.39074380165289258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-7.3574045002616439E-2</v>
      </c>
      <c r="R1021" s="19">
        <f ca="1">IF('Stock Price'!$I$11="OK",E1021/INDEX(E$5:E$1258,'Stock Price'!$I$9)-1,"")</f>
        <v>-5.9100642398287051E-2</v>
      </c>
      <c r="S1021" s="19">
        <f ca="1">IF('Stock Price'!$I$11="OK",F1021/INDEX(F$5:F$1258,'Stock Price'!$I$9)-1,"")</f>
        <v>3.4561258278145823E-2</v>
      </c>
      <c r="T1021" s="19">
        <f ca="1">IF('Stock Price'!$I$11="OK",G1021/INDEX(G$5:G$1258,'Stock Price'!$I$9)-1,"")</f>
        <v>-0.40387739629589514</v>
      </c>
      <c r="U1021" s="19">
        <f ca="1">IF('Stock Price'!$I$11="OK",H1021/INDEX(H$5:H$1258,'Stock Price'!$I$9)-1,"")</f>
        <v>7.3651960784313797E-2</v>
      </c>
      <c r="V1021" s="19">
        <f ca="1">IF('Stock Price'!$I$11="OK",I1021/INDEX(I$5:I$1258,'Stock Price'!$I$9)-1,"")</f>
        <v>-0.4158790170132326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168.24</v>
      </c>
      <c r="C1022" s="18">
        <v>131.63999999999999</v>
      </c>
      <c r="D1022" s="18">
        <v>45.54</v>
      </c>
      <c r="E1022" s="18">
        <v>42.47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0.39041322314049598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-4.6781789638932536E-2</v>
      </c>
      <c r="R1022" s="19">
        <f ca="1">IF('Stock Price'!$I$11="OK",E1022/INDEX(E$5:E$1258,'Stock Price'!$I$9)-1,"")</f>
        <v>-9.057815845824424E-2</v>
      </c>
      <c r="S1022" s="19">
        <f ca="1">IF('Stock Price'!$I$11="OK",F1022/INDEX(F$5:F$1258,'Stock Price'!$I$9)-1,"")</f>
        <v>2.4834437086092676E-2</v>
      </c>
      <c r="T1022" s="19">
        <f ca="1">IF('Stock Price'!$I$11="OK",G1022/INDEX(G$5:G$1258,'Stock Price'!$I$9)-1,"")</f>
        <v>-0.40257771038665657</v>
      </c>
      <c r="U1022" s="19">
        <f ca="1">IF('Stock Price'!$I$11="OK",H1022/INDEX(H$5:H$1258,'Stock Price'!$I$9)-1,"")</f>
        <v>6.8382352941176672E-2</v>
      </c>
      <c r="V1022" s="19">
        <f ca="1">IF('Stock Price'!$I$11="OK",I1022/INDEX(I$5:I$1258,'Stock Price'!$I$9)-1,"")</f>
        <v>-0.41706049149338376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163.75</v>
      </c>
      <c r="C1023" s="18">
        <v>130.36000000000001</v>
      </c>
      <c r="D1023" s="18">
        <v>43.24</v>
      </c>
      <c r="E1023" s="18">
        <v>42.27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0.35330578512396693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-9.4924123495552015E-2</v>
      </c>
      <c r="R1023" s="19">
        <f ca="1">IF('Stock Price'!$I$11="OK",E1023/INDEX(E$5:E$1258,'Stock Price'!$I$9)-1,"")</f>
        <v>-9.4860813704496727E-2</v>
      </c>
      <c r="S1023" s="19">
        <f ca="1">IF('Stock Price'!$I$11="OK",F1023/INDEX(F$5:F$1258,'Stock Price'!$I$9)-1,"")</f>
        <v>6.8708609271523224E-2</v>
      </c>
      <c r="T1023" s="19">
        <f ca="1">IF('Stock Price'!$I$11="OK",G1023/INDEX(G$5:G$1258,'Stock Price'!$I$9)-1,"")</f>
        <v>-0.39835373118163109</v>
      </c>
      <c r="U1023" s="19">
        <f ca="1">IF('Stock Price'!$I$11="OK",H1023/INDEX(H$5:H$1258,'Stock Price'!$I$9)-1,"")</f>
        <v>7.2181372549019684E-2</v>
      </c>
      <c r="V1023" s="19">
        <f ca="1">IF('Stock Price'!$I$11="OK",I1023/INDEX(I$5:I$1258,'Stock Price'!$I$9)-1,"")</f>
        <v>-0.4149338374291115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163.99</v>
      </c>
      <c r="C1024" s="18">
        <v>129.13999999999999</v>
      </c>
      <c r="D1024" s="18">
        <v>43.8</v>
      </c>
      <c r="E1024" s="18">
        <v>42.09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0.35528925619834717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-8.3202511773940335E-2</v>
      </c>
      <c r="R1024" s="19">
        <f ca="1">IF('Stock Price'!$I$11="OK",E1024/INDEX(E$5:E$1258,'Stock Price'!$I$9)-1,"")</f>
        <v>-9.8715203426124165E-2</v>
      </c>
      <c r="S1024" s="19">
        <f ca="1">IF('Stock Price'!$I$11="OK",F1024/INDEX(F$5:F$1258,'Stock Price'!$I$9)-1,"")</f>
        <v>6.3948675496688701E-2</v>
      </c>
      <c r="T1024" s="19">
        <f ca="1">IF('Stock Price'!$I$11="OK",G1024/INDEX(G$5:G$1258,'Stock Price'!$I$9)-1,"")</f>
        <v>-0.40192786743203723</v>
      </c>
      <c r="U1024" s="19">
        <f ca="1">IF('Stock Price'!$I$11="OK",H1024/INDEX(H$5:H$1258,'Stock Price'!$I$9)-1,"")</f>
        <v>7.8431372549019773E-2</v>
      </c>
      <c r="V1024" s="19">
        <f ca="1">IF('Stock Price'!$I$11="OK",I1024/INDEX(I$5:I$1258,'Stock Price'!$I$9)-1,"")</f>
        <v>-0.41469754253308133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165.58</v>
      </c>
      <c r="C1025" s="18">
        <v>123.43</v>
      </c>
      <c r="D1025" s="18">
        <v>43.7</v>
      </c>
      <c r="E1025" s="18">
        <v>40.85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0.36842975206611572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-8.5295656724228119E-2</v>
      </c>
      <c r="R1025" s="19">
        <f ca="1">IF('Stock Price'!$I$11="OK",E1025/INDEX(E$5:E$1258,'Stock Price'!$I$9)-1,"")</f>
        <v>-0.12526766595289085</v>
      </c>
      <c r="S1025" s="19">
        <f ca="1">IF('Stock Price'!$I$11="OK",F1025/INDEX(F$5:F$1258,'Stock Price'!$I$9)-1,"")</f>
        <v>5.6705298013244976E-2</v>
      </c>
      <c r="T1025" s="19">
        <f ca="1">IF('Stock Price'!$I$11="OK",G1025/INDEX(G$5:G$1258,'Stock Price'!$I$9)-1,"")</f>
        <v>-0.40550200368244338</v>
      </c>
      <c r="U1025" s="19">
        <f ca="1">IF('Stock Price'!$I$11="OK",H1025/INDEX(H$5:H$1258,'Stock Price'!$I$9)-1,"")</f>
        <v>6.654411764705892E-2</v>
      </c>
      <c r="V1025" s="19">
        <f ca="1">IF('Stock Price'!$I$11="OK",I1025/INDEX(I$5:I$1258,'Stock Price'!$I$9)-1,"")</f>
        <v>-0.42107750472589789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163.67500000000001</v>
      </c>
      <c r="C1026" s="18">
        <v>121.8</v>
      </c>
      <c r="D1026" s="18">
        <v>45.93</v>
      </c>
      <c r="E1026" s="18">
        <v>40.56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0.35268595041322315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-3.8618524332809989E-2</v>
      </c>
      <c r="R1026" s="19">
        <f ca="1">IF('Stock Price'!$I$11="OK",E1026/INDEX(E$5:E$1258,'Stock Price'!$I$9)-1,"")</f>
        <v>-0.13147751605995717</v>
      </c>
      <c r="S1026" s="19">
        <f ca="1">IF('Stock Price'!$I$11="OK",F1026/INDEX(F$5:F$1258,'Stock Price'!$I$9)-1,"")</f>
        <v>4.8841059602648951E-2</v>
      </c>
      <c r="T1026" s="19">
        <f ca="1">IF('Stock Price'!$I$11="OK",G1026/INDEX(G$5:G$1258,'Stock Price'!$I$9)-1,"")</f>
        <v>-0.40301093902306939</v>
      </c>
      <c r="U1026" s="19">
        <f ca="1">IF('Stock Price'!$I$11="OK",H1026/INDEX(H$5:H$1258,'Stock Price'!$I$9)-1,"")</f>
        <v>6.1029411764705888E-2</v>
      </c>
      <c r="V1026" s="19">
        <f ca="1">IF('Stock Price'!$I$11="OK",I1026/INDEX(I$5:I$1258,'Stock Price'!$I$9)-1,"")</f>
        <v>-0.42603969754253312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163.67500000000001</v>
      </c>
      <c r="C1027" s="18">
        <v>122.61</v>
      </c>
      <c r="D1027" s="18">
        <v>46.94</v>
      </c>
      <c r="E1027" s="18">
        <v>40.61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0.35268595041322315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-1.7477760334903225E-2</v>
      </c>
      <c r="R1027" s="19">
        <f ca="1">IF('Stock Price'!$I$11="OK",E1027/INDEX(E$5:E$1258,'Stock Price'!$I$9)-1,"")</f>
        <v>-0.1304068522483941</v>
      </c>
      <c r="S1027" s="19">
        <f ca="1">IF('Stock Price'!$I$11="OK",F1027/INDEX(F$5:F$1258,'Stock Price'!$I$9)-1,"")</f>
        <v>5.4221854304635775E-2</v>
      </c>
      <c r="T1027" s="19">
        <f ca="1">IF('Stock Price'!$I$11="OK",G1027/INDEX(G$5:G$1258,'Stock Price'!$I$9)-1,"")</f>
        <v>-0.41795732697931332</v>
      </c>
      <c r="U1027" s="19">
        <f ca="1">IF('Stock Price'!$I$11="OK",H1027/INDEX(H$5:H$1258,'Stock Price'!$I$9)-1,"")</f>
        <v>5.7352941176470607E-2</v>
      </c>
      <c r="V1027" s="19">
        <f ca="1">IF('Stock Price'!$I$11="OK",I1027/INDEX(I$5:I$1258,'Stock Price'!$I$9)-1,"")</f>
        <v>-0.42603969754253312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163.67500000000001</v>
      </c>
      <c r="C1028" s="18">
        <v>123.79</v>
      </c>
      <c r="D1028" s="18">
        <v>46.86</v>
      </c>
      <c r="E1028" s="18">
        <v>40.4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0.35268595041322315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-1.9152276295133386E-2</v>
      </c>
      <c r="R1028" s="19">
        <f ca="1">IF('Stock Price'!$I$11="OK",E1028/INDEX(E$5:E$1258,'Stock Price'!$I$9)-1,"")</f>
        <v>-0.13490364025695945</v>
      </c>
      <c r="S1028" s="19">
        <f ca="1">IF('Stock Price'!$I$11="OK",F1028/INDEX(F$5:F$1258,'Stock Price'!$I$9)-1,"")</f>
        <v>4.677152317880795E-2</v>
      </c>
      <c r="T1028" s="19">
        <f ca="1">IF('Stock Price'!$I$11="OK",G1028/INDEX(G$5:G$1258,'Stock Price'!$I$9)-1,"")</f>
        <v>-0.41622441243366182</v>
      </c>
      <c r="U1028" s="19">
        <f ca="1">IF('Stock Price'!$I$11="OK",H1028/INDEX(H$5:H$1258,'Stock Price'!$I$9)-1,"")</f>
        <v>5.3676470588235325E-2</v>
      </c>
      <c r="V1028" s="19">
        <f ca="1">IF('Stock Price'!$I$11="OK",I1028/INDEX(I$5:I$1258,'Stock Price'!$I$9)-1,"")</f>
        <v>-0.41753308128544431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161.9</v>
      </c>
      <c r="C1029" s="18">
        <v>123.86</v>
      </c>
      <c r="D1029" s="18">
        <v>46.35</v>
      </c>
      <c r="E1029" s="18">
        <v>40.15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0.33801652892561984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-2.9827315541601229E-2</v>
      </c>
      <c r="R1029" s="19">
        <f ca="1">IF('Stock Price'!$I$11="OK",E1029/INDEX(E$5:E$1258,'Stock Price'!$I$9)-1,"")</f>
        <v>-0.14025695931477522</v>
      </c>
      <c r="S1029" s="19">
        <f ca="1">IF('Stock Price'!$I$11="OK",F1029/INDEX(F$5:F$1258,'Stock Price'!$I$9)-1,"")</f>
        <v>3.5802980132450202E-2</v>
      </c>
      <c r="T1029" s="19">
        <f ca="1">IF('Stock Price'!$I$11="OK",G1029/INDEX(G$5:G$1258,'Stock Price'!$I$9)-1,"")</f>
        <v>-0.4266218997075707</v>
      </c>
      <c r="U1029" s="19">
        <f ca="1">IF('Stock Price'!$I$11="OK",H1029/INDEX(H$5:H$1258,'Stock Price'!$I$9)-1,"")</f>
        <v>1.0906862745098111E-2</v>
      </c>
      <c r="V1029" s="19">
        <f ca="1">IF('Stock Price'!$I$11="OK",I1029/INDEX(I$5:I$1258,'Stock Price'!$I$9)-1,"")</f>
        <v>-0.41729678638941403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165.26</v>
      </c>
      <c r="C1030" s="18">
        <v>125.01</v>
      </c>
      <c r="D1030" s="18">
        <v>46.82</v>
      </c>
      <c r="E1030" s="18">
        <v>40.5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0.36578512396694207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-1.9989534275248522E-2</v>
      </c>
      <c r="R1030" s="19">
        <f ca="1">IF('Stock Price'!$I$11="OK",E1030/INDEX(E$5:E$1258,'Stock Price'!$I$9)-1,"")</f>
        <v>-0.13276231263383298</v>
      </c>
      <c r="S1030" s="19">
        <f ca="1">IF('Stock Price'!$I$11="OK",F1030/INDEX(F$5:F$1258,'Stock Price'!$I$9)-1,"")</f>
        <v>1.634933774834435E-2</v>
      </c>
      <c r="T1030" s="19">
        <f ca="1">IF('Stock Price'!$I$11="OK",G1030/INDEX(G$5:G$1258,'Stock Price'!$I$9)-1,"")</f>
        <v>-0.4204483916386873</v>
      </c>
      <c r="U1030" s="19">
        <f ca="1">IF('Stock Price'!$I$11="OK",H1030/INDEX(H$5:H$1258,'Stock Price'!$I$9)-1,"")</f>
        <v>2.7696078431372673E-2</v>
      </c>
      <c r="V1030" s="19">
        <f ca="1">IF('Stock Price'!$I$11="OK",I1030/INDEX(I$5:I$1258,'Stock Price'!$I$9)-1,"")</f>
        <v>-0.42580340264650285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165.26</v>
      </c>
      <c r="C1031" s="18">
        <v>125.5</v>
      </c>
      <c r="D1031" s="18">
        <v>46.69</v>
      </c>
      <c r="E1031" s="18">
        <v>40.700000000000003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0.36578512396694207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-2.2710622710622741E-2</v>
      </c>
      <c r="R1031" s="19">
        <f ca="1">IF('Stock Price'!$I$11="OK",E1031/INDEX(E$5:E$1258,'Stock Price'!$I$9)-1,"")</f>
        <v>-0.12847965738758027</v>
      </c>
      <c r="S1031" s="19">
        <f ca="1">IF('Stock Price'!$I$11="OK",F1031/INDEX(F$5:F$1258,'Stock Price'!$I$9)-1,"")</f>
        <v>1.4072847682119249E-2</v>
      </c>
      <c r="T1031" s="19">
        <f ca="1">IF('Stock Price'!$I$11="OK",G1031/INDEX(G$5:G$1258,'Stock Price'!$I$9)-1,"")</f>
        <v>-0.42759666413949959</v>
      </c>
      <c r="U1031" s="19">
        <f ca="1">IF('Stock Price'!$I$11="OK",H1031/INDEX(H$5:H$1258,'Stock Price'!$I$9)-1,"")</f>
        <v>3.4191176470588225E-2</v>
      </c>
      <c r="V1031" s="19">
        <f ca="1">IF('Stock Price'!$I$11="OK",I1031/INDEX(I$5:I$1258,'Stock Price'!$I$9)-1,"")</f>
        <v>-0.41847826086956519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169</v>
      </c>
      <c r="C1032" s="18">
        <v>126.57</v>
      </c>
      <c r="D1032" s="18">
        <v>47.1</v>
      </c>
      <c r="E1032" s="18">
        <v>41.22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0.39669421487603307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-1.4128728414442682E-2</v>
      </c>
      <c r="R1032" s="19">
        <f ca="1">IF('Stock Price'!$I$11="OK",E1032/INDEX(E$5:E$1258,'Stock Price'!$I$9)-1,"")</f>
        <v>-0.11734475374732345</v>
      </c>
      <c r="S1032" s="19">
        <f ca="1">IF('Stock Price'!$I$11="OK",F1032/INDEX(F$5:F$1258,'Stock Price'!$I$9)-1,"")</f>
        <v>2.4213576158940375E-2</v>
      </c>
      <c r="T1032" s="19">
        <f ca="1">IF('Stock Price'!$I$11="OK",G1032/INDEX(G$5:G$1258,'Stock Price'!$I$9)-1,"")</f>
        <v>-0.42575544243474495</v>
      </c>
      <c r="U1032" s="19">
        <f ca="1">IF('Stock Price'!$I$11="OK",H1032/INDEX(H$5:H$1258,'Stock Price'!$I$9)-1,"")</f>
        <v>5.1225490196078471E-2</v>
      </c>
      <c r="V1032" s="19">
        <f ca="1">IF('Stock Price'!$I$11="OK",I1032/INDEX(I$5:I$1258,'Stock Price'!$I$9)-1,"")</f>
        <v>-0.41280718336483924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166.17</v>
      </c>
      <c r="C1033" s="18">
        <v>126.35</v>
      </c>
      <c r="D1033" s="18">
        <v>46.63</v>
      </c>
      <c r="E1033" s="18">
        <v>41.96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0.37330578512396695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-2.3966509680795278E-2</v>
      </c>
      <c r="R1033" s="19">
        <f ca="1">IF('Stock Price'!$I$11="OK",E1033/INDEX(E$5:E$1258,'Stock Price'!$I$9)-1,"")</f>
        <v>-0.10149892933618843</v>
      </c>
      <c r="S1033" s="19">
        <f ca="1">IF('Stock Price'!$I$11="OK",F1033/INDEX(F$5:F$1258,'Stock Price'!$I$9)-1,"")</f>
        <v>2.7731788079470077E-2</v>
      </c>
      <c r="T1033" s="19">
        <f ca="1">IF('Stock Price'!$I$11="OK",G1033/INDEX(G$5:G$1258,'Stock Price'!$I$9)-1,"")</f>
        <v>-0.43561139391313763</v>
      </c>
      <c r="U1033" s="19">
        <f ca="1">IF('Stock Price'!$I$11="OK",H1033/INDEX(H$5:H$1258,'Stock Price'!$I$9)-1,"")</f>
        <v>5.7352941176470607E-2</v>
      </c>
      <c r="V1033" s="19">
        <f ca="1">IF('Stock Price'!$I$11="OK",I1033/INDEX(I$5:I$1258,'Stock Price'!$I$9)-1,"")</f>
        <v>-0.4227315689981096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174.9</v>
      </c>
      <c r="C1034" s="18">
        <v>127.2</v>
      </c>
      <c r="D1034" s="18">
        <v>47.36</v>
      </c>
      <c r="E1034" s="18">
        <v>43.85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0.44545454545454555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-8.6865515436943541E-3</v>
      </c>
      <c r="R1034" s="19">
        <f ca="1">IF('Stock Price'!$I$11="OK",E1034/INDEX(E$5:E$1258,'Stock Price'!$I$9)-1,"")</f>
        <v>-6.1027837259100659E-2</v>
      </c>
      <c r="S1034" s="19">
        <f ca="1">IF('Stock Price'!$I$11="OK",F1034/INDEX(F$5:F$1258,'Stock Price'!$I$9)-1,"")</f>
        <v>4.8427152317880751E-2</v>
      </c>
      <c r="T1034" s="19">
        <f ca="1">IF('Stock Price'!$I$11="OK",G1034/INDEX(G$5:G$1258,'Stock Price'!$I$9)-1,"")</f>
        <v>-0.42597205675295136</v>
      </c>
      <c r="U1034" s="19">
        <f ca="1">IF('Stock Price'!$I$11="OK",H1034/INDEX(H$5:H$1258,'Stock Price'!$I$9)-1,"")</f>
        <v>6.3112745098039325E-2</v>
      </c>
      <c r="V1034" s="19">
        <f ca="1">IF('Stock Price'!$I$11="OK",I1034/INDEX(I$5:I$1258,'Stock Price'!$I$9)-1,"")</f>
        <v>-0.42367674858223059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175.2</v>
      </c>
      <c r="C1035" s="18">
        <v>130.5</v>
      </c>
      <c r="D1035" s="18">
        <v>48.41</v>
      </c>
      <c r="E1035" s="18">
        <v>45.43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0.44793388429752046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1.3291470434327435E-2</v>
      </c>
      <c r="R1035" s="19">
        <f ca="1">IF('Stock Price'!$I$11="OK",E1035/INDEX(E$5:E$1258,'Stock Price'!$I$9)-1,"")</f>
        <v>-2.7194860813704591E-2</v>
      </c>
      <c r="S1035" s="19">
        <f ca="1">IF('Stock Price'!$I$11="OK",F1035/INDEX(F$5:F$1258,'Stock Price'!$I$9)-1,"")</f>
        <v>6.9743377483443725E-2</v>
      </c>
      <c r="T1035" s="19">
        <f ca="1">IF('Stock Price'!$I$11="OK",G1035/INDEX(G$5:G$1258,'Stock Price'!$I$9)-1,"")</f>
        <v>-0.40582692515975305</v>
      </c>
      <c r="U1035" s="19">
        <f ca="1">IF('Stock Price'!$I$11="OK",H1035/INDEX(H$5:H$1258,'Stock Price'!$I$9)-1,"")</f>
        <v>0.11458333333333348</v>
      </c>
      <c r="V1035" s="19">
        <f ca="1">IF('Stock Price'!$I$11="OK",I1035/INDEX(I$5:I$1258,'Stock Price'!$I$9)-1,"")</f>
        <v>-0.39721172022684303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175.66</v>
      </c>
      <c r="C1036" s="18">
        <v>132.29</v>
      </c>
      <c r="D1036" s="18">
        <v>48.07</v>
      </c>
      <c r="E1036" s="18">
        <v>45.43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0.45173553719008264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6.1747776033491686E-3</v>
      </c>
      <c r="R1036" s="19">
        <f ca="1">IF('Stock Price'!$I$11="OK",E1036/INDEX(E$5:E$1258,'Stock Price'!$I$9)-1,"")</f>
        <v>-2.7194860813704591E-2</v>
      </c>
      <c r="S1036" s="19">
        <f ca="1">IF('Stock Price'!$I$11="OK",F1036/INDEX(F$5:F$1258,'Stock Price'!$I$9)-1,"")</f>
        <v>7.4503311258278249E-2</v>
      </c>
      <c r="T1036" s="19">
        <f ca="1">IF('Stock Price'!$I$11="OK",G1036/INDEX(G$5:G$1258,'Stock Price'!$I$9)-1,"")</f>
        <v>-0.37051879129210441</v>
      </c>
      <c r="U1036" s="19">
        <f ca="1">IF('Stock Price'!$I$11="OK",H1036/INDEX(H$5:H$1258,'Stock Price'!$I$9)-1,"")</f>
        <v>0.12071078431372562</v>
      </c>
      <c r="V1036" s="19">
        <f ca="1">IF('Stock Price'!$I$11="OK",I1036/INDEX(I$5:I$1258,'Stock Price'!$I$9)-1,"")</f>
        <v>-0.38870510396975422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177.5</v>
      </c>
      <c r="C1037" s="18">
        <v>131.91</v>
      </c>
      <c r="D1037" s="18">
        <v>48.14</v>
      </c>
      <c r="E1037" s="18">
        <v>45.52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0.46694214876033069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7.6399790685506286E-3</v>
      </c>
      <c r="R1037" s="19">
        <f ca="1">IF('Stock Price'!$I$11="OK",E1037/INDEX(E$5:E$1258,'Stock Price'!$I$9)-1,"")</f>
        <v>-2.5267665952890761E-2</v>
      </c>
      <c r="S1037" s="19">
        <f ca="1">IF('Stock Price'!$I$11="OK",F1037/INDEX(F$5:F$1258,'Stock Price'!$I$9)-1,"")</f>
        <v>8.3195364238410674E-2</v>
      </c>
      <c r="T1037" s="19">
        <f ca="1">IF('Stock Price'!$I$11="OK",G1037/INDEX(G$5:G$1258,'Stock Price'!$I$9)-1,"")</f>
        <v>-0.35156503844904152</v>
      </c>
      <c r="U1037" s="19">
        <f ca="1">IF('Stock Price'!$I$11="OK",H1037/INDEX(H$5:H$1258,'Stock Price'!$I$9)-1,"")</f>
        <v>0.13884803921568634</v>
      </c>
      <c r="V1037" s="19">
        <f ca="1">IF('Stock Price'!$I$11="OK",I1037/INDEX(I$5:I$1258,'Stock Price'!$I$9)-1,"")</f>
        <v>-0.3905954631379962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174.82490000000001</v>
      </c>
      <c r="C1038" s="18">
        <v>131.26</v>
      </c>
      <c r="D1038" s="18">
        <v>47.18</v>
      </c>
      <c r="E1038" s="18">
        <v>44.95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0.4448338842975208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-1.245421245421241E-2</v>
      </c>
      <c r="R1038" s="19">
        <f ca="1">IF('Stock Price'!$I$11="OK",E1038/INDEX(E$5:E$1258,'Stock Price'!$I$9)-1,"")</f>
        <v>-3.7473233404710871E-2</v>
      </c>
      <c r="S1038" s="19">
        <f ca="1">IF('Stock Price'!$I$11="OK",F1038/INDEX(F$5:F$1258,'Stock Price'!$I$9)-1,"")</f>
        <v>7.905629139072845E-2</v>
      </c>
      <c r="T1038" s="19">
        <f ca="1">IF('Stock Price'!$I$11="OK",G1038/INDEX(G$5:G$1258,'Stock Price'!$I$9)-1,"")</f>
        <v>-0.38470702913462573</v>
      </c>
      <c r="U1038" s="19">
        <f ca="1">IF('Stock Price'!$I$11="OK",H1038/INDEX(H$5:H$1258,'Stock Price'!$I$9)-1,"")</f>
        <v>0.1387254901960786</v>
      </c>
      <c r="V1038" s="19">
        <f ca="1">IF('Stock Price'!$I$11="OK",I1038/INDEX(I$5:I$1258,'Stock Price'!$I$9)-1,"")</f>
        <v>-0.40784499054820422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175.245</v>
      </c>
      <c r="C1039" s="18">
        <v>131.55000000000001</v>
      </c>
      <c r="D1039" s="18">
        <v>47.53</v>
      </c>
      <c r="E1039" s="18">
        <v>44.58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0.4483057851239669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-5.12820512820511E-3</v>
      </c>
      <c r="R1039" s="19">
        <f ca="1">IF('Stock Price'!$I$11="OK",E1039/INDEX(E$5:E$1258,'Stock Price'!$I$9)-1,"")</f>
        <v>-4.5396145610278493E-2</v>
      </c>
      <c r="S1039" s="19">
        <f ca="1">IF('Stock Price'!$I$11="OK",F1039/INDEX(F$5:F$1258,'Stock Price'!$I$9)-1,"")</f>
        <v>7.1605960264900625E-2</v>
      </c>
      <c r="T1039" s="19">
        <f ca="1">IF('Stock Price'!$I$11="OK",G1039/INDEX(G$5:G$1258,'Stock Price'!$I$9)-1,"")</f>
        <v>-0.39467128777212168</v>
      </c>
      <c r="U1039" s="19">
        <f ca="1">IF('Stock Price'!$I$11="OK",H1039/INDEX(H$5:H$1258,'Stock Price'!$I$9)-1,"")</f>
        <v>0.13799019607843155</v>
      </c>
      <c r="V1039" s="19">
        <f ca="1">IF('Stock Price'!$I$11="OK",I1039/INDEX(I$5:I$1258,'Stock Price'!$I$9)-1,"")</f>
        <v>-0.40737240075614367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175.20490000000001</v>
      </c>
      <c r="C1040" s="18">
        <v>128.01</v>
      </c>
      <c r="D1040" s="18">
        <v>47.37</v>
      </c>
      <c r="E1040" s="18">
        <v>48.87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0.44797438016528934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-8.4772370486656534E-3</v>
      </c>
      <c r="R1040" s="19">
        <f ca="1">IF('Stock Price'!$I$11="OK",E1040/INDEX(E$5:E$1258,'Stock Price'!$I$9)-1,"")</f>
        <v>4.6466809421841448E-2</v>
      </c>
      <c r="S1040" s="19">
        <f ca="1">IF('Stock Price'!$I$11="OK",F1040/INDEX(F$5:F$1258,'Stock Price'!$I$9)-1,"")</f>
        <v>4.8427152317880751E-2</v>
      </c>
      <c r="T1040" s="19">
        <f ca="1">IF('Stock Price'!$I$11="OK",G1040/INDEX(G$5:G$1258,'Stock Price'!$I$9)-1,"")</f>
        <v>-0.40712661106899162</v>
      </c>
      <c r="U1040" s="19">
        <f ca="1">IF('Stock Price'!$I$11="OK",H1040/INDEX(H$5:H$1258,'Stock Price'!$I$9)-1,"")</f>
        <v>0.1817401960784315</v>
      </c>
      <c r="V1040" s="19">
        <f ca="1">IF('Stock Price'!$I$11="OK",I1040/INDEX(I$5:I$1258,'Stock Price'!$I$9)-1,"")</f>
        <v>-0.39862948960302458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179.82</v>
      </c>
      <c r="C1041" s="18">
        <v>127.31</v>
      </c>
      <c r="D1041" s="18">
        <v>46.34</v>
      </c>
      <c r="E1041" s="18">
        <v>48.54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0.48611570247933877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-3.003663003662993E-2</v>
      </c>
      <c r="R1041" s="19">
        <f ca="1">IF('Stock Price'!$I$11="OK",E1041/INDEX(E$5:E$1258,'Stock Price'!$I$9)-1,"")</f>
        <v>3.9400428265524479E-2</v>
      </c>
      <c r="S1041" s="19">
        <f ca="1">IF('Stock Price'!$I$11="OK",F1041/INDEX(F$5:F$1258,'Stock Price'!$I$9)-1,"")</f>
        <v>2.5455298013244976E-2</v>
      </c>
      <c r="T1041" s="19">
        <f ca="1">IF('Stock Price'!$I$11="OK",G1041/INDEX(G$5:G$1258,'Stock Price'!$I$9)-1,"")</f>
        <v>-0.41470811220621684</v>
      </c>
      <c r="U1041" s="19">
        <f ca="1">IF('Stock Price'!$I$11="OK",H1041/INDEX(H$5:H$1258,'Stock Price'!$I$9)-1,"")</f>
        <v>0.16482843137254899</v>
      </c>
      <c r="V1041" s="19">
        <f ca="1">IF('Stock Price'!$I$11="OK",I1041/INDEX(I$5:I$1258,'Stock Price'!$I$9)-1,"")</f>
        <v>-0.41209829867674863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177.85</v>
      </c>
      <c r="C1042" s="18">
        <v>124.36</v>
      </c>
      <c r="D1042" s="18">
        <v>46.11</v>
      </c>
      <c r="E1042" s="18">
        <v>47.92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0.46983471074380168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-3.4850863422291933E-2</v>
      </c>
      <c r="R1042" s="19">
        <f ca="1">IF('Stock Price'!$I$11="OK",E1042/INDEX(E$5:E$1258,'Stock Price'!$I$9)-1,"")</f>
        <v>2.6124197002141303E-2</v>
      </c>
      <c r="S1042" s="19">
        <f ca="1">IF('Stock Price'!$I$11="OK",F1042/INDEX(F$5:F$1258,'Stock Price'!$I$9)-1,"")</f>
        <v>1.1796357615894149E-2</v>
      </c>
      <c r="T1042" s="19">
        <f ca="1">IF('Stock Price'!$I$11="OK",G1042/INDEX(G$5:G$1258,'Stock Price'!$I$9)-1,"")</f>
        <v>-0.41546626231993933</v>
      </c>
      <c r="U1042" s="19">
        <f ca="1">IF('Stock Price'!$I$11="OK",H1042/INDEX(H$5:H$1258,'Stock Price'!$I$9)-1,"")</f>
        <v>0.16384803921568625</v>
      </c>
      <c r="V1042" s="19">
        <f ca="1">IF('Stock Price'!$I$11="OK",I1042/INDEX(I$5:I$1258,'Stock Price'!$I$9)-1,"")</f>
        <v>-0.42344045368620042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182.58</v>
      </c>
      <c r="C1043" s="18">
        <v>127.31</v>
      </c>
      <c r="D1043" s="18">
        <v>47.19</v>
      </c>
      <c r="E1043" s="18">
        <v>49.01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0.50892561983471074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-1.2244897959183709E-2</v>
      </c>
      <c r="R1043" s="19">
        <f ca="1">IF('Stock Price'!$I$11="OK",E1043/INDEX(E$5:E$1258,'Stock Price'!$I$9)-1,"")</f>
        <v>4.9464668094218345E-2</v>
      </c>
      <c r="S1043" s="19">
        <f ca="1">IF('Stock Price'!$I$11="OK",F1043/INDEX(F$5:F$1258,'Stock Price'!$I$9)-1,"")</f>
        <v>2.7110927152317998E-2</v>
      </c>
      <c r="T1043" s="19">
        <f ca="1">IF('Stock Price'!$I$11="OK",G1043/INDEX(G$5:G$1258,'Stock Price'!$I$9)-1,"")</f>
        <v>-0.40246940322755331</v>
      </c>
      <c r="U1043" s="19">
        <f ca="1">IF('Stock Price'!$I$11="OK",H1043/INDEX(H$5:H$1258,'Stock Price'!$I$9)-1,"")</f>
        <v>0.19803921568627469</v>
      </c>
      <c r="V1043" s="19">
        <f ca="1">IF('Stock Price'!$I$11="OK",I1043/INDEX(I$5:I$1258,'Stock Price'!$I$9)-1,"")</f>
        <v>-0.40831758034026466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182.7</v>
      </c>
      <c r="C1044" s="18">
        <v>126.54</v>
      </c>
      <c r="D1044" s="18">
        <v>46.99</v>
      </c>
      <c r="E1044" s="18">
        <v>47.59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0.50991735537190075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-1.6431187859759167E-2</v>
      </c>
      <c r="R1044" s="19">
        <f ca="1">IF('Stock Price'!$I$11="OK",E1044/INDEX(E$5:E$1258,'Stock Price'!$I$9)-1,"")</f>
        <v>1.9057815845824333E-2</v>
      </c>
      <c r="S1044" s="19">
        <f ca="1">IF('Stock Price'!$I$11="OK",F1044/INDEX(F$5:F$1258,'Stock Price'!$I$9)-1,"")</f>
        <v>1.7177152317880751E-2</v>
      </c>
      <c r="T1044" s="19">
        <f ca="1">IF('Stock Price'!$I$11="OK",G1044/INDEX(G$5:G$1258,'Stock Price'!$I$9)-1,"")</f>
        <v>-0.33726849344741694</v>
      </c>
      <c r="U1044" s="19">
        <f ca="1">IF('Stock Price'!$I$11="OK",H1044/INDEX(H$5:H$1258,'Stock Price'!$I$9)-1,"")</f>
        <v>0.23039215686274517</v>
      </c>
      <c r="V1044" s="19">
        <f ca="1">IF('Stock Price'!$I$11="OK",I1044/INDEX(I$5:I$1258,'Stock Price'!$I$9)-1,"")</f>
        <v>-0.40406427221172025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187.72</v>
      </c>
      <c r="C1045" s="18">
        <v>130.26</v>
      </c>
      <c r="D1045" s="18">
        <v>47.55</v>
      </c>
      <c r="E1045" s="18">
        <v>48.63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0.55140495867768591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-4.7095761381475976E-3</v>
      </c>
      <c r="R1045" s="19">
        <f ca="1">IF('Stock Price'!$I$11="OK",E1045/INDEX(E$5:E$1258,'Stock Price'!$I$9)-1,"")</f>
        <v>4.132762312633842E-2</v>
      </c>
      <c r="S1045" s="19">
        <f ca="1">IF('Stock Price'!$I$11="OK",F1045/INDEX(F$5:F$1258,'Stock Price'!$I$9)-1,"")</f>
        <v>4.0562913907284726E-2</v>
      </c>
      <c r="T1045" s="19">
        <f ca="1">IF('Stock Price'!$I$11="OK",G1045/INDEX(G$5:G$1258,'Stock Price'!$I$9)-1,"")</f>
        <v>-0.3321780569695657</v>
      </c>
      <c r="U1045" s="19">
        <f ca="1">IF('Stock Price'!$I$11="OK",H1045/INDEX(H$5:H$1258,'Stock Price'!$I$9)-1,"")</f>
        <v>0.29485294117647065</v>
      </c>
      <c r="V1045" s="19">
        <f ca="1">IF('Stock Price'!$I$11="OK",I1045/INDEX(I$5:I$1258,'Stock Price'!$I$9)-1,"")</f>
        <v>-0.39224952741020802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188.5</v>
      </c>
      <c r="C1046" s="18">
        <v>130.44</v>
      </c>
      <c r="D1046" s="18">
        <v>48.02</v>
      </c>
      <c r="E1046" s="18">
        <v>48.47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0.55785123966942152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5.128205128205332E-3</v>
      </c>
      <c r="R1046" s="19">
        <f ca="1">IF('Stock Price'!$I$11="OK",E1046/INDEX(E$5:E$1258,'Stock Price'!$I$9)-1,"")</f>
        <v>3.790149892933603E-2</v>
      </c>
      <c r="S1046" s="19">
        <f ca="1">IF('Stock Price'!$I$11="OK",F1046/INDEX(F$5:F$1258,'Stock Price'!$I$9)-1,"")</f>
        <v>3.5389072847682224E-2</v>
      </c>
      <c r="T1046" s="19">
        <f ca="1">IF('Stock Price'!$I$11="OK",G1046/INDEX(G$5:G$1258,'Stock Price'!$I$9)-1,"")</f>
        <v>-0.34235892992526806</v>
      </c>
      <c r="U1046" s="19">
        <f ca="1">IF('Stock Price'!$I$11="OK",H1046/INDEX(H$5:H$1258,'Stock Price'!$I$9)-1,"")</f>
        <v>0.28223039215686274</v>
      </c>
      <c r="V1046" s="19">
        <f ca="1">IF('Stock Price'!$I$11="OK",I1046/INDEX(I$5:I$1258,'Stock Price'!$I$9)-1,"")</f>
        <v>-0.39248582230623819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183.74</v>
      </c>
      <c r="C1047" s="18">
        <v>130.4</v>
      </c>
      <c r="D1047" s="18">
        <v>47.86</v>
      </c>
      <c r="E1047" s="18">
        <v>47.83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0.51851239669421489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1.7791732077445666E-3</v>
      </c>
      <c r="R1047" s="19">
        <f ca="1">IF('Stock Price'!$I$11="OK",E1047/INDEX(E$5:E$1258,'Stock Price'!$I$9)-1,"")</f>
        <v>2.4197002141327584E-2</v>
      </c>
      <c r="S1047" s="19">
        <f ca="1">IF('Stock Price'!$I$11="OK",F1047/INDEX(F$5:F$1258,'Stock Price'!$I$9)-1,"")</f>
        <v>3.22847682119205E-2</v>
      </c>
      <c r="T1047" s="19">
        <f ca="1">IF('Stock Price'!$I$11="OK",G1047/INDEX(G$5:G$1258,'Stock Price'!$I$9)-1,"")</f>
        <v>-0.33965125094768767</v>
      </c>
      <c r="U1047" s="19">
        <f ca="1">IF('Stock Price'!$I$11="OK",H1047/INDEX(H$5:H$1258,'Stock Price'!$I$9)-1,"")</f>
        <v>0.2846813725490196</v>
      </c>
      <c r="V1047" s="19">
        <f ca="1">IF('Stock Price'!$I$11="OK",I1047/INDEX(I$5:I$1258,'Stock Price'!$I$9)-1,"")</f>
        <v>-0.39177693761814747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180.35</v>
      </c>
      <c r="C1048" s="18">
        <v>128.97</v>
      </c>
      <c r="D1048" s="18">
        <v>47.19</v>
      </c>
      <c r="E1048" s="18">
        <v>47.51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0.49049586776859488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-1.2244897959183709E-2</v>
      </c>
      <c r="R1048" s="19">
        <f ca="1">IF('Stock Price'!$I$11="OK",E1048/INDEX(E$5:E$1258,'Stock Price'!$I$9)-1,"")</f>
        <v>1.7344753747323249E-2</v>
      </c>
      <c r="S1048" s="19">
        <f ca="1">IF('Stock Price'!$I$11="OK",F1048/INDEX(F$5:F$1258,'Stock Price'!$I$9)-1,"")</f>
        <v>3.3733443708609423E-2</v>
      </c>
      <c r="T1048" s="19">
        <f ca="1">IF('Stock Price'!$I$11="OK",G1048/INDEX(G$5:G$1258,'Stock Price'!$I$9)-1,"")</f>
        <v>-0.33997617242499734</v>
      </c>
      <c r="U1048" s="19">
        <f ca="1">IF('Stock Price'!$I$11="OK",H1048/INDEX(H$5:H$1258,'Stock Price'!$I$9)-1,"")</f>
        <v>0.24791666666666679</v>
      </c>
      <c r="V1048" s="19">
        <f ca="1">IF('Stock Price'!$I$11="OK",I1048/INDEX(I$5:I$1258,'Stock Price'!$I$9)-1,"")</f>
        <v>-0.40288279773156899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179.09989999999999</v>
      </c>
      <c r="C1049" s="18">
        <v>132.28</v>
      </c>
      <c r="D1049" s="18">
        <v>48.27</v>
      </c>
      <c r="E1049" s="18">
        <v>48.7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0.48016446280991731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1.0361067503924737E-2</v>
      </c>
      <c r="R1049" s="19">
        <f ca="1">IF('Stock Price'!$I$11="OK",E1049/INDEX(E$5:E$1258,'Stock Price'!$I$9)-1,"")</f>
        <v>4.2826552462526868E-2</v>
      </c>
      <c r="S1049" s="19">
        <f ca="1">IF('Stock Price'!$I$11="OK",F1049/INDEX(F$5:F$1258,'Stock Price'!$I$9)-1,"")</f>
        <v>3.16639072847682E-2</v>
      </c>
      <c r="T1049" s="19">
        <f ca="1">IF('Stock Price'!$I$11="OK",G1049/INDEX(G$5:G$1258,'Stock Price'!$I$9)-1,"")</f>
        <v>-0.26026210332502975</v>
      </c>
      <c r="U1049" s="19">
        <f ca="1">IF('Stock Price'!$I$11="OK",H1049/INDEX(H$5:H$1258,'Stock Price'!$I$9)-1,"")</f>
        <v>0.23811274509803937</v>
      </c>
      <c r="V1049" s="19">
        <f ca="1">IF('Stock Price'!$I$11="OK",I1049/INDEX(I$5:I$1258,'Stock Price'!$I$9)-1,"")</f>
        <v>-0.40571833648393196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183.27500000000001</v>
      </c>
      <c r="C1050" s="18">
        <v>133.72</v>
      </c>
      <c r="D1050" s="18">
        <v>48.97</v>
      </c>
      <c r="E1050" s="18">
        <v>48.92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0.51466942148760331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2.5013082155939337E-2</v>
      </c>
      <c r="R1050" s="19">
        <f ca="1">IF('Stock Price'!$I$11="OK",E1050/INDEX(E$5:E$1258,'Stock Price'!$I$9)-1,"")</f>
        <v>4.7537473233404626E-2</v>
      </c>
      <c r="S1050" s="19">
        <f ca="1">IF('Stock Price'!$I$11="OK",F1050/INDEX(F$5:F$1258,'Stock Price'!$I$9)-1,"")</f>
        <v>2.8352649006622377E-2</v>
      </c>
      <c r="T1050" s="19">
        <f ca="1">IF('Stock Price'!$I$11="OK",G1050/INDEX(G$5:G$1258,'Stock Price'!$I$9)-1,"")</f>
        <v>-0.25809596014296543</v>
      </c>
      <c r="U1050" s="19">
        <f ca="1">IF('Stock Price'!$I$11="OK",H1050/INDEX(H$5:H$1258,'Stock Price'!$I$9)-1,"")</f>
        <v>0.25330882352941186</v>
      </c>
      <c r="V1050" s="19">
        <f ca="1">IF('Stock Price'!$I$11="OK",I1050/INDEX(I$5:I$1258,'Stock Price'!$I$9)-1,"")</f>
        <v>-0.3957939508506616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183.27500000000001</v>
      </c>
      <c r="C1051" s="18">
        <v>132.43</v>
      </c>
      <c r="D1051" s="18">
        <v>48.57</v>
      </c>
      <c r="E1051" s="18">
        <v>48.2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0.51466942148760331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1.66405023547882E-2</v>
      </c>
      <c r="R1051" s="19">
        <f ca="1">IF('Stock Price'!$I$11="OK",E1051/INDEX(E$5:E$1258,'Stock Price'!$I$9)-1,"")</f>
        <v>3.2119914346895095E-2</v>
      </c>
      <c r="S1051" s="19">
        <f ca="1">IF('Stock Price'!$I$11="OK",F1051/INDEX(F$5:F$1258,'Stock Price'!$I$9)-1,"")</f>
        <v>1.2003311258278027E-2</v>
      </c>
      <c r="T1051" s="19">
        <f ca="1">IF('Stock Price'!$I$11="OK",G1051/INDEX(G$5:G$1258,'Stock Price'!$I$9)-1,"")</f>
        <v>-0.27271742662189968</v>
      </c>
      <c r="U1051" s="19">
        <f ca="1">IF('Stock Price'!$I$11="OK",H1051/INDEX(H$5:H$1258,'Stock Price'!$I$9)-1,"")</f>
        <v>0.23639705882352957</v>
      </c>
      <c r="V1051" s="19">
        <f ca="1">IF('Stock Price'!$I$11="OK",I1051/INDEX(I$5:I$1258,'Stock Price'!$I$9)-1,"")</f>
        <v>-0.39272211720226846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179.48750000000001</v>
      </c>
      <c r="C1052" s="18">
        <v>132.16</v>
      </c>
      <c r="D1052" s="18">
        <v>48.41</v>
      </c>
      <c r="E1052" s="18">
        <v>48.52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0.48336776859504149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1.3291470434327435E-2</v>
      </c>
      <c r="R1052" s="19">
        <f ca="1">IF('Stock Price'!$I$11="OK",E1052/INDEX(E$5:E$1258,'Stock Price'!$I$9)-1,"")</f>
        <v>3.897216274089943E-2</v>
      </c>
      <c r="S1052" s="19">
        <f ca="1">IF('Stock Price'!$I$11="OK",F1052/INDEX(F$5:F$1258,'Stock Price'!$I$9)-1,"")</f>
        <v>2.5041390728476776E-2</v>
      </c>
      <c r="T1052" s="19">
        <f ca="1">IF('Stock Price'!$I$11="OK",G1052/INDEX(G$5:G$1258,'Stock Price'!$I$9)-1,"")</f>
        <v>-0.27856601321347341</v>
      </c>
      <c r="U1052" s="19">
        <f ca="1">IF('Stock Price'!$I$11="OK",H1052/INDEX(H$5:H$1258,'Stock Price'!$I$9)-1,"")</f>
        <v>0.22205882352941186</v>
      </c>
      <c r="V1052" s="19">
        <f ca="1">IF('Stock Price'!$I$11="OK",I1052/INDEX(I$5:I$1258,'Stock Price'!$I$9)-1,"")</f>
        <v>-0.38492438563327025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180.94</v>
      </c>
      <c r="C1053" s="18">
        <v>130.16999999999999</v>
      </c>
      <c r="D1053" s="18">
        <v>48.47</v>
      </c>
      <c r="E1053" s="18">
        <v>48.9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0.49537190082644633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1.4547357404500305E-2</v>
      </c>
      <c r="R1053" s="19">
        <f ca="1">IF('Stock Price'!$I$11="OK",E1053/INDEX(E$5:E$1258,'Stock Price'!$I$9)-1,"")</f>
        <v>4.7109207708779355E-2</v>
      </c>
      <c r="S1053" s="19">
        <f ca="1">IF('Stock Price'!$I$11="OK",F1053/INDEX(F$5:F$1258,'Stock Price'!$I$9)-1,"")</f>
        <v>2.4834437086092009E-3</v>
      </c>
      <c r="T1053" s="19">
        <f ca="1">IF('Stock Price'!$I$11="OK",G1053/INDEX(G$5:G$1258,'Stock Price'!$I$9)-1,"")</f>
        <v>-0.2446658724141666</v>
      </c>
      <c r="U1053" s="19">
        <f ca="1">IF('Stock Price'!$I$11="OK",H1053/INDEX(H$5:H$1258,'Stock Price'!$I$9)-1,"")</f>
        <v>0.2123774509803924</v>
      </c>
      <c r="V1053" s="19">
        <f ca="1">IF('Stock Price'!$I$11="OK",I1053/INDEX(I$5:I$1258,'Stock Price'!$I$9)-1,"")</f>
        <v>-0.39106805293005675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179.09989999999999</v>
      </c>
      <c r="C1054" s="18">
        <v>131.01</v>
      </c>
      <c r="D1054" s="18">
        <v>47.27</v>
      </c>
      <c r="E1054" s="18">
        <v>48.7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0.48016446280991731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-1.0570381998953327E-2</v>
      </c>
      <c r="R1054" s="19">
        <f ca="1">IF('Stock Price'!$I$11="OK",E1054/INDEX(E$5:E$1258,'Stock Price'!$I$9)-1,"")</f>
        <v>4.2826552462526868E-2</v>
      </c>
      <c r="S1054" s="19">
        <f ca="1">IF('Stock Price'!$I$11="OK",F1054/INDEX(F$5:F$1258,'Stock Price'!$I$9)-1,"")</f>
        <v>-1.0140728476821237E-2</v>
      </c>
      <c r="T1054" s="19">
        <f ca="1">IF('Stock Price'!$I$11="OK",G1054/INDEX(G$5:G$1258,'Stock Price'!$I$9)-1,"")</f>
        <v>-0.21347341059244007</v>
      </c>
      <c r="U1054" s="19">
        <f ca="1">IF('Stock Price'!$I$11="OK",H1054/INDEX(H$5:H$1258,'Stock Price'!$I$9)-1,"")</f>
        <v>0.18737745098039227</v>
      </c>
      <c r="V1054" s="19">
        <f ca="1">IF('Stock Price'!$I$11="OK",I1054/INDEX(I$5:I$1258,'Stock Price'!$I$9)-1,"")</f>
        <v>-0.40146502835538755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181.92</v>
      </c>
      <c r="C1055" s="18">
        <v>131.19</v>
      </c>
      <c r="D1055" s="18">
        <v>48.41</v>
      </c>
      <c r="E1055" s="18">
        <v>50.43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0.50347107438016514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1.3291470434327435E-2</v>
      </c>
      <c r="R1055" s="19">
        <f ca="1">IF('Stock Price'!$I$11="OK",E1055/INDEX(E$5:E$1258,'Stock Price'!$I$9)-1,"")</f>
        <v>7.9871520342612357E-2</v>
      </c>
      <c r="S1055" s="19">
        <f ca="1">IF('Stock Price'!$I$11="OK",F1055/INDEX(F$5:F$1258,'Stock Price'!$I$9)-1,"")</f>
        <v>-1.2417218543047115E-3</v>
      </c>
      <c r="T1055" s="19">
        <f ca="1">IF('Stock Price'!$I$11="OK",G1055/INDEX(G$5:G$1258,'Stock Price'!$I$9)-1,"")</f>
        <v>-0.20686667388714386</v>
      </c>
      <c r="U1055" s="19">
        <f ca="1">IF('Stock Price'!$I$11="OK",H1055/INDEX(H$5:H$1258,'Stock Price'!$I$9)-1,"")</f>
        <v>0.1963235294117649</v>
      </c>
      <c r="V1055" s="19">
        <f ca="1">IF('Stock Price'!$I$11="OK",I1055/INDEX(I$5:I$1258,'Stock Price'!$I$9)-1,"")</f>
        <v>-0.39083175803402648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181.92</v>
      </c>
      <c r="C1056" s="18">
        <v>132.36000000000001</v>
      </c>
      <c r="D1056" s="18">
        <v>48.88</v>
      </c>
      <c r="E1056" s="18">
        <v>50.02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0.50347107438016514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2.3129251700680253E-2</v>
      </c>
      <c r="R1056" s="19">
        <f ca="1">IF('Stock Price'!$I$11="OK",E1056/INDEX(E$5:E$1258,'Stock Price'!$I$9)-1,"")</f>
        <v>7.1092077087794525E-2</v>
      </c>
      <c r="S1056" s="19">
        <f ca="1">IF('Stock Price'!$I$11="OK",F1056/INDEX(F$5:F$1258,'Stock Price'!$I$9)-1,"")</f>
        <v>1.1175496688741626E-2</v>
      </c>
      <c r="T1056" s="19">
        <f ca="1">IF('Stock Price'!$I$11="OK",G1056/INDEX(G$5:G$1258,'Stock Price'!$I$9)-1,"")</f>
        <v>-0.21304018195602736</v>
      </c>
      <c r="U1056" s="19">
        <f ca="1">IF('Stock Price'!$I$11="OK",H1056/INDEX(H$5:H$1258,'Stock Price'!$I$9)-1,"")</f>
        <v>0.21335784313725514</v>
      </c>
      <c r="V1056" s="19">
        <f ca="1">IF('Stock Price'!$I$11="OK",I1056/INDEX(I$5:I$1258,'Stock Price'!$I$9)-1,"")</f>
        <v>-0.39035916824196593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181.92</v>
      </c>
      <c r="C1057" s="18">
        <v>132.57</v>
      </c>
      <c r="D1057" s="18">
        <v>48.81</v>
      </c>
      <c r="E1057" s="18">
        <v>50.04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0.50347107438016514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2.1664050235478793E-2</v>
      </c>
      <c r="R1057" s="19">
        <f ca="1">IF('Stock Price'!$I$11="OK",E1057/INDEX(E$5:E$1258,'Stock Price'!$I$9)-1,"")</f>
        <v>7.1520342612419574E-2</v>
      </c>
      <c r="S1057" s="19">
        <f ca="1">IF('Stock Price'!$I$11="OK",F1057/INDEX(F$5:F$1258,'Stock Price'!$I$9)-1,"")</f>
        <v>7.4503311258278249E-3</v>
      </c>
      <c r="T1057" s="19">
        <f ca="1">IF('Stock Price'!$I$11="OK",G1057/INDEX(G$5:G$1258,'Stock Price'!$I$9)-1,"")</f>
        <v>-0.20935773854651796</v>
      </c>
      <c r="U1057" s="19">
        <f ca="1">IF('Stock Price'!$I$11="OK",H1057/INDEX(H$5:H$1258,'Stock Price'!$I$9)-1,"")</f>
        <v>0.22916666666666674</v>
      </c>
      <c r="V1057" s="19">
        <f ca="1">IF('Stock Price'!$I$11="OK",I1057/INDEX(I$5:I$1258,'Stock Price'!$I$9)-1,"")</f>
        <v>-0.38917769376181477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183.86</v>
      </c>
      <c r="C1058" s="18">
        <v>135.19</v>
      </c>
      <c r="D1058" s="18">
        <v>49.24</v>
      </c>
      <c r="E1058" s="18">
        <v>51.22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0.51950413223140512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3.0664573521716365E-2</v>
      </c>
      <c r="R1058" s="19">
        <f ca="1">IF('Stock Price'!$I$11="OK",E1058/INDEX(E$5:E$1258,'Stock Price'!$I$9)-1,"")</f>
        <v>9.6788008565310335E-2</v>
      </c>
      <c r="S1058" s="19">
        <f ca="1">IF('Stock Price'!$I$11="OK",F1058/INDEX(F$5:F$1258,'Stock Price'!$I$9)-1,"")</f>
        <v>-1.0347682119205337E-2</v>
      </c>
      <c r="T1058" s="19">
        <f ca="1">IF('Stock Price'!$I$11="OK",G1058/INDEX(G$5:G$1258,'Stock Price'!$I$9)-1,"")</f>
        <v>-0.22018845445683954</v>
      </c>
      <c r="U1058" s="19">
        <f ca="1">IF('Stock Price'!$I$11="OK",H1058/INDEX(H$5:H$1258,'Stock Price'!$I$9)-1,"")</f>
        <v>0.22867647058823537</v>
      </c>
      <c r="V1058" s="19">
        <f ca="1">IF('Stock Price'!$I$11="OK",I1058/INDEX(I$5:I$1258,'Stock Price'!$I$9)-1,"")</f>
        <v>-0.37547258979206055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183.86</v>
      </c>
      <c r="C1059" s="18">
        <v>135.03</v>
      </c>
      <c r="D1059" s="18">
        <v>48.78</v>
      </c>
      <c r="E1059" s="18">
        <v>50.23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0.51950413223140512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2.103610675039258E-2</v>
      </c>
      <c r="R1059" s="19">
        <f ca="1">IF('Stock Price'!$I$11="OK",E1059/INDEX(E$5:E$1258,'Stock Price'!$I$9)-1,"")</f>
        <v>7.5588865096359648E-2</v>
      </c>
      <c r="S1059" s="19">
        <f ca="1">IF('Stock Price'!$I$11="OK",F1059/INDEX(F$5:F$1258,'Stock Price'!$I$9)-1,"")</f>
        <v>-1.8211920529801362E-2</v>
      </c>
      <c r="T1059" s="19">
        <f ca="1">IF('Stock Price'!$I$11="OK",G1059/INDEX(G$5:G$1258,'Stock Price'!$I$9)-1,"")</f>
        <v>-0.24065850752734752</v>
      </c>
      <c r="U1059" s="19">
        <f ca="1">IF('Stock Price'!$I$11="OK",H1059/INDEX(H$5:H$1258,'Stock Price'!$I$9)-1,"")</f>
        <v>0.20428921568627456</v>
      </c>
      <c r="V1059" s="19">
        <f ca="1">IF('Stock Price'!$I$11="OK",I1059/INDEX(I$5:I$1258,'Stock Price'!$I$9)-1,"")</f>
        <v>-0.39673913043478259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184.75</v>
      </c>
      <c r="C1060" s="18">
        <v>135.03</v>
      </c>
      <c r="D1060" s="18">
        <v>48.71</v>
      </c>
      <c r="E1060" s="18">
        <v>49.6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0.52685950413223148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1.957090528519112E-2</v>
      </c>
      <c r="R1060" s="19">
        <f ca="1">IF('Stock Price'!$I$11="OK",E1060/INDEX(E$5:E$1258,'Stock Price'!$I$9)-1,"")</f>
        <v>6.2098501070663836E-2</v>
      </c>
      <c r="S1060" s="19">
        <f ca="1">IF('Stock Price'!$I$11="OK",F1060/INDEX(F$5:F$1258,'Stock Price'!$I$9)-1,"")</f>
        <v>-3.7251655629139124E-3</v>
      </c>
      <c r="T1060" s="19">
        <f ca="1">IF('Stock Price'!$I$11="OK",G1060/INDEX(G$5:G$1258,'Stock Price'!$I$9)-1,"")</f>
        <v>-0.23957543593631547</v>
      </c>
      <c r="U1060" s="19">
        <f ca="1">IF('Stock Price'!$I$11="OK",H1060/INDEX(H$5:H$1258,'Stock Price'!$I$9)-1,"")</f>
        <v>0.21544117647058836</v>
      </c>
      <c r="V1060" s="19">
        <f ca="1">IF('Stock Price'!$I$11="OK",I1060/INDEX(I$5:I$1258,'Stock Price'!$I$9)-1,"")</f>
        <v>-0.40831758034026466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180.53989999999999</v>
      </c>
      <c r="C1061" s="18">
        <v>135.27000000000001</v>
      </c>
      <c r="D1061" s="18">
        <v>48.29</v>
      </c>
      <c r="E1061" s="18">
        <v>50.27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0.4920652892561983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1.0779696493982138E-2</v>
      </c>
      <c r="R1061" s="19">
        <f ca="1">IF('Stock Price'!$I$11="OK",E1061/INDEX(E$5:E$1258,'Stock Price'!$I$9)-1,"")</f>
        <v>7.6445396145610189E-2</v>
      </c>
      <c r="S1061" s="19">
        <f ca="1">IF('Stock Price'!$I$11="OK",F1061/INDEX(F$5:F$1258,'Stock Price'!$I$9)-1,"")</f>
        <v>-6.8294701986754136E-3</v>
      </c>
      <c r="T1061" s="19">
        <f ca="1">IF('Stock Price'!$I$11="OK",G1061/INDEX(G$5:G$1258,'Stock Price'!$I$9)-1,"")</f>
        <v>-0.23535145673128999</v>
      </c>
      <c r="U1061" s="19">
        <f ca="1">IF('Stock Price'!$I$11="OK",H1061/INDEX(H$5:H$1258,'Stock Price'!$I$9)-1,"")</f>
        <v>0.23394607843137272</v>
      </c>
      <c r="V1061" s="19">
        <f ca="1">IF('Stock Price'!$I$11="OK",I1061/INDEX(I$5:I$1258,'Stock Price'!$I$9)-1,"")</f>
        <v>-0.40831758034026466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181.23</v>
      </c>
      <c r="C1062" s="18">
        <v>136.06</v>
      </c>
      <c r="D1062" s="18">
        <v>48.61</v>
      </c>
      <c r="E1062" s="18">
        <v>51.2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0.4977685950413222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1.7477760334903225E-2</v>
      </c>
      <c r="R1062" s="19">
        <f ca="1">IF('Stock Price'!$I$11="OK",E1062/INDEX(E$5:E$1258,'Stock Price'!$I$9)-1,"")</f>
        <v>9.6359743040685286E-2</v>
      </c>
      <c r="S1062" s="19">
        <f ca="1">IF('Stock Price'!$I$11="OK",F1062/INDEX(F$5:F$1258,'Stock Price'!$I$9)-1,"")</f>
        <v>-2.8973509933775121E-3</v>
      </c>
      <c r="T1062" s="19">
        <f ca="1">IF('Stock Price'!$I$11="OK",G1062/INDEX(G$5:G$1258,'Stock Price'!$I$9)-1,"")</f>
        <v>-0.22278782627531668</v>
      </c>
      <c r="U1062" s="19">
        <f ca="1">IF('Stock Price'!$I$11="OK",H1062/INDEX(H$5:H$1258,'Stock Price'!$I$9)-1,"")</f>
        <v>0.23884803921568643</v>
      </c>
      <c r="V1062" s="19">
        <f ca="1">IF('Stock Price'!$I$11="OK",I1062/INDEX(I$5:I$1258,'Stock Price'!$I$9)-1,"")</f>
        <v>-0.40477315689981097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180.75</v>
      </c>
      <c r="C1063" s="18">
        <v>136.87</v>
      </c>
      <c r="D1063" s="18">
        <v>48.59</v>
      </c>
      <c r="E1063" s="18">
        <v>51.39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0.49380165289256195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1.7059131344845824E-2</v>
      </c>
      <c r="R1063" s="19">
        <f ca="1">IF('Stock Price'!$I$11="OK",E1063/INDEX(E$5:E$1258,'Stock Price'!$I$9)-1,"")</f>
        <v>0.10042826552462514</v>
      </c>
      <c r="S1063" s="19">
        <f ca="1">IF('Stock Price'!$I$11="OK",F1063/INDEX(F$5:F$1258,'Stock Price'!$I$9)-1,"")</f>
        <v>-6.0016556291390133E-3</v>
      </c>
      <c r="T1063" s="19">
        <f ca="1">IF('Stock Price'!$I$11="OK",G1063/INDEX(G$5:G$1258,'Stock Price'!$I$9)-1,"")</f>
        <v>-0.23199393479909025</v>
      </c>
      <c r="U1063" s="19">
        <f ca="1">IF('Stock Price'!$I$11="OK",H1063/INDEX(H$5:H$1258,'Stock Price'!$I$9)-1,"")</f>
        <v>0.28333333333333344</v>
      </c>
      <c r="V1063" s="19">
        <f ca="1">IF('Stock Price'!$I$11="OK",I1063/INDEX(I$5:I$1258,'Stock Price'!$I$9)-1,"")</f>
        <v>-0.40430056710775042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183</v>
      </c>
      <c r="C1064" s="18">
        <v>139.13</v>
      </c>
      <c r="D1064" s="18">
        <v>48.85</v>
      </c>
      <c r="E1064" s="18">
        <v>52.59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0.5123966942148761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2.250130821559404E-2</v>
      </c>
      <c r="R1064" s="19">
        <f ca="1">IF('Stock Price'!$I$11="OK",E1064/INDEX(E$5:E$1258,'Stock Price'!$I$9)-1,"")</f>
        <v>0.12612419700214139</v>
      </c>
      <c r="S1064" s="19">
        <f ca="1">IF('Stock Price'!$I$11="OK",F1064/INDEX(F$5:F$1258,'Stock Price'!$I$9)-1,"")</f>
        <v>0</v>
      </c>
      <c r="T1064" s="19">
        <f ca="1">IF('Stock Price'!$I$11="OK",G1064/INDEX(G$5:G$1258,'Stock Price'!$I$9)-1,"")</f>
        <v>-0.22148814036607822</v>
      </c>
      <c r="U1064" s="19">
        <f ca="1">IF('Stock Price'!$I$11="OK",H1064/INDEX(H$5:H$1258,'Stock Price'!$I$9)-1,"")</f>
        <v>0.2872549019607844</v>
      </c>
      <c r="V1064" s="19">
        <f ca="1">IF('Stock Price'!$I$11="OK",I1064/INDEX(I$5:I$1258,'Stock Price'!$I$9)-1,"")</f>
        <v>-0.41209829867674863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186.4</v>
      </c>
      <c r="C1065" s="18">
        <v>138.88</v>
      </c>
      <c r="D1065" s="18">
        <v>48.96</v>
      </c>
      <c r="E1065" s="18">
        <v>52.53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0.54049586776859515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2.4803767660910525E-2</v>
      </c>
      <c r="R1065" s="19">
        <f ca="1">IF('Stock Price'!$I$11="OK",E1065/INDEX(E$5:E$1258,'Stock Price'!$I$9)-1,"")</f>
        <v>0.12483940042826558</v>
      </c>
      <c r="S1065" s="19">
        <f ca="1">IF('Stock Price'!$I$11="OK",F1065/INDEX(F$5:F$1258,'Stock Price'!$I$9)-1,"")</f>
        <v>8.2781456953640031E-4</v>
      </c>
      <c r="T1065" s="19">
        <f ca="1">IF('Stock Price'!$I$11="OK",G1065/INDEX(G$5:G$1258,'Stock Price'!$I$9)-1,"")</f>
        <v>-0.22148814036607822</v>
      </c>
      <c r="U1065" s="19">
        <f ca="1">IF('Stock Price'!$I$11="OK",H1065/INDEX(H$5:H$1258,'Stock Price'!$I$9)-1,"")</f>
        <v>0.30453431372549034</v>
      </c>
      <c r="V1065" s="19">
        <f ca="1">IF('Stock Price'!$I$11="OK",I1065/INDEX(I$5:I$1258,'Stock Price'!$I$9)-1,"")</f>
        <v>-0.40855387523629483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181.27500000000001</v>
      </c>
      <c r="C1066" s="18">
        <v>139.18</v>
      </c>
      <c r="D1066" s="18">
        <v>49.08</v>
      </c>
      <c r="E1066" s="18">
        <v>52.5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0.49814049586776865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2.7315541601255822E-2</v>
      </c>
      <c r="R1066" s="19">
        <f ca="1">IF('Stock Price'!$I$11="OK",E1066/INDEX(E$5:E$1258,'Stock Price'!$I$9)-1,"")</f>
        <v>0.12419700214132745</v>
      </c>
      <c r="S1066" s="19">
        <f ca="1">IF('Stock Price'!$I$11="OK",F1066/INDEX(F$5:F$1258,'Stock Price'!$I$9)-1,"")</f>
        <v>3.1043046357615012E-3</v>
      </c>
      <c r="T1066" s="19">
        <f ca="1">IF('Stock Price'!$I$11="OK",G1066/INDEX(G$5:G$1258,'Stock Price'!$I$9)-1,"")</f>
        <v>-0.22148814036607822</v>
      </c>
      <c r="U1066" s="19">
        <f ca="1">IF('Stock Price'!$I$11="OK",H1066/INDEX(H$5:H$1258,'Stock Price'!$I$9)-1,"")</f>
        <v>0.30857843137254903</v>
      </c>
      <c r="V1066" s="19">
        <f ca="1">IF('Stock Price'!$I$11="OK",I1066/INDEX(I$5:I$1258,'Stock Price'!$I$9)-1,"")</f>
        <v>-0.4071361058601134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187.06</v>
      </c>
      <c r="C1067" s="18">
        <v>139.19999999999999</v>
      </c>
      <c r="D1067" s="18">
        <v>49.11</v>
      </c>
      <c r="E1067" s="18">
        <v>51.8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0.54595041322314053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2.7943485086342257E-2</v>
      </c>
      <c r="R1067" s="19">
        <f ca="1">IF('Stock Price'!$I$11="OK",E1067/INDEX(E$5:E$1258,'Stock Price'!$I$9)-1,"")</f>
        <v>0.10920770877944319</v>
      </c>
      <c r="S1067" s="19">
        <f ca="1">IF('Stock Price'!$I$11="OK",F1067/INDEX(F$5:F$1258,'Stock Price'!$I$9)-1,"")</f>
        <v>6.2086092715230023E-4</v>
      </c>
      <c r="T1067" s="19">
        <f ca="1">IF('Stock Price'!$I$11="OK",G1067/INDEX(G$5:G$1258,'Stock Price'!$I$9)-1,"")</f>
        <v>-0.2111989602512726</v>
      </c>
      <c r="U1067" s="19">
        <f ca="1">IF('Stock Price'!$I$11="OK",H1067/INDEX(H$5:H$1258,'Stock Price'!$I$9)-1,"")</f>
        <v>0.30661764705882377</v>
      </c>
      <c r="V1067" s="19">
        <f ca="1">IF('Stock Price'!$I$11="OK",I1067/INDEX(I$5:I$1258,'Stock Price'!$I$9)-1,"")</f>
        <v>-0.40926275992438566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180.85</v>
      </c>
      <c r="C1068" s="18">
        <v>138.72</v>
      </c>
      <c r="D1068" s="18">
        <v>49.3</v>
      </c>
      <c r="E1068" s="18">
        <v>51.67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0.49462809917355366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3.1920460491889013E-2</v>
      </c>
      <c r="R1068" s="19">
        <f ca="1">IF('Stock Price'!$I$11="OK",E1068/INDEX(E$5:E$1258,'Stock Price'!$I$9)-1,"")</f>
        <v>0.10642398286937893</v>
      </c>
      <c r="S1068" s="19">
        <f ca="1">IF('Stock Price'!$I$11="OK",F1068/INDEX(F$5:F$1258,'Stock Price'!$I$9)-1,"")</f>
        <v>8.6920529801324253E-3</v>
      </c>
      <c r="T1068" s="19">
        <f ca="1">IF('Stock Price'!$I$11="OK",G1068/INDEX(G$5:G$1258,'Stock Price'!$I$9)-1,"")</f>
        <v>-0.19831040831798985</v>
      </c>
      <c r="U1068" s="19">
        <f ca="1">IF('Stock Price'!$I$11="OK",H1068/INDEX(H$5:H$1258,'Stock Price'!$I$9)-1,"")</f>
        <v>0.29975490196078436</v>
      </c>
      <c r="V1068" s="19">
        <f ca="1">IF('Stock Price'!$I$11="OK",I1068/INDEX(I$5:I$1258,'Stock Price'!$I$9)-1,"")</f>
        <v>-0.40949905482041593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175.5</v>
      </c>
      <c r="C1069" s="18">
        <v>137.87</v>
      </c>
      <c r="D1069" s="18">
        <v>49.04</v>
      </c>
      <c r="E1069" s="18">
        <v>51.57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0.45041322314049581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2.6478283621140797E-2</v>
      </c>
      <c r="R1069" s="19">
        <f ca="1">IF('Stock Price'!$I$11="OK",E1069/INDEX(E$5:E$1258,'Stock Price'!$I$9)-1,"")</f>
        <v>0.10428265524625258</v>
      </c>
      <c r="S1069" s="19">
        <f ca="1">IF('Stock Price'!$I$11="OK",F1069/INDEX(F$5:F$1258,'Stock Price'!$I$9)-1,"")</f>
        <v>2.8973509933774011E-3</v>
      </c>
      <c r="T1069" s="19">
        <f ca="1">IF('Stock Price'!$I$11="OK",G1069/INDEX(G$5:G$1258,'Stock Price'!$I$9)-1,"")</f>
        <v>-0.19831040831798985</v>
      </c>
      <c r="U1069" s="19">
        <f ca="1">IF('Stock Price'!$I$11="OK",H1069/INDEX(H$5:H$1258,'Stock Price'!$I$9)-1,"")</f>
        <v>0.28995098039215694</v>
      </c>
      <c r="V1069" s="19">
        <f ca="1">IF('Stock Price'!$I$11="OK",I1069/INDEX(I$5:I$1258,'Stock Price'!$I$9)-1,"")</f>
        <v>-0.41162570888468808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182.67500000000001</v>
      </c>
      <c r="C1070" s="18">
        <v>138.54</v>
      </c>
      <c r="D1070" s="18">
        <v>49.63</v>
      </c>
      <c r="E1070" s="18">
        <v>51.45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0.50971074380165304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3.8827838827838912E-2</v>
      </c>
      <c r="R1070" s="19">
        <f ca="1">IF('Stock Price'!$I$11="OK",E1070/INDEX(E$5:E$1258,'Stock Price'!$I$9)-1,"")</f>
        <v>0.10171306209850117</v>
      </c>
      <c r="S1070" s="19">
        <f ca="1">IF('Stock Price'!$I$11="OK",F1070/INDEX(F$5:F$1258,'Stock Price'!$I$9)-1,"")</f>
        <v>-1.8625827814570117E-3</v>
      </c>
      <c r="T1070" s="19">
        <f ca="1">IF('Stock Price'!$I$11="OK",G1070/INDEX(G$5:G$1258,'Stock Price'!$I$9)-1,"")</f>
        <v>-0.17686559081555286</v>
      </c>
      <c r="U1070" s="19">
        <f ca="1">IF('Stock Price'!$I$11="OK",H1070/INDEX(H$5:H$1258,'Stock Price'!$I$9)-1,"")</f>
        <v>0.30453431372549034</v>
      </c>
      <c r="V1070" s="19">
        <f ca="1">IF('Stock Price'!$I$11="OK",I1070/INDEX(I$5:I$1258,'Stock Price'!$I$9)-1,"")</f>
        <v>-0.40500945179584125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179.05699999999999</v>
      </c>
      <c r="C1071" s="18">
        <v>137.91</v>
      </c>
      <c r="D1071" s="18">
        <v>49.02</v>
      </c>
      <c r="E1071" s="18">
        <v>51.37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0.47980991735537182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2.6059654631083395E-2</v>
      </c>
      <c r="R1071" s="19">
        <f ca="1">IF('Stock Price'!$I$11="OK",E1071/INDEX(E$5:E$1258,'Stock Price'!$I$9)-1,"")</f>
        <v>9.9999999999999867E-2</v>
      </c>
      <c r="S1071" s="19">
        <f ca="1">IF('Stock Price'!$I$11="OK",F1071/INDEX(F$5:F$1258,'Stock Price'!$I$9)-1,"")</f>
        <v>-1.6763245033112661E-2</v>
      </c>
      <c r="T1071" s="19">
        <f ca="1">IF('Stock Price'!$I$11="OK",G1071/INDEX(G$5:G$1258,'Stock Price'!$I$9)-1,"")</f>
        <v>-0.17253330445142412</v>
      </c>
      <c r="U1071" s="19">
        <f ca="1">IF('Stock Price'!$I$11="OK",H1071/INDEX(H$5:H$1258,'Stock Price'!$I$9)-1,"")</f>
        <v>0.31666666666666665</v>
      </c>
      <c r="V1071" s="19">
        <f ca="1">IF('Stock Price'!$I$11="OK",I1071/INDEX(I$5:I$1258,'Stock Price'!$I$9)-1,"")</f>
        <v>-0.40524574669187141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190.49</v>
      </c>
      <c r="C1072" s="18">
        <v>142.27000000000001</v>
      </c>
      <c r="D1072" s="18">
        <v>50.56</v>
      </c>
      <c r="E1072" s="18">
        <v>51.61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0.57429752066115713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5.8294086865515515E-2</v>
      </c>
      <c r="R1072" s="19">
        <f ca="1">IF('Stock Price'!$I$11="OK",E1072/INDEX(E$5:E$1258,'Stock Price'!$I$9)-1,"")</f>
        <v>0.10513918629550312</v>
      </c>
      <c r="S1072" s="19">
        <f ca="1">IF('Stock Price'!$I$11="OK",F1072/INDEX(F$5:F$1258,'Stock Price'!$I$9)-1,"")</f>
        <v>-3.1043046357616122E-3</v>
      </c>
      <c r="T1072" s="19">
        <f ca="1">IF('Stock Price'!$I$11="OK",G1072/INDEX(G$5:G$1258,'Stock Price'!$I$9)-1,"")</f>
        <v>-0.17599913354272723</v>
      </c>
      <c r="U1072" s="19">
        <f ca="1">IF('Stock Price'!$I$11="OK",H1072/INDEX(H$5:H$1258,'Stock Price'!$I$9)-1,"")</f>
        <v>0.33419117647058849</v>
      </c>
      <c r="V1072" s="19">
        <f ca="1">IF('Stock Price'!$I$11="OK",I1072/INDEX(I$5:I$1258,'Stock Price'!$I$9)-1,"")</f>
        <v>-0.39910207939508513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190.77500000000001</v>
      </c>
      <c r="C1073" s="18">
        <v>141.97999999999999</v>
      </c>
      <c r="D1073" s="18">
        <v>50.62</v>
      </c>
      <c r="E1073" s="18">
        <v>53.08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0.5766528925619836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5.9549973835688164E-2</v>
      </c>
      <c r="R1073" s="19">
        <f ca="1">IF('Stock Price'!$I$11="OK",E1073/INDEX(E$5:E$1258,'Stock Price'!$I$9)-1,"")</f>
        <v>0.13661670235546031</v>
      </c>
      <c r="S1073" s="19">
        <f ca="1">IF('Stock Price'!$I$11="OK",F1073/INDEX(F$5:F$1258,'Stock Price'!$I$9)-1,"")</f>
        <v>1.0347682119205004E-3</v>
      </c>
      <c r="T1073" s="19">
        <f ca="1">IF('Stock Price'!$I$11="OK",G1073/INDEX(G$5:G$1258,'Stock Price'!$I$9)-1,"")</f>
        <v>-0.16950070399653405</v>
      </c>
      <c r="U1073" s="19">
        <f ca="1">IF('Stock Price'!$I$11="OK",H1073/INDEX(H$5:H$1258,'Stock Price'!$I$9)-1,"")</f>
        <v>0.33088235294117641</v>
      </c>
      <c r="V1073" s="19">
        <f ca="1">IF('Stock Price'!$I$11="OK",I1073/INDEX(I$5:I$1258,'Stock Price'!$I$9)-1,"")</f>
        <v>-0.40264650283553871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188.5</v>
      </c>
      <c r="C1074" s="18">
        <v>141.46</v>
      </c>
      <c r="D1074" s="18">
        <v>50.22</v>
      </c>
      <c r="E1074" s="18">
        <v>52.77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0.55785123966942152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5.1177394034536805E-2</v>
      </c>
      <c r="R1074" s="19">
        <f ca="1">IF('Stock Price'!$I$11="OK",E1074/INDEX(E$5:E$1258,'Stock Price'!$I$9)-1,"")</f>
        <v>0.12997858672376883</v>
      </c>
      <c r="S1074" s="19">
        <f ca="1">IF('Stock Price'!$I$11="OK",F1074/INDEX(F$5:F$1258,'Stock Price'!$I$9)-1,"")</f>
        <v>-3.9321192052980125E-3</v>
      </c>
      <c r="T1074" s="19">
        <f ca="1">IF('Stock Price'!$I$11="OK",G1074/INDEX(G$5:G$1258,'Stock Price'!$I$9)-1,"")</f>
        <v>-0.14361529297086539</v>
      </c>
      <c r="U1074" s="19">
        <f ca="1">IF('Stock Price'!$I$11="OK",H1074/INDEX(H$5:H$1258,'Stock Price'!$I$9)-1,"")</f>
        <v>0.36017156862745092</v>
      </c>
      <c r="V1074" s="19">
        <f ca="1">IF('Stock Price'!$I$11="OK",I1074/INDEX(I$5:I$1258,'Stock Price'!$I$9)-1,"")</f>
        <v>-0.40241020793950855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190.98500000000001</v>
      </c>
      <c r="C1075" s="18">
        <v>141.54</v>
      </c>
      <c r="D1075" s="18">
        <v>50.39</v>
      </c>
      <c r="E1075" s="18">
        <v>53.4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0.57838842975206628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5.473574045002616E-2</v>
      </c>
      <c r="R1075" s="19">
        <f ca="1">IF('Stock Price'!$I$11="OK",E1075/INDEX(E$5:E$1258,'Stock Price'!$I$9)-1,"")</f>
        <v>0.14346895074946464</v>
      </c>
      <c r="S1075" s="19">
        <f ca="1">IF('Stock Price'!$I$11="OK",F1075/INDEX(F$5:F$1258,'Stock Price'!$I$9)-1,"")</f>
        <v>1.469370860927155E-2</v>
      </c>
      <c r="T1075" s="19">
        <f ca="1">IF('Stock Price'!$I$11="OK",G1075/INDEX(G$5:G$1258,'Stock Price'!$I$9)-1,"")</f>
        <v>-0.15780353081338672</v>
      </c>
      <c r="U1075" s="19">
        <f ca="1">IF('Stock Price'!$I$11="OK",H1075/INDEX(H$5:H$1258,'Stock Price'!$I$9)-1,"")</f>
        <v>0.35453431372549038</v>
      </c>
      <c r="V1075" s="19">
        <f ca="1">IF('Stock Price'!$I$11="OK",I1075/INDEX(I$5:I$1258,'Stock Price'!$I$9)-1,"")</f>
        <v>-0.39792060491493386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185.47989999999999</v>
      </c>
      <c r="C1076" s="18">
        <v>141.82</v>
      </c>
      <c r="D1076" s="18">
        <v>50.39</v>
      </c>
      <c r="E1076" s="18">
        <v>53.2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0.53289173553719005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5.473574045002616E-2</v>
      </c>
      <c r="R1076" s="19">
        <f ca="1">IF('Stock Price'!$I$11="OK",E1076/INDEX(E$5:E$1258,'Stock Price'!$I$9)-1,"")</f>
        <v>0.13918629550321193</v>
      </c>
      <c r="S1076" s="19">
        <f ca="1">IF('Stock Price'!$I$11="OK",F1076/INDEX(F$5:F$1258,'Stock Price'!$I$9)-1,"")</f>
        <v>-1.490066225165565E-2</v>
      </c>
      <c r="T1076" s="19">
        <f ca="1">IF('Stock Price'!$I$11="OK",G1076/INDEX(G$5:G$1258,'Stock Price'!$I$9)-1,"")</f>
        <v>-0.13982454240225273</v>
      </c>
      <c r="U1076" s="19">
        <f ca="1">IF('Stock Price'!$I$11="OK",H1076/INDEX(H$5:H$1258,'Stock Price'!$I$9)-1,"")</f>
        <v>0.33811274509803924</v>
      </c>
      <c r="V1076" s="19">
        <f ca="1">IF('Stock Price'!$I$11="OK",I1076/INDEX(I$5:I$1258,'Stock Price'!$I$9)-1,"")</f>
        <v>-0.40288279773156899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188.66</v>
      </c>
      <c r="C1077" s="18">
        <v>141.61000000000001</v>
      </c>
      <c r="D1077" s="18">
        <v>49.9</v>
      </c>
      <c r="E1077" s="18">
        <v>53.34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0.55917355371900834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4.447933019361594E-2</v>
      </c>
      <c r="R1077" s="19">
        <f ca="1">IF('Stock Price'!$I$11="OK",E1077/INDEX(E$5:E$1258,'Stock Price'!$I$9)-1,"")</f>
        <v>0.14218415417558883</v>
      </c>
      <c r="S1077" s="19">
        <f ca="1">IF('Stock Price'!$I$11="OK",F1077/INDEX(F$5:F$1258,'Stock Price'!$I$9)-1,"")</f>
        <v>-2.3178807947019764E-2</v>
      </c>
      <c r="T1077" s="19">
        <f ca="1">IF('Stock Price'!$I$11="OK",G1077/INDEX(G$5:G$1258,'Stock Price'!$I$9)-1,"")</f>
        <v>-0.15639553774504489</v>
      </c>
      <c r="U1077" s="19">
        <f ca="1">IF('Stock Price'!$I$11="OK",H1077/INDEX(H$5:H$1258,'Stock Price'!$I$9)-1,"")</f>
        <v>0.32671568627450998</v>
      </c>
      <c r="V1077" s="19">
        <f ca="1">IF('Stock Price'!$I$11="OK",I1077/INDEX(I$5:I$1258,'Stock Price'!$I$9)-1,"")</f>
        <v>-0.40571833648393196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190.23</v>
      </c>
      <c r="C1078" s="18">
        <v>146.16</v>
      </c>
      <c r="D1078" s="18">
        <v>50.79</v>
      </c>
      <c r="E1078" s="18">
        <v>53.96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0.57214876033057838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6.3108320251177519E-2</v>
      </c>
      <c r="R1078" s="19">
        <f ca="1">IF('Stock Price'!$I$11="OK",E1078/INDEX(E$5:E$1258,'Stock Price'!$I$9)-1,"")</f>
        <v>0.155460385438972</v>
      </c>
      <c r="S1078" s="19">
        <f ca="1">IF('Stock Price'!$I$11="OK",F1078/INDEX(F$5:F$1258,'Stock Price'!$I$9)-1,"")</f>
        <v>-8.8990066225165254E-3</v>
      </c>
      <c r="T1078" s="19">
        <f ca="1">IF('Stock Price'!$I$11="OK",G1078/INDEX(G$5:G$1258,'Stock Price'!$I$9)-1,"")</f>
        <v>-9.7368136033791797E-2</v>
      </c>
      <c r="U1078" s="19">
        <f ca="1">IF('Stock Price'!$I$11="OK",H1078/INDEX(H$5:H$1258,'Stock Price'!$I$9)-1,"")</f>
        <v>0.36041666666666683</v>
      </c>
      <c r="V1078" s="19">
        <f ca="1">IF('Stock Price'!$I$11="OK",I1078/INDEX(I$5:I$1258,'Stock Price'!$I$9)-1,"")</f>
        <v>-0.39555765595463144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188.83500000000001</v>
      </c>
      <c r="C1079" s="18">
        <v>143.15</v>
      </c>
      <c r="D1079" s="18">
        <v>49.12</v>
      </c>
      <c r="E1079" s="18">
        <v>54.12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0.56061983471074384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2.8152799581371069E-2</v>
      </c>
      <c r="R1079" s="19">
        <f ca="1">IF('Stock Price'!$I$11="OK",E1079/INDEX(E$5:E$1258,'Stock Price'!$I$9)-1,"")</f>
        <v>0.15888650963597417</v>
      </c>
      <c r="S1079" s="19">
        <f ca="1">IF('Stock Price'!$I$11="OK",F1079/INDEX(F$5:F$1258,'Stock Price'!$I$9)-1,"")</f>
        <v>-1.7591059602649062E-2</v>
      </c>
      <c r="T1079" s="19">
        <f ca="1">IF('Stock Price'!$I$11="OK",G1079/INDEX(G$5:G$1258,'Stock Price'!$I$9)-1,"")</f>
        <v>-8.8162027510018448E-2</v>
      </c>
      <c r="U1079" s="19">
        <f ca="1">IF('Stock Price'!$I$11="OK",H1079/INDEX(H$5:H$1258,'Stock Price'!$I$9)-1,"")</f>
        <v>0.35992647058823546</v>
      </c>
      <c r="V1079" s="19">
        <f ca="1">IF('Stock Price'!$I$11="OK",I1079/INDEX(I$5:I$1258,'Stock Price'!$I$9)-1,"")</f>
        <v>-0.38823251417769378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191.125</v>
      </c>
      <c r="C1080" s="18">
        <v>144.34</v>
      </c>
      <c r="D1080" s="18">
        <v>48.22</v>
      </c>
      <c r="E1080" s="18">
        <v>54.25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0.57954545454545459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9.3144950287806783E-3</v>
      </c>
      <c r="R1080" s="19">
        <f ca="1">IF('Stock Price'!$I$11="OK",E1080/INDEX(E$5:E$1258,'Stock Price'!$I$9)-1,"")</f>
        <v>0.16167023554603843</v>
      </c>
      <c r="S1080" s="19">
        <f ca="1">IF('Stock Price'!$I$11="OK",F1080/INDEX(F$5:F$1258,'Stock Price'!$I$9)-1,"")</f>
        <v>-3.5802980132450313E-2</v>
      </c>
      <c r="T1080" s="19">
        <f ca="1">IF('Stock Price'!$I$11="OK",G1080/INDEX(G$5:G$1258,'Stock Price'!$I$9)-1,"")</f>
        <v>-0.10072565796599153</v>
      </c>
      <c r="U1080" s="19">
        <f ca="1">IF('Stock Price'!$I$11="OK",H1080/INDEX(H$5:H$1258,'Stock Price'!$I$9)-1,"")</f>
        <v>0.3337009803921569</v>
      </c>
      <c r="V1080" s="19">
        <f ca="1">IF('Stock Price'!$I$11="OK",I1080/INDEX(I$5:I$1258,'Stock Price'!$I$9)-1,"")</f>
        <v>-0.39390359168241973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183.2</v>
      </c>
      <c r="C1081" s="18">
        <v>143.58000000000001</v>
      </c>
      <c r="D1081" s="18">
        <v>47.65</v>
      </c>
      <c r="E1081" s="18">
        <v>54.43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0.5140495867768593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-2.6164311878598134E-3</v>
      </c>
      <c r="R1081" s="19">
        <f ca="1">IF('Stock Price'!$I$11="OK",E1081/INDEX(E$5:E$1258,'Stock Price'!$I$9)-1,"")</f>
        <v>0.16552462526766587</v>
      </c>
      <c r="S1081" s="19">
        <f ca="1">IF('Stock Price'!$I$11="OK",F1081/INDEX(F$5:F$1258,'Stock Price'!$I$9)-1,"")</f>
        <v>-5.3394039735099263E-2</v>
      </c>
      <c r="T1081" s="19">
        <f ca="1">IF('Stock Price'!$I$11="OK",G1081/INDEX(G$5:G$1258,'Stock Price'!$I$9)-1,"")</f>
        <v>-7.0399653417090868E-2</v>
      </c>
      <c r="U1081" s="19">
        <f ca="1">IF('Stock Price'!$I$11="OK",H1081/INDEX(H$5:H$1258,'Stock Price'!$I$9)-1,"")</f>
        <v>0.34129901960784337</v>
      </c>
      <c r="V1081" s="19">
        <f ca="1">IF('Stock Price'!$I$11="OK",I1081/INDEX(I$5:I$1258,'Stock Price'!$I$9)-1,"")</f>
        <v>-0.39697542533081287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175</v>
      </c>
      <c r="C1082" s="18">
        <v>145.11000000000001</v>
      </c>
      <c r="D1082" s="18">
        <v>48.07</v>
      </c>
      <c r="E1082" s="18">
        <v>54.28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0.44628099173553726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6.1747776033491686E-3</v>
      </c>
      <c r="R1082" s="19">
        <f ca="1">IF('Stock Price'!$I$11="OK",E1082/INDEX(E$5:E$1258,'Stock Price'!$I$9)-1,"")</f>
        <v>0.16231263383297634</v>
      </c>
      <c r="S1082" s="19">
        <f ca="1">IF('Stock Price'!$I$11="OK",F1082/INDEX(F$5:F$1258,'Stock Price'!$I$9)-1,"")</f>
        <v>-4.4288079470198638E-2</v>
      </c>
      <c r="T1082" s="19">
        <f ca="1">IF('Stock Price'!$I$11="OK",G1082/INDEX(G$5:G$1258,'Stock Price'!$I$9)-1,"")</f>
        <v>-7.5381782735838732E-2</v>
      </c>
      <c r="U1082" s="19">
        <f ca="1">IF('Stock Price'!$I$11="OK",H1082/INDEX(H$5:H$1258,'Stock Price'!$I$9)-1,"")</f>
        <v>0.36164215686274526</v>
      </c>
      <c r="V1082" s="19">
        <f ca="1">IF('Stock Price'!$I$11="OK",I1082/INDEX(I$5:I$1258,'Stock Price'!$I$9)-1,"")</f>
        <v>-0.38823251417769378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179.5</v>
      </c>
      <c r="C1083" s="18">
        <v>145</v>
      </c>
      <c r="D1083" s="18">
        <v>48.65</v>
      </c>
      <c r="E1083" s="18">
        <v>54.79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0.48347107438016534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1.831501831501825E-2</v>
      </c>
      <c r="R1083" s="19">
        <f ca="1">IF('Stock Price'!$I$11="OK",E1083/INDEX(E$5:E$1258,'Stock Price'!$I$9)-1,"")</f>
        <v>0.17323340471092075</v>
      </c>
      <c r="S1083" s="19">
        <f ca="1">IF('Stock Price'!$I$11="OK",F1083/INDEX(F$5:F$1258,'Stock Price'!$I$9)-1,"")</f>
        <v>-3.7665562913907324E-2</v>
      </c>
      <c r="T1083" s="19">
        <f ca="1">IF('Stock Price'!$I$11="OK",G1083/INDEX(G$5:G$1258,'Stock Price'!$I$9)-1,"")</f>
        <v>-4.332286364128668E-2</v>
      </c>
      <c r="U1083" s="19">
        <f ca="1">IF('Stock Price'!$I$11="OK",H1083/INDEX(H$5:H$1258,'Stock Price'!$I$9)-1,"")</f>
        <v>0.3379901960784315</v>
      </c>
      <c r="V1083" s="19">
        <f ca="1">IF('Stock Price'!$I$11="OK",I1083/INDEX(I$5:I$1258,'Stock Price'!$I$9)-1,"")</f>
        <v>-0.38327032136105854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177.5</v>
      </c>
      <c r="C1084" s="18">
        <v>147.13999999999999</v>
      </c>
      <c r="D1084" s="18">
        <v>49.15</v>
      </c>
      <c r="E1084" s="18">
        <v>55.23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0.46694214876033069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2.8780743066457282E-2</v>
      </c>
      <c r="R1084" s="19">
        <f ca="1">IF('Stock Price'!$I$11="OK",E1084/INDEX(E$5:E$1258,'Stock Price'!$I$9)-1,"")</f>
        <v>0.18265524625267648</v>
      </c>
      <c r="S1084" s="19">
        <f ca="1">IF('Stock Price'!$I$11="OK",F1084/INDEX(F$5:F$1258,'Stock Price'!$I$9)-1,"")</f>
        <v>-2.3178807947019764E-2</v>
      </c>
      <c r="T1084" s="19">
        <f ca="1">IF('Stock Price'!$I$11="OK",G1084/INDEX(G$5:G$1258,'Stock Price'!$I$9)-1,"")</f>
        <v>-3.487490523123582E-2</v>
      </c>
      <c r="U1084" s="19">
        <f ca="1">IF('Stock Price'!$I$11="OK",H1084/INDEX(H$5:H$1258,'Stock Price'!$I$9)-1,"")</f>
        <v>0.32573529411764723</v>
      </c>
      <c r="V1084" s="19">
        <f ca="1">IF('Stock Price'!$I$11="OK",I1084/INDEX(I$5:I$1258,'Stock Price'!$I$9)-1,"")</f>
        <v>-0.39390359168241973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179.05</v>
      </c>
      <c r="C1085" s="18">
        <v>149.12</v>
      </c>
      <c r="D1085" s="18">
        <v>50.32</v>
      </c>
      <c r="E1085" s="18">
        <v>56.12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0.47975206611570265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5.32705389848247E-2</v>
      </c>
      <c r="R1085" s="19">
        <f ca="1">IF('Stock Price'!$I$11="OK",E1085/INDEX(E$5:E$1258,'Stock Price'!$I$9)-1,"")</f>
        <v>0.20171306209850104</v>
      </c>
      <c r="S1085" s="19">
        <f ca="1">IF('Stock Price'!$I$11="OK",F1085/INDEX(F$5:F$1258,'Stock Price'!$I$9)-1,"")</f>
        <v>-2.0488410596026574E-2</v>
      </c>
      <c r="T1085" s="19">
        <f ca="1">IF('Stock Price'!$I$11="OK",G1085/INDEX(G$5:G$1258,'Stock Price'!$I$9)-1,"")</f>
        <v>4.3322863641286347E-3</v>
      </c>
      <c r="U1085" s="19">
        <f ca="1">IF('Stock Price'!$I$11="OK",H1085/INDEX(H$5:H$1258,'Stock Price'!$I$9)-1,"")</f>
        <v>0.3161764705882355</v>
      </c>
      <c r="V1085" s="19">
        <f ca="1">IF('Stock Price'!$I$11="OK",I1085/INDEX(I$5:I$1258,'Stock Price'!$I$9)-1,"")</f>
        <v>-0.38846880907372405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188.065</v>
      </c>
      <c r="C1086" s="18">
        <v>152.22</v>
      </c>
      <c r="D1086" s="18">
        <v>50.8</v>
      </c>
      <c r="E1086" s="18">
        <v>56.69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0.55425619834710749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6.3317634746206108E-2</v>
      </c>
      <c r="R1086" s="19">
        <f ca="1">IF('Stock Price'!$I$11="OK",E1086/INDEX(E$5:E$1258,'Stock Price'!$I$9)-1,"")</f>
        <v>0.21391862955032104</v>
      </c>
      <c r="S1086" s="19">
        <f ca="1">IF('Stock Price'!$I$11="OK",F1086/INDEX(F$5:F$1258,'Stock Price'!$I$9)-1,"")</f>
        <v>-1.7177152317880751E-2</v>
      </c>
      <c r="T1086" s="19">
        <f ca="1">IF('Stock Price'!$I$11="OK",G1086/INDEX(G$5:G$1258,'Stock Price'!$I$9)-1,"")</f>
        <v>1.2347016137766786E-2</v>
      </c>
      <c r="U1086" s="19">
        <f ca="1">IF('Stock Price'!$I$11="OK",H1086/INDEX(H$5:H$1258,'Stock Price'!$I$9)-1,"")</f>
        <v>0.32254901960784332</v>
      </c>
      <c r="V1086" s="19">
        <f ca="1">IF('Stock Price'!$I$11="OK",I1086/INDEX(I$5:I$1258,'Stock Price'!$I$9)-1,"")</f>
        <v>-0.37381852551984873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187.8</v>
      </c>
      <c r="C1087" s="18">
        <v>147.87</v>
      </c>
      <c r="D1087" s="18">
        <v>50.1</v>
      </c>
      <c r="E1087" s="18">
        <v>54.39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0.55206611570247954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4.8665620094191508E-2</v>
      </c>
      <c r="R1087" s="19">
        <f ca="1">IF('Stock Price'!$I$11="OK",E1087/INDEX(E$5:E$1258,'Stock Price'!$I$9)-1,"")</f>
        <v>0.16466809421841533</v>
      </c>
      <c r="S1087" s="19">
        <f ca="1">IF('Stock Price'!$I$11="OK",F1087/INDEX(F$5:F$1258,'Stock Price'!$I$9)-1,"")</f>
        <v>-5.2773178807946963E-2</v>
      </c>
      <c r="T1087" s="19">
        <f ca="1">IF('Stock Price'!$I$11="OK",G1087/INDEX(G$5:G$1258,'Stock Price'!$I$9)-1,"")</f>
        <v>-2.1119896025127316E-2</v>
      </c>
      <c r="U1087" s="19">
        <f ca="1">IF('Stock Price'!$I$11="OK",H1087/INDEX(H$5:H$1258,'Stock Price'!$I$9)-1,"")</f>
        <v>0.31004901960784337</v>
      </c>
      <c r="V1087" s="19">
        <f ca="1">IF('Stock Price'!$I$11="OK",I1087/INDEX(I$5:I$1258,'Stock Price'!$I$9)-1,"")</f>
        <v>-0.38894139886578449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183.17</v>
      </c>
      <c r="C1088" s="18">
        <v>148.91</v>
      </c>
      <c r="D1088" s="18">
        <v>50.66</v>
      </c>
      <c r="E1088" s="18">
        <v>57.02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0.51380165289256197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6.0387231815803188E-2</v>
      </c>
      <c r="R1088" s="19">
        <f ca="1">IF('Stock Price'!$I$11="OK",E1088/INDEX(E$5:E$1258,'Stock Price'!$I$9)-1,"")</f>
        <v>0.22098501070663801</v>
      </c>
      <c r="S1088" s="19">
        <f ca="1">IF('Stock Price'!$I$11="OK",F1088/INDEX(F$5:F$1258,'Stock Price'!$I$9)-1,"")</f>
        <v>-4.3874172185430438E-2</v>
      </c>
      <c r="T1088" s="19">
        <f ca="1">IF('Stock Price'!$I$11="OK",G1088/INDEX(G$5:G$1258,'Stock Price'!$I$9)-1,"")</f>
        <v>-4.6572078414383156E-2</v>
      </c>
      <c r="U1088" s="19">
        <f ca="1">IF('Stock Price'!$I$11="OK",H1088/INDEX(H$5:H$1258,'Stock Price'!$I$9)-1,"")</f>
        <v>0.32769607843137272</v>
      </c>
      <c r="V1088" s="19">
        <f ca="1">IF('Stock Price'!$I$11="OK",I1088/INDEX(I$5:I$1258,'Stock Price'!$I$9)-1,"")</f>
        <v>-0.38327032136105854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187.1</v>
      </c>
      <c r="C1089" s="18">
        <v>148.68</v>
      </c>
      <c r="D1089" s="18">
        <v>51.6</v>
      </c>
      <c r="E1089" s="18">
        <v>56.75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0.54628099173553712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8.0062794348508604E-2</v>
      </c>
      <c r="R1089" s="19">
        <f ca="1">IF('Stock Price'!$I$11="OK",E1089/INDEX(E$5:E$1258,'Stock Price'!$I$9)-1,"")</f>
        <v>0.21520342612419685</v>
      </c>
      <c r="S1089" s="19">
        <f ca="1">IF('Stock Price'!$I$11="OK",F1089/INDEX(F$5:F$1258,'Stock Price'!$I$9)-1,"")</f>
        <v>-2.6490066225165587E-2</v>
      </c>
      <c r="T1089" s="19">
        <f ca="1">IF('Stock Price'!$I$11="OK",G1089/INDEX(G$5:G$1258,'Stock Price'!$I$9)-1,"")</f>
        <v>-3.4766598072132449E-2</v>
      </c>
      <c r="U1089" s="19">
        <f ca="1">IF('Stock Price'!$I$11="OK",H1089/INDEX(H$5:H$1258,'Stock Price'!$I$9)-1,"")</f>
        <v>0.35134803921568625</v>
      </c>
      <c r="V1089" s="19">
        <f ca="1">IF('Stock Price'!$I$11="OK",I1089/INDEX(I$5:I$1258,'Stock Price'!$I$9)-1,"")</f>
        <v>-0.37523629489603016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188.41</v>
      </c>
      <c r="C1090" s="18">
        <v>151.04</v>
      </c>
      <c r="D1090" s="18">
        <v>52.47</v>
      </c>
      <c r="E1090" s="18">
        <v>57.12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0.55710743801652884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9.8273155416012559E-2</v>
      </c>
      <c r="R1090" s="19">
        <f ca="1">IF('Stock Price'!$I$11="OK",E1090/INDEX(E$5:E$1258,'Stock Price'!$I$9)-1,"")</f>
        <v>0.22312633832976436</v>
      </c>
      <c r="S1090" s="19">
        <f ca="1">IF('Stock Price'!$I$11="OK",F1090/INDEX(F$5:F$1258,'Stock Price'!$I$9)-1,"")</f>
        <v>-2.1730132450331063E-2</v>
      </c>
      <c r="T1090" s="19">
        <f ca="1">IF('Stock Price'!$I$11="OK",G1090/INDEX(G$5:G$1258,'Stock Price'!$I$9)-1,"")</f>
        <v>-2.512726091194617E-2</v>
      </c>
      <c r="U1090" s="19">
        <f ca="1">IF('Stock Price'!$I$11="OK",H1090/INDEX(H$5:H$1258,'Stock Price'!$I$9)-1,"")</f>
        <v>0.38933823529411771</v>
      </c>
      <c r="V1090" s="19">
        <f ca="1">IF('Stock Price'!$I$11="OK",I1090/INDEX(I$5:I$1258,'Stock Price'!$I$9)-1,"")</f>
        <v>-0.37003780718336488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184.32</v>
      </c>
      <c r="C1091" s="18">
        <v>149.86000000000001</v>
      </c>
      <c r="D1091" s="18">
        <v>53.34</v>
      </c>
      <c r="E1091" s="18">
        <v>56.58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0.52330578512396686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0.11648351648351651</v>
      </c>
      <c r="R1091" s="19">
        <f ca="1">IF('Stock Price'!$I$11="OK",E1091/INDEX(E$5:E$1258,'Stock Price'!$I$9)-1,"")</f>
        <v>0.21156316916488205</v>
      </c>
      <c r="S1091" s="19">
        <f ca="1">IF('Stock Price'!$I$11="OK",F1091/INDEX(F$5:F$1258,'Stock Price'!$I$9)-1,"")</f>
        <v>-1.7177152317880751E-2</v>
      </c>
      <c r="T1091" s="19">
        <f ca="1">IF('Stock Price'!$I$11="OK",G1091/INDEX(G$5:G$1258,'Stock Price'!$I$9)-1,"")</f>
        <v>-1.9386981479475707E-2</v>
      </c>
      <c r="U1091" s="19">
        <f ca="1">IF('Stock Price'!$I$11="OK",H1091/INDEX(H$5:H$1258,'Stock Price'!$I$9)-1,"")</f>
        <v>0.41960784313725497</v>
      </c>
      <c r="V1091" s="19">
        <f ca="1">IF('Stock Price'!$I$11="OK",I1091/INDEX(I$5:I$1258,'Stock Price'!$I$9)-1,"")</f>
        <v>-0.39106805293005675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187.45</v>
      </c>
      <c r="C1092" s="18">
        <v>152.91</v>
      </c>
      <c r="D1092" s="18">
        <v>57.23</v>
      </c>
      <c r="E1092" s="18">
        <v>57.26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0.54917355371900811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0.19790685504971206</v>
      </c>
      <c r="R1092" s="19">
        <f ca="1">IF('Stock Price'!$I$11="OK",E1092/INDEX(E$5:E$1258,'Stock Price'!$I$9)-1,"")</f>
        <v>0.22612419700214126</v>
      </c>
      <c r="S1092" s="19">
        <f ca="1">IF('Stock Price'!$I$11="OK",F1092/INDEX(F$5:F$1258,'Stock Price'!$I$9)-1,"")</f>
        <v>-4.9668874172186239E-3</v>
      </c>
      <c r="T1092" s="19">
        <f ca="1">IF('Stock Price'!$I$11="OK",G1092/INDEX(G$5:G$1258,'Stock Price'!$I$9)-1,"")</f>
        <v>-2.1986353297952954E-2</v>
      </c>
      <c r="U1092" s="19">
        <f ca="1">IF('Stock Price'!$I$11="OK",H1092/INDEX(H$5:H$1258,'Stock Price'!$I$9)-1,"")</f>
        <v>0.45012254901960791</v>
      </c>
      <c r="V1092" s="19">
        <f ca="1">IF('Stock Price'!$I$11="OK",I1092/INDEX(I$5:I$1258,'Stock Price'!$I$9)-1,"")</f>
        <v>-0.3672022684310019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187.16</v>
      </c>
      <c r="C1093" s="18">
        <v>153.94999999999999</v>
      </c>
      <c r="D1093" s="18">
        <v>59.17</v>
      </c>
      <c r="E1093" s="18">
        <v>57.12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0.54677685950413224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0.23851386708529576</v>
      </c>
      <c r="R1093" s="19">
        <f ca="1">IF('Stock Price'!$I$11="OK",E1093/INDEX(E$5:E$1258,'Stock Price'!$I$9)-1,"")</f>
        <v>0.22312633832976436</v>
      </c>
      <c r="S1093" s="19">
        <f ca="1">IF('Stock Price'!$I$11="OK",F1093/INDEX(F$5:F$1258,'Stock Price'!$I$9)-1,"")</f>
        <v>-1.7177152317880751E-2</v>
      </c>
      <c r="T1093" s="19">
        <f ca="1">IF('Stock Price'!$I$11="OK",G1093/INDEX(G$5:G$1258,'Stock Price'!$I$9)-1,"")</f>
        <v>-2.9242932957868506E-2</v>
      </c>
      <c r="U1093" s="19">
        <f ca="1">IF('Stock Price'!$I$11="OK",H1093/INDEX(H$5:H$1258,'Stock Price'!$I$9)-1,"")</f>
        <v>0.46752450980392157</v>
      </c>
      <c r="V1093" s="19">
        <f ca="1">IF('Stock Price'!$I$11="OK",I1093/INDEX(I$5:I$1258,'Stock Price'!$I$9)-1,"")</f>
        <v>-0.37405482041587901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193.03</v>
      </c>
      <c r="C1094" s="18">
        <v>156.41999999999999</v>
      </c>
      <c r="D1094" s="18">
        <v>60.23</v>
      </c>
      <c r="E1094" s="18">
        <v>57.7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0.59528925619834716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0.26070120355834647</v>
      </c>
      <c r="R1094" s="19">
        <f ca="1">IF('Stock Price'!$I$11="OK",E1094/INDEX(E$5:E$1258,'Stock Price'!$I$9)-1,"")</f>
        <v>0.23554603854389722</v>
      </c>
      <c r="S1094" s="19">
        <f ca="1">IF('Stock Price'!$I$11="OK",F1094/INDEX(F$5:F$1258,'Stock Price'!$I$9)-1,"")</f>
        <v>-1.0140728476821237E-2</v>
      </c>
      <c r="T1094" s="19">
        <f ca="1">IF('Stock Price'!$I$11="OK",G1094/INDEX(G$5:G$1258,'Stock Price'!$I$9)-1,"")</f>
        <v>-7.9064226145348915E-3</v>
      </c>
      <c r="U1094" s="19">
        <f ca="1">IF('Stock Price'!$I$11="OK",H1094/INDEX(H$5:H$1258,'Stock Price'!$I$9)-1,"")</f>
        <v>0.4942401960784315</v>
      </c>
      <c r="V1094" s="19">
        <f ca="1">IF('Stock Price'!$I$11="OK",I1094/INDEX(I$5:I$1258,'Stock Price'!$I$9)-1,"")</f>
        <v>-0.3568052930056711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188.01</v>
      </c>
      <c r="C1095" s="18">
        <v>157.05000000000001</v>
      </c>
      <c r="D1095" s="18">
        <v>59.01</v>
      </c>
      <c r="E1095" s="18">
        <v>57.11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0.553801652892562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0.23516483516483522</v>
      </c>
      <c r="R1095" s="19">
        <f ca="1">IF('Stock Price'!$I$11="OK",E1095/INDEX(E$5:E$1258,'Stock Price'!$I$9)-1,"")</f>
        <v>0.22291220556745173</v>
      </c>
      <c r="S1095" s="19">
        <f ca="1">IF('Stock Price'!$I$11="OK",F1095/INDEX(F$5:F$1258,'Stock Price'!$I$9)-1,"")</f>
        <v>-1.0347682119205004E-3</v>
      </c>
      <c r="T1095" s="19">
        <f ca="1">IF('Stock Price'!$I$11="OK",G1095/INDEX(G$5:G$1258,'Stock Price'!$I$9)-1,"")</f>
        <v>2.4910646593740982E-3</v>
      </c>
      <c r="U1095" s="19">
        <f ca="1">IF('Stock Price'!$I$11="OK",H1095/INDEX(H$5:H$1258,'Stock Price'!$I$9)-1,"")</f>
        <v>0.44178921568627461</v>
      </c>
      <c r="V1095" s="19">
        <f ca="1">IF('Stock Price'!$I$11="OK",I1095/INDEX(I$5:I$1258,'Stock Price'!$I$9)-1,"")</f>
        <v>-0.36082230623818523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193.4</v>
      </c>
      <c r="C1096" s="18">
        <v>158.19999999999999</v>
      </c>
      <c r="D1096" s="18">
        <v>58.82</v>
      </c>
      <c r="E1096" s="18">
        <v>56.83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0.59834710743801667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0.23118785975928846</v>
      </c>
      <c r="R1096" s="19">
        <f ca="1">IF('Stock Price'!$I$11="OK",E1096/INDEX(E$5:E$1258,'Stock Price'!$I$9)-1,"")</f>
        <v>0.21691648822269793</v>
      </c>
      <c r="S1096" s="19">
        <f ca="1">IF('Stock Price'!$I$11="OK",F1096/INDEX(F$5:F$1258,'Stock Price'!$I$9)-1,"")</f>
        <v>6.4155629139073245E-3</v>
      </c>
      <c r="T1096" s="19">
        <f ca="1">IF('Stock Price'!$I$11="OK",G1096/INDEX(G$5:G$1258,'Stock Price'!$I$9)-1,"")</f>
        <v>1.0830715910326028E-4</v>
      </c>
      <c r="U1096" s="19">
        <f ca="1">IF('Stock Price'!$I$11="OK",H1096/INDEX(H$5:H$1258,'Stock Price'!$I$9)-1,"")</f>
        <v>0.43566176470588247</v>
      </c>
      <c r="V1096" s="19">
        <f ca="1">IF('Stock Price'!$I$11="OK",I1096/INDEX(I$5:I$1258,'Stock Price'!$I$9)-1,"")</f>
        <v>-0.34758979206049156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204.76</v>
      </c>
      <c r="C1097" s="18">
        <v>160.06</v>
      </c>
      <c r="D1097" s="18">
        <v>58.49</v>
      </c>
      <c r="E1097" s="18">
        <v>57.79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0.69223140495867752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0.22428048142333856</v>
      </c>
      <c r="R1097" s="19">
        <f ca="1">IF('Stock Price'!$I$11="OK",E1097/INDEX(E$5:E$1258,'Stock Price'!$I$9)-1,"")</f>
        <v>0.23747323340471094</v>
      </c>
      <c r="S1097" s="19">
        <f ca="1">IF('Stock Price'!$I$11="OK",F1097/INDEX(F$5:F$1258,'Stock Price'!$I$9)-1,"")</f>
        <v>1.9246688741721751E-2</v>
      </c>
      <c r="T1097" s="19">
        <f ca="1">IF('Stock Price'!$I$11="OK",G1097/INDEX(G$5:G$1258,'Stock Price'!$I$9)-1,"")</f>
        <v>-8.6645727282574914E-4</v>
      </c>
      <c r="U1097" s="19">
        <f ca="1">IF('Stock Price'!$I$11="OK",H1097/INDEX(H$5:H$1258,'Stock Price'!$I$9)-1,"")</f>
        <v>0.46213235294117649</v>
      </c>
      <c r="V1097" s="19">
        <f ca="1">IF('Stock Price'!$I$11="OK",I1097/INDEX(I$5:I$1258,'Stock Price'!$I$9)-1,"")</f>
        <v>-0.34475425330812859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204.52</v>
      </c>
      <c r="C1098" s="18">
        <v>161.18</v>
      </c>
      <c r="D1098" s="18">
        <v>58.54</v>
      </c>
      <c r="E1098" s="18">
        <v>58.61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0.6902479338842975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0.2253270538984824</v>
      </c>
      <c r="R1098" s="19">
        <f ca="1">IF('Stock Price'!$I$11="OK",E1098/INDEX(E$5:E$1258,'Stock Price'!$I$9)-1,"")</f>
        <v>0.25503211991434682</v>
      </c>
      <c r="S1098" s="19">
        <f ca="1">IF('Stock Price'!$I$11="OK",F1098/INDEX(F$5:F$1258,'Stock Price'!$I$9)-1,"")</f>
        <v>-2.6697019867549687E-2</v>
      </c>
      <c r="T1098" s="19">
        <f ca="1">IF('Stock Price'!$I$11="OK",G1098/INDEX(G$5:G$1258,'Stock Price'!$I$9)-1,"")</f>
        <v>-1.0289180114805618E-2</v>
      </c>
      <c r="U1098" s="19">
        <f ca="1">IF('Stock Price'!$I$11="OK",H1098/INDEX(H$5:H$1258,'Stock Price'!$I$9)-1,"")</f>
        <v>0.46127450980392171</v>
      </c>
      <c r="V1098" s="19">
        <f ca="1">IF('Stock Price'!$I$11="OK",I1098/INDEX(I$5:I$1258,'Stock Price'!$I$9)-1,"")</f>
        <v>-0.35089792060491498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205.55</v>
      </c>
      <c r="C1099" s="18">
        <v>163.1</v>
      </c>
      <c r="D1099" s="18">
        <v>58.93</v>
      </c>
      <c r="E1099" s="18">
        <v>58.51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0.69876033057851239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0.23349031920460495</v>
      </c>
      <c r="R1099" s="19">
        <f ca="1">IF('Stock Price'!$I$11="OK",E1099/INDEX(E$5:E$1258,'Stock Price'!$I$9)-1,"")</f>
        <v>0.25289079229122047</v>
      </c>
      <c r="S1099" s="19">
        <f ca="1">IF('Stock Price'!$I$11="OK",F1099/INDEX(F$5:F$1258,'Stock Price'!$I$9)-1,"")</f>
        <v>-4.7806291390728561E-2</v>
      </c>
      <c r="T1099" s="19">
        <f ca="1">IF('Stock Price'!$I$11="OK",G1099/INDEX(G$5:G$1258,'Stock Price'!$I$9)-1,"")</f>
        <v>-3.8990577277158156E-3</v>
      </c>
      <c r="U1099" s="19">
        <f ca="1">IF('Stock Price'!$I$11="OK",H1099/INDEX(H$5:H$1258,'Stock Price'!$I$9)-1,"")</f>
        <v>0.48786764705882368</v>
      </c>
      <c r="V1099" s="19">
        <f ca="1">IF('Stock Price'!$I$11="OK",I1099/INDEX(I$5:I$1258,'Stock Price'!$I$9)-1,"")</f>
        <v>-0.34829867674858228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209.48</v>
      </c>
      <c r="C1100" s="18">
        <v>166.17</v>
      </c>
      <c r="D1100" s="18">
        <v>60.87</v>
      </c>
      <c r="E1100" s="18">
        <v>60.1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0.73123966942148755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0.27409733124018842</v>
      </c>
      <c r="R1100" s="19">
        <f ca="1">IF('Stock Price'!$I$11="OK",E1100/INDEX(E$5:E$1258,'Stock Price'!$I$9)-1,"")</f>
        <v>0.28693790149892928</v>
      </c>
      <c r="S1100" s="19">
        <f ca="1">IF('Stock Price'!$I$11="OK",F1100/INDEX(F$5:F$1258,'Stock Price'!$I$9)-1,"")</f>
        <v>-3.9114238410596025E-2</v>
      </c>
      <c r="T1100" s="19">
        <f ca="1">IF('Stock Price'!$I$11="OK",G1100/INDEX(G$5:G$1258,'Stock Price'!$I$9)-1,"")</f>
        <v>6.823351023502644E-2</v>
      </c>
      <c r="U1100" s="19">
        <f ca="1">IF('Stock Price'!$I$11="OK",H1100/INDEX(H$5:H$1258,'Stock Price'!$I$9)-1,"")</f>
        <v>0.48982843137254894</v>
      </c>
      <c r="V1100" s="19">
        <f ca="1">IF('Stock Price'!$I$11="OK",I1100/INDEX(I$5:I$1258,'Stock Price'!$I$9)-1,"")</f>
        <v>-0.35326086956521741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208.67</v>
      </c>
      <c r="C1101" s="18">
        <v>165.38</v>
      </c>
      <c r="D1101" s="18">
        <v>61.18</v>
      </c>
      <c r="E1101" s="18">
        <v>59.69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0.72454545454545438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0.2805860805860807</v>
      </c>
      <c r="R1101" s="19">
        <f ca="1">IF('Stock Price'!$I$11="OK",E1101/INDEX(E$5:E$1258,'Stock Price'!$I$9)-1,"")</f>
        <v>0.27815845824411123</v>
      </c>
      <c r="S1101" s="19">
        <f ca="1">IF('Stock Price'!$I$11="OK",F1101/INDEX(F$5:F$1258,'Stock Price'!$I$9)-1,"")</f>
        <v>-4.5115894039735038E-2</v>
      </c>
      <c r="T1101" s="19">
        <f ca="1">IF('Stock Price'!$I$11="OK",G1101/INDEX(G$5:G$1258,'Stock Price'!$I$9)-1,"")</f>
        <v>-7.6898082963283709E-3</v>
      </c>
      <c r="U1101" s="19">
        <f ca="1">IF('Stock Price'!$I$11="OK",H1101/INDEX(H$5:H$1258,'Stock Price'!$I$9)-1,"")</f>
        <v>0.49093137254901964</v>
      </c>
      <c r="V1101" s="19">
        <f ca="1">IF('Stock Price'!$I$11="OK",I1101/INDEX(I$5:I$1258,'Stock Price'!$I$9)-1,"")</f>
        <v>-0.35326086956521741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208.62</v>
      </c>
      <c r="C1102" s="18">
        <v>163.92</v>
      </c>
      <c r="D1102" s="18">
        <v>60.85</v>
      </c>
      <c r="E1102" s="18">
        <v>59.18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0.72413223140495875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0.2736787022501308</v>
      </c>
      <c r="R1102" s="19">
        <f ca="1">IF('Stock Price'!$I$11="OK",E1102/INDEX(E$5:E$1258,'Stock Price'!$I$9)-1,"")</f>
        <v>0.26723768736616704</v>
      </c>
      <c r="S1102" s="19">
        <f ca="1">IF('Stock Price'!$I$11="OK",F1102/INDEX(F$5:F$1258,'Stock Price'!$I$9)-1,"")</f>
        <v>-1.9453642384105962E-2</v>
      </c>
      <c r="T1102" s="19">
        <f ca="1">IF('Stock Price'!$I$11="OK",G1102/INDEX(G$5:G$1258,'Stock Price'!$I$9)-1,"")</f>
        <v>-1.2780244774179494E-2</v>
      </c>
      <c r="U1102" s="19">
        <f ca="1">IF('Stock Price'!$I$11="OK",H1102/INDEX(H$5:H$1258,'Stock Price'!$I$9)-1,"")</f>
        <v>0.49338235294117649</v>
      </c>
      <c r="V1102" s="19">
        <f ca="1">IF('Stock Price'!$I$11="OK",I1102/INDEX(I$5:I$1258,'Stock Price'!$I$9)-1,"")</f>
        <v>-0.36531190926275992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204.2</v>
      </c>
      <c r="C1103" s="18">
        <v>162.66999999999999</v>
      </c>
      <c r="D1103" s="18">
        <v>59.52</v>
      </c>
      <c r="E1103" s="18">
        <v>59.35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0.68760330578512385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0.24583987441130306</v>
      </c>
      <c r="R1103" s="19">
        <f ca="1">IF('Stock Price'!$I$11="OK",E1103/INDEX(E$5:E$1258,'Stock Price'!$I$9)-1,"")</f>
        <v>0.27087794432548185</v>
      </c>
      <c r="S1103" s="19">
        <f ca="1">IF('Stock Price'!$I$11="OK",F1103/INDEX(F$5:F$1258,'Stock Price'!$I$9)-1,"")</f>
        <v>-3.2284768211920611E-2</v>
      </c>
      <c r="T1103" s="19">
        <f ca="1">IF('Stock Price'!$I$11="OK",G1103/INDEX(G$5:G$1258,'Stock Price'!$I$9)-1,"")</f>
        <v>-5.3828658074298708E-2</v>
      </c>
      <c r="U1103" s="19">
        <f ca="1">IF('Stock Price'!$I$11="OK",H1103/INDEX(H$5:H$1258,'Stock Price'!$I$9)-1,"")</f>
        <v>0.49828431372549042</v>
      </c>
      <c r="V1103" s="19">
        <f ca="1">IF('Stock Price'!$I$11="OK",I1103/INDEX(I$5:I$1258,'Stock Price'!$I$9)-1,"")</f>
        <v>-0.37027410207939515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204.94</v>
      </c>
      <c r="C1104" s="18">
        <v>164.7</v>
      </c>
      <c r="D1104" s="18">
        <v>59.26</v>
      </c>
      <c r="E1104" s="18">
        <v>59.97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0.69371900826446287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0.24039769754055462</v>
      </c>
      <c r="R1104" s="19">
        <f ca="1">IF('Stock Price'!$I$11="OK",E1104/INDEX(E$5:E$1258,'Stock Price'!$I$9)-1,"")</f>
        <v>0.28415417558886502</v>
      </c>
      <c r="S1104" s="19">
        <f ca="1">IF('Stock Price'!$I$11="OK",F1104/INDEX(F$5:F$1258,'Stock Price'!$I$9)-1,"")</f>
        <v>-2.2764900662251675E-2</v>
      </c>
      <c r="T1104" s="19">
        <f ca="1">IF('Stock Price'!$I$11="OK",G1104/INDEX(G$5:G$1258,'Stock Price'!$I$9)-1,"")</f>
        <v>-7.2890718076464855E-2</v>
      </c>
      <c r="U1104" s="19">
        <f ca="1">IF('Stock Price'!$I$11="OK",H1104/INDEX(H$5:H$1258,'Stock Price'!$I$9)-1,"")</f>
        <v>0.51740196078431366</v>
      </c>
      <c r="V1104" s="19">
        <f ca="1">IF('Stock Price'!$I$11="OK",I1104/INDEX(I$5:I$1258,'Stock Price'!$I$9)-1,"")</f>
        <v>-0.36058601134215507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206.61</v>
      </c>
      <c r="C1105" s="18">
        <v>167.11</v>
      </c>
      <c r="D1105" s="18">
        <v>59.12</v>
      </c>
      <c r="E1105" s="18">
        <v>60.58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0.70752066115702483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0.2374672946101517</v>
      </c>
      <c r="R1105" s="19">
        <f ca="1">IF('Stock Price'!$I$11="OK",E1105/INDEX(E$5:E$1258,'Stock Price'!$I$9)-1,"")</f>
        <v>0.29721627408993556</v>
      </c>
      <c r="S1105" s="19">
        <f ca="1">IF('Stock Price'!$I$11="OK",F1105/INDEX(F$5:F$1258,'Stock Price'!$I$9)-1,"")</f>
        <v>-2.0902317880794663E-2</v>
      </c>
      <c r="T1105" s="19">
        <f ca="1">IF('Stock Price'!$I$11="OK",G1105/INDEX(G$5:G$1258,'Stock Price'!$I$9)-1,"")</f>
        <v>-8.2854976713960693E-2</v>
      </c>
      <c r="U1105" s="19">
        <f ca="1">IF('Stock Price'!$I$11="OK",H1105/INDEX(H$5:H$1258,'Stock Price'!$I$9)-1,"")</f>
        <v>0.51875000000000027</v>
      </c>
      <c r="V1105" s="19">
        <f ca="1">IF('Stock Price'!$I$11="OK",I1105/INDEX(I$5:I$1258,'Stock Price'!$I$9)-1,"")</f>
        <v>-0.35869565217391308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205.79</v>
      </c>
      <c r="C1106" s="18">
        <v>166.85</v>
      </c>
      <c r="D1106" s="18">
        <v>59.54</v>
      </c>
      <c r="E1106" s="18">
        <v>59.48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0.70074380165289241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0.24625850340136046</v>
      </c>
      <c r="R1106" s="19">
        <f ca="1">IF('Stock Price'!$I$11="OK",E1106/INDEX(E$5:E$1258,'Stock Price'!$I$9)-1,"")</f>
        <v>0.27366167023554588</v>
      </c>
      <c r="S1106" s="19">
        <f ca="1">IF('Stock Price'!$I$11="OK",F1106/INDEX(F$5:F$1258,'Stock Price'!$I$9)-1,"")</f>
        <v>-1.5107615894039639E-2</v>
      </c>
      <c r="T1106" s="19">
        <f ca="1">IF('Stock Price'!$I$11="OK",G1106/INDEX(G$5:G$1258,'Stock Price'!$I$9)-1,"")</f>
        <v>-7.754792591790316E-2</v>
      </c>
      <c r="U1106" s="19">
        <f ca="1">IF('Stock Price'!$I$11="OK",H1106/INDEX(H$5:H$1258,'Stock Price'!$I$9)-1,"")</f>
        <v>0.50073529411764706</v>
      </c>
      <c r="V1106" s="19">
        <f ca="1">IF('Stock Price'!$I$11="OK",I1106/INDEX(I$5:I$1258,'Stock Price'!$I$9)-1,"")</f>
        <v>-0.35987712665406424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203.98</v>
      </c>
      <c r="C1107" s="18">
        <v>165.51</v>
      </c>
      <c r="D1107" s="18">
        <v>58.07</v>
      </c>
      <c r="E1107" s="18">
        <v>59.03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0.68578512396694213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0.2154892726321298</v>
      </c>
      <c r="R1107" s="19">
        <f ca="1">IF('Stock Price'!$I$11="OK",E1107/INDEX(E$5:E$1258,'Stock Price'!$I$9)-1,"")</f>
        <v>0.26402569593147751</v>
      </c>
      <c r="S1107" s="19">
        <f ca="1">IF('Stock Price'!$I$11="OK",F1107/INDEX(F$5:F$1258,'Stock Price'!$I$9)-1,"")</f>
        <v>6.2086092715230023E-4</v>
      </c>
      <c r="T1107" s="19">
        <f ca="1">IF('Stock Price'!$I$11="OK",G1107/INDEX(G$5:G$1258,'Stock Price'!$I$9)-1,"")</f>
        <v>-9.3577385465179241E-2</v>
      </c>
      <c r="U1107" s="19">
        <f ca="1">IF('Stock Price'!$I$11="OK",H1107/INDEX(H$5:H$1258,'Stock Price'!$I$9)-1,"")</f>
        <v>0.46200980392156876</v>
      </c>
      <c r="V1107" s="19">
        <f ca="1">IF('Stock Price'!$I$11="OK",I1107/INDEX(I$5:I$1258,'Stock Price'!$I$9)-1,"")</f>
        <v>-0.35964083175803396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208.45</v>
      </c>
      <c r="C1108" s="18">
        <v>168.62</v>
      </c>
      <c r="D1108" s="18">
        <v>59.13</v>
      </c>
      <c r="E1108" s="18">
        <v>59.55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0.72272727272727266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0.23767660910518051</v>
      </c>
      <c r="R1108" s="19">
        <f ca="1">IF('Stock Price'!$I$11="OK",E1108/INDEX(E$5:E$1258,'Stock Price'!$I$9)-1,"")</f>
        <v>0.27516059957173433</v>
      </c>
      <c r="S1108" s="19">
        <f ca="1">IF('Stock Price'!$I$11="OK",F1108/INDEX(F$5:F$1258,'Stock Price'!$I$9)-1,"")</f>
        <v>7.0364238410596247E-3</v>
      </c>
      <c r="T1108" s="19">
        <f ca="1">IF('Stock Price'!$I$11="OK",G1108/INDEX(G$5:G$1258,'Stock Price'!$I$9)-1,"")</f>
        <v>-9.0003249214773096E-2</v>
      </c>
      <c r="U1108" s="19">
        <f ca="1">IF('Stock Price'!$I$11="OK",H1108/INDEX(H$5:H$1258,'Stock Price'!$I$9)-1,"")</f>
        <v>0.51740196078431366</v>
      </c>
      <c r="V1108" s="19">
        <f ca="1">IF('Stock Price'!$I$11="OK",I1108/INDEX(I$5:I$1258,'Stock Price'!$I$9)-1,"")</f>
        <v>-0.34664461247637057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203.73</v>
      </c>
      <c r="C1109" s="18">
        <v>166.87</v>
      </c>
      <c r="D1109" s="18">
        <v>58.29</v>
      </c>
      <c r="E1109" s="18">
        <v>57.87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0.68371900826446264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0.22009419152276299</v>
      </c>
      <c r="R1109" s="19">
        <f ca="1">IF('Stock Price'!$I$11="OK",E1109/INDEX(E$5:E$1258,'Stock Price'!$I$9)-1,"")</f>
        <v>0.2391862955032118</v>
      </c>
      <c r="S1109" s="19">
        <f ca="1">IF('Stock Price'!$I$11="OK",F1109/INDEX(F$5:F$1258,'Stock Price'!$I$9)-1,"")</f>
        <v>-1.3658940397351049E-2</v>
      </c>
      <c r="T1109" s="19">
        <f ca="1">IF('Stock Price'!$I$11="OK",G1109/INDEX(G$5:G$1258,'Stock Price'!$I$9)-1,"")</f>
        <v>-0.12032925376367376</v>
      </c>
      <c r="U1109" s="19">
        <f ca="1">IF('Stock Price'!$I$11="OK",H1109/INDEX(H$5:H$1258,'Stock Price'!$I$9)-1,"")</f>
        <v>0.48786764705882368</v>
      </c>
      <c r="V1109" s="19">
        <f ca="1">IF('Stock Price'!$I$11="OK",I1109/INDEX(I$5:I$1258,'Stock Price'!$I$9)-1,"")</f>
        <v>-0.35586011342155011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201.76</v>
      </c>
      <c r="C1110" s="18">
        <v>164.18</v>
      </c>
      <c r="D1110" s="18">
        <v>57.07</v>
      </c>
      <c r="E1110" s="18">
        <v>57.75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0.66743801652892554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0.19455782312925174</v>
      </c>
      <c r="R1110" s="19">
        <f ca="1">IF('Stock Price'!$I$11="OK",E1110/INDEX(E$5:E$1258,'Stock Price'!$I$9)-1,"")</f>
        <v>0.2366167023554604</v>
      </c>
      <c r="S1110" s="19">
        <f ca="1">IF('Stock Price'!$I$11="OK",F1110/INDEX(F$5:F$1258,'Stock Price'!$I$9)-1,"")</f>
        <v>-3.8286423841059625E-2</v>
      </c>
      <c r="T1110" s="19">
        <f ca="1">IF('Stock Price'!$I$11="OK",G1110/INDEX(G$5:G$1258,'Stock Price'!$I$9)-1,"")</f>
        <v>-0.17015054695115339</v>
      </c>
      <c r="U1110" s="19">
        <f ca="1">IF('Stock Price'!$I$11="OK",H1110/INDEX(H$5:H$1258,'Stock Price'!$I$9)-1,"")</f>
        <v>0.46850490196078431</v>
      </c>
      <c r="V1110" s="19">
        <f ca="1">IF('Stock Price'!$I$11="OK",I1110/INDEX(I$5:I$1258,'Stock Price'!$I$9)-1,"")</f>
        <v>-0.37192816635160686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201.53</v>
      </c>
      <c r="C1111" s="18">
        <v>165.15</v>
      </c>
      <c r="D1111" s="18">
        <v>56.83</v>
      </c>
      <c r="E1111" s="18">
        <v>57.86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0.66553719008264456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0.18953427524856092</v>
      </c>
      <c r="R1111" s="19">
        <f ca="1">IF('Stock Price'!$I$11="OK",E1111/INDEX(E$5:E$1258,'Stock Price'!$I$9)-1,"")</f>
        <v>0.23897216274089916</v>
      </c>
      <c r="S1111" s="19">
        <f ca="1">IF('Stock Price'!$I$11="OK",F1111/INDEX(F$5:F$1258,'Stock Price'!$I$9)-1,"")</f>
        <v>-4.3460264900662238E-2</v>
      </c>
      <c r="T1111" s="19">
        <f ca="1">IF('Stock Price'!$I$11="OK",G1111/INDEX(G$5:G$1258,'Stock Price'!$I$9)-1,"")</f>
        <v>-0.18986244990793888</v>
      </c>
      <c r="U1111" s="19">
        <f ca="1">IF('Stock Price'!$I$11="OK",H1111/INDEX(H$5:H$1258,'Stock Price'!$I$9)-1,"")</f>
        <v>0.47401960784313735</v>
      </c>
      <c r="V1111" s="19">
        <f ca="1">IF('Stock Price'!$I$11="OK",I1111/INDEX(I$5:I$1258,'Stock Price'!$I$9)-1,"")</f>
        <v>-0.37098298676748576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197.52</v>
      </c>
      <c r="C1112" s="18">
        <v>161.01</v>
      </c>
      <c r="D1112" s="18">
        <v>55.27</v>
      </c>
      <c r="E1112" s="18">
        <v>54.19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0.63239669421487621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0.15688121402407118</v>
      </c>
      <c r="R1112" s="19">
        <f ca="1">IF('Stock Price'!$I$11="OK",E1112/INDEX(E$5:E$1258,'Stock Price'!$I$9)-1,"")</f>
        <v>0.16038543897216262</v>
      </c>
      <c r="S1112" s="19">
        <f ca="1">IF('Stock Price'!$I$11="OK",F1112/INDEX(F$5:F$1258,'Stock Price'!$I$9)-1,"")</f>
        <v>-6.8708609271523224E-2</v>
      </c>
      <c r="T1112" s="19">
        <f ca="1">IF('Stock Price'!$I$11="OK",G1112/INDEX(G$5:G$1258,'Stock Price'!$I$9)-1,"")</f>
        <v>-0.18173941297519769</v>
      </c>
      <c r="U1112" s="19">
        <f ca="1">IF('Stock Price'!$I$11="OK",H1112/INDEX(H$5:H$1258,'Stock Price'!$I$9)-1,"")</f>
        <v>0.42242647058823524</v>
      </c>
      <c r="V1112" s="19">
        <f ca="1">IF('Stock Price'!$I$11="OK",I1112/INDEX(I$5:I$1258,'Stock Price'!$I$9)-1,"")</f>
        <v>-0.37121928166351603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194.22</v>
      </c>
      <c r="C1113" s="18">
        <v>160.12</v>
      </c>
      <c r="D1113" s="18">
        <v>54.51</v>
      </c>
      <c r="E1113" s="18">
        <v>55.39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0.60512396694214865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0.14097331240188393</v>
      </c>
      <c r="R1113" s="19">
        <f ca="1">IF('Stock Price'!$I$11="OK",E1113/INDEX(E$5:E$1258,'Stock Price'!$I$9)-1,"")</f>
        <v>0.18608137044967865</v>
      </c>
      <c r="S1113" s="19">
        <f ca="1">IF('Stock Price'!$I$11="OK",F1113/INDEX(F$5:F$1258,'Stock Price'!$I$9)-1,"")</f>
        <v>-7.8021523178808061E-2</v>
      </c>
      <c r="T1113" s="19">
        <f ca="1">IF('Stock Price'!$I$11="OK",G1113/INDEX(G$5:G$1258,'Stock Price'!$I$9)-1,"")</f>
        <v>-0.21174049604678868</v>
      </c>
      <c r="U1113" s="19">
        <f ca="1">IF('Stock Price'!$I$11="OK",H1113/INDEX(H$5:H$1258,'Stock Price'!$I$9)-1,"")</f>
        <v>0.41899509803921586</v>
      </c>
      <c r="V1113" s="19">
        <f ca="1">IF('Stock Price'!$I$11="OK",I1113/INDEX(I$5:I$1258,'Stock Price'!$I$9)-1,"")</f>
        <v>-0.36082230623818523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194.95</v>
      </c>
      <c r="C1114" s="18">
        <v>162.79</v>
      </c>
      <c r="D1114" s="18">
        <v>55.51</v>
      </c>
      <c r="E1114" s="18">
        <v>54.65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0.6111570247933884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0.161904761904762</v>
      </c>
      <c r="R1114" s="19">
        <f ca="1">IF('Stock Price'!$I$11="OK",E1114/INDEX(E$5:E$1258,'Stock Price'!$I$9)-1,"")</f>
        <v>0.17023554603854385</v>
      </c>
      <c r="S1114" s="19">
        <f ca="1">IF('Stock Price'!$I$11="OK",F1114/INDEX(F$5:F$1258,'Stock Price'!$I$9)-1,"")</f>
        <v>-8.2160596026490063E-2</v>
      </c>
      <c r="T1114" s="19">
        <f ca="1">IF('Stock Price'!$I$11="OK",G1114/INDEX(G$5:G$1258,'Stock Price'!$I$9)-1,"")</f>
        <v>-0.18574677786201654</v>
      </c>
      <c r="U1114" s="19">
        <f ca="1">IF('Stock Price'!$I$11="OK",H1114/INDEX(H$5:H$1258,'Stock Price'!$I$9)-1,"")</f>
        <v>0.4351715686274511</v>
      </c>
      <c r="V1114" s="19">
        <f ca="1">IF('Stock Price'!$I$11="OK",I1114/INDEX(I$5:I$1258,'Stock Price'!$I$9)-1,"")</f>
        <v>-0.36649338374291118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194.99</v>
      </c>
      <c r="C1115" s="18">
        <v>161.59</v>
      </c>
      <c r="D1115" s="18">
        <v>55.32</v>
      </c>
      <c r="E1115" s="18">
        <v>53.44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0.61148760330578522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0.15792778649921502</v>
      </c>
      <c r="R1115" s="19">
        <f ca="1">IF('Stock Price'!$I$11="OK",E1115/INDEX(E$5:E$1258,'Stock Price'!$I$9)-1,"")</f>
        <v>0.14432548179871518</v>
      </c>
      <c r="S1115" s="19">
        <f ca="1">IF('Stock Price'!$I$11="OK",F1115/INDEX(F$5:F$1258,'Stock Price'!$I$9)-1,"")</f>
        <v>-9.0024834437086088E-2</v>
      </c>
      <c r="T1115" s="19">
        <f ca="1">IF('Stock Price'!$I$11="OK",G1115/INDEX(G$5:G$1258,'Stock Price'!$I$9)-1,"")</f>
        <v>-0.14166576410700749</v>
      </c>
      <c r="U1115" s="19">
        <f ca="1">IF('Stock Price'!$I$11="OK",H1115/INDEX(H$5:H$1258,'Stock Price'!$I$9)-1,"")</f>
        <v>0.43492647058823541</v>
      </c>
      <c r="V1115" s="19">
        <f ca="1">IF('Stock Price'!$I$11="OK",I1115/INDEX(I$5:I$1258,'Stock Price'!$I$9)-1,"")</f>
        <v>-0.35822306238185253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193.31</v>
      </c>
      <c r="C1116" s="18">
        <v>155.80000000000001</v>
      </c>
      <c r="D1116" s="18">
        <v>55.15</v>
      </c>
      <c r="E1116" s="18">
        <v>53.4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0.59760330578512399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0.15436944008372588</v>
      </c>
      <c r="R1116" s="19">
        <f ca="1">IF('Stock Price'!$I$11="OK",E1116/INDEX(E$5:E$1258,'Stock Price'!$I$9)-1,"")</f>
        <v>0.14346895074946464</v>
      </c>
      <c r="S1116" s="19">
        <f ca="1">IF('Stock Price'!$I$11="OK",F1116/INDEX(F$5:F$1258,'Stock Price'!$I$9)-1,"")</f>
        <v>-9.0645695364238499E-2</v>
      </c>
      <c r="T1116" s="19">
        <f ca="1">IF('Stock Price'!$I$11="OK",G1116/INDEX(G$5:G$1258,'Stock Price'!$I$9)-1,"")</f>
        <v>-0.13321780569695651</v>
      </c>
      <c r="U1116" s="19">
        <f ca="1">IF('Stock Price'!$I$11="OK",H1116/INDEX(H$5:H$1258,'Stock Price'!$I$9)-1,"")</f>
        <v>0.42414215686274503</v>
      </c>
      <c r="V1116" s="19">
        <f ca="1">IF('Stock Price'!$I$11="OK",I1116/INDEX(I$5:I$1258,'Stock Price'!$I$9)-1,"")</f>
        <v>-0.35491493383742911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192.5</v>
      </c>
      <c r="C1117" s="18">
        <v>154.25</v>
      </c>
      <c r="D1117" s="18">
        <v>54.28</v>
      </c>
      <c r="E1117" s="18">
        <v>51.93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0.59090909090909083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0.13615907901622193</v>
      </c>
      <c r="R1117" s="19">
        <f ca="1">IF('Stock Price'!$I$11="OK",E1117/INDEX(E$5:E$1258,'Stock Price'!$I$9)-1,"")</f>
        <v>0.11199143468950745</v>
      </c>
      <c r="S1117" s="19">
        <f ca="1">IF('Stock Price'!$I$11="OK",F1117/INDEX(F$5:F$1258,'Stock Price'!$I$9)-1,"")</f>
        <v>-9.7061258278145601E-2</v>
      </c>
      <c r="T1117" s="19">
        <f ca="1">IF('Stock Price'!$I$11="OK",G1117/INDEX(G$5:G$1258,'Stock Price'!$I$9)-1,"")</f>
        <v>-0.15238817285822581</v>
      </c>
      <c r="U1117" s="19">
        <f ca="1">IF('Stock Price'!$I$11="OK",H1117/INDEX(H$5:H$1258,'Stock Price'!$I$9)-1,"")</f>
        <v>0.42046568627450975</v>
      </c>
      <c r="V1117" s="19">
        <f ca="1">IF('Stock Price'!$I$11="OK",I1117/INDEX(I$5:I$1258,'Stock Price'!$I$9)-1,"")</f>
        <v>-0.36531190926275992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189.9</v>
      </c>
      <c r="C1118" s="18">
        <v>153.44</v>
      </c>
      <c r="D1118" s="18">
        <v>53.39</v>
      </c>
      <c r="E1118" s="18">
        <v>50.12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0.56942148760330591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0.11753008895866035</v>
      </c>
      <c r="R1118" s="19">
        <f ca="1">IF('Stock Price'!$I$11="OK",E1118/INDEX(E$5:E$1258,'Stock Price'!$I$9)-1,"")</f>
        <v>7.3233404710920658E-2</v>
      </c>
      <c r="S1118" s="19">
        <f ca="1">IF('Stock Price'!$I$11="OK",F1118/INDEX(F$5:F$1258,'Stock Price'!$I$9)-1,"")</f>
        <v>-9.7682119205298013E-2</v>
      </c>
      <c r="T1118" s="19">
        <f ca="1">IF('Stock Price'!$I$11="OK",G1118/INDEX(G$5:G$1258,'Stock Price'!$I$9)-1,"")</f>
        <v>-0.16311058160944436</v>
      </c>
      <c r="U1118" s="19">
        <f ca="1">IF('Stock Price'!$I$11="OK",H1118/INDEX(H$5:H$1258,'Stock Price'!$I$9)-1,"")</f>
        <v>0.41678921568627469</v>
      </c>
      <c r="V1118" s="19">
        <f ca="1">IF('Stock Price'!$I$11="OK",I1118/INDEX(I$5:I$1258,'Stock Price'!$I$9)-1,"")</f>
        <v>-0.37192816635160686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192.01</v>
      </c>
      <c r="C1119" s="18">
        <v>154.87</v>
      </c>
      <c r="D1119" s="18">
        <v>53.77</v>
      </c>
      <c r="E1119" s="18">
        <v>51.53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0.58685950413223131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0.12548403976975409</v>
      </c>
      <c r="R1119" s="19">
        <f ca="1">IF('Stock Price'!$I$11="OK",E1119/INDEX(E$5:E$1258,'Stock Price'!$I$9)-1,"")</f>
        <v>0.10342612419700203</v>
      </c>
      <c r="S1119" s="19">
        <f ca="1">IF('Stock Price'!$I$11="OK",F1119/INDEX(F$5:F$1258,'Stock Price'!$I$9)-1,"")</f>
        <v>-8.9817880794702099E-2</v>
      </c>
      <c r="T1119" s="19">
        <f ca="1">IF('Stock Price'!$I$11="OK",G1119/INDEX(G$5:G$1258,'Stock Price'!$I$9)-1,"")</f>
        <v>-0.13159319831040828</v>
      </c>
      <c r="U1119" s="19">
        <f ca="1">IF('Stock Price'!$I$11="OK",H1119/INDEX(H$5:H$1258,'Stock Price'!$I$9)-1,"")</f>
        <v>0.41458333333333353</v>
      </c>
      <c r="V1119" s="19">
        <f ca="1">IF('Stock Price'!$I$11="OK",I1119/INDEX(I$5:I$1258,'Stock Price'!$I$9)-1,"")</f>
        <v>-0.37121928166351603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191.29</v>
      </c>
      <c r="C1120" s="18">
        <v>154.85</v>
      </c>
      <c r="D1120" s="18">
        <v>53.41</v>
      </c>
      <c r="E1120" s="18">
        <v>50.98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0.58090909090909082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0.11794871794871797</v>
      </c>
      <c r="R1120" s="19">
        <f ca="1">IF('Stock Price'!$I$11="OK",E1120/INDEX(E$5:E$1258,'Stock Price'!$I$9)-1,"")</f>
        <v>9.1648822269807084E-2</v>
      </c>
      <c r="S1120" s="19">
        <f ca="1">IF('Stock Price'!$I$11="OK",F1120/INDEX(F$5:F$1258,'Stock Price'!$I$9)-1,"")</f>
        <v>-8.8162251655629076E-2</v>
      </c>
      <c r="T1120" s="19">
        <f ca="1">IF('Stock Price'!$I$11="OK",G1120/INDEX(G$5:G$1258,'Stock Price'!$I$9)-1,"")</f>
        <v>-0.12899382649193103</v>
      </c>
      <c r="U1120" s="19">
        <f ca="1">IF('Stock Price'!$I$11="OK",H1120/INDEX(H$5:H$1258,'Stock Price'!$I$9)-1,"")</f>
        <v>0.4199754901960786</v>
      </c>
      <c r="V1120" s="19">
        <f ca="1">IF('Stock Price'!$I$11="OK",I1120/INDEX(I$5:I$1258,'Stock Price'!$I$9)-1,"")</f>
        <v>-0.35137051039697542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188.42</v>
      </c>
      <c r="C1121" s="18">
        <v>149.81</v>
      </c>
      <c r="D1121" s="18">
        <v>52.06</v>
      </c>
      <c r="E1121" s="18">
        <v>49.22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0.5571900826446281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8.969126111983261E-2</v>
      </c>
      <c r="R1121" s="19">
        <f ca="1">IF('Stock Price'!$I$11="OK",E1121/INDEX(E$5:E$1258,'Stock Price'!$I$9)-1,"")</f>
        <v>5.3961456102783689E-2</v>
      </c>
      <c r="S1121" s="19">
        <f ca="1">IF('Stock Price'!$I$11="OK",F1121/INDEX(F$5:F$1258,'Stock Price'!$I$9)-1,"")</f>
        <v>-9.5405629139072801E-2</v>
      </c>
      <c r="T1121" s="19">
        <f ca="1">IF('Stock Price'!$I$11="OK",G1121/INDEX(G$5:G$1258,'Stock Price'!$I$9)-1,"")</f>
        <v>-0.14372360012996854</v>
      </c>
      <c r="U1121" s="19">
        <f ca="1">IF('Stock Price'!$I$11="OK",H1121/INDEX(H$5:H$1258,'Stock Price'!$I$9)-1,"")</f>
        <v>0.40318627450980404</v>
      </c>
      <c r="V1121" s="19">
        <f ca="1">IF('Stock Price'!$I$11="OK",I1121/INDEX(I$5:I$1258,'Stock Price'!$I$9)-1,"")</f>
        <v>-0.35444234404536856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188.93</v>
      </c>
      <c r="C1122" s="18">
        <v>148.19</v>
      </c>
      <c r="D1122" s="18">
        <v>52.37</v>
      </c>
      <c r="E1122" s="18">
        <v>48.41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0.56140495867768592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9.6180010465724664E-2</v>
      </c>
      <c r="R1122" s="19">
        <f ca="1">IF('Stock Price'!$I$11="OK",E1122/INDEX(E$5:E$1258,'Stock Price'!$I$9)-1,"")</f>
        <v>3.6616702355460218E-2</v>
      </c>
      <c r="S1122" s="19">
        <f ca="1">IF('Stock Price'!$I$11="OK",F1122/INDEX(F$5:F$1258,'Stock Price'!$I$9)-1,"")</f>
        <v>-6.1672185430463489E-2</v>
      </c>
      <c r="T1122" s="19">
        <f ca="1">IF('Stock Price'!$I$11="OK",G1122/INDEX(G$5:G$1258,'Stock Price'!$I$9)-1,"")</f>
        <v>-0.16679302501895366</v>
      </c>
      <c r="U1122" s="19">
        <f ca="1">IF('Stock Price'!$I$11="OK",H1122/INDEX(H$5:H$1258,'Stock Price'!$I$9)-1,"")</f>
        <v>0.39950980392156876</v>
      </c>
      <c r="V1122" s="19">
        <f ca="1">IF('Stock Price'!$I$11="OK",I1122/INDEX(I$5:I$1258,'Stock Price'!$I$9)-1,"")</f>
        <v>-0.35231568998109641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183.6</v>
      </c>
      <c r="C1123" s="18">
        <v>146.03</v>
      </c>
      <c r="D1123" s="18">
        <v>51.84</v>
      </c>
      <c r="E1123" s="18">
        <v>47.39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0.51735537190082637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8.5086342229199419E-2</v>
      </c>
      <c r="R1123" s="19">
        <f ca="1">IF('Stock Price'!$I$11="OK",E1123/INDEX(E$5:E$1258,'Stock Price'!$I$9)-1,"")</f>
        <v>1.4775160599571624E-2</v>
      </c>
      <c r="S1123" s="19">
        <f ca="1">IF('Stock Price'!$I$11="OK",F1123/INDEX(F$5:F$1258,'Stock Price'!$I$9)-1,"")</f>
        <v>-7.6986754966887339E-2</v>
      </c>
      <c r="T1123" s="19">
        <f ca="1">IF('Stock Price'!$I$11="OK",G1123/INDEX(G$5:G$1258,'Stock Price'!$I$9)-1,"")</f>
        <v>-0.16852593956460526</v>
      </c>
      <c r="U1123" s="19">
        <f ca="1">IF('Stock Price'!$I$11="OK",H1123/INDEX(H$5:H$1258,'Stock Price'!$I$9)-1,"")</f>
        <v>0.39926470588235308</v>
      </c>
      <c r="V1123" s="19">
        <f ca="1">IF('Stock Price'!$I$11="OK",I1123/INDEX(I$5:I$1258,'Stock Price'!$I$9)-1,"")</f>
        <v>-0.36271266540642721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184.07</v>
      </c>
      <c r="C1124" s="18">
        <v>148.09</v>
      </c>
      <c r="D1124" s="18">
        <v>51.99</v>
      </c>
      <c r="E1124" s="18">
        <v>48.11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0.52123966942148758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8.822605965463115E-2</v>
      </c>
      <c r="R1124" s="19">
        <f ca="1">IF('Stock Price'!$I$11="OK",E1124/INDEX(E$5:E$1258,'Stock Price'!$I$9)-1,"")</f>
        <v>3.0192719486081376E-2</v>
      </c>
      <c r="S1124" s="19">
        <f ca="1">IF('Stock Price'!$I$11="OK",F1124/INDEX(F$5:F$1258,'Stock Price'!$I$9)-1,"")</f>
        <v>-7.3468543046357526E-2</v>
      </c>
      <c r="T1124" s="19">
        <f ca="1">IF('Stock Price'!$I$11="OK",G1124/INDEX(G$5:G$1258,'Stock Price'!$I$9)-1,"")</f>
        <v>-0.16679302501895366</v>
      </c>
      <c r="U1124" s="19">
        <f ca="1">IF('Stock Price'!$I$11="OK",H1124/INDEX(H$5:H$1258,'Stock Price'!$I$9)-1,"")</f>
        <v>0.4176470588235297</v>
      </c>
      <c r="V1124" s="19">
        <f ca="1">IF('Stock Price'!$I$11="OK",I1124/INDEX(I$5:I$1258,'Stock Price'!$I$9)-1,"")</f>
        <v>-0.36743856332703217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185.78</v>
      </c>
      <c r="C1125" s="18">
        <v>148.61000000000001</v>
      </c>
      <c r="D1125" s="18">
        <v>52.95</v>
      </c>
      <c r="E1125" s="18">
        <v>48.03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0.53537190082644637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0.10832025117739419</v>
      </c>
      <c r="R1125" s="19">
        <f ca="1">IF('Stock Price'!$I$11="OK",E1125/INDEX(E$5:E$1258,'Stock Price'!$I$9)-1,"")</f>
        <v>2.8479657387580293E-2</v>
      </c>
      <c r="S1125" s="19">
        <f ca="1">IF('Stock Price'!$I$11="OK",F1125/INDEX(F$5:F$1258,'Stock Price'!$I$9)-1,"")</f>
        <v>-6.5811258278145712E-2</v>
      </c>
      <c r="T1125" s="19">
        <f ca="1">IF('Stock Price'!$I$11="OK",G1125/INDEX(G$5:G$1258,'Stock Price'!$I$9)-1,"")</f>
        <v>-0.18249756308892007</v>
      </c>
      <c r="U1125" s="19">
        <f ca="1">IF('Stock Price'!$I$11="OK",H1125/INDEX(H$5:H$1258,'Stock Price'!$I$9)-1,"")</f>
        <v>0.42610294117647074</v>
      </c>
      <c r="V1125" s="19">
        <f ca="1">IF('Stock Price'!$I$11="OK",I1125/INDEX(I$5:I$1258,'Stock Price'!$I$9)-1,"")</f>
        <v>-0.36294896030245749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187.14</v>
      </c>
      <c r="C1126" s="18">
        <v>150.75</v>
      </c>
      <c r="D1126" s="18">
        <v>54.7</v>
      </c>
      <c r="E1126" s="18">
        <v>48.95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0.54661157024793372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0.14495028780743069</v>
      </c>
      <c r="R1126" s="19">
        <f ca="1">IF('Stock Price'!$I$11="OK",E1126/INDEX(E$5:E$1258,'Stock Price'!$I$9)-1,"")</f>
        <v>4.8179871520342532E-2</v>
      </c>
      <c r="S1126" s="19">
        <f ca="1">IF('Stock Price'!$I$11="OK",F1126/INDEX(F$5:F$1258,'Stock Price'!$I$9)-1,"")</f>
        <v>-4.739238410596025E-2</v>
      </c>
      <c r="T1126" s="19">
        <f ca="1">IF('Stock Price'!$I$11="OK",G1126/INDEX(G$5:G$1258,'Stock Price'!$I$9)-1,"")</f>
        <v>-0.17404960467886921</v>
      </c>
      <c r="U1126" s="19">
        <f ca="1">IF('Stock Price'!$I$11="OK",H1126/INDEX(H$5:H$1258,'Stock Price'!$I$9)-1,"")</f>
        <v>0.46286764705882377</v>
      </c>
      <c r="V1126" s="19">
        <f ca="1">IF('Stock Price'!$I$11="OK",I1126/INDEX(I$5:I$1258,'Stock Price'!$I$9)-1,"")</f>
        <v>-0.35538752362948955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183.4</v>
      </c>
      <c r="C1127" s="18">
        <v>149.69999999999999</v>
      </c>
      <c r="D1127" s="18">
        <v>53.94</v>
      </c>
      <c r="E1127" s="18">
        <v>48.72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0.51570247933884295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0.12904238618524322</v>
      </c>
      <c r="R1127" s="19">
        <f ca="1">IF('Stock Price'!$I$11="OK",E1127/INDEX(E$5:E$1258,'Stock Price'!$I$9)-1,"")</f>
        <v>4.3254817987151917E-2</v>
      </c>
      <c r="S1127" s="19">
        <f ca="1">IF('Stock Price'!$I$11="OK",F1127/INDEX(F$5:F$1258,'Stock Price'!$I$9)-1,"")</f>
        <v>-3.5182119205298124E-2</v>
      </c>
      <c r="T1127" s="19">
        <f ca="1">IF('Stock Price'!$I$11="OK",G1127/INDEX(G$5:G$1258,'Stock Price'!$I$9)-1,"")</f>
        <v>-0.17090869706487599</v>
      </c>
      <c r="U1127" s="19">
        <f ca="1">IF('Stock Price'!$I$11="OK",H1127/INDEX(H$5:H$1258,'Stock Price'!$I$9)-1,"")</f>
        <v>0.45747549019607869</v>
      </c>
      <c r="V1127" s="19">
        <f ca="1">IF('Stock Price'!$I$11="OK",I1127/INDEX(I$5:I$1258,'Stock Price'!$I$9)-1,"")</f>
        <v>-0.34853497164461245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188.42</v>
      </c>
      <c r="C1128" s="18">
        <v>148.18</v>
      </c>
      <c r="D1128" s="18">
        <v>53.84</v>
      </c>
      <c r="E1128" s="18">
        <v>48.31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0.5571900826446281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0.12694924123495555</v>
      </c>
      <c r="R1128" s="19">
        <f ca="1">IF('Stock Price'!$I$11="OK",E1128/INDEX(E$5:E$1258,'Stock Price'!$I$9)-1,"")</f>
        <v>3.4475374732334085E-2</v>
      </c>
      <c r="S1128" s="19">
        <f ca="1">IF('Stock Price'!$I$11="OK",F1128/INDEX(F$5:F$1258,'Stock Price'!$I$9)-1,"")</f>
        <v>-3.18708609271523E-2</v>
      </c>
      <c r="T1128" s="19">
        <f ca="1">IF('Stock Price'!$I$11="OK",G1128/INDEX(G$5:G$1258,'Stock Price'!$I$9)-1,"")</f>
        <v>-0.17123361854218566</v>
      </c>
      <c r="U1128" s="19">
        <f ca="1">IF('Stock Price'!$I$11="OK",H1128/INDEX(H$5:H$1258,'Stock Price'!$I$9)-1,"")</f>
        <v>0.46605392156862746</v>
      </c>
      <c r="V1128" s="19">
        <f ca="1">IF('Stock Price'!$I$11="OK",I1128/INDEX(I$5:I$1258,'Stock Price'!$I$9)-1,"")</f>
        <v>-0.36105860113421551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193.88</v>
      </c>
      <c r="C1129" s="18">
        <v>150.36000000000001</v>
      </c>
      <c r="D1129" s="18">
        <v>54.23</v>
      </c>
      <c r="E1129" s="18">
        <v>48.84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0.60231404958677692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0.13511250654107787</v>
      </c>
      <c r="R1129" s="19">
        <f ca="1">IF('Stock Price'!$I$11="OK",E1129/INDEX(E$5:E$1258,'Stock Price'!$I$9)-1,"")</f>
        <v>4.5824411134903542E-2</v>
      </c>
      <c r="S1129" s="19">
        <f ca="1">IF('Stock Price'!$I$11="OK",F1129/INDEX(F$5:F$1258,'Stock Price'!$I$9)-1,"")</f>
        <v>-3.3112582781457012E-2</v>
      </c>
      <c r="T1129" s="19">
        <f ca="1">IF('Stock Price'!$I$11="OK",G1129/INDEX(G$5:G$1258,'Stock Price'!$I$9)-1,"")</f>
        <v>-0.15379616592656775</v>
      </c>
      <c r="U1129" s="19">
        <f ca="1">IF('Stock Price'!$I$11="OK",H1129/INDEX(H$5:H$1258,'Stock Price'!$I$9)-1,"")</f>
        <v>0.44730392156862742</v>
      </c>
      <c r="V1129" s="19">
        <f ca="1">IF('Stock Price'!$I$11="OK",I1129/INDEX(I$5:I$1258,'Stock Price'!$I$9)-1,"")</f>
        <v>-0.3438090737240076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197.22</v>
      </c>
      <c r="C1130" s="18">
        <v>152.75</v>
      </c>
      <c r="D1130" s="18">
        <v>55.19</v>
      </c>
      <c r="E1130" s="18">
        <v>49.71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0.62991735537190086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0.15520669806384091</v>
      </c>
      <c r="R1130" s="19">
        <f ca="1">IF('Stock Price'!$I$11="OK",E1130/INDEX(E$5:E$1258,'Stock Price'!$I$9)-1,"")</f>
        <v>6.4453961456102826E-2</v>
      </c>
      <c r="S1130" s="19">
        <f ca="1">IF('Stock Price'!$I$11="OK",F1130/INDEX(F$5:F$1258,'Stock Price'!$I$9)-1,"")</f>
        <v>-2.8973509933775121E-3</v>
      </c>
      <c r="T1130" s="19">
        <f ca="1">IF('Stock Price'!$I$11="OK",G1130/INDEX(G$5:G$1258,'Stock Price'!$I$9)-1,"")</f>
        <v>-0.14686450774396187</v>
      </c>
      <c r="U1130" s="19">
        <f ca="1">IF('Stock Price'!$I$11="OK",H1130/INDEX(H$5:H$1258,'Stock Price'!$I$9)-1,"")</f>
        <v>0.4741421568627453</v>
      </c>
      <c r="V1130" s="19">
        <f ca="1">IF('Stock Price'!$I$11="OK",I1130/INDEX(I$5:I$1258,'Stock Price'!$I$9)-1,"")</f>
        <v>-0.33648393194706994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200.73</v>
      </c>
      <c r="C1131" s="18">
        <v>155.08000000000001</v>
      </c>
      <c r="D1131" s="18">
        <v>55.99</v>
      </c>
      <c r="E1131" s="18">
        <v>50.4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0.65892561983471065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0.1719518576661434</v>
      </c>
      <c r="R1131" s="19">
        <f ca="1">IF('Stock Price'!$I$11="OK",E1131/INDEX(E$5:E$1258,'Stock Price'!$I$9)-1,"")</f>
        <v>7.922912205567445E-2</v>
      </c>
      <c r="S1131" s="19">
        <f ca="1">IF('Stock Price'!$I$11="OK",F1131/INDEX(F$5:F$1258,'Stock Price'!$I$9)-1,"")</f>
        <v>-1.2210264900662349E-2</v>
      </c>
      <c r="T1131" s="19">
        <f ca="1">IF('Stock Price'!$I$11="OK",G1131/INDEX(G$5:G$1258,'Stock Price'!$I$9)-1,"")</f>
        <v>-0.13094335535578905</v>
      </c>
      <c r="U1131" s="19">
        <f ca="1">IF('Stock Price'!$I$11="OK",H1131/INDEX(H$5:H$1258,'Stock Price'!$I$9)-1,"")</f>
        <v>0.48088235294117654</v>
      </c>
      <c r="V1131" s="19">
        <f ca="1">IF('Stock Price'!$I$11="OK",I1131/INDEX(I$5:I$1258,'Stock Price'!$I$9)-1,"")</f>
        <v>-0.32537807183364842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203.49</v>
      </c>
      <c r="C1132" s="18">
        <v>154.03</v>
      </c>
      <c r="D1132" s="18">
        <v>56.69</v>
      </c>
      <c r="E1132" s="18">
        <v>49.85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0.68173553719008262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0.186603872318158</v>
      </c>
      <c r="R1132" s="19">
        <f ca="1">IF('Stock Price'!$I$11="OK",E1132/INDEX(E$5:E$1258,'Stock Price'!$I$9)-1,"")</f>
        <v>6.7451820128479723E-2</v>
      </c>
      <c r="S1132" s="19">
        <f ca="1">IF('Stock Price'!$I$11="OK",F1132/INDEX(F$5:F$1258,'Stock Price'!$I$9)-1,"")</f>
        <v>-8.8990066225165254E-3</v>
      </c>
      <c r="T1132" s="19">
        <f ca="1">IF('Stock Price'!$I$11="OK",G1132/INDEX(G$5:G$1258,'Stock Price'!$I$9)-1,"")</f>
        <v>-0.1401494638795624</v>
      </c>
      <c r="U1132" s="19">
        <f ca="1">IF('Stock Price'!$I$11="OK",H1132/INDEX(H$5:H$1258,'Stock Price'!$I$9)-1,"")</f>
        <v>0.48125000000000018</v>
      </c>
      <c r="V1132" s="19">
        <f ca="1">IF('Stock Price'!$I$11="OK",I1132/INDEX(I$5:I$1258,'Stock Price'!$I$9)-1,"")</f>
        <v>-0.3308128544423441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202.83</v>
      </c>
      <c r="C1133" s="18">
        <v>152.84</v>
      </c>
      <c r="D1133" s="18">
        <v>56.37</v>
      </c>
      <c r="E1133" s="18">
        <v>49.98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0.67628099173553724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0.17990580847723714</v>
      </c>
      <c r="R1133" s="19">
        <f ca="1">IF('Stock Price'!$I$11="OK",E1133/INDEX(E$5:E$1258,'Stock Price'!$I$9)-1,"")</f>
        <v>7.0235546038543761E-2</v>
      </c>
      <c r="S1133" s="19">
        <f ca="1">IF('Stock Price'!$I$11="OK",F1133/INDEX(F$5:F$1258,'Stock Price'!$I$9)-1,"")</f>
        <v>-1.490066225165565E-2</v>
      </c>
      <c r="T1133" s="19">
        <f ca="1">IF('Stock Price'!$I$11="OK",G1133/INDEX(G$5:G$1258,'Stock Price'!$I$9)-1,"")</f>
        <v>-0.1401494638795624</v>
      </c>
      <c r="U1133" s="19">
        <f ca="1">IF('Stock Price'!$I$11="OK",H1133/INDEX(H$5:H$1258,'Stock Price'!$I$9)-1,"")</f>
        <v>0.48100490196078427</v>
      </c>
      <c r="V1133" s="19">
        <f ca="1">IF('Stock Price'!$I$11="OK",I1133/INDEX(I$5:I$1258,'Stock Price'!$I$9)-1,"")</f>
        <v>-0.34239130434782616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200.81</v>
      </c>
      <c r="C1134" s="18">
        <v>151.22</v>
      </c>
      <c r="D1134" s="18">
        <v>55.84</v>
      </c>
      <c r="E1134" s="18">
        <v>49.35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0.65958677685950406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0.16881214024071167</v>
      </c>
      <c r="R1134" s="19">
        <f ca="1">IF('Stock Price'!$I$11="OK",E1134/INDEX(E$5:E$1258,'Stock Price'!$I$9)-1,"")</f>
        <v>5.674518201284795E-2</v>
      </c>
      <c r="S1134" s="19">
        <f ca="1">IF('Stock Price'!$I$11="OK",F1134/INDEX(F$5:F$1258,'Stock Price'!$I$9)-1,"")</f>
        <v>-3.08360927152318E-2</v>
      </c>
      <c r="T1134" s="19">
        <f ca="1">IF('Stock Price'!$I$11="OK",G1134/INDEX(G$5:G$1258,'Stock Price'!$I$9)-1,"")</f>
        <v>-0.14935557240333575</v>
      </c>
      <c r="U1134" s="19">
        <f ca="1">IF('Stock Price'!$I$11="OK",H1134/INDEX(H$5:H$1258,'Stock Price'!$I$9)-1,"")</f>
        <v>0.46176470588235308</v>
      </c>
      <c r="V1134" s="19">
        <f ca="1">IF('Stock Price'!$I$11="OK",I1134/INDEX(I$5:I$1258,'Stock Price'!$I$9)-1,"")</f>
        <v>-0.35964083175803396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204.27</v>
      </c>
      <c r="C1135" s="18">
        <v>154.41999999999999</v>
      </c>
      <c r="D1135" s="18">
        <v>57.37</v>
      </c>
      <c r="E1135" s="18">
        <v>50.08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0.68818181818181823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0.2008372579801152</v>
      </c>
      <c r="R1135" s="19">
        <f ca="1">IF('Stock Price'!$I$11="OK",E1135/INDEX(E$5:E$1258,'Stock Price'!$I$9)-1,"")</f>
        <v>7.2376873661670116E-2</v>
      </c>
      <c r="S1135" s="19">
        <f ca="1">IF('Stock Price'!$I$11="OK",F1135/INDEX(F$5:F$1258,'Stock Price'!$I$9)-1,"")</f>
        <v>-2.4420529801324475E-2</v>
      </c>
      <c r="T1135" s="19">
        <f ca="1">IF('Stock Price'!$I$11="OK",G1135/INDEX(G$5:G$1258,'Stock Price'!$I$9)-1,"")</f>
        <v>-0.12314523990035742</v>
      </c>
      <c r="U1135" s="19">
        <f ca="1">IF('Stock Price'!$I$11="OK",H1135/INDEX(H$5:H$1258,'Stock Price'!$I$9)-1,"")</f>
        <v>0.50955882352941195</v>
      </c>
      <c r="V1135" s="19">
        <f ca="1">IF('Stock Price'!$I$11="OK",I1135/INDEX(I$5:I$1258,'Stock Price'!$I$9)-1,"")</f>
        <v>-0.35089792060491498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204.99</v>
      </c>
      <c r="C1136" s="18">
        <v>155.06</v>
      </c>
      <c r="D1136" s="18">
        <v>58.36</v>
      </c>
      <c r="E1136" s="18">
        <v>50.31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0.69413223140495872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0.22155939298796445</v>
      </c>
      <c r="R1136" s="19">
        <f ca="1">IF('Stock Price'!$I$11="OK",E1136/INDEX(E$5:E$1258,'Stock Price'!$I$9)-1,"")</f>
        <v>7.7301927194860731E-2</v>
      </c>
      <c r="S1136" s="19">
        <f ca="1">IF('Stock Price'!$I$11="OK",F1136/INDEX(F$5:F$1258,'Stock Price'!$I$9)-1,"")</f>
        <v>-2.5662251655629187E-2</v>
      </c>
      <c r="T1136" s="19">
        <f ca="1">IF('Stock Price'!$I$11="OK",G1136/INDEX(G$5:G$1258,'Stock Price'!$I$9)-1,"")</f>
        <v>-0.12379508285497665</v>
      </c>
      <c r="U1136" s="19">
        <f ca="1">IF('Stock Price'!$I$11="OK",H1136/INDEX(H$5:H$1258,'Stock Price'!$I$9)-1,"")</f>
        <v>0.50343137254901982</v>
      </c>
      <c r="V1136" s="19">
        <f ca="1">IF('Stock Price'!$I$11="OK",I1136/INDEX(I$5:I$1258,'Stock Price'!$I$9)-1,"")</f>
        <v>-0.3568052930056711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204.03</v>
      </c>
      <c r="C1137" s="18">
        <v>154.05000000000001</v>
      </c>
      <c r="D1137" s="18">
        <v>58.21</v>
      </c>
      <c r="E1137" s="18">
        <v>50.04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0.68619834710743799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0.21841967556253272</v>
      </c>
      <c r="R1137" s="19">
        <f ca="1">IF('Stock Price'!$I$11="OK",E1137/INDEX(E$5:E$1258,'Stock Price'!$I$9)-1,"")</f>
        <v>7.1520342612419574E-2</v>
      </c>
      <c r="S1137" s="19">
        <f ca="1">IF('Stock Price'!$I$11="OK",F1137/INDEX(F$5:F$1258,'Stock Price'!$I$9)-1,"")</f>
        <v>-3.2284768211920611E-2</v>
      </c>
      <c r="T1137" s="19">
        <f ca="1">IF('Stock Price'!$I$11="OK",G1137/INDEX(G$5:G$1258,'Stock Price'!$I$9)-1,"")</f>
        <v>-0.13094335535578905</v>
      </c>
      <c r="U1137" s="19">
        <f ca="1">IF('Stock Price'!$I$11="OK",H1137/INDEX(H$5:H$1258,'Stock Price'!$I$9)-1,"")</f>
        <v>0.48799019607843142</v>
      </c>
      <c r="V1137" s="19">
        <f ca="1">IF('Stock Price'!$I$11="OK",I1137/INDEX(I$5:I$1258,'Stock Price'!$I$9)-1,"")</f>
        <v>-0.36389413988657837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202.24</v>
      </c>
      <c r="C1138" s="18">
        <v>154.47</v>
      </c>
      <c r="D1138" s="18">
        <v>58.94</v>
      </c>
      <c r="E1138" s="18">
        <v>50.69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0.67140495867768601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0.23369963369963376</v>
      </c>
      <c r="R1138" s="19">
        <f ca="1">IF('Stock Price'!$I$11="OK",E1138/INDEX(E$5:E$1258,'Stock Price'!$I$9)-1,"")</f>
        <v>8.5438972162740878E-2</v>
      </c>
      <c r="S1138" s="19">
        <f ca="1">IF('Stock Price'!$I$11="OK",F1138/INDEX(F$5:F$1258,'Stock Price'!$I$9)-1,"")</f>
        <v>-2.8145695364238388E-2</v>
      </c>
      <c r="T1138" s="19">
        <f ca="1">IF('Stock Price'!$I$11="OK",G1138/INDEX(G$5:G$1258,'Stock Price'!$I$9)-1,"")</f>
        <v>-0.11643019603595794</v>
      </c>
      <c r="U1138" s="19">
        <f ca="1">IF('Stock Price'!$I$11="OK",H1138/INDEX(H$5:H$1258,'Stock Price'!$I$9)-1,"")</f>
        <v>0.4724264705882355</v>
      </c>
      <c r="V1138" s="19">
        <f ca="1">IF('Stock Price'!$I$11="OK",I1138/INDEX(I$5:I$1258,'Stock Price'!$I$9)-1,"")</f>
        <v>-0.35396975425330812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204.38</v>
      </c>
      <c r="C1139" s="18">
        <v>153.38</v>
      </c>
      <c r="D1139" s="18">
        <v>59.18</v>
      </c>
      <c r="E1139" s="18">
        <v>51.03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0.68909090909090898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0.23872318158032457</v>
      </c>
      <c r="R1139" s="19">
        <f ca="1">IF('Stock Price'!$I$11="OK",E1139/INDEX(E$5:E$1258,'Stock Price'!$I$9)-1,"")</f>
        <v>9.2719486081370484E-2</v>
      </c>
      <c r="S1139" s="19">
        <f ca="1">IF('Stock Price'!$I$11="OK",F1139/INDEX(F$5:F$1258,'Stock Price'!$I$9)-1,"")</f>
        <v>-1.4072847682119249E-2</v>
      </c>
      <c r="T1139" s="19">
        <f ca="1">IF('Stock Price'!$I$11="OK",G1139/INDEX(G$5:G$1258,'Stock Price'!$I$9)-1,"")</f>
        <v>-0.12032925376367376</v>
      </c>
      <c r="U1139" s="19">
        <f ca="1">IF('Stock Price'!$I$11="OK",H1139/INDEX(H$5:H$1258,'Stock Price'!$I$9)-1,"")</f>
        <v>0.47009803921568638</v>
      </c>
      <c r="V1139" s="19">
        <f ca="1">IF('Stock Price'!$I$11="OK",I1139/INDEX(I$5:I$1258,'Stock Price'!$I$9)-1,"")</f>
        <v>-0.3594045368620038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201.21</v>
      </c>
      <c r="C1140" s="18">
        <v>152.08000000000001</v>
      </c>
      <c r="D1140" s="18">
        <v>57.81</v>
      </c>
      <c r="E1140" s="18">
        <v>50.99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0.66289256198347113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0.21004709576138159</v>
      </c>
      <c r="R1140" s="19">
        <f ca="1">IF('Stock Price'!$I$11="OK",E1140/INDEX(E$5:E$1258,'Stock Price'!$I$9)-1,"")</f>
        <v>9.1862955032119942E-2</v>
      </c>
      <c r="S1140" s="19">
        <f ca="1">IF('Stock Price'!$I$11="OK",F1140/INDEX(F$5:F$1258,'Stock Price'!$I$9)-1,"")</f>
        <v>-6.2086092715231134E-3</v>
      </c>
      <c r="T1140" s="19">
        <f ca="1">IF('Stock Price'!$I$11="OK",G1140/INDEX(G$5:G$1258,'Stock Price'!$I$9)-1,"")</f>
        <v>-0.1175132676269901</v>
      </c>
      <c r="U1140" s="19">
        <f ca="1">IF('Stock Price'!$I$11="OK",H1140/INDEX(H$5:H$1258,'Stock Price'!$I$9)-1,"")</f>
        <v>0.44485294117647078</v>
      </c>
      <c r="V1140" s="19">
        <f ca="1">IF('Stock Price'!$I$11="OK",I1140/INDEX(I$5:I$1258,'Stock Price'!$I$9)-1,"")</f>
        <v>-0.35751417769376181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200.47</v>
      </c>
      <c r="C1141" s="18">
        <v>149.72999999999999</v>
      </c>
      <c r="D1141" s="18">
        <v>57.13</v>
      </c>
      <c r="E1141" s="18">
        <v>49.93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0.65677685950413212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0.19581371009942439</v>
      </c>
      <c r="R1141" s="19">
        <f ca="1">IF('Stock Price'!$I$11="OK",E1141/INDEX(E$5:E$1258,'Stock Price'!$I$9)-1,"")</f>
        <v>6.9164882226980584E-2</v>
      </c>
      <c r="S1141" s="19">
        <f ca="1">IF('Stock Price'!$I$11="OK",F1141/INDEX(F$5:F$1258,'Stock Price'!$I$9)-1,"")</f>
        <v>-1.2417218543046338E-2</v>
      </c>
      <c r="T1141" s="19">
        <f ca="1">IF('Stock Price'!$I$11="OK",G1141/INDEX(G$5:G$1258,'Stock Price'!$I$9)-1,"")</f>
        <v>-0.11859633921802237</v>
      </c>
      <c r="U1141" s="19">
        <f ca="1">IF('Stock Price'!$I$11="OK",H1141/INDEX(H$5:H$1258,'Stock Price'!$I$9)-1,"")</f>
        <v>0.41495098039215694</v>
      </c>
      <c r="V1141" s="19">
        <f ca="1">IF('Stock Price'!$I$11="OK",I1141/INDEX(I$5:I$1258,'Stock Price'!$I$9)-1,"")</f>
        <v>-0.3568052930056711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204.8</v>
      </c>
      <c r="C1142" s="18">
        <v>151.97</v>
      </c>
      <c r="D1142" s="18">
        <v>58.35</v>
      </c>
      <c r="E1142" s="18">
        <v>51.27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0.69256198347107456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0.22135007849293564</v>
      </c>
      <c r="R1142" s="19">
        <f ca="1">IF('Stock Price'!$I$11="OK",E1142/INDEX(E$5:E$1258,'Stock Price'!$I$9)-1,"")</f>
        <v>9.7858672376873734E-2</v>
      </c>
      <c r="S1142" s="19">
        <f ca="1">IF('Stock Price'!$I$11="OK",F1142/INDEX(F$5:F$1258,'Stock Price'!$I$9)-1,"")</f>
        <v>-5.3807947019867131E-3</v>
      </c>
      <c r="T1142" s="19">
        <f ca="1">IF('Stock Price'!$I$11="OK",G1142/INDEX(G$5:G$1258,'Stock Price'!$I$9)-1,"")</f>
        <v>-0.10971515217155847</v>
      </c>
      <c r="U1142" s="19">
        <f ca="1">IF('Stock Price'!$I$11="OK",H1142/INDEX(H$5:H$1258,'Stock Price'!$I$9)-1,"")</f>
        <v>0.45919117647058827</v>
      </c>
      <c r="V1142" s="19">
        <f ca="1">IF('Stock Price'!$I$11="OK",I1142/INDEX(I$5:I$1258,'Stock Price'!$I$9)-1,"")</f>
        <v>-0.34877126654064272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200.69</v>
      </c>
      <c r="C1143" s="18">
        <v>150.99</v>
      </c>
      <c r="D1143" s="18">
        <v>57.35</v>
      </c>
      <c r="E1143" s="18">
        <v>51.33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0.65859504132231406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0.20041862899005758</v>
      </c>
      <c r="R1143" s="19">
        <f ca="1">IF('Stock Price'!$I$11="OK",E1143/INDEX(E$5:E$1258,'Stock Price'!$I$9)-1,"")</f>
        <v>9.9143468950749325E-2</v>
      </c>
      <c r="S1143" s="19">
        <f ca="1">IF('Stock Price'!$I$11="OK",F1143/INDEX(F$5:F$1258,'Stock Price'!$I$9)-1,"")</f>
        <v>-6.8294701986754136E-3</v>
      </c>
      <c r="T1143" s="19">
        <f ca="1">IF('Stock Price'!$I$11="OK",G1143/INDEX(G$5:G$1258,'Stock Price'!$I$9)-1,"")</f>
        <v>-0.10408317989819127</v>
      </c>
      <c r="U1143" s="19">
        <f ca="1">IF('Stock Price'!$I$11="OK",H1143/INDEX(H$5:H$1258,'Stock Price'!$I$9)-1,"")</f>
        <v>0.43504901960784315</v>
      </c>
      <c r="V1143" s="19">
        <f ca="1">IF('Stock Price'!$I$11="OK",I1143/INDEX(I$5:I$1258,'Stock Price'!$I$9)-1,"")</f>
        <v>-0.34971644612476371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195.78</v>
      </c>
      <c r="C1144" s="18">
        <v>147.97</v>
      </c>
      <c r="D1144" s="18">
        <v>56.12</v>
      </c>
      <c r="E1144" s="18">
        <v>49.93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0.61801652892561987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0.17467294610151751</v>
      </c>
      <c r="R1144" s="19">
        <f ca="1">IF('Stock Price'!$I$11="OK",E1144/INDEX(E$5:E$1258,'Stock Price'!$I$9)-1,"")</f>
        <v>6.9164882226980584E-2</v>
      </c>
      <c r="S1144" s="19">
        <f ca="1">IF('Stock Price'!$I$11="OK",F1144/INDEX(F$5:F$1258,'Stock Price'!$I$9)-1,"")</f>
        <v>-2.4627483443708575E-2</v>
      </c>
      <c r="T1144" s="19">
        <f ca="1">IF('Stock Price'!$I$11="OK",G1144/INDEX(G$5:G$1258,'Stock Price'!$I$9)-1,"")</f>
        <v>-0.13419257012888552</v>
      </c>
      <c r="U1144" s="19">
        <f ca="1">IF('Stock Price'!$I$11="OK",H1144/INDEX(H$5:H$1258,'Stock Price'!$I$9)-1,"")</f>
        <v>0.37941176470588256</v>
      </c>
      <c r="V1144" s="19">
        <f ca="1">IF('Stock Price'!$I$11="OK",I1144/INDEX(I$5:I$1258,'Stock Price'!$I$9)-1,"")</f>
        <v>-0.35467863894139895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194.81</v>
      </c>
      <c r="C1145" s="18">
        <v>147.32</v>
      </c>
      <c r="D1145" s="18">
        <v>55.7</v>
      </c>
      <c r="E1145" s="18">
        <v>51.2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0.6100000000000001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0.16588173731030875</v>
      </c>
      <c r="R1145" s="19">
        <f ca="1">IF('Stock Price'!$I$11="OK",E1145/INDEX(E$5:E$1258,'Stock Price'!$I$9)-1,"")</f>
        <v>9.6359743040685286E-2</v>
      </c>
      <c r="S1145" s="19">
        <f ca="1">IF('Stock Price'!$I$11="OK",F1145/INDEX(F$5:F$1258,'Stock Price'!$I$9)-1,"")</f>
        <v>-2.9387417218543099E-2</v>
      </c>
      <c r="T1145" s="19">
        <f ca="1">IF('Stock Price'!$I$11="OK",G1145/INDEX(G$5:G$1258,'Stock Price'!$I$9)-1,"")</f>
        <v>-0.1283439835373118</v>
      </c>
      <c r="U1145" s="19">
        <f ca="1">IF('Stock Price'!$I$11="OK",H1145/INDEX(H$5:H$1258,'Stock Price'!$I$9)-1,"")</f>
        <v>0.38345588235294126</v>
      </c>
      <c r="V1145" s="19">
        <f ca="1">IF('Stock Price'!$I$11="OK",I1145/INDEX(I$5:I$1258,'Stock Price'!$I$9)-1,"")</f>
        <v>-0.36672967863894135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192.3</v>
      </c>
      <c r="C1146" s="18">
        <v>147.47999999999999</v>
      </c>
      <c r="D1146" s="18">
        <v>55.63</v>
      </c>
      <c r="E1146" s="18">
        <v>51.86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0.58925619834710763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0.16441653584510729</v>
      </c>
      <c r="R1146" s="19">
        <f ca="1">IF('Stock Price'!$I$11="OK",E1146/INDEX(E$5:E$1258,'Stock Price'!$I$9)-1,"")</f>
        <v>0.110492505353319</v>
      </c>
      <c r="S1146" s="19">
        <f ca="1">IF('Stock Price'!$I$11="OK",F1146/INDEX(F$5:F$1258,'Stock Price'!$I$9)-1,"")</f>
        <v>-1.634933774834435E-2</v>
      </c>
      <c r="T1146" s="19">
        <f ca="1">IF('Stock Price'!$I$11="OK",G1146/INDEX(G$5:G$1258,'Stock Price'!$I$9)-1,"")</f>
        <v>-0.13267626990144044</v>
      </c>
      <c r="U1146" s="19">
        <f ca="1">IF('Stock Price'!$I$11="OK",H1146/INDEX(H$5:H$1258,'Stock Price'!$I$9)-1,"")</f>
        <v>0.40465686274509816</v>
      </c>
      <c r="V1146" s="19">
        <f ca="1">IF('Stock Price'!$I$11="OK",I1146/INDEX(I$5:I$1258,'Stock Price'!$I$9)-1,"")</f>
        <v>-0.3698015122873346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189.75</v>
      </c>
      <c r="C1147" s="18">
        <v>145.47</v>
      </c>
      <c r="D1147" s="18">
        <v>54.44</v>
      </c>
      <c r="E1147" s="18">
        <v>51.64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0.56818181818181812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0.13950811093668225</v>
      </c>
      <c r="R1147" s="19">
        <f ca="1">IF('Stock Price'!$I$11="OK",E1147/INDEX(E$5:E$1258,'Stock Price'!$I$9)-1,"")</f>
        <v>0.10578158458244102</v>
      </c>
      <c r="S1147" s="19">
        <f ca="1">IF('Stock Price'!$I$11="OK",F1147/INDEX(F$5:F$1258,'Stock Price'!$I$9)-1,"")</f>
        <v>-3.18708609271523E-2</v>
      </c>
      <c r="T1147" s="19">
        <f ca="1">IF('Stock Price'!$I$11="OK",G1147/INDEX(G$5:G$1258,'Stock Price'!$I$9)-1,"")</f>
        <v>-0.16603487490523117</v>
      </c>
      <c r="U1147" s="19">
        <f ca="1">IF('Stock Price'!$I$11="OK",H1147/INDEX(H$5:H$1258,'Stock Price'!$I$9)-1,"")</f>
        <v>0.37132352941176494</v>
      </c>
      <c r="V1147" s="19">
        <f ca="1">IF('Stock Price'!$I$11="OK",I1147/INDEX(I$5:I$1258,'Stock Price'!$I$9)-1,"")</f>
        <v>-0.3620037807183365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187.51</v>
      </c>
      <c r="C1148" s="18">
        <v>144.19</v>
      </c>
      <c r="D1148" s="18">
        <v>54.22</v>
      </c>
      <c r="E1148" s="18">
        <v>51.22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0.54966942148760323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0.13490319204604928</v>
      </c>
      <c r="R1148" s="19">
        <f ca="1">IF('Stock Price'!$I$11="OK",E1148/INDEX(E$5:E$1258,'Stock Price'!$I$9)-1,"")</f>
        <v>9.6788008565310335E-2</v>
      </c>
      <c r="S1148" s="19">
        <f ca="1">IF('Stock Price'!$I$11="OK",F1148/INDEX(F$5:F$1258,'Stock Price'!$I$9)-1,"")</f>
        <v>-5.0082781456953662E-2</v>
      </c>
      <c r="T1148" s="19">
        <f ca="1">IF('Stock Price'!$I$11="OK",G1148/INDEX(G$5:G$1258,'Stock Price'!$I$9)-1,"")</f>
        <v>-0.16863424672370841</v>
      </c>
      <c r="U1148" s="19">
        <f ca="1">IF('Stock Price'!$I$11="OK",H1148/INDEX(H$5:H$1258,'Stock Price'!$I$9)-1,"")</f>
        <v>0.3508578431372551</v>
      </c>
      <c r="V1148" s="19">
        <f ca="1">IF('Stock Price'!$I$11="OK",I1148/INDEX(I$5:I$1258,'Stock Price'!$I$9)-1,"")</f>
        <v>-0.36696597353497162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186.68</v>
      </c>
      <c r="C1149" s="18">
        <v>145.5</v>
      </c>
      <c r="D1149" s="18">
        <v>54.47</v>
      </c>
      <c r="E1149" s="18">
        <v>51.04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0.54280991735537198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0.14013605442176869</v>
      </c>
      <c r="R1149" s="19">
        <f ca="1">IF('Stock Price'!$I$11="OK",E1149/INDEX(E$5:E$1258,'Stock Price'!$I$9)-1,"")</f>
        <v>9.2933618843682897E-2</v>
      </c>
      <c r="S1149" s="19">
        <f ca="1">IF('Stock Price'!$I$11="OK",F1149/INDEX(F$5:F$1258,'Stock Price'!$I$9)-1,"")</f>
        <v>-4.9048013245033051E-2</v>
      </c>
      <c r="T1149" s="19">
        <f ca="1">IF('Stock Price'!$I$11="OK",G1149/INDEX(G$5:G$1258,'Stock Price'!$I$9)-1,"")</f>
        <v>-0.20675836672804071</v>
      </c>
      <c r="U1149" s="19">
        <f ca="1">IF('Stock Price'!$I$11="OK",H1149/INDEX(H$5:H$1258,'Stock Price'!$I$9)-1,"")</f>
        <v>0.34840686274509824</v>
      </c>
      <c r="V1149" s="19">
        <f ca="1">IF('Stock Price'!$I$11="OK",I1149/INDEX(I$5:I$1258,'Stock Price'!$I$9)-1,"")</f>
        <v>-0.37429111531190928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185.2</v>
      </c>
      <c r="C1150" s="18">
        <v>142.94</v>
      </c>
      <c r="D1150" s="18">
        <v>51.4</v>
      </c>
      <c r="E1150" s="18">
        <v>50.43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0.53057851239669418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7.5876504447933035E-2</v>
      </c>
      <c r="R1150" s="19">
        <f ca="1">IF('Stock Price'!$I$11="OK",E1150/INDEX(E$5:E$1258,'Stock Price'!$I$9)-1,"")</f>
        <v>7.9871520342612357E-2</v>
      </c>
      <c r="S1150" s="19">
        <f ca="1">IF('Stock Price'!$I$11="OK",F1150/INDEX(F$5:F$1258,'Stock Price'!$I$9)-1,"")</f>
        <v>-4.739238410596025E-2</v>
      </c>
      <c r="T1150" s="19">
        <f ca="1">IF('Stock Price'!$I$11="OK",G1150/INDEX(G$5:G$1258,'Stock Price'!$I$9)-1,"")</f>
        <v>-0.21044081013755001</v>
      </c>
      <c r="U1150" s="19">
        <f ca="1">IF('Stock Price'!$I$11="OK",H1150/INDEX(H$5:H$1258,'Stock Price'!$I$9)-1,"")</f>
        <v>0.35968137254901977</v>
      </c>
      <c r="V1150" s="19">
        <f ca="1">IF('Stock Price'!$I$11="OK",I1150/INDEX(I$5:I$1258,'Stock Price'!$I$9)-1,"")</f>
        <v>-0.37948960302457468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187.37</v>
      </c>
      <c r="C1151" s="18">
        <v>147.85</v>
      </c>
      <c r="D1151" s="18">
        <v>52.31</v>
      </c>
      <c r="E1151" s="18">
        <v>50.88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0.54851239669421492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9.4924123495552237E-2</v>
      </c>
      <c r="R1151" s="19">
        <f ca="1">IF('Stock Price'!$I$11="OK",E1151/INDEX(E$5:E$1258,'Stock Price'!$I$9)-1,"")</f>
        <v>8.9507494646680952E-2</v>
      </c>
      <c r="S1151" s="19">
        <f ca="1">IF('Stock Price'!$I$11="OK",F1151/INDEX(F$5:F$1258,'Stock Price'!$I$9)-1,"")</f>
        <v>-3.6009933774834524E-2</v>
      </c>
      <c r="T1151" s="19">
        <f ca="1">IF('Stock Price'!$I$11="OK",G1151/INDEX(G$5:G$1258,'Stock Price'!$I$9)-1,"")</f>
        <v>-0.17578251922452082</v>
      </c>
      <c r="U1151" s="19">
        <f ca="1">IF('Stock Price'!$I$11="OK",H1151/INDEX(H$5:H$1258,'Stock Price'!$I$9)-1,"")</f>
        <v>0.3379901960784315</v>
      </c>
      <c r="V1151" s="19">
        <f ca="1">IF('Stock Price'!$I$11="OK",I1151/INDEX(I$5:I$1258,'Stock Price'!$I$9)-1,"")</f>
        <v>-0.36909262759924388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184.74</v>
      </c>
      <c r="C1152" s="18">
        <v>146.57</v>
      </c>
      <c r="D1152" s="18">
        <v>51.61</v>
      </c>
      <c r="E1152" s="18">
        <v>51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0.52677685950413222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8.0272108843537415E-2</v>
      </c>
      <c r="R1152" s="19">
        <f ca="1">IF('Stock Price'!$I$11="OK",E1152/INDEX(E$5:E$1258,'Stock Price'!$I$9)-1,"")</f>
        <v>9.2077087794432577E-2</v>
      </c>
      <c r="S1152" s="19">
        <f ca="1">IF('Stock Price'!$I$11="OK",F1152/INDEX(F$5:F$1258,'Stock Price'!$I$9)-1,"")</f>
        <v>-4.635761589403975E-2</v>
      </c>
      <c r="T1152" s="19">
        <f ca="1">IF('Stock Price'!$I$11="OK",G1152/INDEX(G$5:G$1258,'Stock Price'!$I$9)-1,"")</f>
        <v>-0.17578251922452082</v>
      </c>
      <c r="U1152" s="19">
        <f ca="1">IF('Stock Price'!$I$11="OK",H1152/INDEX(H$5:H$1258,'Stock Price'!$I$9)-1,"")</f>
        <v>0.37450980392156863</v>
      </c>
      <c r="V1152" s="19">
        <f ca="1">IF('Stock Price'!$I$11="OK",I1152/INDEX(I$5:I$1258,'Stock Price'!$I$9)-1,"")</f>
        <v>-0.37783553875236298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183.46</v>
      </c>
      <c r="C1153" s="18">
        <v>144.62</v>
      </c>
      <c r="D1153" s="18">
        <v>50.9</v>
      </c>
      <c r="E1153" s="18">
        <v>50.28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0.51619834710743806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6.5410779696494004E-2</v>
      </c>
      <c r="R1153" s="19">
        <f ca="1">IF('Stock Price'!$I$11="OK",E1153/INDEX(E$5:E$1258,'Stock Price'!$I$9)-1,"")</f>
        <v>7.6659528907922825E-2</v>
      </c>
      <c r="S1153" s="19">
        <f ca="1">IF('Stock Price'!$I$11="OK",F1153/INDEX(F$5:F$1258,'Stock Price'!$I$9)-1,"")</f>
        <v>-0.10285596026490063</v>
      </c>
      <c r="T1153" s="19">
        <f ca="1">IF('Stock Price'!$I$11="OK",G1153/INDEX(G$5:G$1258,'Stock Price'!$I$9)-1,"")</f>
        <v>-0.18986244990793888</v>
      </c>
      <c r="U1153" s="19">
        <f ca="1">IF('Stock Price'!$I$11="OK",H1153/INDEX(H$5:H$1258,'Stock Price'!$I$9)-1,"")</f>
        <v>0.3861519607843138</v>
      </c>
      <c r="V1153" s="19">
        <f ca="1">IF('Stock Price'!$I$11="OK",I1153/INDEX(I$5:I$1258,'Stock Price'!$I$9)-1,"")</f>
        <v>-0.37854442344045369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181.24</v>
      </c>
      <c r="C1154" s="18">
        <v>145.5</v>
      </c>
      <c r="D1154" s="18">
        <v>50.38</v>
      </c>
      <c r="E1154" s="18">
        <v>50.84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0.49785123966942146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5.452642595499757E-2</v>
      </c>
      <c r="R1154" s="19">
        <f ca="1">IF('Stock Price'!$I$11="OK",E1154/INDEX(E$5:E$1258,'Stock Price'!$I$9)-1,"")</f>
        <v>8.865096359743041E-2</v>
      </c>
      <c r="S1154" s="19">
        <f ca="1">IF('Stock Price'!$I$11="OK",F1154/INDEX(F$5:F$1258,'Stock Price'!$I$9)-1,"")</f>
        <v>-0.10264900662251653</v>
      </c>
      <c r="T1154" s="19">
        <f ca="1">IF('Stock Price'!$I$11="OK",G1154/INDEX(G$5:G$1258,'Stock Price'!$I$9)-1,"")</f>
        <v>-0.17903173399761729</v>
      </c>
      <c r="U1154" s="19">
        <f ca="1">IF('Stock Price'!$I$11="OK",H1154/INDEX(H$5:H$1258,'Stock Price'!$I$9)-1,"")</f>
        <v>0.38664215686274517</v>
      </c>
      <c r="V1154" s="19">
        <f ca="1">IF('Stock Price'!$I$11="OK",I1154/INDEX(I$5:I$1258,'Stock Price'!$I$9)-1,"")</f>
        <v>-0.375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184.92</v>
      </c>
      <c r="C1155" s="18">
        <v>148.36000000000001</v>
      </c>
      <c r="D1155" s="18">
        <v>50.53</v>
      </c>
      <c r="E1155" s="18">
        <v>51.63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0.52826446280991735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5.766614338042908E-2</v>
      </c>
      <c r="R1155" s="19">
        <f ca="1">IF('Stock Price'!$I$11="OK",E1155/INDEX(E$5:E$1258,'Stock Price'!$I$9)-1,"")</f>
        <v>0.10556745182012839</v>
      </c>
      <c r="S1155" s="19">
        <f ca="1">IF('Stock Price'!$I$11="OK",F1155/INDEX(F$5:F$1258,'Stock Price'!$I$9)-1,"")</f>
        <v>-9.41639072847682E-2</v>
      </c>
      <c r="T1155" s="19">
        <f ca="1">IF('Stock Price'!$I$11="OK",G1155/INDEX(G$5:G$1258,'Stock Price'!$I$9)-1,"")</f>
        <v>-0.16581826058702487</v>
      </c>
      <c r="U1155" s="19">
        <f ca="1">IF('Stock Price'!$I$11="OK",H1155/INDEX(H$5:H$1258,'Stock Price'!$I$9)-1,"")</f>
        <v>0.39166666666666683</v>
      </c>
      <c r="V1155" s="19">
        <f ca="1">IF('Stock Price'!$I$11="OK",I1155/INDEX(I$5:I$1258,'Stock Price'!$I$9)-1,"")</f>
        <v>-0.37310964083175802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182.52</v>
      </c>
      <c r="C1156" s="18">
        <v>145.38999999999999</v>
      </c>
      <c r="D1156" s="18">
        <v>50.5</v>
      </c>
      <c r="E1156" s="18">
        <v>50.59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0.50842975206611585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5.7038199895342867E-2</v>
      </c>
      <c r="R1156" s="19">
        <f ca="1">IF('Stock Price'!$I$11="OK",E1156/INDEX(E$5:E$1258,'Stock Price'!$I$9)-1,"")</f>
        <v>8.3297644539614524E-2</v>
      </c>
      <c r="S1156" s="19">
        <f ca="1">IF('Stock Price'!$I$11="OK",F1156/INDEX(F$5:F$1258,'Stock Price'!$I$9)-1,"")</f>
        <v>-0.10637417218543044</v>
      </c>
      <c r="T1156" s="19">
        <f ca="1">IF('Stock Price'!$I$11="OK",G1156/INDEX(G$5:G$1258,'Stock Price'!$I$9)-1,"")</f>
        <v>-0.18921260695331965</v>
      </c>
      <c r="U1156" s="19">
        <f ca="1">IF('Stock Price'!$I$11="OK",H1156/INDEX(H$5:H$1258,'Stock Price'!$I$9)-1,"")</f>
        <v>0.37622549019607843</v>
      </c>
      <c r="V1156" s="19">
        <f ca="1">IF('Stock Price'!$I$11="OK",I1156/INDEX(I$5:I$1258,'Stock Price'!$I$9)-1,"")</f>
        <v>-0.37429111531190928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182.85</v>
      </c>
      <c r="C1157" s="18">
        <v>146.03</v>
      </c>
      <c r="D1157" s="18">
        <v>50.41</v>
      </c>
      <c r="E1157" s="18">
        <v>51.09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0.51115702479338831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5.5154369440083784E-2</v>
      </c>
      <c r="R1157" s="19">
        <f ca="1">IF('Stock Price'!$I$11="OK",E1157/INDEX(E$5:E$1258,'Stock Price'!$I$9)-1,"")</f>
        <v>9.4004282655246296E-2</v>
      </c>
      <c r="S1157" s="19">
        <f ca="1">IF('Stock Price'!$I$11="OK",F1157/INDEX(F$5:F$1258,'Stock Price'!$I$9)-1,"")</f>
        <v>-0.10368377483443703</v>
      </c>
      <c r="T1157" s="19">
        <f ca="1">IF('Stock Price'!$I$11="OK",G1157/INDEX(G$5:G$1258,'Stock Price'!$I$9)-1,"")</f>
        <v>-0.19896025127260919</v>
      </c>
      <c r="U1157" s="19">
        <f ca="1">IF('Stock Price'!$I$11="OK",H1157/INDEX(H$5:H$1258,'Stock Price'!$I$9)-1,"")</f>
        <v>0.3649509803921569</v>
      </c>
      <c r="V1157" s="19">
        <f ca="1">IF('Stock Price'!$I$11="OK",I1157/INDEX(I$5:I$1258,'Stock Price'!$I$9)-1,"")</f>
        <v>-0.3931947069943289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181.86</v>
      </c>
      <c r="C1158" s="18">
        <v>145.22999999999999</v>
      </c>
      <c r="D1158" s="18">
        <v>49.81</v>
      </c>
      <c r="E1158" s="18">
        <v>51.41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0.50297520661157047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4.2595499738356857E-2</v>
      </c>
      <c r="R1158" s="19">
        <f ca="1">IF('Stock Price'!$I$11="OK",E1158/INDEX(E$5:E$1258,'Stock Price'!$I$9)-1,"")</f>
        <v>0.10085653104925041</v>
      </c>
      <c r="S1158" s="19">
        <f ca="1">IF('Stock Price'!$I$11="OK",F1158/INDEX(F$5:F$1258,'Stock Price'!$I$9)-1,"")</f>
        <v>-0.12044701986754969</v>
      </c>
      <c r="T1158" s="19">
        <f ca="1">IF('Stock Price'!$I$11="OK",G1158/INDEX(G$5:G$1258,'Stock Price'!$I$9)-1,"")</f>
        <v>-0.19679410809054476</v>
      </c>
      <c r="U1158" s="19">
        <f ca="1">IF('Stock Price'!$I$11="OK",H1158/INDEX(H$5:H$1258,'Stock Price'!$I$9)-1,"")</f>
        <v>0.36372549019607847</v>
      </c>
      <c r="V1158" s="19">
        <f ca="1">IF('Stock Price'!$I$11="OK",I1158/INDEX(I$5:I$1258,'Stock Price'!$I$9)-1,"")</f>
        <v>-0.39012287334593576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184.54</v>
      </c>
      <c r="C1159" s="18">
        <v>148.16</v>
      </c>
      <c r="D1159" s="18">
        <v>50.9</v>
      </c>
      <c r="E1159" s="18">
        <v>51.18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0.5251239669421488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6.5410779696494004E-2</v>
      </c>
      <c r="R1159" s="19">
        <f ca="1">IF('Stock Price'!$I$11="OK",E1159/INDEX(E$5:E$1258,'Stock Price'!$I$9)-1,"")</f>
        <v>9.5931477516059793E-2</v>
      </c>
      <c r="S1159" s="19">
        <f ca="1">IF('Stock Price'!$I$11="OK",F1159/INDEX(F$5:F$1258,'Stock Price'!$I$9)-1,"")</f>
        <v>-0.11299668874172186</v>
      </c>
      <c r="T1159" s="19">
        <f ca="1">IF('Stock Price'!$I$11="OK",G1159/INDEX(G$5:G$1258,'Stock Price'!$I$9)-1,"")</f>
        <v>-0.16733456081446985</v>
      </c>
      <c r="U1159" s="19">
        <f ca="1">IF('Stock Price'!$I$11="OK",H1159/INDEX(H$5:H$1258,'Stock Price'!$I$9)-1,"")</f>
        <v>0.37708333333333344</v>
      </c>
      <c r="V1159" s="19">
        <f ca="1">IF('Stock Price'!$I$11="OK",I1159/INDEX(I$5:I$1258,'Stock Price'!$I$9)-1,"")</f>
        <v>-0.38870510396975422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187.72</v>
      </c>
      <c r="C1160" s="18">
        <v>149.75</v>
      </c>
      <c r="D1160" s="18">
        <v>50.99</v>
      </c>
      <c r="E1160" s="18">
        <v>51.26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0.55140495867768591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6.7294610151753087E-2</v>
      </c>
      <c r="R1160" s="19">
        <f ca="1">IF('Stock Price'!$I$11="OK",E1160/INDEX(E$5:E$1258,'Stock Price'!$I$9)-1,"")</f>
        <v>9.7644539614560877E-2</v>
      </c>
      <c r="S1160" s="19">
        <f ca="1">IF('Stock Price'!$I$11="OK",F1160/INDEX(F$5:F$1258,'Stock Price'!$I$9)-1,"")</f>
        <v>-0.12210264900662249</v>
      </c>
      <c r="T1160" s="19">
        <f ca="1">IF('Stock Price'!$I$11="OK",G1160/INDEX(G$5:G$1258,'Stock Price'!$I$9)-1,"")</f>
        <v>-0.1775154337701722</v>
      </c>
      <c r="U1160" s="19">
        <f ca="1">IF('Stock Price'!$I$11="OK",H1160/INDEX(H$5:H$1258,'Stock Price'!$I$9)-1,"")</f>
        <v>0.39031862745098045</v>
      </c>
      <c r="V1160" s="19">
        <f ca="1">IF('Stock Price'!$I$11="OK",I1160/INDEX(I$5:I$1258,'Stock Price'!$I$9)-1,"")</f>
        <v>-0.38657844990548207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184.96</v>
      </c>
      <c r="C1161" s="18">
        <v>149.77000000000001</v>
      </c>
      <c r="D1161" s="18">
        <v>50.96</v>
      </c>
      <c r="E1161" s="18">
        <v>51.29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0.52859504132231416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6.6666666666666652E-2</v>
      </c>
      <c r="R1161" s="19">
        <f ca="1">IF('Stock Price'!$I$11="OK",E1161/INDEX(E$5:E$1258,'Stock Price'!$I$9)-1,"")</f>
        <v>9.8286937901498783E-2</v>
      </c>
      <c r="S1161" s="19">
        <f ca="1">IF('Stock Price'!$I$11="OK",F1161/INDEX(F$5:F$1258,'Stock Price'!$I$9)-1,"")</f>
        <v>-0.11320364238410596</v>
      </c>
      <c r="T1161" s="19">
        <f ca="1">IF('Stock Price'!$I$11="OK",G1161/INDEX(G$5:G$1258,'Stock Price'!$I$9)-1,"")</f>
        <v>-0.17296653308783705</v>
      </c>
      <c r="U1161" s="19">
        <f ca="1">IF('Stock Price'!$I$11="OK",H1161/INDEX(H$5:H$1258,'Stock Price'!$I$9)-1,"")</f>
        <v>0.38982843137254908</v>
      </c>
      <c r="V1161" s="19">
        <f ca="1">IF('Stock Price'!$I$11="OK",I1161/INDEX(I$5:I$1258,'Stock Price'!$I$9)-1,"")</f>
        <v>-0.39154064272211719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181.58</v>
      </c>
      <c r="C1162" s="18">
        <v>148.08000000000001</v>
      </c>
      <c r="D1162" s="18">
        <v>49.67</v>
      </c>
      <c r="E1162" s="18">
        <v>51.09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0.50066115702479341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3.9665096807953937E-2</v>
      </c>
      <c r="R1162" s="19">
        <f ca="1">IF('Stock Price'!$I$11="OK",E1162/INDEX(E$5:E$1258,'Stock Price'!$I$9)-1,"")</f>
        <v>9.4004282655246296E-2</v>
      </c>
      <c r="S1162" s="19">
        <f ca="1">IF('Stock Price'!$I$11="OK",F1162/INDEX(F$5:F$1258,'Stock Price'!$I$9)-1,"")</f>
        <v>-0.11651490066225167</v>
      </c>
      <c r="T1162" s="19">
        <f ca="1">IF('Stock Price'!$I$11="OK",G1162/INDEX(G$5:G$1258,'Stock Price'!$I$9)-1,"")</f>
        <v>-0.18314740604353941</v>
      </c>
      <c r="U1162" s="19">
        <f ca="1">IF('Stock Price'!$I$11="OK",H1162/INDEX(H$5:H$1258,'Stock Price'!$I$9)-1,"")</f>
        <v>0.3649509803921569</v>
      </c>
      <c r="V1162" s="19">
        <f ca="1">IF('Stock Price'!$I$11="OK",I1162/INDEX(I$5:I$1258,'Stock Price'!$I$9)-1,"")</f>
        <v>-0.40146502835538755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183.92</v>
      </c>
      <c r="C1163" s="18">
        <v>149.15</v>
      </c>
      <c r="D1163" s="18">
        <v>50.26</v>
      </c>
      <c r="E1163" s="18">
        <v>51.1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0.5199999999999998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5.2014652014652052E-2</v>
      </c>
      <c r="R1163" s="19">
        <f ca="1">IF('Stock Price'!$I$11="OK",E1163/INDEX(E$5:E$1258,'Stock Price'!$I$9)-1,"")</f>
        <v>9.4218415417558932E-2</v>
      </c>
      <c r="S1163" s="19">
        <f ca="1">IF('Stock Price'!$I$11="OK",F1163/INDEX(F$5:F$1258,'Stock Price'!$I$9)-1,"")</f>
        <v>-9.8923841059602724E-2</v>
      </c>
      <c r="T1163" s="19">
        <f ca="1">IF('Stock Price'!$I$11="OK",G1163/INDEX(G$5:G$1258,'Stock Price'!$I$9)-1,"")</f>
        <v>-0.18054803422506227</v>
      </c>
      <c r="U1163" s="19">
        <f ca="1">IF('Stock Price'!$I$11="OK",H1163/INDEX(H$5:H$1258,'Stock Price'!$I$9)-1,"")</f>
        <v>0.37941176470588256</v>
      </c>
      <c r="V1163" s="19">
        <f ca="1">IF('Stock Price'!$I$11="OK",I1163/INDEX(I$5:I$1258,'Stock Price'!$I$9)-1,"")</f>
        <v>-0.40146502835538755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184.64</v>
      </c>
      <c r="C1164" s="18">
        <v>150.44</v>
      </c>
      <c r="D1164" s="18">
        <v>51.05</v>
      </c>
      <c r="E1164" s="18">
        <v>51.86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0.52595041322314029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6.8550497121925735E-2</v>
      </c>
      <c r="R1164" s="19">
        <f ca="1">IF('Stock Price'!$I$11="OK",E1164/INDEX(E$5:E$1258,'Stock Price'!$I$9)-1,"")</f>
        <v>0.110492505353319</v>
      </c>
      <c r="S1164" s="19">
        <f ca="1">IF('Stock Price'!$I$11="OK",F1164/INDEX(F$5:F$1258,'Stock Price'!$I$9)-1,"")</f>
        <v>-9.8716887417218624E-2</v>
      </c>
      <c r="T1164" s="19">
        <f ca="1">IF('Stock Price'!$I$11="OK",G1164/INDEX(G$5:G$1258,'Stock Price'!$I$9)-1,"")</f>
        <v>-0.16560164626881824</v>
      </c>
      <c r="U1164" s="19">
        <f ca="1">IF('Stock Price'!$I$11="OK",H1164/INDEX(H$5:H$1258,'Stock Price'!$I$9)-1,"")</f>
        <v>0.40000000000000013</v>
      </c>
      <c r="V1164" s="19">
        <f ca="1">IF('Stock Price'!$I$11="OK",I1164/INDEX(I$5:I$1258,'Stock Price'!$I$9)-1,"")</f>
        <v>-0.39366729678638945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187.46</v>
      </c>
      <c r="C1165" s="18">
        <v>150.44999999999999</v>
      </c>
      <c r="D1165" s="18">
        <v>50.78</v>
      </c>
      <c r="E1165" s="18">
        <v>51.94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0.54925619834710759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6.2899005756148707E-2</v>
      </c>
      <c r="R1165" s="19">
        <f ca="1">IF('Stock Price'!$I$11="OK",E1165/INDEX(E$5:E$1258,'Stock Price'!$I$9)-1,"")</f>
        <v>0.11220556745182009</v>
      </c>
      <c r="S1165" s="19">
        <f ca="1">IF('Stock Price'!$I$11="OK",F1165/INDEX(F$5:F$1258,'Stock Price'!$I$9)-1,"")</f>
        <v>-7.5538079470198638E-2</v>
      </c>
      <c r="T1165" s="19">
        <f ca="1">IF('Stock Price'!$I$11="OK",G1165/INDEX(G$5:G$1258,'Stock Price'!$I$9)-1,"")</f>
        <v>-0.15022202967616161</v>
      </c>
      <c r="U1165" s="19">
        <f ca="1">IF('Stock Price'!$I$11="OK",H1165/INDEX(H$5:H$1258,'Stock Price'!$I$9)-1,"")</f>
        <v>0.38480392156862764</v>
      </c>
      <c r="V1165" s="19">
        <f ca="1">IF('Stock Price'!$I$11="OK",I1165/INDEX(I$5:I$1258,'Stock Price'!$I$9)-1,"")</f>
        <v>-0.3905954631379962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189.75</v>
      </c>
      <c r="C1166" s="18">
        <v>151.76</v>
      </c>
      <c r="D1166" s="18">
        <v>51.53</v>
      </c>
      <c r="E1166" s="18">
        <v>52.71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0.56818181818181812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7.8597592883307144E-2</v>
      </c>
      <c r="R1166" s="19">
        <f ca="1">IF('Stock Price'!$I$11="OK",E1166/INDEX(E$5:E$1258,'Stock Price'!$I$9)-1,"")</f>
        <v>0.12869379014989279</v>
      </c>
      <c r="S1166" s="19">
        <f ca="1">IF('Stock Price'!$I$11="OK",F1166/INDEX(F$5:F$1258,'Stock Price'!$I$9)-1,"")</f>
        <v>-7.0364238410596025E-2</v>
      </c>
      <c r="T1166" s="19">
        <f ca="1">IF('Stock Price'!$I$11="OK",G1166/INDEX(G$5:G$1258,'Stock Price'!$I$9)-1,"")</f>
        <v>-0.15715368785876749</v>
      </c>
      <c r="U1166" s="19">
        <f ca="1">IF('Stock Price'!$I$11="OK",H1166/INDEX(H$5:H$1258,'Stock Price'!$I$9)-1,"")</f>
        <v>0.42009803921568634</v>
      </c>
      <c r="V1166" s="19">
        <f ca="1">IF('Stock Price'!$I$11="OK",I1166/INDEX(I$5:I$1258,'Stock Price'!$I$9)-1,"")</f>
        <v>-0.38681474480151234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187.03</v>
      </c>
      <c r="C1167" s="18">
        <v>152.01</v>
      </c>
      <c r="D1167" s="18">
        <v>51.38</v>
      </c>
      <c r="E1167" s="18">
        <v>53.34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0.54570247933884297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7.5457875457875634E-2</v>
      </c>
      <c r="R1167" s="19">
        <f ca="1">IF('Stock Price'!$I$11="OK",E1167/INDEX(E$5:E$1258,'Stock Price'!$I$9)-1,"")</f>
        <v>0.14218415417558883</v>
      </c>
      <c r="S1167" s="19">
        <f ca="1">IF('Stock Price'!$I$11="OK",F1167/INDEX(F$5:F$1258,'Stock Price'!$I$9)-1,"")</f>
        <v>-8.3402317880794774E-2</v>
      </c>
      <c r="T1167" s="19">
        <f ca="1">IF('Stock Price'!$I$11="OK",G1167/INDEX(G$5:G$1258,'Stock Price'!$I$9)-1,"")</f>
        <v>-0.16581826058702487</v>
      </c>
      <c r="U1167" s="19">
        <f ca="1">IF('Stock Price'!$I$11="OK",H1167/INDEX(H$5:H$1258,'Stock Price'!$I$9)-1,"")</f>
        <v>0.50012254901960795</v>
      </c>
      <c r="V1167" s="19">
        <f ca="1">IF('Stock Price'!$I$11="OK",I1167/INDEX(I$5:I$1258,'Stock Price'!$I$9)-1,"")</f>
        <v>-0.3879962192816635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187.19</v>
      </c>
      <c r="C1168" s="18">
        <v>150.80000000000001</v>
      </c>
      <c r="D1168" s="18">
        <v>51.5</v>
      </c>
      <c r="E1168" s="18">
        <v>52.6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0.5470247933884298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7.796964939822093E-2</v>
      </c>
      <c r="R1168" s="19">
        <f ca="1">IF('Stock Price'!$I$11="OK",E1168/INDEX(E$5:E$1258,'Stock Price'!$I$9)-1,"")</f>
        <v>0.12633832976445403</v>
      </c>
      <c r="S1168" s="19">
        <f ca="1">IF('Stock Price'!$I$11="OK",F1168/INDEX(F$5:F$1258,'Stock Price'!$I$9)-1,"")</f>
        <v>-8.6299668874172175E-2</v>
      </c>
      <c r="T1168" s="19">
        <f ca="1">IF('Stock Price'!$I$11="OK",G1168/INDEX(G$5:G$1258,'Stock Price'!$I$9)-1,"")</f>
        <v>-0.18076464854326868</v>
      </c>
      <c r="U1168" s="19">
        <f ca="1">IF('Stock Price'!$I$11="OK",H1168/INDEX(H$5:H$1258,'Stock Price'!$I$9)-1,"")</f>
        <v>0.46715686274509816</v>
      </c>
      <c r="V1168" s="19">
        <f ca="1">IF('Stock Price'!$I$11="OK",I1168/INDEX(I$5:I$1258,'Stock Price'!$I$9)-1,"")</f>
        <v>-0.38917769376181477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185.65</v>
      </c>
      <c r="C1169" s="18">
        <v>151.12</v>
      </c>
      <c r="D1169" s="18">
        <v>51.58</v>
      </c>
      <c r="E1169" s="18">
        <v>52.47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0.5342975206611571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7.964416535845098E-2</v>
      </c>
      <c r="R1169" s="19">
        <f ca="1">IF('Stock Price'!$I$11="OK",E1169/INDEX(E$5:E$1258,'Stock Price'!$I$9)-1,"")</f>
        <v>0.12355460385438954</v>
      </c>
      <c r="S1169" s="19">
        <f ca="1">IF('Stock Price'!$I$11="OK",F1169/INDEX(F$5:F$1258,'Stock Price'!$I$9)-1,"")</f>
        <v>-8.0504966887417262E-2</v>
      </c>
      <c r="T1169" s="19">
        <f ca="1">IF('Stock Price'!$I$11="OK",G1169/INDEX(G$5:G$1258,'Stock Price'!$I$9)-1,"")</f>
        <v>-0.17426621899707573</v>
      </c>
      <c r="U1169" s="19">
        <f ca="1">IF('Stock Price'!$I$11="OK",H1169/INDEX(H$5:H$1258,'Stock Price'!$I$9)-1,"")</f>
        <v>0.47352941176470598</v>
      </c>
      <c r="V1169" s="19">
        <f ca="1">IF('Stock Price'!$I$11="OK",I1169/INDEX(I$5:I$1258,'Stock Price'!$I$9)-1,"")</f>
        <v>-0.38067107750472584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185.33</v>
      </c>
      <c r="C1170" s="18">
        <v>151.4</v>
      </c>
      <c r="D1170" s="18">
        <v>51.24</v>
      </c>
      <c r="E1170" s="18">
        <v>52.36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0.53165289256198367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7.2527472527472492E-2</v>
      </c>
      <c r="R1170" s="19">
        <f ca="1">IF('Stock Price'!$I$11="OK",E1170/INDEX(E$5:E$1258,'Stock Price'!$I$9)-1,"")</f>
        <v>0.12119914346895078</v>
      </c>
      <c r="S1170" s="19">
        <f ca="1">IF('Stock Price'!$I$11="OK",F1170/INDEX(F$5:F$1258,'Stock Price'!$I$9)-1,"")</f>
        <v>-8.3402317880794774E-2</v>
      </c>
      <c r="T1170" s="19">
        <f ca="1">IF('Stock Price'!$I$11="OK",G1170/INDEX(G$5:G$1258,'Stock Price'!$I$9)-1,"")</f>
        <v>-0.18033141990685575</v>
      </c>
      <c r="U1170" s="19">
        <f ca="1">IF('Stock Price'!$I$11="OK",H1170/INDEX(H$5:H$1258,'Stock Price'!$I$9)-1,"")</f>
        <v>0.46924019607843137</v>
      </c>
      <c r="V1170" s="19">
        <f ca="1">IF('Stock Price'!$I$11="OK",I1170/INDEX(I$5:I$1258,'Stock Price'!$I$9)-1,"")</f>
        <v>-0.38232514177693766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185.67</v>
      </c>
      <c r="C1171" s="18">
        <v>150.16999999999999</v>
      </c>
      <c r="D1171" s="18">
        <v>50.54</v>
      </c>
      <c r="E1171" s="18">
        <v>52.4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0.53446280991735517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5.7875457875457892E-2</v>
      </c>
      <c r="R1171" s="19">
        <f ca="1">IF('Stock Price'!$I$11="OK",E1171/INDEX(E$5:E$1258,'Stock Price'!$I$9)-1,"")</f>
        <v>0.1220556745182011</v>
      </c>
      <c r="S1171" s="19">
        <f ca="1">IF('Stock Price'!$I$11="OK",F1171/INDEX(F$5:F$1258,'Stock Price'!$I$9)-1,"")</f>
        <v>-9.6233443708609201E-2</v>
      </c>
      <c r="T1171" s="19">
        <f ca="1">IF('Stock Price'!$I$11="OK",G1171/INDEX(G$5:G$1258,'Stock Price'!$I$9)-1,"")</f>
        <v>-0.20870789559189862</v>
      </c>
      <c r="U1171" s="19">
        <f ca="1">IF('Stock Price'!$I$11="OK",H1171/INDEX(H$5:H$1258,'Stock Price'!$I$9)-1,"")</f>
        <v>0.45490196078431389</v>
      </c>
      <c r="V1171" s="19">
        <f ca="1">IF('Stock Price'!$I$11="OK",I1171/INDEX(I$5:I$1258,'Stock Price'!$I$9)-1,"")</f>
        <v>-0.38137996219281667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179.71</v>
      </c>
      <c r="C1172" s="18">
        <v>145.68</v>
      </c>
      <c r="D1172" s="18">
        <v>49.31</v>
      </c>
      <c r="E1172" s="18">
        <v>50.22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0.48520661157024803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3.2129774986917825E-2</v>
      </c>
      <c r="R1172" s="19">
        <f ca="1">IF('Stock Price'!$I$11="OK",E1172/INDEX(E$5:E$1258,'Stock Price'!$I$9)-1,"")</f>
        <v>7.5374732334047012E-2</v>
      </c>
      <c r="S1172" s="19">
        <f ca="1">IF('Stock Price'!$I$11="OK",F1172/INDEX(F$5:F$1258,'Stock Price'!$I$9)-1,"")</f>
        <v>-0.11092715231788075</v>
      </c>
      <c r="T1172" s="19">
        <f ca="1">IF('Stock Price'!$I$11="OK",G1172/INDEX(G$5:G$1258,'Stock Price'!$I$9)-1,"")</f>
        <v>-0.23903390014079928</v>
      </c>
      <c r="U1172" s="19">
        <f ca="1">IF('Stock Price'!$I$11="OK",H1172/INDEX(H$5:H$1258,'Stock Price'!$I$9)-1,"")</f>
        <v>0.41139705882352962</v>
      </c>
      <c r="V1172" s="19">
        <f ca="1">IF('Stock Price'!$I$11="OK",I1172/INDEX(I$5:I$1258,'Stock Price'!$I$9)-1,"")</f>
        <v>-0.39437618147448017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177.45</v>
      </c>
      <c r="C1173" s="18">
        <v>143.47999999999999</v>
      </c>
      <c r="D1173" s="18">
        <v>49</v>
      </c>
      <c r="E1173" s="18">
        <v>49.07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0.46652892561983461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2.5641025641025772E-2</v>
      </c>
      <c r="R1173" s="19">
        <f ca="1">IF('Stock Price'!$I$11="OK",E1173/INDEX(E$5:E$1258,'Stock Price'!$I$9)-1,"")</f>
        <v>5.0749464668094157E-2</v>
      </c>
      <c r="S1173" s="19">
        <f ca="1">IF('Stock Price'!$I$11="OK",F1173/INDEX(F$5:F$1258,'Stock Price'!$I$9)-1,"")</f>
        <v>-0.11423841059602657</v>
      </c>
      <c r="T1173" s="19">
        <f ca="1">IF('Stock Price'!$I$11="OK",G1173/INDEX(G$5:G$1258,'Stock Price'!$I$9)-1,"")</f>
        <v>-0.26134517491606191</v>
      </c>
      <c r="U1173" s="19">
        <f ca="1">IF('Stock Price'!$I$11="OK",H1173/INDEX(H$5:H$1258,'Stock Price'!$I$9)-1,"")</f>
        <v>0.41727941176470607</v>
      </c>
      <c r="V1173" s="19">
        <f ca="1">IF('Stock Price'!$I$11="OK",I1173/INDEX(I$5:I$1258,'Stock Price'!$I$9)-1,"")</f>
        <v>-0.39626654064272215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176.28</v>
      </c>
      <c r="C1174" s="18">
        <v>143.66</v>
      </c>
      <c r="D1174" s="18">
        <v>49.72</v>
      </c>
      <c r="E1174" s="18">
        <v>49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0.45685950413223142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4.0711669283097773E-2</v>
      </c>
      <c r="R1174" s="19">
        <f ca="1">IF('Stock Price'!$I$11="OK",E1174/INDEX(E$5:E$1258,'Stock Price'!$I$9)-1,"")</f>
        <v>4.9250535331905709E-2</v>
      </c>
      <c r="S1174" s="19">
        <f ca="1">IF('Stock Price'!$I$11="OK",F1174/INDEX(F$5:F$1258,'Stock Price'!$I$9)-1,"")</f>
        <v>-0.1231374172185431</v>
      </c>
      <c r="T1174" s="19">
        <f ca="1">IF('Stock Price'!$I$11="OK",G1174/INDEX(G$5:G$1258,'Stock Price'!$I$9)-1,"")</f>
        <v>-0.24834831582367589</v>
      </c>
      <c r="U1174" s="19">
        <f ca="1">IF('Stock Price'!$I$11="OK",H1174/INDEX(H$5:H$1258,'Stock Price'!$I$9)-1,"")</f>
        <v>0.4056372549019609</v>
      </c>
      <c r="V1174" s="19">
        <f ca="1">IF('Stock Price'!$I$11="OK",I1174/INDEX(I$5:I$1258,'Stock Price'!$I$9)-1,"")</f>
        <v>-0.40122873345935728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181.8</v>
      </c>
      <c r="C1175" s="18">
        <v>148.4</v>
      </c>
      <c r="D1175" s="18">
        <v>51.27</v>
      </c>
      <c r="E1175" s="18">
        <v>51.57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0.50247933884297535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7.3155416012558927E-2</v>
      </c>
      <c r="R1175" s="19">
        <f ca="1">IF('Stock Price'!$I$11="OK",E1175/INDEX(E$5:E$1258,'Stock Price'!$I$9)-1,"")</f>
        <v>0.10428265524625258</v>
      </c>
      <c r="S1175" s="19">
        <f ca="1">IF('Stock Price'!$I$11="OK",F1175/INDEX(F$5:F$1258,'Stock Price'!$I$9)-1,"")</f>
        <v>-8.1539735099337651E-2</v>
      </c>
      <c r="T1175" s="19">
        <f ca="1">IF('Stock Price'!$I$11="OK",G1175/INDEX(G$5:G$1258,'Stock Price'!$I$9)-1,"")</f>
        <v>-0.22971948445792256</v>
      </c>
      <c r="U1175" s="19">
        <f ca="1">IF('Stock Price'!$I$11="OK",H1175/INDEX(H$5:H$1258,'Stock Price'!$I$9)-1,"")</f>
        <v>0.47377450980392166</v>
      </c>
      <c r="V1175" s="19">
        <f ca="1">IF('Stock Price'!$I$11="OK",I1175/INDEX(I$5:I$1258,'Stock Price'!$I$9)-1,"")</f>
        <v>-0.39295841209829863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185.95</v>
      </c>
      <c r="C1176" s="18">
        <v>149.16</v>
      </c>
      <c r="D1176" s="18">
        <v>51.52</v>
      </c>
      <c r="E1176" s="18">
        <v>51.48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0.53677685950413223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7.8388278388278554E-2</v>
      </c>
      <c r="R1176" s="19">
        <f ca="1">IF('Stock Price'!$I$11="OK",E1176/INDEX(E$5:E$1258,'Stock Price'!$I$9)-1,"")</f>
        <v>0.10235546038543886</v>
      </c>
      <c r="S1176" s="19">
        <f ca="1">IF('Stock Price'!$I$11="OK",F1176/INDEX(F$5:F$1258,'Stock Price'!$I$9)-1,"")</f>
        <v>-6.8294701986754913E-2</v>
      </c>
      <c r="T1176" s="19">
        <f ca="1">IF('Stock Price'!$I$11="OK",G1176/INDEX(G$5:G$1258,'Stock Price'!$I$9)-1,"")</f>
        <v>-0.21672262536553677</v>
      </c>
      <c r="U1176" s="19">
        <f ca="1">IF('Stock Price'!$I$11="OK",H1176/INDEX(H$5:H$1258,'Stock Price'!$I$9)-1,"")</f>
        <v>0.48026960784313744</v>
      </c>
      <c r="V1176" s="19">
        <f ca="1">IF('Stock Price'!$I$11="OK",I1176/INDEX(I$5:I$1258,'Stock Price'!$I$9)-1,"")</f>
        <v>-0.38468809073724008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181.55</v>
      </c>
      <c r="C1177" s="18">
        <v>146.41999999999999</v>
      </c>
      <c r="D1177" s="18">
        <v>50.64</v>
      </c>
      <c r="E1177" s="18">
        <v>50.55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0.50041322314049586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5.9968602825745787E-2</v>
      </c>
      <c r="R1177" s="19">
        <f ca="1">IF('Stock Price'!$I$11="OK",E1177/INDEX(E$5:E$1258,'Stock Price'!$I$9)-1,"")</f>
        <v>8.2441113490363982E-2</v>
      </c>
      <c r="S1177" s="19">
        <f ca="1">IF('Stock Price'!$I$11="OK",F1177/INDEX(F$5:F$1258,'Stock Price'!$I$9)-1,"")</f>
        <v>-9.1887417218542988E-2</v>
      </c>
      <c r="T1177" s="19">
        <f ca="1">IF('Stock Price'!$I$11="OK",G1177/INDEX(G$5:G$1258,'Stock Price'!$I$9)-1,"")</f>
        <v>-0.22690349832123902</v>
      </c>
      <c r="U1177" s="19">
        <f ca="1">IF('Stock Price'!$I$11="OK",H1177/INDEX(H$5:H$1258,'Stock Price'!$I$9)-1,"")</f>
        <v>0.4647058823529413</v>
      </c>
      <c r="V1177" s="19">
        <f ca="1">IF('Stock Price'!$I$11="OK",I1177/INDEX(I$5:I$1258,'Stock Price'!$I$9)-1,"")</f>
        <v>-0.39461247637051033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183.43</v>
      </c>
      <c r="C1178" s="18">
        <v>149.12</v>
      </c>
      <c r="D1178" s="18">
        <v>51.25</v>
      </c>
      <c r="E1178" s="18">
        <v>50.23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0.5159504132231405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7.2736787022501304E-2</v>
      </c>
      <c r="R1178" s="19">
        <f ca="1">IF('Stock Price'!$I$11="OK",E1178/INDEX(E$5:E$1258,'Stock Price'!$I$9)-1,"")</f>
        <v>7.5588865096359648E-2</v>
      </c>
      <c r="S1178" s="19">
        <f ca="1">IF('Stock Price'!$I$11="OK",F1178/INDEX(F$5:F$1258,'Stock Price'!$I$9)-1,"")</f>
        <v>-7.4296357615894149E-2</v>
      </c>
      <c r="T1178" s="19">
        <f ca="1">IF('Stock Price'!$I$11="OK",G1178/INDEX(G$5:G$1258,'Stock Price'!$I$9)-1,"")</f>
        <v>-0.23123578468536765</v>
      </c>
      <c r="U1178" s="19">
        <f ca="1">IF('Stock Price'!$I$11="OK",H1178/INDEX(H$5:H$1258,'Stock Price'!$I$9)-1,"")</f>
        <v>0.46568627450980404</v>
      </c>
      <c r="V1178" s="19">
        <f ca="1">IF('Stock Price'!$I$11="OK",I1178/INDEX(I$5:I$1258,'Stock Price'!$I$9)-1,"")</f>
        <v>-0.39272211720226846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178.96</v>
      </c>
      <c r="C1179" s="18">
        <v>148.12</v>
      </c>
      <c r="D1179" s="18">
        <v>51.17</v>
      </c>
      <c r="E1179" s="18">
        <v>50.42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0.47900826446280997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7.1062271062271032E-2</v>
      </c>
      <c r="R1179" s="19">
        <f ca="1">IF('Stock Price'!$I$11="OK",E1179/INDEX(E$5:E$1258,'Stock Price'!$I$9)-1,"")</f>
        <v>7.9657387580299721E-2</v>
      </c>
      <c r="S1179" s="19">
        <f ca="1">IF('Stock Price'!$I$11="OK",F1179/INDEX(F$5:F$1258,'Stock Price'!$I$9)-1,"")</f>
        <v>-9.8302980132450313E-2</v>
      </c>
      <c r="T1179" s="19">
        <f ca="1">IF('Stock Price'!$I$11="OK",G1179/INDEX(G$5:G$1258,'Stock Price'!$I$9)-1,"")</f>
        <v>-0.2338351565038449</v>
      </c>
      <c r="U1179" s="19">
        <f ca="1">IF('Stock Price'!$I$11="OK",H1179/INDEX(H$5:H$1258,'Stock Price'!$I$9)-1,"")</f>
        <v>0.45943627450980395</v>
      </c>
      <c r="V1179" s="19">
        <f ca="1">IF('Stock Price'!$I$11="OK",I1179/INDEX(I$5:I$1258,'Stock Price'!$I$9)-1,"")</f>
        <v>-0.39508506616257089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182.28</v>
      </c>
      <c r="C1180" s="18">
        <v>153.91999999999999</v>
      </c>
      <c r="D1180" s="18">
        <v>52.86</v>
      </c>
      <c r="E1180" s="18">
        <v>51.35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0.50644628099173561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0.10643642072213511</v>
      </c>
      <c r="R1180" s="19">
        <f ca="1">IF('Stock Price'!$I$11="OK",E1180/INDEX(E$5:E$1258,'Stock Price'!$I$9)-1,"")</f>
        <v>9.9571734475374596E-2</v>
      </c>
      <c r="S1180" s="19">
        <f ca="1">IF('Stock Price'!$I$11="OK",F1180/INDEX(F$5:F$1258,'Stock Price'!$I$9)-1,"")</f>
        <v>-8.7127483443708575E-2</v>
      </c>
      <c r="T1180" s="19">
        <f ca="1">IF('Stock Price'!$I$11="OK",G1180/INDEX(G$5:G$1258,'Stock Price'!$I$9)-1,"")</f>
        <v>-0.2247373551391747</v>
      </c>
      <c r="U1180" s="19">
        <f ca="1">IF('Stock Price'!$I$11="OK",H1180/INDEX(H$5:H$1258,'Stock Price'!$I$9)-1,"")</f>
        <v>0.4799019607843138</v>
      </c>
      <c r="V1180" s="19">
        <f ca="1">IF('Stock Price'!$I$11="OK",I1180/INDEX(I$5:I$1258,'Stock Price'!$I$9)-1,"")</f>
        <v>-0.38161625708884683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178.75</v>
      </c>
      <c r="C1181" s="18">
        <v>153.07</v>
      </c>
      <c r="D1181" s="18">
        <v>53.04</v>
      </c>
      <c r="E1181" s="18">
        <v>51.65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0.47727272727272729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0.11020408163265305</v>
      </c>
      <c r="R1181" s="19">
        <f ca="1">IF('Stock Price'!$I$11="OK",E1181/INDEX(E$5:E$1258,'Stock Price'!$I$9)-1,"")</f>
        <v>0.10599571734475366</v>
      </c>
      <c r="S1181" s="19">
        <f ca="1">IF('Stock Price'!$I$11="OK",F1181/INDEX(F$5:F$1258,'Stock Price'!$I$9)-1,"")</f>
        <v>-8.4230132450331174E-2</v>
      </c>
      <c r="T1181" s="19">
        <f ca="1">IF('Stock Price'!$I$11="OK",G1181/INDEX(G$5:G$1258,'Stock Price'!$I$9)-1,"")</f>
        <v>-0.21607278241091743</v>
      </c>
      <c r="U1181" s="19">
        <f ca="1">IF('Stock Price'!$I$11="OK",H1181/INDEX(H$5:H$1258,'Stock Price'!$I$9)-1,"")</f>
        <v>0.45894607843137258</v>
      </c>
      <c r="V1181" s="19">
        <f ca="1">IF('Stock Price'!$I$11="OK",I1181/INDEX(I$5:I$1258,'Stock Price'!$I$9)-1,"")</f>
        <v>-0.38067107750472584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177.27</v>
      </c>
      <c r="C1182" s="18">
        <v>151.56</v>
      </c>
      <c r="D1182" s="18">
        <v>52.23</v>
      </c>
      <c r="E1182" s="18">
        <v>51.01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0.46504132231404971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9.3249607535321744E-2</v>
      </c>
      <c r="R1182" s="19">
        <f ca="1">IF('Stock Price'!$I$11="OK",E1182/INDEX(E$5:E$1258,'Stock Price'!$I$9)-1,"")</f>
        <v>9.2291220556744991E-2</v>
      </c>
      <c r="S1182" s="19">
        <f ca="1">IF('Stock Price'!$I$11="OK",F1182/INDEX(F$5:F$1258,'Stock Price'!$I$9)-1,"")</f>
        <v>-9.3543046357616011E-2</v>
      </c>
      <c r="T1182" s="19">
        <f ca="1">IF('Stock Price'!$I$11="OK",G1182/INDEX(G$5:G$1258,'Stock Price'!$I$9)-1,"")</f>
        <v>-0.21347341059244007</v>
      </c>
      <c r="U1182" s="19">
        <f ca="1">IF('Stock Price'!$I$11="OK",H1182/INDEX(H$5:H$1258,'Stock Price'!$I$9)-1,"")</f>
        <v>0.40808823529411775</v>
      </c>
      <c r="V1182" s="19">
        <f ca="1">IF('Stock Price'!$I$11="OK",I1182/INDEX(I$5:I$1258,'Stock Price'!$I$9)-1,"")</f>
        <v>-0.38563327032136108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178.71</v>
      </c>
      <c r="C1183" s="18">
        <v>150.93</v>
      </c>
      <c r="D1183" s="18">
        <v>52.22</v>
      </c>
      <c r="E1183" s="18">
        <v>51.13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0.4769421487603307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9.3040293040293154E-2</v>
      </c>
      <c r="R1183" s="19">
        <f ca="1">IF('Stock Price'!$I$11="OK",E1183/INDEX(E$5:E$1258,'Stock Price'!$I$9)-1,"")</f>
        <v>9.4860813704496838E-2</v>
      </c>
      <c r="S1183" s="19">
        <f ca="1">IF('Stock Price'!$I$11="OK",F1183/INDEX(F$5:F$1258,'Stock Price'!$I$9)-1,"")</f>
        <v>-8.8369205298013287E-2</v>
      </c>
      <c r="T1183" s="19">
        <f ca="1">IF('Stock Price'!$I$11="OK",G1183/INDEX(G$5:G$1258,'Stock Price'!$I$9)-1,"")</f>
        <v>-0.21997184013863325</v>
      </c>
      <c r="U1183" s="19">
        <f ca="1">IF('Stock Price'!$I$11="OK",H1183/INDEX(H$5:H$1258,'Stock Price'!$I$9)-1,"")</f>
        <v>0.41139705882352962</v>
      </c>
      <c r="V1183" s="19">
        <f ca="1">IF('Stock Price'!$I$11="OK",I1183/INDEX(I$5:I$1258,'Stock Price'!$I$9)-1,"")</f>
        <v>-0.38468809073724008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177.89</v>
      </c>
      <c r="C1184" s="18">
        <v>150.88</v>
      </c>
      <c r="D1184" s="18">
        <v>52.15</v>
      </c>
      <c r="E1184" s="18">
        <v>51.06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0.47016528925619827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9.1575091575091472E-2</v>
      </c>
      <c r="R1184" s="19">
        <f ca="1">IF('Stock Price'!$I$11="OK",E1184/INDEX(E$5:E$1258,'Stock Price'!$I$9)-1,"")</f>
        <v>9.336188436830839E-2</v>
      </c>
      <c r="S1184" s="19">
        <f ca="1">IF('Stock Price'!$I$11="OK",F1184/INDEX(F$5:F$1258,'Stock Price'!$I$9)-1,"")</f>
        <v>-0.12044701986754969</v>
      </c>
      <c r="T1184" s="19">
        <f ca="1">IF('Stock Price'!$I$11="OK",G1184/INDEX(G$5:G$1258,'Stock Price'!$I$9)-1,"")</f>
        <v>-0.18249756308892007</v>
      </c>
      <c r="U1184" s="19">
        <f ca="1">IF('Stock Price'!$I$11="OK",H1184/INDEX(H$5:H$1258,'Stock Price'!$I$9)-1,"")</f>
        <v>0.41470588235294126</v>
      </c>
      <c r="V1184" s="19">
        <f ca="1">IF('Stock Price'!$I$11="OK",I1184/INDEX(I$5:I$1258,'Stock Price'!$I$9)-1,"")</f>
        <v>-0.38752362948960295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174.93</v>
      </c>
      <c r="C1185" s="18">
        <v>147.08000000000001</v>
      </c>
      <c r="D1185" s="18">
        <v>50.67</v>
      </c>
      <c r="E1185" s="18">
        <v>49.74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0.4457024793388431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6.0596546310832E-2</v>
      </c>
      <c r="R1185" s="19">
        <f ca="1">IF('Stock Price'!$I$11="OK",E1185/INDEX(E$5:E$1258,'Stock Price'!$I$9)-1,"")</f>
        <v>6.5096359743040733E-2</v>
      </c>
      <c r="S1185" s="19">
        <f ca="1">IF('Stock Price'!$I$11="OK",F1185/INDEX(F$5:F$1258,'Stock Price'!$I$9)-1,"")</f>
        <v>-0.12293046357615889</v>
      </c>
      <c r="T1185" s="19">
        <f ca="1">IF('Stock Price'!$I$11="OK",G1185/INDEX(G$5:G$1258,'Stock Price'!$I$9)-1,"")</f>
        <v>-0.19527780786309978</v>
      </c>
      <c r="U1185" s="19">
        <f ca="1">IF('Stock Price'!$I$11="OK",H1185/INDEX(H$5:H$1258,'Stock Price'!$I$9)-1,"")</f>
        <v>0.39546568627451006</v>
      </c>
      <c r="V1185" s="19">
        <f ca="1">IF('Stock Price'!$I$11="OK",I1185/INDEX(I$5:I$1258,'Stock Price'!$I$9)-1,"")</f>
        <v>-0.40430056710775042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176.43</v>
      </c>
      <c r="C1186" s="18">
        <v>148.93</v>
      </c>
      <c r="D1186" s="18">
        <v>50.74</v>
      </c>
      <c r="E1186" s="18">
        <v>49.12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0.45809917355371899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6.206174777603346E-2</v>
      </c>
      <c r="R1186" s="19">
        <f ca="1">IF('Stock Price'!$I$11="OK",E1186/INDEX(E$5:E$1258,'Stock Price'!$I$9)-1,"")</f>
        <v>5.1820128479657335E-2</v>
      </c>
      <c r="S1186" s="19">
        <f ca="1">IF('Stock Price'!$I$11="OK",F1186/INDEX(F$5:F$1258,'Stock Price'!$I$9)-1,"")</f>
        <v>-0.13534768211920523</v>
      </c>
      <c r="T1186" s="19">
        <f ca="1">IF('Stock Price'!$I$11="OK",G1186/INDEX(G$5:G$1258,'Stock Price'!$I$9)-1,"")</f>
        <v>-0.17296653308783705</v>
      </c>
      <c r="U1186" s="19">
        <f ca="1">IF('Stock Price'!$I$11="OK",H1186/INDEX(H$5:H$1258,'Stock Price'!$I$9)-1,"")</f>
        <v>0.41519607843137263</v>
      </c>
      <c r="V1186" s="19">
        <f ca="1">IF('Stock Price'!$I$11="OK",I1186/INDEX(I$5:I$1258,'Stock Price'!$I$9)-1,"")</f>
        <v>-0.40737240075614367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181.02</v>
      </c>
      <c r="C1187" s="18">
        <v>153.38</v>
      </c>
      <c r="D1187" s="18">
        <v>52.07</v>
      </c>
      <c r="E1187" s="18">
        <v>50.35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0.49603305785123974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8.9900575614861422E-2</v>
      </c>
      <c r="R1187" s="19">
        <f ca="1">IF('Stock Price'!$I$11="OK",E1187/INDEX(E$5:E$1258,'Stock Price'!$I$9)-1,"")</f>
        <v>7.8158458244111273E-2</v>
      </c>
      <c r="S1187" s="19">
        <f ca="1">IF('Stock Price'!$I$11="OK",F1187/INDEX(F$5:F$1258,'Stock Price'!$I$9)-1,"")</f>
        <v>-0.13907284768211914</v>
      </c>
      <c r="T1187" s="19">
        <f ca="1">IF('Stock Price'!$I$11="OK",G1187/INDEX(G$5:G$1258,'Stock Price'!$I$9)-1,"")</f>
        <v>-0.16386873172316685</v>
      </c>
      <c r="U1187" s="19">
        <f ca="1">IF('Stock Price'!$I$11="OK",H1187/INDEX(H$5:H$1258,'Stock Price'!$I$9)-1,"")</f>
        <v>0.46568627450980404</v>
      </c>
      <c r="V1187" s="19">
        <f ca="1">IF('Stock Price'!$I$11="OK",I1187/INDEX(I$5:I$1258,'Stock Price'!$I$9)-1,"")</f>
        <v>-0.4158790170132326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183.02</v>
      </c>
      <c r="C1188" s="18">
        <v>153.12</v>
      </c>
      <c r="D1188" s="18">
        <v>51.09</v>
      </c>
      <c r="E1188" s="18">
        <v>51.23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0.5125619834710744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6.9387755102040982E-2</v>
      </c>
      <c r="R1188" s="19">
        <f ca="1">IF('Stock Price'!$I$11="OK",E1188/INDEX(E$5:E$1258,'Stock Price'!$I$9)-1,"")</f>
        <v>9.700214132762297E-2</v>
      </c>
      <c r="S1188" s="19">
        <f ca="1">IF('Stock Price'!$I$11="OK",F1188/INDEX(F$5:F$1258,'Stock Price'!$I$9)-1,"")</f>
        <v>-0.14466059602649006</v>
      </c>
      <c r="T1188" s="19">
        <f ca="1">IF('Stock Price'!$I$11="OK",G1188/INDEX(G$5:G$1258,'Stock Price'!$I$9)-1,"")</f>
        <v>-0.14242391422072986</v>
      </c>
      <c r="U1188" s="19">
        <f ca="1">IF('Stock Price'!$I$11="OK",H1188/INDEX(H$5:H$1258,'Stock Price'!$I$9)-1,"")</f>
        <v>0.47794117647058831</v>
      </c>
      <c r="V1188" s="19">
        <f ca="1">IF('Stock Price'!$I$11="OK",I1188/INDEX(I$5:I$1258,'Stock Price'!$I$9)-1,"")</f>
        <v>-0.43194706994328924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185.68</v>
      </c>
      <c r="C1189" s="18">
        <v>155.12</v>
      </c>
      <c r="D1189" s="18">
        <v>51.89</v>
      </c>
      <c r="E1189" s="18">
        <v>51.86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0.53454545454545466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8.6132914704343255E-2</v>
      </c>
      <c r="R1189" s="19">
        <f ca="1">IF('Stock Price'!$I$11="OK",E1189/INDEX(E$5:E$1258,'Stock Price'!$I$9)-1,"")</f>
        <v>0.110492505353319</v>
      </c>
      <c r="S1189" s="19">
        <f ca="1">IF('Stock Price'!$I$11="OK",F1189/INDEX(F$5:F$1258,'Stock Price'!$I$9)-1,"")</f>
        <v>-0.13493377483443714</v>
      </c>
      <c r="T1189" s="19">
        <f ca="1">IF('Stock Price'!$I$11="OK",G1189/INDEX(G$5:G$1258,'Stock Price'!$I$9)-1,"")</f>
        <v>1.8087295570237139E-2</v>
      </c>
      <c r="U1189" s="19">
        <f ca="1">IF('Stock Price'!$I$11="OK",H1189/INDEX(H$5:H$1258,'Stock Price'!$I$9)-1,"")</f>
        <v>0.53737745098039236</v>
      </c>
      <c r="V1189" s="19">
        <f ca="1">IF('Stock Price'!$I$11="OK",I1189/INDEX(I$5:I$1258,'Stock Price'!$I$9)-1,"")</f>
        <v>-0.44068998109640833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188.41</v>
      </c>
      <c r="C1190" s="18">
        <v>155.41</v>
      </c>
      <c r="D1190" s="18">
        <v>52.5</v>
      </c>
      <c r="E1190" s="18">
        <v>51.74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0.55710743801652884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9.8901098901098994E-2</v>
      </c>
      <c r="R1190" s="19">
        <f ca="1">IF('Stock Price'!$I$11="OK",E1190/INDEX(E$5:E$1258,'Stock Price'!$I$9)-1,"")</f>
        <v>0.10792291220556738</v>
      </c>
      <c r="S1190" s="19">
        <f ca="1">IF('Stock Price'!$I$11="OK",F1190/INDEX(F$5:F$1258,'Stock Price'!$I$9)-1,"")</f>
        <v>-0.11113410596026485</v>
      </c>
      <c r="T1190" s="19">
        <f ca="1">IF('Stock Price'!$I$11="OK",G1190/INDEX(G$5:G$1258,'Stock Price'!$I$9)-1,"")</f>
        <v>1.8087295570237139E-2</v>
      </c>
      <c r="U1190" s="19">
        <f ca="1">IF('Stock Price'!$I$11="OK",H1190/INDEX(H$5:H$1258,'Stock Price'!$I$9)-1,"")</f>
        <v>0.57671568627450998</v>
      </c>
      <c r="V1190" s="19">
        <f ca="1">IF('Stock Price'!$I$11="OK",I1190/INDEX(I$5:I$1258,'Stock Price'!$I$9)-1,"")</f>
        <v>-0.42603969754253312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190.95</v>
      </c>
      <c r="C1191" s="18">
        <v>157.59</v>
      </c>
      <c r="D1191" s="18">
        <v>52.81</v>
      </c>
      <c r="E1191" s="18">
        <v>52.58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0.57809917355371887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0.10538984824699127</v>
      </c>
      <c r="R1191" s="19">
        <f ca="1">IF('Stock Price'!$I$11="OK",E1191/INDEX(E$5:E$1258,'Stock Price'!$I$9)-1,"")</f>
        <v>0.12591006423982853</v>
      </c>
      <c r="S1191" s="19">
        <f ca="1">IF('Stock Price'!$I$11="OK",F1191/INDEX(F$5:F$1258,'Stock Price'!$I$9)-1,"")</f>
        <v>-0.10120033112582782</v>
      </c>
      <c r="T1191" s="19">
        <f ca="1">IF('Stock Price'!$I$11="OK",G1191/INDEX(G$5:G$1258,'Stock Price'!$I$9)-1,"")</f>
        <v>-2.9242932957868062E-3</v>
      </c>
      <c r="U1191" s="19">
        <f ca="1">IF('Stock Price'!$I$11="OK",H1191/INDEX(H$5:H$1258,'Stock Price'!$I$9)-1,"")</f>
        <v>0.58553921568627465</v>
      </c>
      <c r="V1191" s="19">
        <f ca="1">IF('Stock Price'!$I$11="OK",I1191/INDEX(I$5:I$1258,'Stock Price'!$I$9)-1,"")</f>
        <v>-0.42414933837429114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189.62</v>
      </c>
      <c r="C1192" s="18">
        <v>156.72</v>
      </c>
      <c r="D1192" s="18">
        <v>52.42</v>
      </c>
      <c r="E1192" s="18">
        <v>51.35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0.56710743801652885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9.7226582940868722E-2</v>
      </c>
      <c r="R1192" s="19">
        <f ca="1">IF('Stock Price'!$I$11="OK",E1192/INDEX(E$5:E$1258,'Stock Price'!$I$9)-1,"")</f>
        <v>9.9571734475374596E-2</v>
      </c>
      <c r="S1192" s="19">
        <f ca="1">IF('Stock Price'!$I$11="OK",F1192/INDEX(F$5:F$1258,'Stock Price'!$I$9)-1,"")</f>
        <v>-0.11713576158940409</v>
      </c>
      <c r="T1192" s="19">
        <f ca="1">IF('Stock Price'!$I$11="OK",G1192/INDEX(G$5:G$1258,'Stock Price'!$I$9)-1,"")</f>
        <v>4.8629914437344324E-2</v>
      </c>
      <c r="U1192" s="19">
        <f ca="1">IF('Stock Price'!$I$11="OK",H1192/INDEX(H$5:H$1258,'Stock Price'!$I$9)-1,"")</f>
        <v>0.57475490196078449</v>
      </c>
      <c r="V1192" s="19">
        <f ca="1">IF('Stock Price'!$I$11="OK",I1192/INDEX(I$5:I$1258,'Stock Price'!$I$9)-1,"")</f>
        <v>-0.43100189035916825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183.86</v>
      </c>
      <c r="C1193" s="18">
        <v>154.13999999999999</v>
      </c>
      <c r="D1193" s="18">
        <v>51.3</v>
      </c>
      <c r="E1193" s="18">
        <v>50.32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0.51950413223140512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7.378335949764514E-2</v>
      </c>
      <c r="R1193" s="19">
        <f ca="1">IF('Stock Price'!$I$11="OK",E1193/INDEX(E$5:E$1258,'Stock Price'!$I$9)-1,"")</f>
        <v>7.7516059957173367E-2</v>
      </c>
      <c r="S1193" s="19">
        <f ca="1">IF('Stock Price'!$I$11="OK",F1193/INDEX(F$5:F$1258,'Stock Price'!$I$9)-1,"")</f>
        <v>-0.13845198675496684</v>
      </c>
      <c r="T1193" s="19">
        <f ca="1">IF('Stock Price'!$I$11="OK",G1193/INDEX(G$5:G$1258,'Stock Price'!$I$9)-1,"")</f>
        <v>6.1410159211523929E-2</v>
      </c>
      <c r="U1193" s="19">
        <f ca="1">IF('Stock Price'!$I$11="OK",H1193/INDEX(H$5:H$1258,'Stock Price'!$I$9)-1,"")</f>
        <v>0.53639705882352962</v>
      </c>
      <c r="V1193" s="19">
        <f ca="1">IF('Stock Price'!$I$11="OK",I1193/INDEX(I$5:I$1258,'Stock Price'!$I$9)-1,"")</f>
        <v>-0.43572778827977321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195.15</v>
      </c>
      <c r="C1194" s="18">
        <v>159.9</v>
      </c>
      <c r="D1194" s="18">
        <v>53.66</v>
      </c>
      <c r="E1194" s="18">
        <v>53.04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0.61280991735537205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0.12318158032443738</v>
      </c>
      <c r="R1194" s="19">
        <f ca="1">IF('Stock Price'!$I$11="OK",E1194/INDEX(E$5:E$1258,'Stock Price'!$I$9)-1,"")</f>
        <v>0.13576017130620976</v>
      </c>
      <c r="S1194" s="19">
        <f ca="1">IF('Stock Price'!$I$11="OK",F1194/INDEX(F$5:F$1258,'Stock Price'!$I$9)-1,"")</f>
        <v>-0.10678807947019875</v>
      </c>
      <c r="T1194" s="19">
        <f ca="1">IF('Stock Price'!$I$11="OK",G1194/INDEX(G$5:G$1258,'Stock Price'!$I$9)-1,"")</f>
        <v>0.15585400194952892</v>
      </c>
      <c r="U1194" s="19">
        <f ca="1">IF('Stock Price'!$I$11="OK",H1194/INDEX(H$5:H$1258,'Stock Price'!$I$9)-1,"")</f>
        <v>0.58774509803921582</v>
      </c>
      <c r="V1194" s="19">
        <f ca="1">IF('Stock Price'!$I$11="OK",I1194/INDEX(I$5:I$1258,'Stock Price'!$I$9)-1,"")</f>
        <v>-0.4253308128544423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190.16</v>
      </c>
      <c r="C1195" s="18">
        <v>155.49</v>
      </c>
      <c r="D1195" s="18">
        <v>53.09</v>
      </c>
      <c r="E1195" s="18">
        <v>51.59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0.57157024793388422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0.11125065410779711</v>
      </c>
      <c r="R1195" s="19">
        <f ca="1">IF('Stock Price'!$I$11="OK",E1195/INDEX(E$5:E$1258,'Stock Price'!$I$9)-1,"")</f>
        <v>0.10471092077087785</v>
      </c>
      <c r="S1195" s="19">
        <f ca="1">IF('Stock Price'!$I$11="OK",F1195/INDEX(F$5:F$1258,'Stock Price'!$I$9)-1,"")</f>
        <v>-0.11817052980132448</v>
      </c>
      <c r="T1195" s="19">
        <f ca="1">IF('Stock Price'!$I$11="OK",G1195/INDEX(G$5:G$1258,'Stock Price'!$I$9)-1,"")</f>
        <v>0.10863208058052631</v>
      </c>
      <c r="U1195" s="19">
        <f ca="1">IF('Stock Price'!$I$11="OK",H1195/INDEX(H$5:H$1258,'Stock Price'!$I$9)-1,"")</f>
        <v>0.55367647058823533</v>
      </c>
      <c r="V1195" s="19">
        <f ca="1">IF('Stock Price'!$I$11="OK",I1195/INDEX(I$5:I$1258,'Stock Price'!$I$9)-1,"")</f>
        <v>-0.43950850661625707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193.12</v>
      </c>
      <c r="C1196" s="18">
        <v>157.03</v>
      </c>
      <c r="D1196" s="18">
        <v>53.32</v>
      </c>
      <c r="E1196" s="18">
        <v>52.17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0.59603305785123961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0.11606488749345889</v>
      </c>
      <c r="R1196" s="19">
        <f ca="1">IF('Stock Price'!$I$11="OK",E1196/INDEX(E$5:E$1258,'Stock Price'!$I$9)-1,"")</f>
        <v>0.1171306209850107</v>
      </c>
      <c r="S1196" s="19">
        <f ca="1">IF('Stock Price'!$I$11="OK",F1196/INDEX(F$5:F$1258,'Stock Price'!$I$9)-1,"")</f>
        <v>-0.11051324503311266</v>
      </c>
      <c r="T1196" s="19">
        <f ca="1">IF('Stock Price'!$I$11="OK",G1196/INDEX(G$5:G$1258,'Stock Price'!$I$9)-1,"")</f>
        <v>0.1008339651250949</v>
      </c>
      <c r="U1196" s="19">
        <f ca="1">IF('Stock Price'!$I$11="OK",H1196/INDEX(H$5:H$1258,'Stock Price'!$I$9)-1,"")</f>
        <v>0.57916666666666705</v>
      </c>
      <c r="V1196" s="19">
        <f ca="1">IF('Stock Price'!$I$11="OK",I1196/INDEX(I$5:I$1258,'Stock Price'!$I$9)-1,"")</f>
        <v>-0.43123818525519853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189.28</v>
      </c>
      <c r="C1197" s="18">
        <v>155.16999999999999</v>
      </c>
      <c r="D1197" s="18">
        <v>52.52</v>
      </c>
      <c r="E1197" s="18">
        <v>51.76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0.56429752066115713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9.9319727891156617E-2</v>
      </c>
      <c r="R1197" s="19">
        <f ca="1">IF('Stock Price'!$I$11="OK",E1197/INDEX(E$5:E$1258,'Stock Price'!$I$9)-1,"")</f>
        <v>0.10835117773019265</v>
      </c>
      <c r="S1197" s="19">
        <f ca="1">IF('Stock Price'!$I$11="OK",F1197/INDEX(F$5:F$1258,'Stock Price'!$I$9)-1,"")</f>
        <v>-0.11465231788079466</v>
      </c>
      <c r="T1197" s="19">
        <f ca="1">IF('Stock Price'!$I$11="OK",G1197/INDEX(G$5:G$1258,'Stock Price'!$I$9)-1,"")</f>
        <v>7.5273475576735693E-2</v>
      </c>
      <c r="U1197" s="19">
        <f ca="1">IF('Stock Price'!$I$11="OK",H1197/INDEX(H$5:H$1258,'Stock Price'!$I$9)-1,"")</f>
        <v>0.54399509803921564</v>
      </c>
      <c r="V1197" s="19">
        <f ca="1">IF('Stock Price'!$I$11="OK",I1197/INDEX(I$5:I$1258,'Stock Price'!$I$9)-1,"")</f>
        <v>-0.43171077504725897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178.49</v>
      </c>
      <c r="C1198" s="18">
        <v>154.62</v>
      </c>
      <c r="D1198" s="18">
        <v>52.47</v>
      </c>
      <c r="E1198" s="18">
        <v>52.02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0.47512396694214876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9.8273155416012559E-2</v>
      </c>
      <c r="R1198" s="19">
        <f ca="1">IF('Stock Price'!$I$11="OK",E1198/INDEX(E$5:E$1258,'Stock Price'!$I$9)-1,"")</f>
        <v>0.11391862955032117</v>
      </c>
      <c r="S1198" s="19">
        <f ca="1">IF('Stock Price'!$I$11="OK",F1198/INDEX(F$5:F$1258,'Stock Price'!$I$9)-1,"")</f>
        <v>-9.1473509933774899E-2</v>
      </c>
      <c r="T1198" s="19">
        <f ca="1">IF('Stock Price'!$I$11="OK",G1198/INDEX(G$5:G$1258,'Stock Price'!$I$9)-1,"")</f>
        <v>9.8234593306617546E-2</v>
      </c>
      <c r="U1198" s="19">
        <f ca="1">IF('Stock Price'!$I$11="OK",H1198/INDEX(H$5:H$1258,'Stock Price'!$I$9)-1,"")</f>
        <v>0.53272058823529411</v>
      </c>
      <c r="V1198" s="19">
        <f ca="1">IF('Stock Price'!$I$11="OK",I1198/INDEX(I$5:I$1258,'Stock Price'!$I$9)-1,"")</f>
        <v>-0.42698487712665412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171.61</v>
      </c>
      <c r="C1199" s="18">
        <v>154.05000000000001</v>
      </c>
      <c r="D1199" s="18">
        <v>52.78</v>
      </c>
      <c r="E1199" s="18">
        <v>51.9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0.41826446280991747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0.10476190476190483</v>
      </c>
      <c r="R1199" s="19">
        <f ca="1">IF('Stock Price'!$I$11="OK",E1199/INDEX(E$5:E$1258,'Stock Price'!$I$9)-1,"")</f>
        <v>0.11134903640256955</v>
      </c>
      <c r="S1199" s="19">
        <f ca="1">IF('Stock Price'!$I$11="OK",F1199/INDEX(F$5:F$1258,'Stock Price'!$I$9)-1,"")</f>
        <v>-9.9751655629139124E-2</v>
      </c>
      <c r="T1199" s="19">
        <f ca="1">IF('Stock Price'!$I$11="OK",G1199/INDEX(G$5:G$1258,'Stock Price'!$I$9)-1,"")</f>
        <v>8.5670962850644461E-2</v>
      </c>
      <c r="U1199" s="19">
        <f ca="1">IF('Stock Price'!$I$11="OK",H1199/INDEX(H$5:H$1258,'Stock Price'!$I$9)-1,"")</f>
        <v>0.51397058823529429</v>
      </c>
      <c r="V1199" s="19">
        <f ca="1">IF('Stock Price'!$I$11="OK",I1199/INDEX(I$5:I$1258,'Stock Price'!$I$9)-1,"")</f>
        <v>-0.42887523629489599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169.47</v>
      </c>
      <c r="C1200" s="18">
        <v>153.37</v>
      </c>
      <c r="D1200" s="18">
        <v>52.29</v>
      </c>
      <c r="E1200" s="18">
        <v>50.5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0.40057851239669429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9.4505494505494614E-2</v>
      </c>
      <c r="R1200" s="19">
        <f ca="1">IF('Stock Price'!$I$11="OK",E1200/INDEX(E$5:E$1258,'Stock Price'!$I$9)-1,"")</f>
        <v>8.1370449678800805E-2</v>
      </c>
      <c r="S1200" s="19">
        <f ca="1">IF('Stock Price'!$I$11="OK",F1200/INDEX(F$5:F$1258,'Stock Price'!$I$9)-1,"")</f>
        <v>-8.9403973509933787E-2</v>
      </c>
      <c r="T1200" s="19">
        <f ca="1">IF('Stock Price'!$I$11="OK",G1200/INDEX(G$5:G$1258,'Stock Price'!$I$9)-1,"")</f>
        <v>8.1338676486515826E-2</v>
      </c>
      <c r="U1200" s="19">
        <f ca="1">IF('Stock Price'!$I$11="OK",H1200/INDEX(H$5:H$1258,'Stock Price'!$I$9)-1,"")</f>
        <v>0.51997549019607847</v>
      </c>
      <c r="V1200" s="19">
        <f ca="1">IF('Stock Price'!$I$11="OK",I1200/INDEX(I$5:I$1258,'Stock Price'!$I$9)-1,"")</f>
        <v>-0.42155009451795844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164.5</v>
      </c>
      <c r="C1201" s="18">
        <v>150.36000000000001</v>
      </c>
      <c r="D1201" s="18">
        <v>51.25</v>
      </c>
      <c r="E1201" s="18">
        <v>50.16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0.35950413223140498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7.2736787022501304E-2</v>
      </c>
      <c r="R1201" s="19">
        <f ca="1">IF('Stock Price'!$I$11="OK",E1201/INDEX(E$5:E$1258,'Stock Price'!$I$9)-1,"")</f>
        <v>7.4089935760171199E-2</v>
      </c>
      <c r="S1201" s="19">
        <f ca="1">IF('Stock Price'!$I$11="OK",F1201/INDEX(F$5:F$1258,'Stock Price'!$I$9)-1,"")</f>
        <v>-0.10637417218543044</v>
      </c>
      <c r="T1201" s="19">
        <f ca="1">IF('Stock Price'!$I$11="OK",G1201/INDEX(G$5:G$1258,'Stock Price'!$I$9)-1,"")</f>
        <v>6.4009531030001066E-2</v>
      </c>
      <c r="U1201" s="19">
        <f ca="1">IF('Stock Price'!$I$11="OK",H1201/INDEX(H$5:H$1258,'Stock Price'!$I$9)-1,"")</f>
        <v>0.48014705882352948</v>
      </c>
      <c r="V1201" s="19">
        <f ca="1">IF('Stock Price'!$I$11="OK",I1201/INDEX(I$5:I$1258,'Stock Price'!$I$9)-1,"")</f>
        <v>-0.42698487712665412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168.37</v>
      </c>
      <c r="C1202" s="18">
        <v>150.80000000000001</v>
      </c>
      <c r="D1202" s="18">
        <v>51.45</v>
      </c>
      <c r="E1202" s="18">
        <v>51.18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0.39148760330578525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7.6923076923077094E-2</v>
      </c>
      <c r="R1202" s="19">
        <f ca="1">IF('Stock Price'!$I$11="OK",E1202/INDEX(E$5:E$1258,'Stock Price'!$I$9)-1,"")</f>
        <v>9.5931477516059793E-2</v>
      </c>
      <c r="S1202" s="19">
        <f ca="1">IF('Stock Price'!$I$11="OK",F1202/INDEX(F$5:F$1258,'Stock Price'!$I$9)-1,"")</f>
        <v>-9.6026490066225212E-2</v>
      </c>
      <c r="T1202" s="19">
        <f ca="1">IF('Stock Price'!$I$11="OK",G1202/INDEX(G$5:G$1258,'Stock Price'!$I$9)-1,"")</f>
        <v>3.3466912162894102E-2</v>
      </c>
      <c r="U1202" s="19">
        <f ca="1">IF('Stock Price'!$I$11="OK",H1202/INDEX(H$5:H$1258,'Stock Price'!$I$9)-1,"")</f>
        <v>0.51482843137254908</v>
      </c>
      <c r="V1202" s="19">
        <f ca="1">IF('Stock Price'!$I$11="OK",I1202/INDEX(I$5:I$1258,'Stock Price'!$I$9)-1,"")</f>
        <v>-0.41351606805293006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169.29</v>
      </c>
      <c r="C1203" s="18">
        <v>152.72999999999999</v>
      </c>
      <c r="D1203" s="18">
        <v>52.77</v>
      </c>
      <c r="E1203" s="18">
        <v>51.45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0.39909090909090894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0.10455259026687602</v>
      </c>
      <c r="R1203" s="19">
        <f ca="1">IF('Stock Price'!$I$11="OK",E1203/INDEX(E$5:E$1258,'Stock Price'!$I$9)-1,"")</f>
        <v>0.10171306209850117</v>
      </c>
      <c r="S1203" s="19">
        <f ca="1">IF('Stock Price'!$I$11="OK",F1203/INDEX(F$5:F$1258,'Stock Price'!$I$9)-1,"")</f>
        <v>-8.5057947019867575E-2</v>
      </c>
      <c r="T1203" s="19">
        <f ca="1">IF('Stock Price'!$I$11="OK",G1203/INDEX(G$5:G$1258,'Stock Price'!$I$9)-1,"")</f>
        <v>3.3683526481100401E-2</v>
      </c>
      <c r="U1203" s="19">
        <f ca="1">IF('Stock Price'!$I$11="OK",H1203/INDEX(H$5:H$1258,'Stock Price'!$I$9)-1,"")</f>
        <v>0.56409313725490207</v>
      </c>
      <c r="V1203" s="19">
        <f ca="1">IF('Stock Price'!$I$11="OK",I1203/INDEX(I$5:I$1258,'Stock Price'!$I$9)-1,"")</f>
        <v>-0.40595463137996224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168.9</v>
      </c>
      <c r="C1204" s="18">
        <v>153.76</v>
      </c>
      <c r="D1204" s="18">
        <v>51.76</v>
      </c>
      <c r="E1204" s="18">
        <v>51.6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0.39586776859504136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8.3411826268969147E-2</v>
      </c>
      <c r="R1204" s="19">
        <f ca="1">IF('Stock Price'!$I$11="OK",E1204/INDEX(E$5:E$1258,'Stock Price'!$I$9)-1,"")</f>
        <v>0.10492505353319048</v>
      </c>
      <c r="S1204" s="19">
        <f ca="1">IF('Stock Price'!$I$11="OK",F1204/INDEX(F$5:F$1258,'Stock Price'!$I$9)-1,"")</f>
        <v>-7.5745033112582849E-2</v>
      </c>
      <c r="T1204" s="19">
        <f ca="1">IF('Stock Price'!$I$11="OK",G1204/INDEX(G$5:G$1258,'Stock Price'!$I$9)-1,"")</f>
        <v>4.9712986028376482E-2</v>
      </c>
      <c r="U1204" s="19">
        <f ca="1">IF('Stock Price'!$I$11="OK",H1204/INDEX(H$5:H$1258,'Stock Price'!$I$9)-1,"")</f>
        <v>0.5625</v>
      </c>
      <c r="V1204" s="19">
        <f ca="1">IF('Stock Price'!$I$11="OK",I1204/INDEX(I$5:I$1258,'Stock Price'!$I$9)-1,"")</f>
        <v>-0.40808128544423439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164.52</v>
      </c>
      <c r="C1205" s="18">
        <v>149.56</v>
      </c>
      <c r="D1205" s="18">
        <v>50.04</v>
      </c>
      <c r="E1205" s="18">
        <v>51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0.35966942148760328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4.740973312401886E-2</v>
      </c>
      <c r="R1205" s="19">
        <f ca="1">IF('Stock Price'!$I$11="OK",E1205/INDEX(E$5:E$1258,'Stock Price'!$I$9)-1,"")</f>
        <v>9.2077087794432577E-2</v>
      </c>
      <c r="S1205" s="19">
        <f ca="1">IF('Stock Price'!$I$11="OK",F1205/INDEX(F$5:F$1258,'Stock Price'!$I$9)-1,"")</f>
        <v>-8.9817880794702099E-2</v>
      </c>
      <c r="T1205" s="19">
        <f ca="1">IF('Stock Price'!$I$11="OK",G1205/INDEX(G$5:G$1258,'Stock Price'!$I$9)-1,"")</f>
        <v>2.4802339434636611E-2</v>
      </c>
      <c r="U1205" s="19">
        <f ca="1">IF('Stock Price'!$I$11="OK",H1205/INDEX(H$5:H$1258,'Stock Price'!$I$9)-1,"")</f>
        <v>0.52450980392156876</v>
      </c>
      <c r="V1205" s="19">
        <f ca="1">IF('Stock Price'!$I$11="OK",I1205/INDEX(I$5:I$1258,'Stock Price'!$I$9)-1,"")</f>
        <v>-0.41517013232514177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169.34</v>
      </c>
      <c r="C1206" s="18">
        <v>153.87</v>
      </c>
      <c r="D1206" s="18">
        <v>50.78</v>
      </c>
      <c r="E1206" s="18">
        <v>51.14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0.39950413223140502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6.2899005756148707E-2</v>
      </c>
      <c r="R1206" s="19">
        <f ca="1">IF('Stock Price'!$I$11="OK",E1206/INDEX(E$5:E$1258,'Stock Price'!$I$9)-1,"")</f>
        <v>9.5074946466809473E-2</v>
      </c>
      <c r="S1206" s="19">
        <f ca="1">IF('Stock Price'!$I$11="OK",F1206/INDEX(F$5:F$1258,'Stock Price'!$I$9)-1,"")</f>
        <v>-9.45778145695364E-2</v>
      </c>
      <c r="T1206" s="19">
        <f ca="1">IF('Stock Price'!$I$11="OK",G1206/INDEX(G$5:G$1258,'Stock Price'!$I$9)-1,"")</f>
        <v>3.1517383299036084E-2</v>
      </c>
      <c r="U1206" s="19">
        <f ca="1">IF('Stock Price'!$I$11="OK",H1206/INDEX(H$5:H$1258,'Stock Price'!$I$9)-1,"")</f>
        <v>0.54730392156862773</v>
      </c>
      <c r="V1206" s="19">
        <f ca="1">IF('Stock Price'!$I$11="OK",I1206/INDEX(I$5:I$1258,'Stock Price'!$I$9)-1,"")</f>
        <v>-0.41068052930056709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169.73</v>
      </c>
      <c r="C1207" s="18">
        <v>153.08000000000001</v>
      </c>
      <c r="D1207" s="18">
        <v>50.76</v>
      </c>
      <c r="E1207" s="18">
        <v>51.7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0.4027272727272726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6.2480376766091084E-2</v>
      </c>
      <c r="R1207" s="19">
        <f ca="1">IF('Stock Price'!$I$11="OK",E1207/INDEX(E$5:E$1258,'Stock Price'!$I$9)-1,"")</f>
        <v>0.10706638115631684</v>
      </c>
      <c r="S1207" s="19">
        <f ca="1">IF('Stock Price'!$I$11="OK",F1207/INDEX(F$5:F$1258,'Stock Price'!$I$9)-1,"")</f>
        <v>-9.375E-2</v>
      </c>
      <c r="T1207" s="19">
        <f ca="1">IF('Stock Price'!$I$11="OK",G1207/INDEX(G$5:G$1258,'Stock Price'!$I$9)-1,"")</f>
        <v>1.7437452615617799E-2</v>
      </c>
      <c r="U1207" s="19">
        <f ca="1">IF('Stock Price'!$I$11="OK",H1207/INDEX(H$5:H$1258,'Stock Price'!$I$9)-1,"")</f>
        <v>0.56213235294117658</v>
      </c>
      <c r="V1207" s="19">
        <f ca="1">IF('Stock Price'!$I$11="OK",I1207/INDEX(I$5:I$1258,'Stock Price'!$I$9)-1,"")</f>
        <v>-0.41351606805293006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168.27</v>
      </c>
      <c r="C1208" s="18">
        <v>156.13999999999999</v>
      </c>
      <c r="D1208" s="18">
        <v>50.74</v>
      </c>
      <c r="E1208" s="18">
        <v>53.92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0.39066115702479354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6.206174777603346E-2</v>
      </c>
      <c r="R1208" s="19">
        <f ca="1">IF('Stock Price'!$I$11="OK",E1208/INDEX(E$5:E$1258,'Stock Price'!$I$9)-1,"")</f>
        <v>0.15460385438972168</v>
      </c>
      <c r="S1208" s="19">
        <f ca="1">IF('Stock Price'!$I$11="OK",F1208/INDEX(F$5:F$1258,'Stock Price'!$I$9)-1,"")</f>
        <v>-0.10264900662251653</v>
      </c>
      <c r="T1208" s="19">
        <f ca="1">IF('Stock Price'!$I$11="OK",G1208/INDEX(G$5:G$1258,'Stock Price'!$I$9)-1,"")</f>
        <v>7.5815011372259988E-4</v>
      </c>
      <c r="U1208" s="19">
        <f ca="1">IF('Stock Price'!$I$11="OK",H1208/INDEX(H$5:H$1258,'Stock Price'!$I$9)-1,"")</f>
        <v>0.59901960784313735</v>
      </c>
      <c r="V1208" s="19">
        <f ca="1">IF('Stock Price'!$I$11="OK",I1208/INDEX(I$5:I$1258,'Stock Price'!$I$9)-1,"")</f>
        <v>-0.40902646502835538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169.26</v>
      </c>
      <c r="C1209" s="18">
        <v>155.01</v>
      </c>
      <c r="D1209" s="18">
        <v>51.35</v>
      </c>
      <c r="E1209" s="18">
        <v>54.7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0.39884297520661161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7.4829931972789199E-2</v>
      </c>
      <c r="R1209" s="19">
        <f ca="1">IF('Stock Price'!$I$11="OK",E1209/INDEX(E$5:E$1258,'Stock Price'!$I$9)-1,"")</f>
        <v>0.17130620985010703</v>
      </c>
      <c r="S1209" s="19">
        <f ca="1">IF('Stock Price'!$I$11="OK",F1209/INDEX(F$5:F$1258,'Stock Price'!$I$9)-1,"")</f>
        <v>-0.10285596026490063</v>
      </c>
      <c r="T1209" s="19">
        <f ca="1">IF('Stock Price'!$I$11="OK",G1209/INDEX(G$5:G$1258,'Stock Price'!$I$9)-1,"")</f>
        <v>-2.2744503411674666E-3</v>
      </c>
      <c r="U1209" s="19">
        <f ca="1">IF('Stock Price'!$I$11="OK",H1209/INDEX(H$5:H$1258,'Stock Price'!$I$9)-1,"")</f>
        <v>0.60624999999999996</v>
      </c>
      <c r="V1209" s="19">
        <f ca="1">IF('Stock Price'!$I$11="OK",I1209/INDEX(I$5:I$1258,'Stock Price'!$I$9)-1,"")</f>
        <v>-0.42013232514177701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169.64</v>
      </c>
      <c r="C1210" s="18">
        <v>156.11000000000001</v>
      </c>
      <c r="D1210" s="18">
        <v>51.98</v>
      </c>
      <c r="E1210" s="18">
        <v>54.77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0.40198347107438015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8.8016745159602339E-2</v>
      </c>
      <c r="R1210" s="19">
        <f ca="1">IF('Stock Price'!$I$11="OK",E1210/INDEX(E$5:E$1258,'Stock Price'!$I$9)-1,"")</f>
        <v>0.17280513918629548</v>
      </c>
      <c r="S1210" s="19">
        <f ca="1">IF('Stock Price'!$I$11="OK",F1210/INDEX(F$5:F$1258,'Stock Price'!$I$9)-1,"")</f>
        <v>-8.9403973509933787E-2</v>
      </c>
      <c r="T1210" s="19">
        <f ca="1">IF('Stock Price'!$I$11="OK",G1210/INDEX(G$5:G$1258,'Stock Price'!$I$9)-1,"")</f>
        <v>2.3069424888985113E-2</v>
      </c>
      <c r="U1210" s="19">
        <f ca="1">IF('Stock Price'!$I$11="OK",H1210/INDEX(H$5:H$1258,'Stock Price'!$I$9)-1,"")</f>
        <v>0.60245098039215694</v>
      </c>
      <c r="V1210" s="19">
        <f ca="1">IF('Stock Price'!$I$11="OK",I1210/INDEX(I$5:I$1258,'Stock Price'!$I$9)-1,"")</f>
        <v>-0.41706049149338376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172.48</v>
      </c>
      <c r="C1211" s="18">
        <v>159.85</v>
      </c>
      <c r="D1211" s="18">
        <v>53.71</v>
      </c>
      <c r="E1211" s="18">
        <v>56.52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0.42545454545454531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0.12422815279958144</v>
      </c>
      <c r="R1211" s="19">
        <f ca="1">IF('Stock Price'!$I$11="OK",E1211/INDEX(E$5:E$1258,'Stock Price'!$I$9)-1,"")</f>
        <v>0.21027837259100646</v>
      </c>
      <c r="S1211" s="19">
        <f ca="1">IF('Stock Price'!$I$11="OK",F1211/INDEX(F$5:F$1258,'Stock Price'!$I$9)-1,"")</f>
        <v>-5.7533112582781487E-2</v>
      </c>
      <c r="T1211" s="19">
        <f ca="1">IF('Stock Price'!$I$11="OK",G1211/INDEX(G$5:G$1258,'Stock Price'!$I$9)-1,"")</f>
        <v>1.8737138524856478E-2</v>
      </c>
      <c r="U1211" s="19">
        <f ca="1">IF('Stock Price'!$I$11="OK",H1211/INDEX(H$5:H$1258,'Stock Price'!$I$9)-1,"")</f>
        <v>0.61544117647058827</v>
      </c>
      <c r="V1211" s="19">
        <f ca="1">IF('Stock Price'!$I$11="OK",I1211/INDEX(I$5:I$1258,'Stock Price'!$I$9)-1,"")</f>
        <v>-0.40335538752362954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173.3</v>
      </c>
      <c r="C1212" s="18">
        <v>158.83000000000001</v>
      </c>
      <c r="D1212" s="18">
        <v>53.22</v>
      </c>
      <c r="E1212" s="18">
        <v>54.97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0.43223140495867773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0.11397174254317122</v>
      </c>
      <c r="R1212" s="19">
        <f ca="1">IF('Stock Price'!$I$11="OK",E1212/INDEX(E$5:E$1258,'Stock Price'!$I$9)-1,"")</f>
        <v>0.17708779443254818</v>
      </c>
      <c r="S1212" s="19">
        <f ca="1">IF('Stock Price'!$I$11="OK",F1212/INDEX(F$5:F$1258,'Stock Price'!$I$9)-1,"")</f>
        <v>-7.1812913907284726E-2</v>
      </c>
      <c r="T1212" s="19">
        <f ca="1">IF('Stock Price'!$I$11="OK",G1212/INDEX(G$5:G$1258,'Stock Price'!$I$9)-1,"")</f>
        <v>3.3033683526481061E-2</v>
      </c>
      <c r="U1212" s="19">
        <f ca="1">IF('Stock Price'!$I$11="OK",H1212/INDEX(H$5:H$1258,'Stock Price'!$I$9)-1,"")</f>
        <v>0.59754901960784346</v>
      </c>
      <c r="V1212" s="19">
        <f ca="1">IF('Stock Price'!$I$11="OK",I1212/INDEX(I$5:I$1258,'Stock Price'!$I$9)-1,"")</f>
        <v>-0.40571833648393196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171.34</v>
      </c>
      <c r="C1213" s="18">
        <v>158.44</v>
      </c>
      <c r="D1213" s="18">
        <v>52.07</v>
      </c>
      <c r="E1213" s="18">
        <v>55.27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0.41603305785123967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8.9900575614861422E-2</v>
      </c>
      <c r="R1213" s="19">
        <f ca="1">IF('Stock Price'!$I$11="OK",E1213/INDEX(E$5:E$1258,'Stock Price'!$I$9)-1,"")</f>
        <v>0.18351177730192725</v>
      </c>
      <c r="S1213" s="19">
        <f ca="1">IF('Stock Price'!$I$11="OK",F1213/INDEX(F$5:F$1258,'Stock Price'!$I$9)-1,"")</f>
        <v>-0.11237582781456956</v>
      </c>
      <c r="T1213" s="19">
        <f ca="1">IF('Stock Price'!$I$11="OK",G1213/INDEX(G$5:G$1258,'Stock Price'!$I$9)-1,"")</f>
        <v>4.9279757391963663E-2</v>
      </c>
      <c r="U1213" s="19">
        <f ca="1">IF('Stock Price'!$I$11="OK",H1213/INDEX(H$5:H$1258,'Stock Price'!$I$9)-1,"")</f>
        <v>0.59056372549019609</v>
      </c>
      <c r="V1213" s="19">
        <f ca="1">IF('Stock Price'!$I$11="OK",I1213/INDEX(I$5:I$1258,'Stock Price'!$I$9)-1,"")</f>
        <v>-0.4113894139886578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169.64</v>
      </c>
      <c r="C1214" s="18">
        <v>156.15</v>
      </c>
      <c r="D1214" s="18">
        <v>51.69</v>
      </c>
      <c r="E1214" s="18">
        <v>54.67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0.40198347107438015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8.1946624803767687E-2</v>
      </c>
      <c r="R1214" s="19">
        <f ca="1">IF('Stock Price'!$I$11="OK",E1214/INDEX(E$5:E$1258,'Stock Price'!$I$9)-1,"")</f>
        <v>0.17066381156316912</v>
      </c>
      <c r="S1214" s="19">
        <f ca="1">IF('Stock Price'!$I$11="OK",F1214/INDEX(F$5:F$1258,'Stock Price'!$I$9)-1,"")</f>
        <v>-0.10844370860927155</v>
      </c>
      <c r="T1214" s="19">
        <f ca="1">IF('Stock Price'!$I$11="OK",G1214/INDEX(G$5:G$1258,'Stock Price'!$I$9)-1,"")</f>
        <v>4.0831798981912693E-2</v>
      </c>
      <c r="U1214" s="19">
        <f ca="1">IF('Stock Price'!$I$11="OK",H1214/INDEX(H$5:H$1258,'Stock Price'!$I$9)-1,"")</f>
        <v>0.59558823529411753</v>
      </c>
      <c r="V1214" s="19">
        <f ca="1">IF('Stock Price'!$I$11="OK",I1214/INDEX(I$5:I$1258,'Stock Price'!$I$9)-1,"")</f>
        <v>-0.40902646502835538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157.97</v>
      </c>
      <c r="C1215" s="18">
        <v>153.66999999999999</v>
      </c>
      <c r="D1215" s="18">
        <v>51.51</v>
      </c>
      <c r="E1215" s="18">
        <v>55.08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0.30553719008264468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7.817896389324952E-2</v>
      </c>
      <c r="R1215" s="19">
        <f ca="1">IF('Stock Price'!$I$11="OK",E1215/INDEX(E$5:E$1258,'Stock Price'!$I$9)-1,"")</f>
        <v>0.17944325481798695</v>
      </c>
      <c r="S1215" s="19">
        <f ca="1">IF('Stock Price'!$I$11="OK",F1215/INDEX(F$5:F$1258,'Stock Price'!$I$9)-1,"")</f>
        <v>-0.11113410596026485</v>
      </c>
      <c r="T1215" s="19">
        <f ca="1">IF('Stock Price'!$I$11="OK",G1215/INDEX(G$5:G$1258,'Stock Price'!$I$9)-1,"")</f>
        <v>2.0686667388714275E-2</v>
      </c>
      <c r="U1215" s="19">
        <f ca="1">IF('Stock Price'!$I$11="OK",H1215/INDEX(H$5:H$1258,'Stock Price'!$I$9)-1,"")</f>
        <v>0.56580882352941186</v>
      </c>
      <c r="V1215" s="19">
        <f ca="1">IF('Stock Price'!$I$11="OK",I1215/INDEX(I$5:I$1258,'Stock Price'!$I$9)-1,"")</f>
        <v>-0.40855387523629483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155.62</v>
      </c>
      <c r="C1216" s="18">
        <v>153.27000000000001</v>
      </c>
      <c r="D1216" s="18">
        <v>51.53</v>
      </c>
      <c r="E1216" s="18">
        <v>55.42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0.28611570247933882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7.8597592883307144E-2</v>
      </c>
      <c r="R1216" s="19">
        <f ca="1">IF('Stock Price'!$I$11="OK",E1216/INDEX(E$5:E$1258,'Stock Price'!$I$9)-1,"")</f>
        <v>0.18672376873661656</v>
      </c>
      <c r="S1216" s="19">
        <f ca="1">IF('Stock Price'!$I$11="OK",F1216/INDEX(F$5:F$1258,'Stock Price'!$I$9)-1,"")</f>
        <v>-0.11672185430463577</v>
      </c>
      <c r="T1216" s="19">
        <f ca="1">IF('Stock Price'!$I$11="OK",G1216/INDEX(G$5:G$1258,'Stock Price'!$I$9)-1,"")</f>
        <v>4.5164085346041327E-2</v>
      </c>
      <c r="U1216" s="19">
        <f ca="1">IF('Stock Price'!$I$11="OK",H1216/INDEX(H$5:H$1258,'Stock Price'!$I$9)-1,"")</f>
        <v>0.56862745098039236</v>
      </c>
      <c r="V1216" s="19">
        <f ca="1">IF('Stock Price'!$I$11="OK",I1216/INDEX(I$5:I$1258,'Stock Price'!$I$9)-1,"")</f>
        <v>-0.39957466918714557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161.5</v>
      </c>
      <c r="C1217" s="18">
        <v>154.44</v>
      </c>
      <c r="D1217" s="18">
        <v>51.46</v>
      </c>
      <c r="E1217" s="18">
        <v>56.41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0.334710743801653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7.7132391418105684E-2</v>
      </c>
      <c r="R1217" s="19">
        <f ca="1">IF('Stock Price'!$I$11="OK",E1217/INDEX(E$5:E$1258,'Stock Price'!$I$9)-1,"")</f>
        <v>0.20792291220556725</v>
      </c>
      <c r="S1217" s="19">
        <f ca="1">IF('Stock Price'!$I$11="OK",F1217/INDEX(F$5:F$1258,'Stock Price'!$I$9)-1,"")</f>
        <v>-0.11465231788079466</v>
      </c>
      <c r="T1217" s="19">
        <f ca="1">IF('Stock Price'!$I$11="OK",G1217/INDEX(G$5:G$1258,'Stock Price'!$I$9)-1,"")</f>
        <v>6.6175674212065383E-2</v>
      </c>
      <c r="U1217" s="19">
        <f ca="1">IF('Stock Price'!$I$11="OK",H1217/INDEX(H$5:H$1258,'Stock Price'!$I$9)-1,"")</f>
        <v>0.57267156862745128</v>
      </c>
      <c r="V1217" s="19">
        <f ca="1">IF('Stock Price'!$I$11="OK",I1217/INDEX(I$5:I$1258,'Stock Price'!$I$9)-1,"")</f>
        <v>-0.39012287334593576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161.07</v>
      </c>
      <c r="C1218" s="18">
        <v>154.21</v>
      </c>
      <c r="D1218" s="18">
        <v>52.17</v>
      </c>
      <c r="E1218" s="18">
        <v>56.17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0.33115702479338838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9.1993720565149095E-2</v>
      </c>
      <c r="R1218" s="19">
        <f ca="1">IF('Stock Price'!$I$11="OK",E1218/INDEX(E$5:E$1258,'Stock Price'!$I$9)-1,"")</f>
        <v>0.20278372591006422</v>
      </c>
      <c r="S1218" s="19">
        <f ca="1">IF('Stock Price'!$I$11="OK",F1218/INDEX(F$5:F$1258,'Stock Price'!$I$9)-1,"")</f>
        <v>-0.11237582781456956</v>
      </c>
      <c r="T1218" s="19">
        <f ca="1">IF('Stock Price'!$I$11="OK",G1218/INDEX(G$5:G$1258,'Stock Price'!$I$9)-1,"")</f>
        <v>7.0074731939781199E-2</v>
      </c>
      <c r="U1218" s="19">
        <f ca="1">IF('Stock Price'!$I$11="OK",H1218/INDEX(H$5:H$1258,'Stock Price'!$I$9)-1,"")</f>
        <v>0.57316176470588243</v>
      </c>
      <c r="V1218" s="19">
        <f ca="1">IF('Stock Price'!$I$11="OK",I1218/INDEX(I$5:I$1258,'Stock Price'!$I$9)-1,"")</f>
        <v>-0.38090737240075612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161.41999999999999</v>
      </c>
      <c r="C1219" s="18">
        <v>156.33000000000001</v>
      </c>
      <c r="D1219" s="18">
        <v>52.96</v>
      </c>
      <c r="E1219" s="18">
        <v>57.26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0.33404958677685936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0.10852956567242278</v>
      </c>
      <c r="R1219" s="19">
        <f ca="1">IF('Stock Price'!$I$11="OK",E1219/INDEX(E$5:E$1258,'Stock Price'!$I$9)-1,"")</f>
        <v>0.22612419700214126</v>
      </c>
      <c r="S1219" s="19">
        <f ca="1">IF('Stock Price'!$I$11="OK",F1219/INDEX(F$5:F$1258,'Stock Price'!$I$9)-1,"")</f>
        <v>-0.10057947019867552</v>
      </c>
      <c r="T1219" s="19">
        <f ca="1">IF('Stock Price'!$I$11="OK",G1219/INDEX(G$5:G$1258,'Stock Price'!$I$9)-1,"")</f>
        <v>7.8955918986244988E-2</v>
      </c>
      <c r="U1219" s="19">
        <f ca="1">IF('Stock Price'!$I$11="OK",H1219/INDEX(H$5:H$1258,'Stock Price'!$I$9)-1,"")</f>
        <v>0.57573529411764723</v>
      </c>
      <c r="V1219" s="19">
        <f ca="1">IF('Stock Price'!$I$11="OK",I1219/INDEX(I$5:I$1258,'Stock Price'!$I$9)-1,"")</f>
        <v>-0.36767485822306234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161.91</v>
      </c>
      <c r="C1220" s="18">
        <v>156.79</v>
      </c>
      <c r="D1220" s="18">
        <v>52.16</v>
      </c>
      <c r="E1220" s="18">
        <v>57.43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0.33809917355371888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9.1784406070120284E-2</v>
      </c>
      <c r="R1220" s="19">
        <f ca="1">IF('Stock Price'!$I$11="OK",E1220/INDEX(E$5:E$1258,'Stock Price'!$I$9)-1,"")</f>
        <v>0.22976445396145606</v>
      </c>
      <c r="S1220" s="19">
        <f ca="1">IF('Stock Price'!$I$11="OK",F1220/INDEX(F$5:F$1258,'Stock Price'!$I$9)-1,"")</f>
        <v>-0.10016556291390732</v>
      </c>
      <c r="T1220" s="19">
        <f ca="1">IF('Stock Price'!$I$11="OK",G1220/INDEX(G$5:G$1258,'Stock Price'!$I$9)-1,"")</f>
        <v>6.6392288530271903E-2</v>
      </c>
      <c r="U1220" s="19">
        <f ca="1">IF('Stock Price'!$I$11="OK",H1220/INDEX(H$5:H$1258,'Stock Price'!$I$9)-1,"")</f>
        <v>0.6044117647058822</v>
      </c>
      <c r="V1220" s="19">
        <f ca="1">IF('Stock Price'!$I$11="OK",I1220/INDEX(I$5:I$1258,'Stock Price'!$I$9)-1,"")</f>
        <v>-0.36082230623818523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158.75</v>
      </c>
      <c r="C1221" s="18">
        <v>154.61000000000001</v>
      </c>
      <c r="D1221" s="18">
        <v>50.9</v>
      </c>
      <c r="E1221" s="18">
        <v>56.62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0.31198347107438007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6.5410779696494004E-2</v>
      </c>
      <c r="R1221" s="19">
        <f ca="1">IF('Stock Price'!$I$11="OK",E1221/INDEX(E$5:E$1258,'Stock Price'!$I$9)-1,"")</f>
        <v>0.21241970021413259</v>
      </c>
      <c r="S1221" s="19">
        <f ca="1">IF('Stock Price'!$I$11="OK",F1221/INDEX(F$5:F$1258,'Stock Price'!$I$9)-1,"")</f>
        <v>-9.8509933774834413E-2</v>
      </c>
      <c r="T1221" s="19">
        <f ca="1">IF('Stock Price'!$I$11="OK",G1221/INDEX(G$5:G$1258,'Stock Price'!$I$9)-1,"")</f>
        <v>6.0327087620491771E-2</v>
      </c>
      <c r="U1221" s="19">
        <f ca="1">IF('Stock Price'!$I$11="OK",H1221/INDEX(H$5:H$1258,'Stock Price'!$I$9)-1,"")</f>
        <v>0.59828431372549007</v>
      </c>
      <c r="V1221" s="19">
        <f ca="1">IF('Stock Price'!$I$11="OK",I1221/INDEX(I$5:I$1258,'Stock Price'!$I$9)-1,"")</f>
        <v>-0.37098298676748576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158.5</v>
      </c>
      <c r="C1222" s="18">
        <v>152.32</v>
      </c>
      <c r="D1222" s="18">
        <v>50.3</v>
      </c>
      <c r="E1222" s="18">
        <v>56.51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0.30991735537190079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5.2851909994767077E-2</v>
      </c>
      <c r="R1222" s="19">
        <f ca="1">IF('Stock Price'!$I$11="OK",E1222/INDEX(E$5:E$1258,'Stock Price'!$I$9)-1,"")</f>
        <v>0.2100642398286936</v>
      </c>
      <c r="S1222" s="19">
        <f ca="1">IF('Stock Price'!$I$11="OK",F1222/INDEX(F$5:F$1258,'Stock Price'!$I$9)-1,"")</f>
        <v>-9.5405629139072801E-2</v>
      </c>
      <c r="T1222" s="19">
        <f ca="1">IF('Stock Price'!$I$11="OK",G1222/INDEX(G$5:G$1258,'Stock Price'!$I$9)-1,"")</f>
        <v>3.9748727390880534E-2</v>
      </c>
      <c r="U1222" s="19">
        <f ca="1">IF('Stock Price'!$I$11="OK",H1222/INDEX(H$5:H$1258,'Stock Price'!$I$9)-1,"")</f>
        <v>0.62892156862745097</v>
      </c>
      <c r="V1222" s="19">
        <f ca="1">IF('Stock Price'!$I$11="OK",I1222/INDEX(I$5:I$1258,'Stock Price'!$I$9)-1,"")</f>
        <v>-0.37830812854442353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157.24</v>
      </c>
      <c r="C1223" s="18">
        <v>151.72</v>
      </c>
      <c r="D1223" s="18">
        <v>50.45</v>
      </c>
      <c r="E1223" s="18">
        <v>55.49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0.29950413223140493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5.599162742019903E-2</v>
      </c>
      <c r="R1223" s="19">
        <f ca="1">IF('Stock Price'!$I$11="OK",E1223/INDEX(E$5:E$1258,'Stock Price'!$I$9)-1,"")</f>
        <v>0.18822269807280501</v>
      </c>
      <c r="S1223" s="19">
        <f ca="1">IF('Stock Price'!$I$11="OK",F1223/INDEX(F$5:F$1258,'Stock Price'!$I$9)-1,"")</f>
        <v>-9.39569536423841E-2</v>
      </c>
      <c r="T1223" s="19">
        <f ca="1">IF('Stock Price'!$I$11="OK",G1223/INDEX(G$5:G$1258,'Stock Price'!$I$9)-1,"")</f>
        <v>4.1048413300119213E-2</v>
      </c>
      <c r="U1223" s="19">
        <f ca="1">IF('Stock Price'!$I$11="OK",H1223/INDEX(H$5:H$1258,'Stock Price'!$I$9)-1,"")</f>
        <v>0.66115196078431393</v>
      </c>
      <c r="V1223" s="19">
        <f ca="1">IF('Stock Price'!$I$11="OK",I1223/INDEX(I$5:I$1258,'Stock Price'!$I$9)-1,"")</f>
        <v>-0.36672967863894135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156.44999999999999</v>
      </c>
      <c r="C1224" s="18">
        <v>150.88</v>
      </c>
      <c r="D1224" s="18">
        <v>49.52</v>
      </c>
      <c r="E1224" s="18">
        <v>54.52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0.29297520661157006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3.6525379382522427E-2</v>
      </c>
      <c r="R1224" s="19">
        <f ca="1">IF('Stock Price'!$I$11="OK",E1224/INDEX(E$5:E$1258,'Stock Price'!$I$9)-1,"")</f>
        <v>0.16745182012847959</v>
      </c>
      <c r="S1224" s="19">
        <f ca="1">IF('Stock Price'!$I$11="OK",F1224/INDEX(F$5:F$1258,'Stock Price'!$I$9)-1,"")</f>
        <v>-9.5198675496688812E-2</v>
      </c>
      <c r="T1224" s="19">
        <f ca="1">IF('Stock Price'!$I$11="OK",G1224/INDEX(G$5:G$1258,'Stock Price'!$I$9)-1,"")</f>
        <v>3.5199826708545379E-2</v>
      </c>
      <c r="U1224" s="19">
        <f ca="1">IF('Stock Price'!$I$11="OK",H1224/INDEX(H$5:H$1258,'Stock Price'!$I$9)-1,"")</f>
        <v>0.66470588235294126</v>
      </c>
      <c r="V1224" s="19">
        <f ca="1">IF('Stock Price'!$I$11="OK",I1224/INDEX(I$5:I$1258,'Stock Price'!$I$9)-1,"")</f>
        <v>-0.36696597353497162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156.88999999999999</v>
      </c>
      <c r="C1225" s="18">
        <v>151.97</v>
      </c>
      <c r="D1225" s="18">
        <v>50.28</v>
      </c>
      <c r="E1225" s="18">
        <v>54.61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0.29661157024793372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5.2433281004709675E-2</v>
      </c>
      <c r="R1225" s="19">
        <f ca="1">IF('Stock Price'!$I$11="OK",E1225/INDEX(E$5:E$1258,'Stock Price'!$I$9)-1,"")</f>
        <v>0.16937901498929331</v>
      </c>
      <c r="S1225" s="19">
        <f ca="1">IF('Stock Price'!$I$11="OK",F1225/INDEX(F$5:F$1258,'Stock Price'!$I$9)-1,"")</f>
        <v>-8.0918874172185462E-2</v>
      </c>
      <c r="T1225" s="19">
        <f ca="1">IF('Stock Price'!$I$11="OK",G1225/INDEX(G$5:G$1258,'Stock Price'!$I$9)-1,"")</f>
        <v>3.7582584208816217E-2</v>
      </c>
      <c r="U1225" s="19">
        <f ca="1">IF('Stock Price'!$I$11="OK",H1225/INDEX(H$5:H$1258,'Stock Price'!$I$9)-1,"")</f>
        <v>0.66629901960784332</v>
      </c>
      <c r="V1225" s="19">
        <f ca="1">IF('Stock Price'!$I$11="OK",I1225/INDEX(I$5:I$1258,'Stock Price'!$I$9)-1,"")</f>
        <v>-0.36507561436672964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160.1</v>
      </c>
      <c r="C1226" s="18">
        <v>154.55000000000001</v>
      </c>
      <c r="D1226" s="18">
        <v>51.15</v>
      </c>
      <c r="E1226" s="18">
        <v>55.53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0.32314049586776861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7.0643642072213408E-2</v>
      </c>
      <c r="R1226" s="19">
        <f ca="1">IF('Stock Price'!$I$11="OK",E1226/INDEX(E$5:E$1258,'Stock Price'!$I$9)-1,"")</f>
        <v>0.18907922912205555</v>
      </c>
      <c r="S1226" s="19">
        <f ca="1">IF('Stock Price'!$I$11="OK",F1226/INDEX(F$5:F$1258,'Stock Price'!$I$9)-1,"")</f>
        <v>-6.9329470198675525E-2</v>
      </c>
      <c r="T1226" s="19">
        <f ca="1">IF('Stock Price'!$I$11="OK",G1226/INDEX(G$5:G$1258,'Stock Price'!$I$9)-1,"")</f>
        <v>5.5778186938156615E-2</v>
      </c>
      <c r="U1226" s="19">
        <f ca="1">IF('Stock Price'!$I$11="OK",H1226/INDEX(H$5:H$1258,'Stock Price'!$I$9)-1,"")</f>
        <v>0.65649509803921569</v>
      </c>
      <c r="V1226" s="19">
        <f ca="1">IF('Stock Price'!$I$11="OK",I1226/INDEX(I$5:I$1258,'Stock Price'!$I$9)-1,"")</f>
        <v>-0.35609640831758038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164.95</v>
      </c>
      <c r="C1227" s="18">
        <v>160.31</v>
      </c>
      <c r="D1227" s="18">
        <v>52.88</v>
      </c>
      <c r="E1227" s="18">
        <v>58.2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0.36322314049586768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0.10685504971219273</v>
      </c>
      <c r="R1227" s="19">
        <f ca="1">IF('Stock Price'!$I$11="OK",E1227/INDEX(E$5:E$1258,'Stock Price'!$I$9)-1,"")</f>
        <v>0.24625267665952899</v>
      </c>
      <c r="S1227" s="19">
        <f ca="1">IF('Stock Price'!$I$11="OK",F1227/INDEX(F$5:F$1258,'Stock Price'!$I$9)-1,"")</f>
        <v>-5.1531456953642474E-2</v>
      </c>
      <c r="T1227" s="19">
        <f ca="1">IF('Stock Price'!$I$11="OK",G1227/INDEX(G$5:G$1258,'Stock Price'!$I$9)-1,"")</f>
        <v>6.1626773529730228E-2</v>
      </c>
      <c r="U1227" s="19">
        <f ca="1">IF('Stock Price'!$I$11="OK",H1227/INDEX(H$5:H$1258,'Stock Price'!$I$9)-1,"")</f>
        <v>0.86519607843137258</v>
      </c>
      <c r="V1227" s="19">
        <f ca="1">IF('Stock Price'!$I$11="OK",I1227/INDEX(I$5:I$1258,'Stock Price'!$I$9)-1,"")</f>
        <v>-0.33270321361058608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164.49</v>
      </c>
      <c r="C1228" s="18">
        <v>156.24</v>
      </c>
      <c r="D1228" s="18">
        <v>51.96</v>
      </c>
      <c r="E1228" s="18">
        <v>57.25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0.35942148760330594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8.7598116169544715E-2</v>
      </c>
      <c r="R1228" s="19">
        <f ca="1">IF('Stock Price'!$I$11="OK",E1228/INDEX(E$5:E$1258,'Stock Price'!$I$9)-1,"")</f>
        <v>0.22591006423982862</v>
      </c>
      <c r="S1228" s="19">
        <f ca="1">IF('Stock Price'!$I$11="OK",F1228/INDEX(F$5:F$1258,'Stock Price'!$I$9)-1,"")</f>
        <v>-6.5604304635761612E-2</v>
      </c>
      <c r="T1228" s="19">
        <f ca="1">IF('Stock Price'!$I$11="OK",G1228/INDEX(G$5:G$1258,'Stock Price'!$I$9)-1,"")</f>
        <v>5.2962200801472958E-2</v>
      </c>
      <c r="U1228" s="19">
        <f ca="1">IF('Stock Price'!$I$11="OK",H1228/INDEX(H$5:H$1258,'Stock Price'!$I$9)-1,"")</f>
        <v>0.82585784313725519</v>
      </c>
      <c r="V1228" s="19">
        <f ca="1">IF('Stock Price'!$I$11="OK",I1228/INDEX(I$5:I$1258,'Stock Price'!$I$9)-1,"")</f>
        <v>-0.34333648393194705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165.98</v>
      </c>
      <c r="C1229" s="18">
        <v>158.86000000000001</v>
      </c>
      <c r="D1229" s="18">
        <v>52.41</v>
      </c>
      <c r="E1229" s="18">
        <v>58.1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0.37173553719008257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9.701726844583991E-2</v>
      </c>
      <c r="R1229" s="19">
        <f ca="1">IF('Stock Price'!$I$11="OK",E1229/INDEX(E$5:E$1258,'Stock Price'!$I$9)-1,"")</f>
        <v>0.24411134903640241</v>
      </c>
      <c r="S1229" s="19">
        <f ca="1">IF('Stock Price'!$I$11="OK",F1229/INDEX(F$5:F$1258,'Stock Price'!$I$9)-1,"")</f>
        <v>-5.1117549668874163E-2</v>
      </c>
      <c r="T1229" s="19">
        <f ca="1">IF('Stock Price'!$I$11="OK",G1229/INDEX(G$5:G$1258,'Stock Price'!$I$9)-1,"")</f>
        <v>4.0615184663706172E-2</v>
      </c>
      <c r="U1229" s="19">
        <f ca="1">IF('Stock Price'!$I$11="OK",H1229/INDEX(H$5:H$1258,'Stock Price'!$I$9)-1,"")</f>
        <v>0.86948529411764741</v>
      </c>
      <c r="V1229" s="19">
        <f ca="1">IF('Stock Price'!$I$11="OK",I1229/INDEX(I$5:I$1258,'Stock Price'!$I$9)-1,"")</f>
        <v>-0.33672022684310021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166.71</v>
      </c>
      <c r="C1230" s="18">
        <v>158.02000000000001</v>
      </c>
      <c r="D1230" s="18">
        <v>51.78</v>
      </c>
      <c r="E1230" s="18">
        <v>57.47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0.37776859504132232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8.383045525902677E-2</v>
      </c>
      <c r="R1230" s="19">
        <f ca="1">IF('Stock Price'!$I$11="OK",E1230/INDEX(E$5:E$1258,'Stock Price'!$I$9)-1,"")</f>
        <v>0.2306209850107066</v>
      </c>
      <c r="S1230" s="19">
        <f ca="1">IF('Stock Price'!$I$11="OK",F1230/INDEX(F$5:F$1258,'Stock Price'!$I$9)-1,"")</f>
        <v>-5.4428807947019875E-2</v>
      </c>
      <c r="T1230" s="19">
        <f ca="1">IF('Stock Price'!$I$11="OK",G1230/INDEX(G$5:G$1258,'Stock Price'!$I$9)-1,"")</f>
        <v>5.0146214664789301E-2</v>
      </c>
      <c r="U1230" s="19">
        <f ca="1">IF('Stock Price'!$I$11="OK",H1230/INDEX(H$5:H$1258,'Stock Price'!$I$9)-1,"")</f>
        <v>0.84632352941176481</v>
      </c>
      <c r="V1230" s="19">
        <f ca="1">IF('Stock Price'!$I$11="OK",I1230/INDEX(I$5:I$1258,'Stock Price'!$I$9)-1,"")</f>
        <v>-0.33908317580340264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169.66</v>
      </c>
      <c r="C1231" s="18">
        <v>159.97999999999999</v>
      </c>
      <c r="D1231" s="18">
        <v>52.07</v>
      </c>
      <c r="E1231" s="18">
        <v>58.47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0.40214876033057845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8.9900575614861422E-2</v>
      </c>
      <c r="R1231" s="19">
        <f ca="1">IF('Stock Price'!$I$11="OK",E1231/INDEX(E$5:E$1258,'Stock Price'!$I$9)-1,"")</f>
        <v>0.25203426124196993</v>
      </c>
      <c r="S1231" s="19">
        <f ca="1">IF('Stock Price'!$I$11="OK",F1231/INDEX(F$5:F$1258,'Stock Price'!$I$9)-1,"")</f>
        <v>-4.759933774834435E-2</v>
      </c>
      <c r="T1231" s="19">
        <f ca="1">IF('Stock Price'!$I$11="OK",G1231/INDEX(G$5:G$1258,'Stock Price'!$I$9)-1,"")</f>
        <v>6.7042131484891021E-2</v>
      </c>
      <c r="U1231" s="19">
        <f ca="1">IF('Stock Price'!$I$11="OK",H1231/INDEX(H$5:H$1258,'Stock Price'!$I$9)-1,"")</f>
        <v>0.91727941176470584</v>
      </c>
      <c r="V1231" s="19">
        <f ca="1">IF('Stock Price'!$I$11="OK",I1231/INDEX(I$5:I$1258,'Stock Price'!$I$9)-1,"")</f>
        <v>-0.32490548204158787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166.27</v>
      </c>
      <c r="C1232" s="18">
        <v>157.54</v>
      </c>
      <c r="D1232" s="18">
        <v>51.43</v>
      </c>
      <c r="E1232" s="18">
        <v>56.89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0.37413223140495866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7.650444793301947E-2</v>
      </c>
      <c r="R1232" s="19">
        <f ca="1">IF('Stock Price'!$I$11="OK",E1232/INDEX(E$5:E$1258,'Stock Price'!$I$9)-1,"")</f>
        <v>0.21820128479657375</v>
      </c>
      <c r="S1232" s="19">
        <f ca="1">IF('Stock Price'!$I$11="OK",F1232/INDEX(F$5:F$1258,'Stock Price'!$I$9)-1,"")</f>
        <v>-6.0016556291390688E-2</v>
      </c>
      <c r="T1232" s="19">
        <f ca="1">IF('Stock Price'!$I$11="OK",G1232/INDEX(G$5:G$1258,'Stock Price'!$I$9)-1,"")</f>
        <v>6.3792916711794767E-2</v>
      </c>
      <c r="U1232" s="19">
        <f ca="1">IF('Stock Price'!$I$11="OK",H1232/INDEX(H$5:H$1258,'Stock Price'!$I$9)-1,"")</f>
        <v>0.87622549019607843</v>
      </c>
      <c r="V1232" s="19">
        <f ca="1">IF('Stock Price'!$I$11="OK",I1232/INDEX(I$5:I$1258,'Stock Price'!$I$9)-1,"")</f>
        <v>-0.33128544423440454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164.52</v>
      </c>
      <c r="C1233" s="18">
        <v>154.65</v>
      </c>
      <c r="D1233" s="18">
        <v>50.27</v>
      </c>
      <c r="E1233" s="18">
        <v>56.39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0.35966942148760328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5.2223966509680864E-2</v>
      </c>
      <c r="R1233" s="19">
        <f ca="1">IF('Stock Price'!$I$11="OK",E1233/INDEX(E$5:E$1258,'Stock Price'!$I$9)-1,"")</f>
        <v>0.2074946466809422</v>
      </c>
      <c r="S1233" s="19">
        <f ca="1">IF('Stock Price'!$I$11="OK",F1233/INDEX(F$5:F$1258,'Stock Price'!$I$9)-1,"")</f>
        <v>-7.2019867549668826E-2</v>
      </c>
      <c r="T1233" s="19">
        <f ca="1">IF('Stock Price'!$I$11="OK",G1233/INDEX(G$5:G$1258,'Stock Price'!$I$9)-1,"")</f>
        <v>5.0146214664789301E-2</v>
      </c>
      <c r="U1233" s="19">
        <f ca="1">IF('Stock Price'!$I$11="OK",H1233/INDEX(H$5:H$1258,'Stock Price'!$I$9)-1,"")</f>
        <v>0.8325980392156862</v>
      </c>
      <c r="V1233" s="19">
        <f ca="1">IF('Stock Price'!$I$11="OK",I1233/INDEX(I$5:I$1258,'Stock Price'!$I$9)-1,"")</f>
        <v>-0.33790170132325148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162.69999999999999</v>
      </c>
      <c r="C1234" s="18">
        <v>153.81</v>
      </c>
      <c r="D1234" s="18">
        <v>50.82</v>
      </c>
      <c r="E1234" s="18">
        <v>55.19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0.34462809917355353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6.3736263736263732E-2</v>
      </c>
      <c r="R1234" s="19">
        <f ca="1">IF('Stock Price'!$I$11="OK",E1234/INDEX(E$5:E$1258,'Stock Price'!$I$9)-1,"")</f>
        <v>0.18179871520342594</v>
      </c>
      <c r="S1234" s="19">
        <f ca="1">IF('Stock Price'!$I$11="OK",F1234/INDEX(F$5:F$1258,'Stock Price'!$I$9)-1,"")</f>
        <v>-7.2433774834437137E-2</v>
      </c>
      <c r="T1234" s="19">
        <f ca="1">IF('Stock Price'!$I$11="OK",G1234/INDEX(G$5:G$1258,'Stock Price'!$I$9)-1,"")</f>
        <v>5.4261886710711638E-2</v>
      </c>
      <c r="U1234" s="19">
        <f ca="1">IF('Stock Price'!$I$11="OK",H1234/INDEX(H$5:H$1258,'Stock Price'!$I$9)-1,"")</f>
        <v>0.81801470588235303</v>
      </c>
      <c r="V1234" s="19">
        <f ca="1">IF('Stock Price'!$I$11="OK",I1234/INDEX(I$5:I$1258,'Stock Price'!$I$9)-1,"")</f>
        <v>-0.33931947069943291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162.13</v>
      </c>
      <c r="C1235" s="18">
        <v>152.06</v>
      </c>
      <c r="D1235" s="18">
        <v>50.25</v>
      </c>
      <c r="E1235" s="18">
        <v>53.7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0.33991735537190082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5.180533751962324E-2</v>
      </c>
      <c r="R1235" s="19">
        <f ca="1">IF('Stock Price'!$I$11="OK",E1235/INDEX(E$5:E$1258,'Stock Price'!$I$9)-1,"")</f>
        <v>0.1498929336188437</v>
      </c>
      <c r="S1235" s="19">
        <f ca="1">IF('Stock Price'!$I$11="OK",F1235/INDEX(F$5:F$1258,'Stock Price'!$I$9)-1,"")</f>
        <v>-8.1953642384105962E-2</v>
      </c>
      <c r="T1235" s="19">
        <f ca="1">IF('Stock Price'!$I$11="OK",G1235/INDEX(G$5:G$1258,'Stock Price'!$I$9)-1,"")</f>
        <v>6.2276616484349567E-2</v>
      </c>
      <c r="U1235" s="19">
        <f ca="1">IF('Stock Price'!$I$11="OK",H1235/INDEX(H$5:H$1258,'Stock Price'!$I$9)-1,"")</f>
        <v>0.8107843137254902</v>
      </c>
      <c r="V1235" s="19">
        <f ca="1">IF('Stock Price'!$I$11="OK",I1235/INDEX(I$5:I$1258,'Stock Price'!$I$9)-1,"")</f>
        <v>-0.32750472589792057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162.47</v>
      </c>
      <c r="C1236" s="18">
        <v>161.25</v>
      </c>
      <c r="D1236" s="18">
        <v>50.66</v>
      </c>
      <c r="E1236" s="18">
        <v>53.09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0.34272727272727277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6.0387231815803188E-2</v>
      </c>
      <c r="R1236" s="19">
        <f ca="1">IF('Stock Price'!$I$11="OK",E1236/INDEX(E$5:E$1258,'Stock Price'!$I$9)-1,"")</f>
        <v>0.13683083511777294</v>
      </c>
      <c r="S1236" s="19">
        <f ca="1">IF('Stock Price'!$I$11="OK",F1236/INDEX(F$5:F$1258,'Stock Price'!$I$9)-1,"")</f>
        <v>-8.1746688741721862E-2</v>
      </c>
      <c r="T1236" s="19">
        <f ca="1">IF('Stock Price'!$I$11="OK",G1236/INDEX(G$5:G$1258,'Stock Price'!$I$9)-1,"")</f>
        <v>5.8810787393046793E-2</v>
      </c>
      <c r="U1236" s="19">
        <f ca="1">IF('Stock Price'!$I$11="OK",H1236/INDEX(H$5:H$1258,'Stock Price'!$I$9)-1,"")</f>
        <v>0.83651960784313761</v>
      </c>
      <c r="V1236" s="19">
        <f ca="1">IF('Stock Price'!$I$11="OK",I1236/INDEX(I$5:I$1258,'Stock Price'!$I$9)-1,"")</f>
        <v>-0.32537807183364842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161.63</v>
      </c>
      <c r="C1237" s="18">
        <v>162.46</v>
      </c>
      <c r="D1237" s="18">
        <v>50.44</v>
      </c>
      <c r="E1237" s="18">
        <v>53.83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0.33578512396694205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5.5782312925169997E-2</v>
      </c>
      <c r="R1237" s="19">
        <f ca="1">IF('Stock Price'!$I$11="OK",E1237/INDEX(E$5:E$1258,'Stock Price'!$I$9)-1,"")</f>
        <v>0.15267665952890774</v>
      </c>
      <c r="S1237" s="19">
        <f ca="1">IF('Stock Price'!$I$11="OK",F1237/INDEX(F$5:F$1258,'Stock Price'!$I$9)-1,"")</f>
        <v>-7.9677152317880862E-2</v>
      </c>
      <c r="T1237" s="19">
        <f ca="1">IF('Stock Price'!$I$11="OK",G1237/INDEX(G$5:G$1258,'Stock Price'!$I$9)-1,"")</f>
        <v>6.5309216939239745E-2</v>
      </c>
      <c r="U1237" s="19">
        <f ca="1">IF('Stock Price'!$I$11="OK",H1237/INDEX(H$5:H$1258,'Stock Price'!$I$9)-1,"")</f>
        <v>0.85833333333333339</v>
      </c>
      <c r="V1237" s="19">
        <f ca="1">IF('Stock Price'!$I$11="OK",I1237/INDEX(I$5:I$1258,'Stock Price'!$I$9)-1,"")</f>
        <v>-0.3142722117202269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164.77</v>
      </c>
      <c r="C1238" s="18">
        <v>163.09</v>
      </c>
      <c r="D1238" s="18">
        <v>50.87</v>
      </c>
      <c r="E1238" s="18">
        <v>55.22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0.36173553719008278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6.4782836211407568E-2</v>
      </c>
      <c r="R1238" s="19">
        <f ca="1">IF('Stock Price'!$I$11="OK",E1238/INDEX(E$5:E$1258,'Stock Price'!$I$9)-1,"")</f>
        <v>0.18244111349036385</v>
      </c>
      <c r="S1238" s="19">
        <f ca="1">IF('Stock Price'!$I$11="OK",F1238/INDEX(F$5:F$1258,'Stock Price'!$I$9)-1,"")</f>
        <v>-8.2574503311258374E-2</v>
      </c>
      <c r="T1238" s="19">
        <f ca="1">IF('Stock Price'!$I$11="OK",G1238/INDEX(G$5:G$1258,'Stock Price'!$I$9)-1,"")</f>
        <v>6.8775046030542741E-2</v>
      </c>
      <c r="U1238" s="19">
        <f ca="1">IF('Stock Price'!$I$11="OK",H1238/INDEX(H$5:H$1258,'Stock Price'!$I$9)-1,"")</f>
        <v>0.8669117647058826</v>
      </c>
      <c r="V1238" s="19">
        <f ca="1">IF('Stock Price'!$I$11="OK",I1238/INDEX(I$5:I$1258,'Stock Price'!$I$9)-1,"")</f>
        <v>-0.31923440453686203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162.69999999999999</v>
      </c>
      <c r="C1239" s="18">
        <v>159.99</v>
      </c>
      <c r="D1239" s="18">
        <v>49.89</v>
      </c>
      <c r="E1239" s="18">
        <v>54.97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0.34462809917355353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4.4270015698587128E-2</v>
      </c>
      <c r="R1239" s="19">
        <f ca="1">IF('Stock Price'!$I$11="OK",E1239/INDEX(E$5:E$1258,'Stock Price'!$I$9)-1,"")</f>
        <v>0.17708779443254818</v>
      </c>
      <c r="S1239" s="19">
        <f ca="1">IF('Stock Price'!$I$11="OK",F1239/INDEX(F$5:F$1258,'Stock Price'!$I$9)-1,"")</f>
        <v>-8.4437086092715163E-2</v>
      </c>
      <c r="T1239" s="19">
        <f ca="1">IF('Stock Price'!$I$11="OK",G1239/INDEX(G$5:G$1258,'Stock Price'!$I$9)-1,"")</f>
        <v>5.8160944438427453E-2</v>
      </c>
      <c r="U1239" s="19">
        <f ca="1">IF('Stock Price'!$I$11="OK",H1239/INDEX(H$5:H$1258,'Stock Price'!$I$9)-1,"")</f>
        <v>0.84227941176470611</v>
      </c>
      <c r="V1239" s="19">
        <f ca="1">IF('Stock Price'!$I$11="OK",I1239/INDEX(I$5:I$1258,'Stock Price'!$I$9)-1,"")</f>
        <v>-0.32774102079395084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160.04</v>
      </c>
      <c r="C1240" s="18">
        <v>137.69999999999999</v>
      </c>
      <c r="D1240" s="18">
        <v>48.54</v>
      </c>
      <c r="E1240" s="18">
        <v>54.07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0.32264462809917349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1.6012558869701765E-2</v>
      </c>
      <c r="R1240" s="19">
        <f ca="1">IF('Stock Price'!$I$11="OK",E1240/INDEX(E$5:E$1258,'Stock Price'!$I$9)-1,"")</f>
        <v>0.15781584582441099</v>
      </c>
      <c r="S1240" s="19">
        <f ca="1">IF('Stock Price'!$I$11="OK",F1240/INDEX(F$5:F$1258,'Stock Price'!$I$9)-1,"")</f>
        <v>-0.10689155629139069</v>
      </c>
      <c r="T1240" s="19">
        <f ca="1">IF('Stock Price'!$I$11="OK",G1240/INDEX(G$5:G$1258,'Stock Price'!$I$9)-1,"")</f>
        <v>7.0291346257987497E-2</v>
      </c>
      <c r="U1240" s="19">
        <f ca="1">IF('Stock Price'!$I$11="OK",H1240/INDEX(H$5:H$1258,'Stock Price'!$I$9)-1,"")</f>
        <v>0.81936274509803941</v>
      </c>
      <c r="V1240" s="19">
        <f ca="1">IF('Stock Price'!$I$11="OK",I1240/INDEX(I$5:I$1258,'Stock Price'!$I$9)-1,"")</f>
        <v>-0.34333648393194705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156.94</v>
      </c>
      <c r="C1241" s="18">
        <v>137.47999999999999</v>
      </c>
      <c r="D1241" s="18">
        <v>48.63</v>
      </c>
      <c r="E1241" s="18">
        <v>53.38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0.2970247933884298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1.7896389324960849E-2</v>
      </c>
      <c r="R1241" s="19">
        <f ca="1">IF('Stock Price'!$I$11="OK",E1241/INDEX(E$5:E$1258,'Stock Price'!$I$9)-1,"")</f>
        <v>0.14304068522483937</v>
      </c>
      <c r="S1241" s="19">
        <f ca="1">IF('Stock Price'!$I$11="OK",F1241/INDEX(F$5:F$1258,'Stock Price'!$I$9)-1,"")</f>
        <v>-0.11320364238410596</v>
      </c>
      <c r="T1241" s="19">
        <f ca="1">IF('Stock Price'!$I$11="OK",G1241/INDEX(G$5:G$1258,'Stock Price'!$I$9)-1,"")</f>
        <v>6.7042131484891021E-2</v>
      </c>
      <c r="U1241" s="19">
        <f ca="1">IF('Stock Price'!$I$11="OK",H1241/INDEX(H$5:H$1258,'Stock Price'!$I$9)-1,"")</f>
        <v>0.80796568627450993</v>
      </c>
      <c r="V1241" s="19">
        <f ca="1">IF('Stock Price'!$I$11="OK",I1241/INDEX(I$5:I$1258,'Stock Price'!$I$9)-1,"")</f>
        <v>-0.34357277882797732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159.63999999999999</v>
      </c>
      <c r="C1242" s="18">
        <v>137.47999999999999</v>
      </c>
      <c r="D1242" s="18">
        <v>48.12</v>
      </c>
      <c r="E1242" s="18">
        <v>53.19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0.31933884297520643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7.2213500784930051E-3</v>
      </c>
      <c r="R1242" s="19">
        <f ca="1">IF('Stock Price'!$I$11="OK",E1242/INDEX(E$5:E$1258,'Stock Price'!$I$9)-1,"")</f>
        <v>0.1389721627408993</v>
      </c>
      <c r="S1242" s="19">
        <f ca="1">IF('Stock Price'!$I$11="OK",F1242/INDEX(F$5:F$1258,'Stock Price'!$I$9)-1,"")</f>
        <v>-0.11589403973509937</v>
      </c>
      <c r="T1242" s="19">
        <f ca="1">IF('Stock Price'!$I$11="OK",G1242/INDEX(G$5:G$1258,'Stock Price'!$I$9)-1,"")</f>
        <v>5.4911729665330977E-2</v>
      </c>
      <c r="U1242" s="19">
        <f ca="1">IF('Stock Price'!$I$11="OK",H1242/INDEX(H$5:H$1258,'Stock Price'!$I$9)-1,"")</f>
        <v>0.77340686274509829</v>
      </c>
      <c r="V1242" s="19">
        <f ca="1">IF('Stock Price'!$I$11="OK",I1242/INDEX(I$5:I$1258,'Stock Price'!$I$9)-1,"")</f>
        <v>-0.34664461247637057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160.16999999999999</v>
      </c>
      <c r="C1243" s="18">
        <v>137.16</v>
      </c>
      <c r="D1243" s="18">
        <v>48.13</v>
      </c>
      <c r="E1243" s="18">
        <v>52.75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0.32371900826446276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7.4306645735218169E-3</v>
      </c>
      <c r="R1243" s="19">
        <f ca="1">IF('Stock Price'!$I$11="OK",E1243/INDEX(E$5:E$1258,'Stock Price'!$I$9)-1,"")</f>
        <v>0.12955032119914334</v>
      </c>
      <c r="S1243" s="19">
        <f ca="1">IF('Stock Price'!$I$11="OK",F1243/INDEX(F$5:F$1258,'Stock Price'!$I$9)-1,"")</f>
        <v>-0.11485927152317876</v>
      </c>
      <c r="T1243" s="19">
        <f ca="1">IF('Stock Price'!$I$11="OK",G1243/INDEX(G$5:G$1258,'Stock Price'!$I$9)-1,"")</f>
        <v>4.3431170800390051E-2</v>
      </c>
      <c r="U1243" s="19">
        <f ca="1">IF('Stock Price'!$I$11="OK",H1243/INDEX(H$5:H$1258,'Stock Price'!$I$9)-1,"")</f>
        <v>0.76384803921568656</v>
      </c>
      <c r="V1243" s="19">
        <f ca="1">IF('Stock Price'!$I$11="OK",I1243/INDEX(I$5:I$1258,'Stock Price'!$I$9)-1,"")</f>
        <v>-0.34499054820415886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163.78</v>
      </c>
      <c r="C1244" s="18">
        <v>138.99</v>
      </c>
      <c r="D1244" s="18">
        <v>50.05</v>
      </c>
      <c r="E1244" s="18">
        <v>54.8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0.35355371900826449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4.7619047619047672E-2</v>
      </c>
      <c r="R1244" s="19">
        <f ca="1">IF('Stock Price'!$I$11="OK",E1244/INDEX(E$5:E$1258,'Stock Price'!$I$9)-1,"")</f>
        <v>0.17344753747323338</v>
      </c>
      <c r="S1244" s="19">
        <f ca="1">IF('Stock Price'!$I$11="OK",F1244/INDEX(F$5:F$1258,'Stock Price'!$I$9)-1,"")</f>
        <v>-0.10326986754966894</v>
      </c>
      <c r="T1244" s="19">
        <f ca="1">IF('Stock Price'!$I$11="OK",G1244/INDEX(G$5:G$1258,'Stock Price'!$I$9)-1,"")</f>
        <v>6.8558431712336221E-2</v>
      </c>
      <c r="U1244" s="19">
        <f ca="1">IF('Stock Price'!$I$11="OK",H1244/INDEX(H$5:H$1258,'Stock Price'!$I$9)-1,"")</f>
        <v>0.77512254901960786</v>
      </c>
      <c r="V1244" s="19">
        <f ca="1">IF('Stock Price'!$I$11="OK",I1244/INDEX(I$5:I$1258,'Stock Price'!$I$9)-1,"")</f>
        <v>-0.34499054820415886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161.85</v>
      </c>
      <c r="C1245" s="18">
        <v>138.62</v>
      </c>
      <c r="D1245" s="18">
        <v>50.01</v>
      </c>
      <c r="E1245" s="18">
        <v>54.95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0.33760330578512399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4.6781789638932425E-2</v>
      </c>
      <c r="R1245" s="19">
        <f ca="1">IF('Stock Price'!$I$11="OK",E1245/INDEX(E$5:E$1258,'Stock Price'!$I$9)-1,"")</f>
        <v>0.17665952890792291</v>
      </c>
      <c r="S1245" s="19">
        <f ca="1">IF('Stock Price'!$I$11="OK",F1245/INDEX(F$5:F$1258,'Stock Price'!$I$9)-1,"")</f>
        <v>-0.1225165562913908</v>
      </c>
      <c r="T1245" s="19">
        <f ca="1">IF('Stock Price'!$I$11="OK",G1245/INDEX(G$5:G$1258,'Stock Price'!$I$9)-1,"")</f>
        <v>5.5128343983537276E-2</v>
      </c>
      <c r="U1245" s="19">
        <f ca="1">IF('Stock Price'!$I$11="OK",H1245/INDEX(H$5:H$1258,'Stock Price'!$I$9)-1,"")</f>
        <v>0.76213235294117654</v>
      </c>
      <c r="V1245" s="19">
        <f ca="1">IF('Stock Price'!$I$11="OK",I1245/INDEX(I$5:I$1258,'Stock Price'!$I$9)-1,"")</f>
        <v>-0.349007561436673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162.88999999999999</v>
      </c>
      <c r="C1246" s="18">
        <v>138.69999999999999</v>
      </c>
      <c r="D1246" s="18">
        <v>50.29</v>
      </c>
      <c r="E1246" s="18">
        <v>55.15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0.34619834710743791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5.2642595499738265E-2</v>
      </c>
      <c r="R1246" s="19">
        <f ca="1">IF('Stock Price'!$I$11="OK",E1246/INDEX(E$5:E$1258,'Stock Price'!$I$9)-1,"")</f>
        <v>0.1809421841541754</v>
      </c>
      <c r="S1246" s="19">
        <f ca="1">IF('Stock Price'!$I$11="OK",F1246/INDEX(F$5:F$1258,'Stock Price'!$I$9)-1,"")</f>
        <v>-0.11858443708609268</v>
      </c>
      <c r="T1246" s="19">
        <f ca="1">IF('Stock Price'!$I$11="OK",G1246/INDEX(G$5:G$1258,'Stock Price'!$I$9)-1,"")</f>
        <v>6.0976930575110888E-2</v>
      </c>
      <c r="U1246" s="19">
        <f ca="1">IF('Stock Price'!$I$11="OK",H1246/INDEX(H$5:H$1258,'Stock Price'!$I$9)-1,"")</f>
        <v>0.77585784313725492</v>
      </c>
      <c r="V1246" s="19">
        <f ca="1">IF('Stock Price'!$I$11="OK",I1246/INDEX(I$5:I$1258,'Stock Price'!$I$9)-1,"")</f>
        <v>-0.35113421550094515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166.14</v>
      </c>
      <c r="C1247" s="18">
        <v>140.91999999999999</v>
      </c>
      <c r="D1247" s="18">
        <v>51.06</v>
      </c>
      <c r="E1247" s="18">
        <v>54.63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0.37305785123966939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6.8759811616954547E-2</v>
      </c>
      <c r="R1247" s="19">
        <f ca="1">IF('Stock Price'!$I$11="OK",E1247/INDEX(E$5:E$1258,'Stock Price'!$I$9)-1,"")</f>
        <v>0.16980728051391858</v>
      </c>
      <c r="S1247" s="19">
        <f ca="1">IF('Stock Price'!$I$11="OK",F1247/INDEX(F$5:F$1258,'Stock Price'!$I$9)-1,"")</f>
        <v>-0.10720198675496684</v>
      </c>
      <c r="T1247" s="19">
        <f ca="1">IF('Stock Price'!$I$11="OK",G1247/INDEX(G$5:G$1258,'Stock Price'!$I$9)-1,"")</f>
        <v>6.2276616484349567E-2</v>
      </c>
      <c r="U1247" s="19">
        <f ca="1">IF('Stock Price'!$I$11="OK",H1247/INDEX(H$5:H$1258,'Stock Price'!$I$9)-1,"")</f>
        <v>0.80330882352941191</v>
      </c>
      <c r="V1247" s="19">
        <f ca="1">IF('Stock Price'!$I$11="OK",I1247/INDEX(I$5:I$1258,'Stock Price'!$I$9)-1,"")</f>
        <v>-0.34688090737240074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166.08</v>
      </c>
      <c r="C1248" s="18">
        <v>140.37</v>
      </c>
      <c r="D1248" s="18">
        <v>50.22</v>
      </c>
      <c r="E1248" s="18">
        <v>54.15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0.3725619834710745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5.1177394034536805E-2</v>
      </c>
      <c r="R1248" s="19">
        <f ca="1">IF('Stock Price'!$I$11="OK",E1248/INDEX(E$5:E$1258,'Stock Price'!$I$9)-1,"")</f>
        <v>0.15952890792291208</v>
      </c>
      <c r="S1248" s="19">
        <f ca="1">IF('Stock Price'!$I$11="OK",F1248/INDEX(F$5:F$1258,'Stock Price'!$I$9)-1,"")</f>
        <v>-0.120860927152318</v>
      </c>
      <c r="T1248" s="19">
        <f ca="1">IF('Stock Price'!$I$11="OK",G1248/INDEX(G$5:G$1258,'Stock Price'!$I$9)-1,"")</f>
        <v>4.1698256254738553E-2</v>
      </c>
      <c r="U1248" s="19">
        <f ca="1">IF('Stock Price'!$I$11="OK",H1248/INDEX(H$5:H$1258,'Stock Price'!$I$9)-1,"")</f>
        <v>0.79987745098039231</v>
      </c>
      <c r="V1248" s="19">
        <f ca="1">IF('Stock Price'!$I$11="OK",I1248/INDEX(I$5:I$1258,'Stock Price'!$I$9)-1,"")</f>
        <v>-0.3464083175803403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168.1</v>
      </c>
      <c r="C1249" s="18">
        <v>140.97999999999999</v>
      </c>
      <c r="D1249" s="18">
        <v>51.08</v>
      </c>
      <c r="E1249" s="18">
        <v>55.3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0.38925619834710745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6.9178440607011948E-2</v>
      </c>
      <c r="R1249" s="19">
        <f ca="1">IF('Stock Price'!$I$11="OK",E1249/INDEX(E$5:E$1258,'Stock Price'!$I$9)-1,"")</f>
        <v>0.18415417558886493</v>
      </c>
      <c r="S1249" s="19">
        <f ca="1">IF('Stock Price'!$I$11="OK",F1249/INDEX(F$5:F$1258,'Stock Price'!$I$9)-1,"")</f>
        <v>-0.12044701986754969</v>
      </c>
      <c r="T1249" s="19">
        <f ca="1">IF('Stock Price'!$I$11="OK",G1249/INDEX(G$5:G$1258,'Stock Price'!$I$9)-1,"")</f>
        <v>6.2060002166143269E-2</v>
      </c>
      <c r="U1249" s="19">
        <f ca="1">IF('Stock Price'!$I$11="OK",H1249/INDEX(H$5:H$1258,'Stock Price'!$I$9)-1,"")</f>
        <v>0.83210784313725505</v>
      </c>
      <c r="V1249" s="19">
        <f ca="1">IF('Stock Price'!$I$11="OK",I1249/INDEX(I$5:I$1258,'Stock Price'!$I$9)-1,"")</f>
        <v>-0.34451795841209831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168.37</v>
      </c>
      <c r="C1250" s="18">
        <v>141.28</v>
      </c>
      <c r="D1250" s="18">
        <v>50.72</v>
      </c>
      <c r="E1250" s="18">
        <v>55.66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0.39148760330578525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6.1643118785975837E-2</v>
      </c>
      <c r="R1250" s="19">
        <f ca="1">IF('Stock Price'!$I$11="OK",E1250/INDEX(E$5:E$1258,'Stock Price'!$I$9)-1,"")</f>
        <v>0.19186295503211981</v>
      </c>
      <c r="S1250" s="19">
        <f ca="1">IF('Stock Price'!$I$11="OK",F1250/INDEX(F$5:F$1258,'Stock Price'!$I$9)-1,"")</f>
        <v>-0.12024006622516559</v>
      </c>
      <c r="T1250" s="19">
        <f ca="1">IF('Stock Price'!$I$11="OK",G1250/INDEX(G$5:G$1258,'Stock Price'!$I$9)-1,"")</f>
        <v>7.3323946712877675E-2</v>
      </c>
      <c r="U1250" s="19">
        <f ca="1">IF('Stock Price'!$I$11="OK",H1250/INDEX(H$5:H$1258,'Stock Price'!$I$9)-1,"")</f>
        <v>0.84938725490196076</v>
      </c>
      <c r="V1250" s="19">
        <f ca="1">IF('Stock Price'!$I$11="OK",I1250/INDEX(I$5:I$1258,'Stock Price'!$I$9)-1,"")</f>
        <v>-0.34002835538752363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163.33000000000001</v>
      </c>
      <c r="C1251" s="18">
        <v>142.71</v>
      </c>
      <c r="D1251" s="18">
        <v>49.71</v>
      </c>
      <c r="E1251" s="18">
        <v>55.06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0.34983471074380179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4.0502354788069184E-2</v>
      </c>
      <c r="R1251" s="19">
        <f ca="1">IF('Stock Price'!$I$11="OK",E1251/INDEX(E$5:E$1258,'Stock Price'!$I$9)-1,"")</f>
        <v>0.1790149892933619</v>
      </c>
      <c r="S1251" s="19">
        <f ca="1">IF('Stock Price'!$I$11="OK",F1251/INDEX(F$5:F$1258,'Stock Price'!$I$9)-1,"")</f>
        <v>-0.13783112582781465</v>
      </c>
      <c r="T1251" s="19">
        <f ca="1">IF('Stock Price'!$I$11="OK",G1251/INDEX(G$5:G$1258,'Stock Price'!$I$9)-1,"")</f>
        <v>6.8125203075923402E-2</v>
      </c>
      <c r="U1251" s="19">
        <f ca="1">IF('Stock Price'!$I$11="OK",H1251/INDEX(H$5:H$1258,'Stock Price'!$I$9)-1,"")</f>
        <v>0.81470588235294139</v>
      </c>
      <c r="V1251" s="19">
        <f ca="1">IF('Stock Price'!$I$11="OK",I1251/INDEX(I$5:I$1258,'Stock Price'!$I$9)-1,"")</f>
        <v>-0.33412098298676751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164.56</v>
      </c>
      <c r="C1252" s="18">
        <v>143.57</v>
      </c>
      <c r="D1252" s="18">
        <v>49.65</v>
      </c>
      <c r="E1252" s="18">
        <v>54.8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0.3600000000000001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3.9246467817896313E-2</v>
      </c>
      <c r="R1252" s="19">
        <f ca="1">IF('Stock Price'!$I$11="OK",E1252/INDEX(E$5:E$1258,'Stock Price'!$I$9)-1,"")</f>
        <v>0.17344753747323338</v>
      </c>
      <c r="S1252" s="19">
        <f ca="1">IF('Stock Price'!$I$11="OK",F1252/INDEX(F$5:F$1258,'Stock Price'!$I$9)-1,"")</f>
        <v>-0.1527317880794703</v>
      </c>
      <c r="T1252" s="19">
        <f ca="1">IF('Stock Price'!$I$11="OK",G1252/INDEX(G$5:G$1258,'Stock Price'!$I$9)-1,"")</f>
        <v>6.9641503303368379E-2</v>
      </c>
      <c r="U1252" s="19">
        <f ca="1">IF('Stock Price'!$I$11="OK",H1252/INDEX(H$5:H$1258,'Stock Price'!$I$9)-1,"")</f>
        <v>0.81348039215686274</v>
      </c>
      <c r="V1252" s="19">
        <f ca="1">IF('Stock Price'!$I$11="OK",I1252/INDEX(I$5:I$1258,'Stock Price'!$I$9)-1,"")</f>
        <v>-0.32868620037807184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166.58</v>
      </c>
      <c r="C1253" s="18">
        <v>145.46</v>
      </c>
      <c r="D1253" s="18">
        <v>49.24</v>
      </c>
      <c r="E1253" s="18">
        <v>54.45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0.37669421487603305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3.0664573521716365E-2</v>
      </c>
      <c r="R1253" s="19">
        <f ca="1">IF('Stock Price'!$I$11="OK",E1253/INDEX(E$5:E$1258,'Stock Price'!$I$9)-1,"")</f>
        <v>0.16595289079229114</v>
      </c>
      <c r="S1253" s="19">
        <f ca="1">IF('Stock Price'!$I$11="OK",F1253/INDEX(F$5:F$1258,'Stock Price'!$I$9)-1,"")</f>
        <v>-0.14921357615894038</v>
      </c>
      <c r="T1253" s="19">
        <f ca="1">IF('Stock Price'!$I$11="OK",G1253/INDEX(G$5:G$1258,'Stock Price'!$I$9)-1,"")</f>
        <v>8.3504819668580144E-2</v>
      </c>
      <c r="U1253" s="19">
        <f ca="1">IF('Stock Price'!$I$11="OK",H1253/INDEX(H$5:H$1258,'Stock Price'!$I$9)-1,"")</f>
        <v>0.82328431372549038</v>
      </c>
      <c r="V1253" s="19">
        <f ca="1">IF('Stock Price'!$I$11="OK",I1253/INDEX(I$5:I$1258,'Stock Price'!$I$9)-1,"")</f>
        <v>-0.32254253308128544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166.15</v>
      </c>
      <c r="C1254" s="18">
        <v>146.88</v>
      </c>
      <c r="D1254" s="18">
        <v>49.7</v>
      </c>
      <c r="E1254" s="18">
        <v>53.37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0.37314049586776865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4.0293040293040372E-2</v>
      </c>
      <c r="R1254" s="19">
        <f ca="1">IF('Stock Price'!$I$11="OK",E1254/INDEX(E$5:E$1258,'Stock Price'!$I$9)-1,"")</f>
        <v>0.14282655246252673</v>
      </c>
      <c r="S1254" s="19">
        <f ca="1">IF('Stock Price'!$I$11="OK",F1254/INDEX(F$5:F$1258,'Stock Price'!$I$9)-1,"")</f>
        <v>-0.14776490066225167</v>
      </c>
      <c r="T1254" s="19">
        <f ca="1">IF('Stock Price'!$I$11="OK",G1254/INDEX(G$5:G$1258,'Stock Price'!$I$9)-1,"")</f>
        <v>0.10040073648868186</v>
      </c>
      <c r="U1254" s="19">
        <f ca="1">IF('Stock Price'!$I$11="OK",H1254/INDEX(H$5:H$1258,'Stock Price'!$I$9)-1,"")</f>
        <v>0.82218137254901968</v>
      </c>
      <c r="V1254" s="19">
        <f ca="1">IF('Stock Price'!$I$11="OK",I1254/INDEX(I$5:I$1258,'Stock Price'!$I$9)-1,"")</f>
        <v>-0.32136105860113429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164.21</v>
      </c>
      <c r="C1255" s="18">
        <v>145.71</v>
      </c>
      <c r="D1255" s="18">
        <v>49.35</v>
      </c>
      <c r="E1255" s="18">
        <v>52.25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0.35710743801652889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3.2967032967033072E-2</v>
      </c>
      <c r="R1255" s="19">
        <f ca="1">IF('Stock Price'!$I$11="OK",E1255/INDEX(E$5:E$1258,'Stock Price'!$I$9)-1,"")</f>
        <v>0.11884368308351179</v>
      </c>
      <c r="S1255" s="19">
        <f ca="1">IF('Stock Price'!$I$11="OK",F1255/INDEX(F$5:F$1258,'Stock Price'!$I$9)-1,"")</f>
        <v>-0.1568708609271523</v>
      </c>
      <c r="T1255" s="19">
        <f ca="1">IF('Stock Price'!$I$11="OK",G1255/INDEX(G$5:G$1258,'Stock Price'!$I$9)-1,"")</f>
        <v>5.8810787393046793E-2</v>
      </c>
      <c r="U1255" s="19">
        <f ca="1">IF('Stock Price'!$I$11="OK",H1255/INDEX(H$5:H$1258,'Stock Price'!$I$9)-1,"")</f>
        <v>0.82941176470588251</v>
      </c>
      <c r="V1255" s="19">
        <f ca="1">IF('Stock Price'!$I$11="OK",I1255/INDEX(I$5:I$1258,'Stock Price'!$I$9)-1,"")</f>
        <v>-0.32136105860113429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161.47</v>
      </c>
      <c r="C1256" s="18">
        <v>142.57</v>
      </c>
      <c r="D1256" s="18">
        <v>48.17</v>
      </c>
      <c r="E1256" s="18">
        <v>51.88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0.33446280991735544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8.2679225536368417E-3</v>
      </c>
      <c r="R1256" s="19">
        <f ca="1">IF('Stock Price'!$I$11="OK",E1256/INDEX(E$5:E$1258,'Stock Price'!$I$9)-1,"")</f>
        <v>0.11092077087794427</v>
      </c>
      <c r="S1256" s="19">
        <f ca="1">IF('Stock Price'!$I$11="OK",F1256/INDEX(F$5:F$1258,'Stock Price'!$I$9)-1,"")</f>
        <v>-0.14673013245033117</v>
      </c>
      <c r="T1256" s="19">
        <f ca="1">IF('Stock Price'!$I$11="OK",G1256/INDEX(G$5:G$1258,'Stock Price'!$I$9)-1,"")</f>
        <v>3.8665655799848375E-2</v>
      </c>
      <c r="U1256" s="19">
        <f ca="1">IF('Stock Price'!$I$11="OK",H1256/INDEX(H$5:H$1258,'Stock Price'!$I$9)-1,"")</f>
        <v>0.78075980392156885</v>
      </c>
      <c r="V1256" s="19">
        <f ca="1">IF('Stock Price'!$I$11="OK",I1256/INDEX(I$5:I$1258,'Stock Price'!$I$9)-1,"")</f>
        <v>-0.32608695652173914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157.69999999999999</v>
      </c>
      <c r="C1257" s="18">
        <v>141.05000000000001</v>
      </c>
      <c r="D1257" s="18">
        <v>47.18</v>
      </c>
      <c r="E1257" s="18">
        <v>52.35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0.30330578512396689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-1.245421245421241E-2</v>
      </c>
      <c r="R1257" s="19">
        <f ca="1">IF('Stock Price'!$I$11="OK",E1257/INDEX(E$5:E$1258,'Stock Price'!$I$9)-1,"")</f>
        <v>0.12098501070663814</v>
      </c>
      <c r="S1257" s="19">
        <f ca="1">IF('Stock Price'!$I$11="OK",F1257/INDEX(F$5:F$1258,'Stock Price'!$I$9)-1,"")</f>
        <v>-0.158319536423841</v>
      </c>
      <c r="T1257" s="19">
        <f ca="1">IF('Stock Price'!$I$11="OK",G1257/INDEX(G$5:G$1258,'Stock Price'!$I$9)-1,"")</f>
        <v>-1.6570995342792161E-2</v>
      </c>
      <c r="U1257" s="19">
        <f ca="1">IF('Stock Price'!$I$11="OK",H1257/INDEX(H$5:H$1258,'Stock Price'!$I$9)-1,"")</f>
        <v>0.76237745098039222</v>
      </c>
      <c r="V1257" s="19">
        <f ca="1">IF('Stock Price'!$I$11="OK",I1257/INDEX(I$5:I$1258,'Stock Price'!$I$9)-1,"")</f>
        <v>-0.33553875236294894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156.9</v>
      </c>
      <c r="C1258" s="18">
        <v>141</v>
      </c>
      <c r="D1258" s="18">
        <v>47.03</v>
      </c>
      <c r="E1258" s="18">
        <v>52.25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0.2966942148760332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-1.5593929879644142E-2</v>
      </c>
      <c r="R1258" s="19">
        <f ca="1">IF('Stock Price'!$I$11="OK",E1258/INDEX(E$5:E$1258,'Stock Price'!$I$9)-1,"")</f>
        <v>0.11884368308351179</v>
      </c>
      <c r="S1258" s="19">
        <f ca="1">IF('Stock Price'!$I$11="OK",F1258/INDEX(F$5:F$1258,'Stock Price'!$I$9)-1,"")</f>
        <v>-0.17384105960264895</v>
      </c>
      <c r="T1258" s="19">
        <f ca="1">IF('Stock Price'!$I$11="OK",G1258/INDEX(G$5:G$1258,'Stock Price'!$I$9)-1,"")</f>
        <v>-2.6535253980288109E-2</v>
      </c>
      <c r="U1258" s="19">
        <f ca="1">IF('Stock Price'!$I$11="OK",H1258/INDEX(H$5:H$1258,'Stock Price'!$I$9)-1,"")</f>
        <v>0.76838235294117663</v>
      </c>
      <c r="V1258" s="19">
        <f ca="1">IF('Stock Price'!$I$11="OK",I1258/INDEX(I$5:I$1258,'Stock Price'!$I$9)-1,"")</f>
        <v>-0.34310018903591677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2026-10-05T16:26:01Z</dcterms:created>
  <dcterms:modified xsi:type="dcterms:W3CDTF">2026-10-05T18:19:40Z</dcterms:modified>
</cp:coreProperties>
</file>